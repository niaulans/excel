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Kantor\"/>
    </mc:Choice>
  </mc:AlternateContent>
  <bookViews>
    <workbookView xWindow="-120" yWindow="-120" windowWidth="20730" windowHeight="11160" activeTab="3"/>
  </bookViews>
  <sheets>
    <sheet name="1. Absolute" sheetId="2" r:id="rId1"/>
    <sheet name="2. Op. Math" sheetId="3" r:id="rId2"/>
    <sheet name="3. F. Statistik" sheetId="4" r:id="rId3"/>
    <sheet name="4. IF" sheetId="1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3" i="1"/>
  <c r="I4" i="1"/>
  <c r="I5" i="1"/>
  <c r="I6" i="1"/>
  <c r="I7" i="1"/>
  <c r="I8" i="1"/>
  <c r="I9" i="1"/>
  <c r="I10" i="1"/>
  <c r="I3" i="1"/>
  <c r="H4" i="1"/>
  <c r="H5" i="1"/>
  <c r="H6" i="1"/>
  <c r="H7" i="1"/>
  <c r="H8" i="1"/>
  <c r="H9" i="1"/>
  <c r="H10" i="1"/>
  <c r="H3" i="1"/>
  <c r="G4" i="1"/>
  <c r="G5" i="1"/>
  <c r="G6" i="1"/>
  <c r="G7" i="1"/>
  <c r="G8" i="1"/>
  <c r="G9" i="1"/>
  <c r="G10" i="1"/>
  <c r="G3" i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D4" i="1"/>
  <c r="D5" i="1"/>
  <c r="D6" i="1"/>
  <c r="D7" i="1"/>
  <c r="D8" i="1"/>
  <c r="D9" i="1"/>
  <c r="D10" i="1"/>
  <c r="D3" i="1"/>
  <c r="F14" i="4"/>
  <c r="F13" i="4"/>
  <c r="F12" i="4"/>
  <c r="F11" i="4"/>
  <c r="F10" i="4"/>
  <c r="F5" i="4"/>
  <c r="F6" i="4"/>
  <c r="F7" i="4"/>
  <c r="F8" i="4"/>
  <c r="F4" i="4"/>
  <c r="H5" i="3"/>
  <c r="H6" i="3"/>
  <c r="H7" i="3"/>
  <c r="H8" i="3"/>
  <c r="H9" i="3"/>
  <c r="H10" i="3"/>
  <c r="H11" i="3"/>
  <c r="H12" i="3"/>
  <c r="H13" i="3"/>
  <c r="H4" i="3"/>
  <c r="G5" i="3"/>
  <c r="G6" i="3"/>
  <c r="G7" i="3"/>
  <c r="G8" i="3"/>
  <c r="G9" i="3"/>
  <c r="G10" i="3"/>
  <c r="G11" i="3"/>
  <c r="G12" i="3"/>
  <c r="G13" i="3"/>
  <c r="G4" i="3"/>
  <c r="F5" i="3"/>
  <c r="F6" i="3"/>
  <c r="F7" i="3"/>
  <c r="F8" i="3"/>
  <c r="F9" i="3"/>
  <c r="F10" i="3"/>
  <c r="F11" i="3"/>
  <c r="F12" i="3"/>
  <c r="F13" i="3"/>
  <c r="F4" i="3"/>
  <c r="E5" i="3"/>
  <c r="E6" i="3"/>
  <c r="E7" i="3"/>
  <c r="E8" i="3"/>
  <c r="E9" i="3"/>
  <c r="E10" i="3"/>
  <c r="E11" i="3"/>
  <c r="E12" i="3"/>
  <c r="E13" i="3"/>
  <c r="E4" i="3"/>
  <c r="D5" i="3"/>
  <c r="D6" i="3"/>
  <c r="D7" i="3"/>
  <c r="D8" i="3"/>
  <c r="D9" i="3"/>
  <c r="D10" i="3"/>
  <c r="D11" i="3"/>
  <c r="D12" i="3"/>
  <c r="D13" i="3"/>
  <c r="D4" i="3"/>
  <c r="C5" i="2"/>
  <c r="D5" i="2"/>
  <c r="E5" i="2"/>
  <c r="F5" i="2"/>
  <c r="G5" i="2"/>
  <c r="H5" i="2"/>
  <c r="I5" i="2"/>
  <c r="J5" i="2"/>
  <c r="K5" i="2"/>
  <c r="L5" i="2"/>
  <c r="C6" i="2"/>
  <c r="D6" i="2"/>
  <c r="E6" i="2"/>
  <c r="F6" i="2"/>
  <c r="G6" i="2"/>
  <c r="H6" i="2"/>
  <c r="I6" i="2"/>
  <c r="J6" i="2"/>
  <c r="K6" i="2"/>
  <c r="L6" i="2"/>
  <c r="C7" i="2"/>
  <c r="D7" i="2"/>
  <c r="E7" i="2"/>
  <c r="F7" i="2"/>
  <c r="G7" i="2"/>
  <c r="H7" i="2"/>
  <c r="I7" i="2"/>
  <c r="J7" i="2"/>
  <c r="K7" i="2"/>
  <c r="L7" i="2"/>
  <c r="C8" i="2"/>
  <c r="D8" i="2"/>
  <c r="E8" i="2"/>
  <c r="F8" i="2"/>
  <c r="G8" i="2"/>
  <c r="H8" i="2"/>
  <c r="I8" i="2"/>
  <c r="J8" i="2"/>
  <c r="K8" i="2"/>
  <c r="L8" i="2"/>
  <c r="C9" i="2"/>
  <c r="D9" i="2"/>
  <c r="E9" i="2"/>
  <c r="F9" i="2"/>
  <c r="G9" i="2"/>
  <c r="H9" i="2"/>
  <c r="I9" i="2"/>
  <c r="J9" i="2"/>
  <c r="K9" i="2"/>
  <c r="L9" i="2"/>
  <c r="C10" i="2"/>
  <c r="D10" i="2"/>
  <c r="E10" i="2"/>
  <c r="F10" i="2"/>
  <c r="G10" i="2"/>
  <c r="H10" i="2"/>
  <c r="I10" i="2"/>
  <c r="J10" i="2"/>
  <c r="K10" i="2"/>
  <c r="L10" i="2"/>
  <c r="C11" i="2"/>
  <c r="D11" i="2"/>
  <c r="E11" i="2"/>
  <c r="F11" i="2"/>
  <c r="G11" i="2"/>
  <c r="H11" i="2"/>
  <c r="I11" i="2"/>
  <c r="J11" i="2"/>
  <c r="K11" i="2"/>
  <c r="L11" i="2"/>
  <c r="C12" i="2"/>
  <c r="D12" i="2"/>
  <c r="E12" i="2"/>
  <c r="F12" i="2"/>
  <c r="G12" i="2"/>
  <c r="H12" i="2"/>
  <c r="I12" i="2"/>
  <c r="J12" i="2"/>
  <c r="K12" i="2"/>
  <c r="L12" i="2"/>
  <c r="C13" i="2"/>
  <c r="D13" i="2"/>
  <c r="E13" i="2"/>
  <c r="F13" i="2"/>
  <c r="G13" i="2"/>
  <c r="H13" i="2"/>
  <c r="I13" i="2"/>
  <c r="J13" i="2"/>
  <c r="K13" i="2"/>
  <c r="L13" i="2"/>
  <c r="D4" i="2"/>
  <c r="E4" i="2"/>
  <c r="F4" i="2"/>
  <c r="G4" i="2"/>
  <c r="H4" i="2"/>
  <c r="I4" i="2"/>
  <c r="J4" i="2"/>
  <c r="K4" i="2"/>
  <c r="L4" i="2"/>
  <c r="C4" i="2"/>
</calcChain>
</file>

<file path=xl/sharedStrings.xml><?xml version="1.0" encoding="utf-8"?>
<sst xmlns="http://schemas.openxmlformats.org/spreadsheetml/2006/main" count="73" uniqueCount="71">
  <si>
    <t>NIP</t>
  </si>
  <si>
    <t>MAN-1-A</t>
  </si>
  <si>
    <t>SKT-2-B</t>
  </si>
  <si>
    <t>MAN-3-B</t>
  </si>
  <si>
    <t>KEU-4-A</t>
  </si>
  <si>
    <t>Nama</t>
  </si>
  <si>
    <t>Eri Susan</t>
  </si>
  <si>
    <t>Alfar Rizki</t>
  </si>
  <si>
    <t>Gunawan</t>
  </si>
  <si>
    <t>Putera</t>
  </si>
  <si>
    <t>Riza Dwi</t>
  </si>
  <si>
    <t>Jabatan</t>
  </si>
  <si>
    <t>Gol</t>
  </si>
  <si>
    <t>KEU-4-B</t>
  </si>
  <si>
    <t>SKT-3-A</t>
  </si>
  <si>
    <t>MAN-2-A</t>
  </si>
  <si>
    <t>KEU-1-B</t>
  </si>
  <si>
    <t>Evi Tamala</t>
  </si>
  <si>
    <t>Adi Bangkit</t>
  </si>
  <si>
    <t>Zada Bawean</t>
  </si>
  <si>
    <t>Status</t>
  </si>
  <si>
    <t>Gaji Pokok</t>
  </si>
  <si>
    <t>Tunjangan</t>
  </si>
  <si>
    <t>Bonus</t>
  </si>
  <si>
    <t>Total Gaji</t>
  </si>
  <si>
    <t>Perkalian Silang</t>
  </si>
  <si>
    <t>Operator Matematika</t>
  </si>
  <si>
    <t>Nilai A</t>
  </si>
  <si>
    <t>Nilai B</t>
  </si>
  <si>
    <t>A * B</t>
  </si>
  <si>
    <t>B / A</t>
  </si>
  <si>
    <t>Akar(B)</t>
  </si>
  <si>
    <t>Fungsi Statistik</t>
  </si>
  <si>
    <t>Kode</t>
  </si>
  <si>
    <t>A001</t>
  </si>
  <si>
    <t>A002</t>
  </si>
  <si>
    <t>A003</t>
  </si>
  <si>
    <t>A004</t>
  </si>
  <si>
    <t>A005</t>
  </si>
  <si>
    <t>Nama Barang</t>
  </si>
  <si>
    <t>Rinso</t>
  </si>
  <si>
    <t>Soklin</t>
  </si>
  <si>
    <t>Daia</t>
  </si>
  <si>
    <t>Boom</t>
  </si>
  <si>
    <t>Attack</t>
  </si>
  <si>
    <t>Jumlah</t>
  </si>
  <si>
    <t>Harga</t>
  </si>
  <si>
    <t>Total</t>
  </si>
  <si>
    <t>Banyaknya Barang</t>
  </si>
  <si>
    <t>Total Keseluruhan</t>
  </si>
  <si>
    <t>Total Terbesar</t>
  </si>
  <si>
    <t>Total Terkecil</t>
  </si>
  <si>
    <t>Keterangan :</t>
  </si>
  <si>
    <t xml:space="preserve">     (1, 2, 3, 4)</t>
  </si>
  <si>
    <t xml:space="preserve">     (A = Menikah, B = Belum)</t>
  </si>
  <si>
    <t>4. Gaji Pokok :</t>
  </si>
  <si>
    <t xml:space="preserve">     Gol 1 : 5jt, Gol 2 : 4jt, Gol 3 : 3jt dan Gol 4 : 2jt</t>
  </si>
  <si>
    <t>5. Tunjangan :</t>
  </si>
  <si>
    <t xml:space="preserve">     Diberikan kepada golangan 3,4 dan status menikah sebesar 30% dari gaji pokok</t>
  </si>
  <si>
    <t>6. Bonus :</t>
  </si>
  <si>
    <t xml:space="preserve">     Diberikan kepada jabatan sekretaris atau keuangan sebesar Rp 500.000,-</t>
  </si>
  <si>
    <t>No</t>
  </si>
  <si>
    <r>
      <t>A</t>
    </r>
    <r>
      <rPr>
        <b/>
        <vertAlign val="superscript"/>
        <sz val="11"/>
        <color theme="1"/>
        <rFont val="Yu Gothic UI Semibold"/>
        <family val="2"/>
      </rPr>
      <t>3</t>
    </r>
  </si>
  <si>
    <r>
      <t>(A+B)</t>
    </r>
    <r>
      <rPr>
        <b/>
        <vertAlign val="superscript"/>
        <sz val="11"/>
        <color theme="1"/>
        <rFont val="Yu Gothic UI Semibold"/>
        <family val="2"/>
      </rPr>
      <t>2</t>
    </r>
  </si>
  <si>
    <t>Rata - Rata</t>
  </si>
  <si>
    <t>1. Jabatan : 3 Karakter Awal Pada NIP</t>
  </si>
  <si>
    <t xml:space="preserve">    (MAN = Manager, SKT = Sekretaris dan KEU= Keuangan)</t>
  </si>
  <si>
    <t>2. Golongan : Karakter Ke - 5 ( Karakter )</t>
  </si>
  <si>
    <t>3. Status : 1 Karakter di akhir pada NIP</t>
  </si>
  <si>
    <t>https://youtu.be/2yP3Oki_-u4</t>
  </si>
  <si>
    <t>Video Pembahasan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</si>
</sst>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b/>
      <sz val="11"/>
      <color rgb="FFFF0000"/>
      <name val="Yu Gothic UI Semibold"/>
      <family val="2"/>
    </font>
    <font>
      <b/>
      <sz val="11"/>
      <name val="Yu Gothic UI Semibold"/>
      <family val="2"/>
    </font>
    <font>
      <sz val="11"/>
      <color theme="0"/>
      <name val="Yu Gothic UI Semibold"/>
      <family val="2"/>
    </font>
    <font>
      <b/>
      <sz val="11"/>
      <color theme="1"/>
      <name val="Yu Gothic UI Semibold"/>
      <family val="2"/>
    </font>
    <font>
      <b/>
      <vertAlign val="superscript"/>
      <sz val="11"/>
      <color theme="1"/>
      <name val="Yu Gothic UI Semibold"/>
      <family val="2"/>
    </font>
    <font>
      <b/>
      <sz val="11"/>
      <color theme="0"/>
      <name val="Yu Gothic UI Semibold"/>
      <family val="2"/>
    </font>
    <font>
      <b/>
      <u/>
      <sz val="11"/>
      <color theme="1"/>
      <name val="Yu Gothic UI Semibold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165" fontId="2" fillId="0" borderId="1" xfId="1" applyNumberFormat="1" applyFont="1" applyBorder="1"/>
    <xf numFmtId="0" fontId="2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1" applyNumberFormat="1" applyFont="1" applyBorder="1" applyAlignment="1">
      <alignment horizontal="left"/>
    </xf>
    <xf numFmtId="0" fontId="3" fillId="0" borderId="1" xfId="2" applyNumberFormat="1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11" fillId="0" borderId="0" xfId="3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1" fillId="0" borderId="5" xfId="3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3" applyBorder="1" applyAlignment="1">
      <alignment horizontal="center"/>
    </xf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2yP3Oki_-u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youtu.be/2yP3Oki_-u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4"/>
  <sheetViews>
    <sheetView zoomScale="145" zoomScaleNormal="145" workbookViewId="0">
      <selection activeCell="M7" sqref="M7"/>
    </sheetView>
  </sheetViews>
  <sheetFormatPr defaultRowHeight="16.5" x14ac:dyDescent="0.3"/>
  <cols>
    <col min="1" max="1" width="9.140625" style="1"/>
    <col min="2" max="12" width="5.7109375" style="1" customWidth="1"/>
    <col min="13" max="16384" width="9.140625" style="1"/>
  </cols>
  <sheetData>
    <row r="1" spans="1:12" x14ac:dyDescent="0.3">
      <c r="A1" s="1" t="s">
        <v>70</v>
      </c>
      <c r="C1" s="24" t="s">
        <v>69</v>
      </c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B2" s="15" t="s">
        <v>25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3">
      <c r="B3" s="4" t="s">
        <v>61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</row>
    <row r="4" spans="1:12" x14ac:dyDescent="0.3">
      <c r="B4" s="2">
        <v>1</v>
      </c>
      <c r="C4" s="12">
        <f>C$3*$B4</f>
        <v>1</v>
      </c>
      <c r="D4" s="12">
        <f t="shared" ref="D4:L13" si="0">D$3*$B4</f>
        <v>2</v>
      </c>
      <c r="E4" s="12">
        <f t="shared" si="0"/>
        <v>3</v>
      </c>
      <c r="F4" s="12">
        <f t="shared" si="0"/>
        <v>4</v>
      </c>
      <c r="G4" s="12">
        <f t="shared" si="0"/>
        <v>5</v>
      </c>
      <c r="H4" s="12">
        <f t="shared" si="0"/>
        <v>6</v>
      </c>
      <c r="I4" s="12">
        <f t="shared" si="0"/>
        <v>7</v>
      </c>
      <c r="J4" s="12">
        <f t="shared" si="0"/>
        <v>8</v>
      </c>
      <c r="K4" s="12">
        <f t="shared" si="0"/>
        <v>9</v>
      </c>
      <c r="L4" s="12">
        <f t="shared" si="0"/>
        <v>10</v>
      </c>
    </row>
    <row r="5" spans="1:12" x14ac:dyDescent="0.3">
      <c r="B5" s="2">
        <v>2</v>
      </c>
      <c r="C5" s="12">
        <f t="shared" ref="C5:C13" si="1">C$3*$B5</f>
        <v>2</v>
      </c>
      <c r="D5" s="12">
        <f t="shared" si="0"/>
        <v>4</v>
      </c>
      <c r="E5" s="12">
        <f t="shared" si="0"/>
        <v>6</v>
      </c>
      <c r="F5" s="12">
        <f t="shared" si="0"/>
        <v>8</v>
      </c>
      <c r="G5" s="12">
        <f t="shared" si="0"/>
        <v>10</v>
      </c>
      <c r="H5" s="12">
        <f t="shared" si="0"/>
        <v>12</v>
      </c>
      <c r="I5" s="12">
        <f t="shared" si="0"/>
        <v>14</v>
      </c>
      <c r="J5" s="12">
        <f t="shared" si="0"/>
        <v>16</v>
      </c>
      <c r="K5" s="12">
        <f t="shared" si="0"/>
        <v>18</v>
      </c>
      <c r="L5" s="12">
        <f t="shared" si="0"/>
        <v>20</v>
      </c>
    </row>
    <row r="6" spans="1:12" x14ac:dyDescent="0.3">
      <c r="B6" s="2">
        <v>3</v>
      </c>
      <c r="C6" s="12">
        <f t="shared" si="1"/>
        <v>3</v>
      </c>
      <c r="D6" s="12">
        <f t="shared" si="0"/>
        <v>6</v>
      </c>
      <c r="E6" s="12">
        <f t="shared" si="0"/>
        <v>9</v>
      </c>
      <c r="F6" s="12">
        <f t="shared" si="0"/>
        <v>12</v>
      </c>
      <c r="G6" s="12">
        <f t="shared" si="0"/>
        <v>15</v>
      </c>
      <c r="H6" s="12">
        <f t="shared" si="0"/>
        <v>18</v>
      </c>
      <c r="I6" s="12">
        <f t="shared" si="0"/>
        <v>21</v>
      </c>
      <c r="J6" s="12">
        <f t="shared" si="0"/>
        <v>24</v>
      </c>
      <c r="K6" s="12">
        <f t="shared" si="0"/>
        <v>27</v>
      </c>
      <c r="L6" s="12">
        <f t="shared" si="0"/>
        <v>30</v>
      </c>
    </row>
    <row r="7" spans="1:12" x14ac:dyDescent="0.3">
      <c r="B7" s="2">
        <v>4</v>
      </c>
      <c r="C7" s="12">
        <f t="shared" si="1"/>
        <v>4</v>
      </c>
      <c r="D7" s="12">
        <f t="shared" si="0"/>
        <v>8</v>
      </c>
      <c r="E7" s="12">
        <f t="shared" si="0"/>
        <v>12</v>
      </c>
      <c r="F7" s="12">
        <f t="shared" si="0"/>
        <v>16</v>
      </c>
      <c r="G7" s="12">
        <f t="shared" si="0"/>
        <v>20</v>
      </c>
      <c r="H7" s="12">
        <f t="shared" si="0"/>
        <v>24</v>
      </c>
      <c r="I7" s="12">
        <f t="shared" si="0"/>
        <v>28</v>
      </c>
      <c r="J7" s="12">
        <f t="shared" si="0"/>
        <v>32</v>
      </c>
      <c r="K7" s="12">
        <f t="shared" si="0"/>
        <v>36</v>
      </c>
      <c r="L7" s="12">
        <f t="shared" si="0"/>
        <v>40</v>
      </c>
    </row>
    <row r="8" spans="1:12" x14ac:dyDescent="0.3">
      <c r="B8" s="2">
        <v>5</v>
      </c>
      <c r="C8" s="12">
        <f t="shared" si="1"/>
        <v>5</v>
      </c>
      <c r="D8" s="12">
        <f t="shared" si="0"/>
        <v>10</v>
      </c>
      <c r="E8" s="12">
        <f t="shared" si="0"/>
        <v>15</v>
      </c>
      <c r="F8" s="12">
        <f t="shared" si="0"/>
        <v>20</v>
      </c>
      <c r="G8" s="12">
        <f t="shared" si="0"/>
        <v>25</v>
      </c>
      <c r="H8" s="12">
        <f t="shared" si="0"/>
        <v>30</v>
      </c>
      <c r="I8" s="12">
        <f t="shared" si="0"/>
        <v>35</v>
      </c>
      <c r="J8" s="12">
        <f t="shared" si="0"/>
        <v>40</v>
      </c>
      <c r="K8" s="12">
        <f t="shared" si="0"/>
        <v>45</v>
      </c>
      <c r="L8" s="12">
        <f t="shared" si="0"/>
        <v>50</v>
      </c>
    </row>
    <row r="9" spans="1:12" x14ac:dyDescent="0.3">
      <c r="B9" s="2">
        <v>6</v>
      </c>
      <c r="C9" s="12">
        <f t="shared" si="1"/>
        <v>6</v>
      </c>
      <c r="D9" s="12">
        <f t="shared" si="0"/>
        <v>12</v>
      </c>
      <c r="E9" s="12">
        <f t="shared" si="0"/>
        <v>18</v>
      </c>
      <c r="F9" s="12">
        <f t="shared" si="0"/>
        <v>24</v>
      </c>
      <c r="G9" s="12">
        <f t="shared" si="0"/>
        <v>30</v>
      </c>
      <c r="H9" s="12">
        <f t="shared" si="0"/>
        <v>36</v>
      </c>
      <c r="I9" s="12">
        <f t="shared" si="0"/>
        <v>42</v>
      </c>
      <c r="J9" s="12">
        <f t="shared" si="0"/>
        <v>48</v>
      </c>
      <c r="K9" s="12">
        <f t="shared" si="0"/>
        <v>54</v>
      </c>
      <c r="L9" s="12">
        <f t="shared" si="0"/>
        <v>60</v>
      </c>
    </row>
    <row r="10" spans="1:12" x14ac:dyDescent="0.3">
      <c r="B10" s="2">
        <v>7</v>
      </c>
      <c r="C10" s="12">
        <f t="shared" si="1"/>
        <v>7</v>
      </c>
      <c r="D10" s="12">
        <f t="shared" si="0"/>
        <v>14</v>
      </c>
      <c r="E10" s="12">
        <f t="shared" si="0"/>
        <v>21</v>
      </c>
      <c r="F10" s="12">
        <f t="shared" si="0"/>
        <v>28</v>
      </c>
      <c r="G10" s="12">
        <f t="shared" si="0"/>
        <v>35</v>
      </c>
      <c r="H10" s="12">
        <f t="shared" si="0"/>
        <v>42</v>
      </c>
      <c r="I10" s="12">
        <f t="shared" si="0"/>
        <v>49</v>
      </c>
      <c r="J10" s="12">
        <f t="shared" si="0"/>
        <v>56</v>
      </c>
      <c r="K10" s="12">
        <f t="shared" si="0"/>
        <v>63</v>
      </c>
      <c r="L10" s="12">
        <f t="shared" si="0"/>
        <v>70</v>
      </c>
    </row>
    <row r="11" spans="1:12" x14ac:dyDescent="0.3">
      <c r="B11" s="2">
        <v>8</v>
      </c>
      <c r="C11" s="12">
        <f t="shared" si="1"/>
        <v>8</v>
      </c>
      <c r="D11" s="12">
        <f t="shared" si="0"/>
        <v>16</v>
      </c>
      <c r="E11" s="12">
        <f t="shared" si="0"/>
        <v>24</v>
      </c>
      <c r="F11" s="12">
        <f t="shared" si="0"/>
        <v>32</v>
      </c>
      <c r="G11" s="12">
        <f t="shared" si="0"/>
        <v>40</v>
      </c>
      <c r="H11" s="12">
        <f t="shared" si="0"/>
        <v>48</v>
      </c>
      <c r="I11" s="12">
        <f t="shared" si="0"/>
        <v>56</v>
      </c>
      <c r="J11" s="12">
        <f t="shared" si="0"/>
        <v>64</v>
      </c>
      <c r="K11" s="12">
        <f t="shared" si="0"/>
        <v>72</v>
      </c>
      <c r="L11" s="12">
        <f t="shared" si="0"/>
        <v>80</v>
      </c>
    </row>
    <row r="12" spans="1:12" x14ac:dyDescent="0.3">
      <c r="B12" s="2">
        <v>9</v>
      </c>
      <c r="C12" s="12">
        <f t="shared" si="1"/>
        <v>9</v>
      </c>
      <c r="D12" s="12">
        <f t="shared" si="0"/>
        <v>18</v>
      </c>
      <c r="E12" s="12">
        <f t="shared" si="0"/>
        <v>27</v>
      </c>
      <c r="F12" s="12">
        <f t="shared" si="0"/>
        <v>36</v>
      </c>
      <c r="G12" s="12">
        <f t="shared" si="0"/>
        <v>45</v>
      </c>
      <c r="H12" s="12">
        <f t="shared" si="0"/>
        <v>54</v>
      </c>
      <c r="I12" s="12">
        <f t="shared" si="0"/>
        <v>63</v>
      </c>
      <c r="J12" s="12">
        <f t="shared" si="0"/>
        <v>72</v>
      </c>
      <c r="K12" s="12">
        <f t="shared" si="0"/>
        <v>81</v>
      </c>
      <c r="L12" s="12">
        <f t="shared" si="0"/>
        <v>90</v>
      </c>
    </row>
    <row r="13" spans="1:12" x14ac:dyDescent="0.3">
      <c r="B13" s="2">
        <v>10</v>
      </c>
      <c r="C13" s="12">
        <f t="shared" si="1"/>
        <v>10</v>
      </c>
      <c r="D13" s="12">
        <f t="shared" si="0"/>
        <v>20</v>
      </c>
      <c r="E13" s="12">
        <f t="shared" si="0"/>
        <v>30</v>
      </c>
      <c r="F13" s="12">
        <f t="shared" si="0"/>
        <v>40</v>
      </c>
      <c r="G13" s="12">
        <f t="shared" si="0"/>
        <v>50</v>
      </c>
      <c r="H13" s="12">
        <f t="shared" si="0"/>
        <v>60</v>
      </c>
      <c r="I13" s="12">
        <f t="shared" si="0"/>
        <v>70</v>
      </c>
      <c r="J13" s="12">
        <f t="shared" si="0"/>
        <v>80</v>
      </c>
      <c r="K13" s="12">
        <f t="shared" si="0"/>
        <v>90</v>
      </c>
      <c r="L13" s="12">
        <f t="shared" si="0"/>
        <v>100</v>
      </c>
    </row>
    <row r="14" spans="1:12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</sheetData>
  <mergeCells count="2">
    <mergeCell ref="B2:L2"/>
    <mergeCell ref="C1:L1"/>
  </mergeCells>
  <hyperlinks>
    <hyperlink ref="C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H13"/>
  <sheetViews>
    <sheetView zoomScale="160" zoomScaleNormal="160" workbookViewId="0">
      <selection activeCell="J4" sqref="J4"/>
    </sheetView>
  </sheetViews>
  <sheetFormatPr defaultRowHeight="16.5" x14ac:dyDescent="0.3"/>
  <cols>
    <col min="1" max="1" width="9.140625" style="1"/>
    <col min="2" max="8" width="9.7109375" style="1" customWidth="1"/>
    <col min="9" max="16384" width="9.140625" style="1"/>
  </cols>
  <sheetData>
    <row r="1" spans="2:8" ht="7.5" customHeight="1" x14ac:dyDescent="0.3"/>
    <row r="2" spans="2:8" x14ac:dyDescent="0.3">
      <c r="B2" s="15" t="s">
        <v>26</v>
      </c>
      <c r="C2" s="15"/>
      <c r="D2" s="15"/>
      <c r="E2" s="15"/>
      <c r="F2" s="15"/>
      <c r="G2" s="15"/>
      <c r="H2" s="15"/>
    </row>
    <row r="3" spans="2:8" s="6" customFormat="1" ht="17.25" x14ac:dyDescent="0.3">
      <c r="B3" s="7" t="s">
        <v>27</v>
      </c>
      <c r="C3" s="7" t="s">
        <v>28</v>
      </c>
      <c r="D3" s="5" t="s">
        <v>29</v>
      </c>
      <c r="E3" s="5" t="s">
        <v>30</v>
      </c>
      <c r="F3" s="5" t="s">
        <v>62</v>
      </c>
      <c r="G3" s="5" t="s">
        <v>31</v>
      </c>
      <c r="H3" s="5" t="s">
        <v>63</v>
      </c>
    </row>
    <row r="4" spans="2:8" x14ac:dyDescent="0.3">
      <c r="B4" s="2">
        <v>10</v>
      </c>
      <c r="C4" s="2">
        <v>4</v>
      </c>
      <c r="D4" s="9">
        <f>B4*C4</f>
        <v>40</v>
      </c>
      <c r="E4" s="9">
        <f>C4/B4</f>
        <v>0.4</v>
      </c>
      <c r="F4" s="9">
        <f>POWER(B4,3)</f>
        <v>1000</v>
      </c>
      <c r="G4" s="9">
        <f>POWER(C4,2)</f>
        <v>16</v>
      </c>
      <c r="H4" s="9">
        <f>POWER((B4+C4),2)</f>
        <v>196</v>
      </c>
    </row>
    <row r="5" spans="2:8" x14ac:dyDescent="0.3">
      <c r="B5" s="2">
        <v>9</v>
      </c>
      <c r="C5" s="2">
        <v>9</v>
      </c>
      <c r="D5" s="9">
        <f t="shared" ref="D5:D13" si="0">B5*C5</f>
        <v>81</v>
      </c>
      <c r="E5" s="9">
        <f t="shared" ref="E5:E13" si="1">C5/B5</f>
        <v>1</v>
      </c>
      <c r="F5" s="9">
        <f t="shared" ref="F5:F13" si="2">POWER(B5,3)</f>
        <v>729</v>
      </c>
      <c r="G5" s="9">
        <f t="shared" ref="G5:G13" si="3">POWER(C5,2)</f>
        <v>81</v>
      </c>
      <c r="H5" s="9">
        <f t="shared" ref="H5:H13" si="4">POWER((B5+C5),2)</f>
        <v>324</v>
      </c>
    </row>
    <row r="6" spans="2:8" x14ac:dyDescent="0.3">
      <c r="B6" s="2">
        <v>8</v>
      </c>
      <c r="C6" s="2">
        <v>16</v>
      </c>
      <c r="D6" s="9">
        <f t="shared" si="0"/>
        <v>128</v>
      </c>
      <c r="E6" s="9">
        <f t="shared" si="1"/>
        <v>2</v>
      </c>
      <c r="F6" s="9">
        <f t="shared" si="2"/>
        <v>512</v>
      </c>
      <c r="G6" s="9">
        <f t="shared" si="3"/>
        <v>256</v>
      </c>
      <c r="H6" s="9">
        <f t="shared" si="4"/>
        <v>576</v>
      </c>
    </row>
    <row r="7" spans="2:8" x14ac:dyDescent="0.3">
      <c r="B7" s="2">
        <v>7</v>
      </c>
      <c r="C7" s="2">
        <v>25</v>
      </c>
      <c r="D7" s="9">
        <f t="shared" si="0"/>
        <v>175</v>
      </c>
      <c r="E7" s="9">
        <f t="shared" si="1"/>
        <v>3.5714285714285716</v>
      </c>
      <c r="F7" s="9">
        <f t="shared" si="2"/>
        <v>343</v>
      </c>
      <c r="G7" s="9">
        <f t="shared" si="3"/>
        <v>625</v>
      </c>
      <c r="H7" s="9">
        <f t="shared" si="4"/>
        <v>1024</v>
      </c>
    </row>
    <row r="8" spans="2:8" x14ac:dyDescent="0.3">
      <c r="B8" s="2">
        <v>6</v>
      </c>
      <c r="C8" s="2">
        <v>36</v>
      </c>
      <c r="D8" s="9">
        <f t="shared" si="0"/>
        <v>216</v>
      </c>
      <c r="E8" s="9">
        <f t="shared" si="1"/>
        <v>6</v>
      </c>
      <c r="F8" s="9">
        <f t="shared" si="2"/>
        <v>216</v>
      </c>
      <c r="G8" s="9">
        <f t="shared" si="3"/>
        <v>1296</v>
      </c>
      <c r="H8" s="9">
        <f t="shared" si="4"/>
        <v>1764</v>
      </c>
    </row>
    <row r="9" spans="2:8" x14ac:dyDescent="0.3">
      <c r="B9" s="2">
        <v>5</v>
      </c>
      <c r="C9" s="2">
        <v>49</v>
      </c>
      <c r="D9" s="9">
        <f t="shared" si="0"/>
        <v>245</v>
      </c>
      <c r="E9" s="9">
        <f t="shared" si="1"/>
        <v>9.8000000000000007</v>
      </c>
      <c r="F9" s="9">
        <f t="shared" si="2"/>
        <v>125</v>
      </c>
      <c r="G9" s="9">
        <f t="shared" si="3"/>
        <v>2401</v>
      </c>
      <c r="H9" s="9">
        <f t="shared" si="4"/>
        <v>2916</v>
      </c>
    </row>
    <row r="10" spans="2:8" x14ac:dyDescent="0.3">
      <c r="B10" s="2">
        <v>4</v>
      </c>
      <c r="C10" s="2">
        <v>64</v>
      </c>
      <c r="D10" s="9">
        <f t="shared" si="0"/>
        <v>256</v>
      </c>
      <c r="E10" s="9">
        <f t="shared" si="1"/>
        <v>16</v>
      </c>
      <c r="F10" s="9">
        <f t="shared" si="2"/>
        <v>64</v>
      </c>
      <c r="G10" s="9">
        <f t="shared" si="3"/>
        <v>4096</v>
      </c>
      <c r="H10" s="9">
        <f t="shared" si="4"/>
        <v>4624</v>
      </c>
    </row>
    <row r="11" spans="2:8" x14ac:dyDescent="0.3">
      <c r="B11" s="2">
        <v>3</v>
      </c>
      <c r="C11" s="2">
        <v>81</v>
      </c>
      <c r="D11" s="9">
        <f t="shared" si="0"/>
        <v>243</v>
      </c>
      <c r="E11" s="9">
        <f t="shared" si="1"/>
        <v>27</v>
      </c>
      <c r="F11" s="9">
        <f t="shared" si="2"/>
        <v>27</v>
      </c>
      <c r="G11" s="9">
        <f t="shared" si="3"/>
        <v>6561</v>
      </c>
      <c r="H11" s="9">
        <f t="shared" si="4"/>
        <v>7056</v>
      </c>
    </row>
    <row r="12" spans="2:8" x14ac:dyDescent="0.3">
      <c r="B12" s="2">
        <v>2</v>
      </c>
      <c r="C12" s="2">
        <v>100</v>
      </c>
      <c r="D12" s="9">
        <f t="shared" si="0"/>
        <v>200</v>
      </c>
      <c r="E12" s="9">
        <f t="shared" si="1"/>
        <v>50</v>
      </c>
      <c r="F12" s="9">
        <f t="shared" si="2"/>
        <v>8</v>
      </c>
      <c r="G12" s="9">
        <f t="shared" si="3"/>
        <v>10000</v>
      </c>
      <c r="H12" s="9">
        <f t="shared" si="4"/>
        <v>10404</v>
      </c>
    </row>
    <row r="13" spans="2:8" x14ac:dyDescent="0.3">
      <c r="B13" s="2">
        <v>1</v>
      </c>
      <c r="C13" s="2">
        <v>121</v>
      </c>
      <c r="D13" s="9">
        <f t="shared" si="0"/>
        <v>121</v>
      </c>
      <c r="E13" s="9">
        <f t="shared" si="1"/>
        <v>121</v>
      </c>
      <c r="F13" s="9">
        <f t="shared" si="2"/>
        <v>1</v>
      </c>
      <c r="G13" s="9">
        <f t="shared" si="3"/>
        <v>14641</v>
      </c>
      <c r="H13" s="9">
        <f t="shared" si="4"/>
        <v>14884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F14"/>
  <sheetViews>
    <sheetView zoomScale="145" zoomScaleNormal="145" workbookViewId="0">
      <selection activeCell="F14" sqref="F14"/>
    </sheetView>
  </sheetViews>
  <sheetFormatPr defaultRowHeight="16.5" x14ac:dyDescent="0.3"/>
  <cols>
    <col min="1" max="1" width="9.140625" style="1"/>
    <col min="2" max="2" width="8.42578125" style="1" customWidth="1"/>
    <col min="3" max="3" width="15.5703125" style="1" customWidth="1"/>
    <col min="4" max="4" width="10.85546875" style="1" customWidth="1"/>
    <col min="5" max="5" width="11" style="1" customWidth="1"/>
    <col min="6" max="6" width="14" style="1" customWidth="1"/>
    <col min="7" max="16384" width="9.140625" style="1"/>
  </cols>
  <sheetData>
    <row r="1" spans="2:6" ht="6.75" customHeight="1" x14ac:dyDescent="0.3"/>
    <row r="2" spans="2:6" x14ac:dyDescent="0.3">
      <c r="B2" s="15" t="s">
        <v>32</v>
      </c>
      <c r="C2" s="15"/>
      <c r="D2" s="15"/>
      <c r="E2" s="15"/>
      <c r="F2" s="15"/>
    </row>
    <row r="3" spans="2:6" s="6" customFormat="1" x14ac:dyDescent="0.3">
      <c r="B3" s="5" t="s">
        <v>33</v>
      </c>
      <c r="C3" s="5" t="s">
        <v>39</v>
      </c>
      <c r="D3" s="5" t="s">
        <v>45</v>
      </c>
      <c r="E3" s="5" t="s">
        <v>46</v>
      </c>
      <c r="F3" s="5" t="s">
        <v>47</v>
      </c>
    </row>
    <row r="4" spans="2:6" x14ac:dyDescent="0.3">
      <c r="B4" s="2" t="s">
        <v>34</v>
      </c>
      <c r="C4" s="2" t="s">
        <v>40</v>
      </c>
      <c r="D4" s="2">
        <v>5</v>
      </c>
      <c r="E4" s="8">
        <v>2000</v>
      </c>
      <c r="F4" s="13">
        <f>E4*E4</f>
        <v>4000000</v>
      </c>
    </row>
    <row r="5" spans="2:6" x14ac:dyDescent="0.3">
      <c r="B5" s="2" t="s">
        <v>35</v>
      </c>
      <c r="C5" s="2" t="s">
        <v>41</v>
      </c>
      <c r="D5" s="2">
        <v>4</v>
      </c>
      <c r="E5" s="8">
        <v>3000</v>
      </c>
      <c r="F5" s="13">
        <f t="shared" ref="F5:F8" si="0">E5*E5</f>
        <v>9000000</v>
      </c>
    </row>
    <row r="6" spans="2:6" x14ac:dyDescent="0.3">
      <c r="B6" s="2" t="s">
        <v>36</v>
      </c>
      <c r="C6" s="2" t="s">
        <v>42</v>
      </c>
      <c r="D6" s="2">
        <v>3</v>
      </c>
      <c r="E6" s="8">
        <v>4000</v>
      </c>
      <c r="F6" s="13">
        <f t="shared" si="0"/>
        <v>16000000</v>
      </c>
    </row>
    <row r="7" spans="2:6" x14ac:dyDescent="0.3">
      <c r="B7" s="2" t="s">
        <v>37</v>
      </c>
      <c r="C7" s="2" t="s">
        <v>43</v>
      </c>
      <c r="D7" s="2">
        <v>2</v>
      </c>
      <c r="E7" s="8">
        <v>5000</v>
      </c>
      <c r="F7" s="13">
        <f t="shared" si="0"/>
        <v>25000000</v>
      </c>
    </row>
    <row r="8" spans="2:6" x14ac:dyDescent="0.3">
      <c r="B8" s="2" t="s">
        <v>38</v>
      </c>
      <c r="C8" s="2" t="s">
        <v>44</v>
      </c>
      <c r="D8" s="2">
        <v>1</v>
      </c>
      <c r="E8" s="8">
        <v>6000</v>
      </c>
      <c r="F8" s="13">
        <f t="shared" si="0"/>
        <v>36000000</v>
      </c>
    </row>
    <row r="10" spans="2:6" x14ac:dyDescent="0.3">
      <c r="B10" s="17" t="s">
        <v>49</v>
      </c>
      <c r="C10" s="18"/>
      <c r="D10" s="18"/>
      <c r="E10" s="19"/>
      <c r="F10" s="13">
        <f>SUM(F4:F8)</f>
        <v>90000000</v>
      </c>
    </row>
    <row r="11" spans="2:6" x14ac:dyDescent="0.3">
      <c r="B11" s="17" t="s">
        <v>50</v>
      </c>
      <c r="C11" s="18"/>
      <c r="D11" s="18"/>
      <c r="E11" s="19"/>
      <c r="F11" s="13">
        <f>MAX(F4:F8)</f>
        <v>36000000</v>
      </c>
    </row>
    <row r="12" spans="2:6" x14ac:dyDescent="0.3">
      <c r="B12" s="17" t="s">
        <v>51</v>
      </c>
      <c r="C12" s="18"/>
      <c r="D12" s="18"/>
      <c r="E12" s="19"/>
      <c r="F12" s="13">
        <f>MIN(F4:F8)</f>
        <v>4000000</v>
      </c>
    </row>
    <row r="13" spans="2:6" x14ac:dyDescent="0.3">
      <c r="B13" s="17" t="s">
        <v>64</v>
      </c>
      <c r="C13" s="18"/>
      <c r="D13" s="18"/>
      <c r="E13" s="19"/>
      <c r="F13" s="13">
        <f>AVERAGE(F4:F8)</f>
        <v>18000000</v>
      </c>
    </row>
    <row r="14" spans="2:6" x14ac:dyDescent="0.3">
      <c r="B14" s="17" t="s">
        <v>48</v>
      </c>
      <c r="C14" s="18"/>
      <c r="D14" s="18"/>
      <c r="E14" s="19"/>
      <c r="F14" s="12">
        <f>SUM(D4:D8)</f>
        <v>15</v>
      </c>
    </row>
  </sheetData>
  <mergeCells count="6">
    <mergeCell ref="B14:E14"/>
    <mergeCell ref="B2:F2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J31"/>
  <sheetViews>
    <sheetView tabSelected="1" zoomScale="130" zoomScaleNormal="130" workbookViewId="0">
      <selection activeCell="L4" sqref="L4"/>
    </sheetView>
  </sheetViews>
  <sheetFormatPr defaultRowHeight="16.5" x14ac:dyDescent="0.3"/>
  <cols>
    <col min="1" max="1" width="3.28515625" style="1" customWidth="1"/>
    <col min="2" max="2" width="14.5703125" style="1" customWidth="1"/>
    <col min="3" max="3" width="15.7109375" style="1" customWidth="1"/>
    <col min="4" max="10" width="13.42578125" style="1" customWidth="1"/>
    <col min="11" max="16384" width="9.140625" style="1"/>
  </cols>
  <sheetData>
    <row r="1" spans="2:10" x14ac:dyDescent="0.3">
      <c r="B1" s="1" t="s">
        <v>70</v>
      </c>
      <c r="D1" s="20" t="s">
        <v>69</v>
      </c>
      <c r="E1" s="21"/>
      <c r="F1" s="21"/>
    </row>
    <row r="2" spans="2:10" s="6" customFormat="1" x14ac:dyDescent="0.3">
      <c r="B2" s="5" t="s">
        <v>0</v>
      </c>
      <c r="C2" s="5" t="s">
        <v>5</v>
      </c>
      <c r="D2" s="5" t="s">
        <v>11</v>
      </c>
      <c r="E2" s="5" t="s">
        <v>12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</row>
    <row r="3" spans="2:10" x14ac:dyDescent="0.3">
      <c r="B3" s="2" t="s">
        <v>1</v>
      </c>
      <c r="C3" s="9" t="s">
        <v>6</v>
      </c>
      <c r="D3" s="12" t="str">
        <f>IF(LEFT(B3,3)="MAN","Manager",IF(LEFT(B3,3)="SKT","Sekretaris",IF(LEFT(B3,3)="KEU","Keuangan")))</f>
        <v>Manager</v>
      </c>
      <c r="E3" s="12" t="str">
        <f>MID(B3,5,1)</f>
        <v>1</v>
      </c>
      <c r="F3" s="12" t="str">
        <f>IF(RIGHT(B3,1)="A","Menikah","Belum")</f>
        <v>Menikah</v>
      </c>
      <c r="G3" s="14">
        <f>IF(E3="1",5000000,IF(E3="2",4000000,IF(E3="3",3000000,IF(E3="4",2000000))))</f>
        <v>5000000</v>
      </c>
      <c r="H3" s="14">
        <f>IF(AND(OR(E3="3",E3="4"),F3="Menikah"),G3*0.3,0)</f>
        <v>0</v>
      </c>
      <c r="I3" s="14">
        <f>IF(OR(D3="Sekretaris",D3="Keuangan"),500000,0)</f>
        <v>0</v>
      </c>
      <c r="J3" s="14">
        <f>G3+H3+I3</f>
        <v>5000000</v>
      </c>
    </row>
    <row r="4" spans="2:10" x14ac:dyDescent="0.3">
      <c r="B4" s="2" t="s">
        <v>2</v>
      </c>
      <c r="C4" s="9" t="s">
        <v>7</v>
      </c>
      <c r="D4" s="12" t="str">
        <f t="shared" ref="D4:D10" si="0">IF(LEFT(B4,3)="MAN","Manager",IF(LEFT(B4,3)="SKT","Sekretaris",IF(LEFT(B4,3)="KEU","Keuangan")))</f>
        <v>Sekretaris</v>
      </c>
      <c r="E4" s="12" t="str">
        <f t="shared" ref="E4:E10" si="1">MID(B4,5,1)</f>
        <v>2</v>
      </c>
      <c r="F4" s="12" t="str">
        <f t="shared" ref="F4:F10" si="2">IF(RIGHT(B4,1)="A","Menikah","Belum")</f>
        <v>Belum</v>
      </c>
      <c r="G4" s="14">
        <f t="shared" ref="G4:G10" si="3">IF(E4="1",5000000,IF(E4="2",4000000,IF(E4="3",3000000,IF(E4="4",2000000))))</f>
        <v>4000000</v>
      </c>
      <c r="H4" s="14">
        <f t="shared" ref="H4:H10" si="4">IF(AND(OR(E4="3",E4="4"),F4="Menikah"),G4*0.3,0)</f>
        <v>0</v>
      </c>
      <c r="I4" s="14">
        <f t="shared" ref="I4:I10" si="5">IF(OR(D4="Sekretaris",D4="Keuangan"),500000,0)</f>
        <v>500000</v>
      </c>
      <c r="J4" s="14">
        <f t="shared" ref="J4:J10" si="6">G4+H4+I4</f>
        <v>4500000</v>
      </c>
    </row>
    <row r="5" spans="2:10" x14ac:dyDescent="0.3">
      <c r="B5" s="2" t="s">
        <v>3</v>
      </c>
      <c r="C5" s="9" t="s">
        <v>8</v>
      </c>
      <c r="D5" s="12" t="str">
        <f t="shared" si="0"/>
        <v>Manager</v>
      </c>
      <c r="E5" s="12" t="str">
        <f t="shared" si="1"/>
        <v>3</v>
      </c>
      <c r="F5" s="12" t="str">
        <f t="shared" si="2"/>
        <v>Belum</v>
      </c>
      <c r="G5" s="14">
        <f t="shared" si="3"/>
        <v>3000000</v>
      </c>
      <c r="H5" s="14">
        <f t="shared" si="4"/>
        <v>0</v>
      </c>
      <c r="I5" s="14">
        <f t="shared" si="5"/>
        <v>0</v>
      </c>
      <c r="J5" s="14">
        <f t="shared" si="6"/>
        <v>3000000</v>
      </c>
    </row>
    <row r="6" spans="2:10" x14ac:dyDescent="0.3">
      <c r="B6" s="2" t="s">
        <v>4</v>
      </c>
      <c r="C6" s="9" t="s">
        <v>9</v>
      </c>
      <c r="D6" s="12" t="str">
        <f t="shared" si="0"/>
        <v>Keuangan</v>
      </c>
      <c r="E6" s="12" t="str">
        <f t="shared" si="1"/>
        <v>4</v>
      </c>
      <c r="F6" s="12" t="str">
        <f t="shared" si="2"/>
        <v>Menikah</v>
      </c>
      <c r="G6" s="14">
        <f t="shared" si="3"/>
        <v>2000000</v>
      </c>
      <c r="H6" s="14">
        <f t="shared" si="4"/>
        <v>600000</v>
      </c>
      <c r="I6" s="14">
        <f t="shared" si="5"/>
        <v>500000</v>
      </c>
      <c r="J6" s="14">
        <f t="shared" si="6"/>
        <v>3100000</v>
      </c>
    </row>
    <row r="7" spans="2:10" x14ac:dyDescent="0.3">
      <c r="B7" s="2" t="s">
        <v>13</v>
      </c>
      <c r="C7" s="9" t="s">
        <v>10</v>
      </c>
      <c r="D7" s="12" t="str">
        <f t="shared" si="0"/>
        <v>Keuangan</v>
      </c>
      <c r="E7" s="12" t="str">
        <f t="shared" si="1"/>
        <v>4</v>
      </c>
      <c r="F7" s="12" t="str">
        <f t="shared" si="2"/>
        <v>Belum</v>
      </c>
      <c r="G7" s="14">
        <f t="shared" si="3"/>
        <v>2000000</v>
      </c>
      <c r="H7" s="14">
        <f t="shared" si="4"/>
        <v>0</v>
      </c>
      <c r="I7" s="14">
        <f t="shared" si="5"/>
        <v>500000</v>
      </c>
      <c r="J7" s="14">
        <f t="shared" si="6"/>
        <v>2500000</v>
      </c>
    </row>
    <row r="8" spans="2:10" x14ac:dyDescent="0.3">
      <c r="B8" s="2" t="s">
        <v>14</v>
      </c>
      <c r="C8" s="9" t="s">
        <v>17</v>
      </c>
      <c r="D8" s="12" t="str">
        <f t="shared" si="0"/>
        <v>Sekretaris</v>
      </c>
      <c r="E8" s="12" t="str">
        <f t="shared" si="1"/>
        <v>3</v>
      </c>
      <c r="F8" s="12" t="str">
        <f t="shared" si="2"/>
        <v>Menikah</v>
      </c>
      <c r="G8" s="14">
        <f t="shared" si="3"/>
        <v>3000000</v>
      </c>
      <c r="H8" s="14">
        <f t="shared" si="4"/>
        <v>900000</v>
      </c>
      <c r="I8" s="14">
        <f t="shared" si="5"/>
        <v>500000</v>
      </c>
      <c r="J8" s="14">
        <f t="shared" si="6"/>
        <v>4400000</v>
      </c>
    </row>
    <row r="9" spans="2:10" x14ac:dyDescent="0.3">
      <c r="B9" s="2" t="s">
        <v>15</v>
      </c>
      <c r="C9" s="9" t="s">
        <v>18</v>
      </c>
      <c r="D9" s="12" t="str">
        <f t="shared" si="0"/>
        <v>Manager</v>
      </c>
      <c r="E9" s="12" t="str">
        <f t="shared" si="1"/>
        <v>2</v>
      </c>
      <c r="F9" s="12" t="str">
        <f t="shared" si="2"/>
        <v>Menikah</v>
      </c>
      <c r="G9" s="14">
        <f t="shared" si="3"/>
        <v>4000000</v>
      </c>
      <c r="H9" s="14">
        <f t="shared" si="4"/>
        <v>0</v>
      </c>
      <c r="I9" s="14">
        <f t="shared" si="5"/>
        <v>0</v>
      </c>
      <c r="J9" s="14">
        <f t="shared" si="6"/>
        <v>4000000</v>
      </c>
    </row>
    <row r="10" spans="2:10" x14ac:dyDescent="0.3">
      <c r="B10" s="2" t="s">
        <v>16</v>
      </c>
      <c r="C10" s="9" t="s">
        <v>19</v>
      </c>
      <c r="D10" s="12" t="str">
        <f t="shared" si="0"/>
        <v>Keuangan</v>
      </c>
      <c r="E10" s="12" t="str">
        <f t="shared" si="1"/>
        <v>1</v>
      </c>
      <c r="F10" s="12" t="str">
        <f t="shared" si="2"/>
        <v>Belum</v>
      </c>
      <c r="G10" s="14">
        <f t="shared" si="3"/>
        <v>5000000</v>
      </c>
      <c r="H10" s="14">
        <f t="shared" si="4"/>
        <v>0</v>
      </c>
      <c r="I10" s="14">
        <f t="shared" si="5"/>
        <v>500000</v>
      </c>
      <c r="J10" s="14">
        <f t="shared" si="6"/>
        <v>5500000</v>
      </c>
    </row>
    <row r="11" spans="2:10" ht="9" customHeight="1" x14ac:dyDescent="0.3"/>
    <row r="12" spans="2:10" x14ac:dyDescent="0.3">
      <c r="B12" s="10" t="s">
        <v>52</v>
      </c>
    </row>
    <row r="13" spans="2:10" x14ac:dyDescent="0.3">
      <c r="B13" s="22" t="s">
        <v>65</v>
      </c>
      <c r="C13" s="22"/>
      <c r="D13" s="22"/>
      <c r="E13" s="22"/>
    </row>
    <row r="14" spans="2:10" x14ac:dyDescent="0.3">
      <c r="B14" s="23" t="s">
        <v>66</v>
      </c>
      <c r="C14" s="23"/>
      <c r="D14" s="23"/>
      <c r="E14" s="23"/>
    </row>
    <row r="15" spans="2:10" x14ac:dyDescent="0.3">
      <c r="B15" s="22" t="s">
        <v>67</v>
      </c>
      <c r="C15" s="22"/>
      <c r="D15" s="22"/>
    </row>
    <row r="16" spans="2:10" x14ac:dyDescent="0.3">
      <c r="B16" s="11" t="s">
        <v>53</v>
      </c>
    </row>
    <row r="17" spans="2:7" x14ac:dyDescent="0.3">
      <c r="B17" s="22" t="s">
        <v>68</v>
      </c>
      <c r="C17" s="22"/>
      <c r="D17" s="22"/>
    </row>
    <row r="18" spans="2:7" x14ac:dyDescent="0.3">
      <c r="B18" s="22" t="s">
        <v>54</v>
      </c>
      <c r="C18" s="22"/>
    </row>
    <row r="19" spans="2:7" x14ac:dyDescent="0.3">
      <c r="B19" s="11" t="s">
        <v>55</v>
      </c>
    </row>
    <row r="20" spans="2:7" x14ac:dyDescent="0.3">
      <c r="B20" s="22" t="s">
        <v>56</v>
      </c>
      <c r="C20" s="22"/>
      <c r="D20" s="22"/>
      <c r="E20" s="22"/>
    </row>
    <row r="21" spans="2:7" x14ac:dyDescent="0.3">
      <c r="B21" s="11" t="s">
        <v>57</v>
      </c>
    </row>
    <row r="22" spans="2:7" x14ac:dyDescent="0.3">
      <c r="B22" s="22" t="s">
        <v>58</v>
      </c>
      <c r="C22" s="22"/>
      <c r="D22" s="22"/>
      <c r="E22" s="22"/>
      <c r="F22" s="22"/>
      <c r="G22" s="22"/>
    </row>
    <row r="23" spans="2:7" x14ac:dyDescent="0.3">
      <c r="B23" s="11" t="s">
        <v>59</v>
      </c>
    </row>
    <row r="24" spans="2:7" x14ac:dyDescent="0.3">
      <c r="B24" s="22" t="s">
        <v>60</v>
      </c>
      <c r="C24" s="22"/>
      <c r="D24" s="22"/>
      <c r="E24" s="22"/>
      <c r="F24" s="22"/>
      <c r="G24" s="22"/>
    </row>
    <row r="25" spans="2:7" x14ac:dyDescent="0.3">
      <c r="B25" s="11"/>
    </row>
    <row r="26" spans="2:7" x14ac:dyDescent="0.3">
      <c r="B26" s="11"/>
    </row>
    <row r="27" spans="2:7" x14ac:dyDescent="0.3">
      <c r="B27" s="11"/>
    </row>
    <row r="28" spans="2:7" x14ac:dyDescent="0.3">
      <c r="B28" s="11"/>
    </row>
    <row r="29" spans="2:7" x14ac:dyDescent="0.3">
      <c r="B29" s="11"/>
    </row>
    <row r="30" spans="2:7" x14ac:dyDescent="0.3">
      <c r="B30" s="11"/>
    </row>
    <row r="31" spans="2:7" x14ac:dyDescent="0.3">
      <c r="B31" s="11"/>
    </row>
  </sheetData>
  <mergeCells count="9">
    <mergeCell ref="D1:F1"/>
    <mergeCell ref="B22:G22"/>
    <mergeCell ref="B24:G24"/>
    <mergeCell ref="B13:E13"/>
    <mergeCell ref="B14:E14"/>
    <mergeCell ref="B15:D15"/>
    <mergeCell ref="B17:D17"/>
    <mergeCell ref="B18:C18"/>
    <mergeCell ref="B20:E20"/>
  </mergeCells>
  <hyperlinks>
    <hyperlink ref="D1" r:id="rId1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Absolute</vt:lpstr>
      <vt:lpstr>2. Op. Math</vt:lpstr>
      <vt:lpstr>3. F. Statistik</vt:lpstr>
      <vt:lpstr>4. IF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niaulans</cp:lastModifiedBy>
  <dcterms:created xsi:type="dcterms:W3CDTF">2017-01-26T10:30:17Z</dcterms:created>
  <dcterms:modified xsi:type="dcterms:W3CDTF">2025-03-23T16:32:55Z</dcterms:modified>
</cp:coreProperties>
</file>