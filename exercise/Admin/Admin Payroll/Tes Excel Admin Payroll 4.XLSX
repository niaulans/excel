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59C1A4B-DC17-4C15-BB7F-462DDBF30261}" xr6:coauthVersionLast="47" xr6:coauthVersionMax="47" xr10:uidLastSave="{00000000-0000-0000-0000-000000000000}"/>
  <bookViews>
    <workbookView xWindow="0" yWindow="0" windowWidth="20490" windowHeight="10920" tabRatio="861" firstSheet="1" activeTab="1" xr2:uid="{00000000-000D-0000-FFFF-FFFF00000000}"/>
  </bookViews>
  <sheets>
    <sheet name="LAP DEC 12" sheetId="1" state="hidden" r:id="rId1"/>
    <sheet name="Data Staff" sheetId="6" r:id="rId2"/>
    <sheet name="Soal" sheetId="10" r:id="rId3"/>
  </sheets>
  <definedNames>
    <definedName name="_xlnm._FilterDatabase" localSheetId="1" hidden="1">'Data Staff'!$B$2:$F$35</definedName>
    <definedName name="_xlnm._FilterDatabase" localSheetId="0" hidden="1">'LAP DEC 12'!$A$4:$K$4</definedName>
  </definedNames>
  <calcPr calcId="191029"/>
</workbook>
</file>

<file path=xl/calcChain.xml><?xml version="1.0" encoding="utf-8"?>
<calcChain xmlns="http://schemas.openxmlformats.org/spreadsheetml/2006/main">
  <c r="J518" i="1" l="1"/>
  <c r="K518" i="1"/>
  <c r="I196" i="1"/>
  <c r="J196" i="1"/>
  <c r="K196" i="1"/>
  <c r="G196" i="1"/>
  <c r="I202" i="1"/>
  <c r="J202" i="1"/>
  <c r="K202" i="1"/>
  <c r="I212" i="1"/>
  <c r="J212" i="1"/>
  <c r="K212" i="1"/>
  <c r="I222" i="1"/>
  <c r="J222" i="1"/>
  <c r="K222" i="1"/>
  <c r="I236" i="1"/>
  <c r="J236" i="1"/>
  <c r="K236" i="1"/>
  <c r="I244" i="1"/>
  <c r="J244" i="1"/>
  <c r="K244" i="1"/>
  <c r="I251" i="1"/>
  <c r="J251" i="1"/>
  <c r="K251" i="1"/>
  <c r="I263" i="1"/>
  <c r="J263" i="1"/>
  <c r="K263" i="1"/>
  <c r="I272" i="1"/>
  <c r="J272" i="1"/>
  <c r="K272" i="1"/>
  <c r="I280" i="1"/>
  <c r="J280" i="1"/>
  <c r="K280" i="1"/>
  <c r="I297" i="1"/>
  <c r="J297" i="1"/>
  <c r="K297" i="1"/>
  <c r="I305" i="1"/>
  <c r="J305" i="1"/>
  <c r="K305" i="1"/>
  <c r="I319" i="1"/>
  <c r="J319" i="1"/>
  <c r="K319" i="1"/>
  <c r="K330" i="1"/>
  <c r="I330" i="1"/>
  <c r="J330" i="1"/>
  <c r="I335" i="1"/>
  <c r="J335" i="1"/>
  <c r="K335" i="1"/>
  <c r="I350" i="1"/>
  <c r="J350" i="1"/>
  <c r="K350" i="1"/>
  <c r="I358" i="1"/>
  <c r="J358" i="1"/>
  <c r="K358" i="1"/>
  <c r="I364" i="1"/>
  <c r="J364" i="1"/>
  <c r="K364" i="1"/>
  <c r="I375" i="1"/>
  <c r="J375" i="1"/>
  <c r="K375" i="1"/>
  <c r="I384" i="1"/>
  <c r="J384" i="1"/>
  <c r="K384" i="1"/>
  <c r="I390" i="1"/>
  <c r="J390" i="1"/>
  <c r="K390" i="1"/>
  <c r="I405" i="1"/>
  <c r="J405" i="1"/>
  <c r="K405" i="1"/>
  <c r="I409" i="1"/>
  <c r="J409" i="1"/>
  <c r="K409" i="1"/>
  <c r="I417" i="1"/>
  <c r="J417" i="1"/>
  <c r="K417" i="1"/>
  <c r="I429" i="1"/>
  <c r="J429" i="1"/>
  <c r="K429" i="1"/>
  <c r="I436" i="1"/>
  <c r="J436" i="1"/>
  <c r="K436" i="1"/>
  <c r="I438" i="1"/>
  <c r="J438" i="1"/>
  <c r="K438" i="1"/>
  <c r="I448" i="1"/>
  <c r="J448" i="1"/>
  <c r="K448" i="1"/>
  <c r="I456" i="1"/>
  <c r="J456" i="1"/>
  <c r="K456" i="1"/>
  <c r="I467" i="1"/>
  <c r="J467" i="1"/>
  <c r="K467" i="1"/>
  <c r="I472" i="1"/>
  <c r="J472" i="1"/>
  <c r="K472" i="1"/>
  <c r="I481" i="1"/>
  <c r="J481" i="1"/>
  <c r="K481" i="1"/>
  <c r="I491" i="1"/>
  <c r="J491" i="1"/>
  <c r="K491" i="1"/>
  <c r="I503" i="1"/>
  <c r="J503" i="1"/>
  <c r="K503" i="1"/>
  <c r="I513" i="1"/>
  <c r="J513" i="1"/>
  <c r="K513" i="1"/>
  <c r="G513" i="1"/>
  <c r="G503" i="1"/>
  <c r="G491" i="1"/>
  <c r="G481" i="1"/>
  <c r="G472" i="1"/>
  <c r="G467" i="1"/>
  <c r="G456" i="1"/>
  <c r="G448" i="1"/>
  <c r="G438" i="1"/>
  <c r="G436" i="1"/>
  <c r="G429" i="1"/>
  <c r="G417" i="1"/>
  <c r="G409" i="1"/>
  <c r="G405" i="1"/>
  <c r="G390" i="1"/>
  <c r="G384" i="1"/>
  <c r="G375" i="1"/>
  <c r="G364" i="1"/>
  <c r="G358" i="1"/>
  <c r="G350" i="1"/>
  <c r="G335" i="1"/>
  <c r="G330" i="1"/>
  <c r="G319" i="1"/>
  <c r="G305" i="1"/>
  <c r="G297" i="1"/>
  <c r="G280" i="1"/>
  <c r="G272" i="1"/>
  <c r="G263" i="1"/>
  <c r="G251" i="1"/>
  <c r="G244" i="1"/>
  <c r="G236" i="1"/>
  <c r="G222" i="1"/>
  <c r="G212" i="1"/>
  <c r="G202" i="1"/>
  <c r="I192" i="1"/>
  <c r="J192" i="1"/>
  <c r="K192" i="1"/>
  <c r="G192" i="1"/>
  <c r="I190" i="1"/>
  <c r="J190" i="1"/>
  <c r="K190" i="1"/>
  <c r="G190" i="1"/>
  <c r="I182" i="1"/>
  <c r="J182" i="1"/>
  <c r="K182" i="1"/>
  <c r="G182" i="1"/>
  <c r="I177" i="1"/>
  <c r="J177" i="1"/>
  <c r="K177" i="1"/>
  <c r="G177" i="1"/>
  <c r="I171" i="1"/>
  <c r="J171" i="1"/>
  <c r="K171" i="1"/>
  <c r="G171" i="1"/>
  <c r="I166" i="1"/>
  <c r="J166" i="1"/>
  <c r="K166" i="1"/>
  <c r="G166" i="1"/>
  <c r="I153" i="1"/>
  <c r="J153" i="1"/>
  <c r="K153" i="1"/>
  <c r="G153" i="1"/>
  <c r="I144" i="1"/>
  <c r="J144" i="1"/>
  <c r="K144" i="1"/>
  <c r="G144" i="1"/>
  <c r="I132" i="1"/>
  <c r="J132" i="1"/>
  <c r="K132" i="1"/>
  <c r="G132" i="1"/>
  <c r="I125" i="1"/>
  <c r="J125" i="1"/>
  <c r="K125" i="1"/>
  <c r="G125" i="1"/>
  <c r="I116" i="1"/>
  <c r="J116" i="1"/>
  <c r="K116" i="1"/>
  <c r="G116" i="1"/>
  <c r="I105" i="1"/>
  <c r="J105" i="1"/>
  <c r="K105" i="1"/>
  <c r="G105" i="1"/>
  <c r="I98" i="1"/>
  <c r="J98" i="1"/>
  <c r="K98" i="1"/>
  <c r="G98" i="1"/>
  <c r="I91" i="1"/>
  <c r="J91" i="1"/>
  <c r="K91" i="1"/>
  <c r="G91" i="1"/>
  <c r="K80" i="1"/>
  <c r="I80" i="1"/>
  <c r="J80" i="1"/>
  <c r="G80" i="1"/>
  <c r="I73" i="1"/>
  <c r="J73" i="1"/>
  <c r="K73" i="1"/>
  <c r="G73" i="1"/>
  <c r="I63" i="1"/>
  <c r="J63" i="1"/>
  <c r="K63" i="1"/>
  <c r="G63" i="1"/>
  <c r="I58" i="1"/>
  <c r="J58" i="1"/>
  <c r="K58" i="1"/>
  <c r="G58" i="1"/>
  <c r="I45" i="1"/>
  <c r="J45" i="1"/>
  <c r="K45" i="1"/>
  <c r="G45" i="1"/>
  <c r="I37" i="1"/>
  <c r="J37" i="1"/>
  <c r="K37" i="1"/>
  <c r="G37" i="1"/>
  <c r="I28" i="1"/>
  <c r="J28" i="1"/>
  <c r="K28" i="1"/>
  <c r="G28" i="1"/>
  <c r="I23" i="1"/>
  <c r="J23" i="1"/>
  <c r="K23" i="1"/>
  <c r="G23" i="1"/>
  <c r="K15" i="1"/>
  <c r="K515" i="1"/>
  <c r="B557" i="1" s="1"/>
  <c r="I15" i="1"/>
  <c r="I515" i="1" s="1"/>
  <c r="J15" i="1"/>
  <c r="J515" i="1" s="1"/>
  <c r="G15" i="1"/>
  <c r="G515" i="1" s="1"/>
  <c r="H480" i="1"/>
  <c r="G548" i="1"/>
  <c r="H548" i="1"/>
  <c r="I548" i="1"/>
  <c r="J548" i="1"/>
  <c r="K548" i="1"/>
  <c r="G549" i="1"/>
  <c r="H549" i="1"/>
  <c r="I549" i="1"/>
  <c r="J549" i="1"/>
  <c r="K549" i="1"/>
  <c r="G550" i="1"/>
  <c r="H550" i="1"/>
  <c r="I550" i="1"/>
  <c r="J550" i="1"/>
  <c r="K550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18" i="1"/>
  <c r="H479" i="1"/>
  <c r="H210" i="1"/>
  <c r="H487" i="1"/>
  <c r="H130" i="1"/>
  <c r="H475" i="1"/>
  <c r="H169" i="1"/>
  <c r="H466" i="1"/>
  <c r="H377" i="1"/>
  <c r="H29" i="1"/>
  <c r="H453" i="1"/>
  <c r="H62" i="1"/>
  <c r="H349" i="1"/>
  <c r="H42" i="1"/>
  <c r="H159" i="1"/>
  <c r="H123" i="1"/>
  <c r="H356" i="1"/>
  <c r="H386" i="1"/>
  <c r="H90" i="1"/>
  <c r="H173" i="1"/>
  <c r="H458" i="1"/>
  <c r="H371" i="1"/>
  <c r="H121" i="1"/>
  <c r="H99" i="1"/>
  <c r="H271" i="1"/>
  <c r="H148" i="1"/>
  <c r="H412" i="1"/>
  <c r="H175" i="1"/>
  <c r="H141" i="1"/>
  <c r="H149" i="1"/>
  <c r="H233" i="1"/>
  <c r="H329" i="1"/>
  <c r="H498" i="1"/>
  <c r="H383" i="1"/>
  <c r="H270" i="1"/>
  <c r="H104" i="1"/>
  <c r="H415" i="1"/>
  <c r="H47" i="1"/>
  <c r="H486" i="1"/>
  <c r="H422" i="1"/>
  <c r="H314" i="1"/>
  <c r="H406" i="1"/>
  <c r="H137" i="1"/>
  <c r="H310" i="1"/>
  <c r="H483" i="1"/>
  <c r="H311" i="1"/>
  <c r="H336" i="1"/>
  <c r="H211" i="1"/>
  <c r="H437" i="1"/>
  <c r="H438" i="1" s="1"/>
  <c r="H490" i="1"/>
  <c r="H218" i="1"/>
  <c r="H40" i="1"/>
  <c r="H343" i="1"/>
  <c r="H332" i="1"/>
  <c r="H378" i="1"/>
  <c r="H97" i="1"/>
  <c r="H493" i="1"/>
  <c r="H431" i="1"/>
  <c r="H403" i="1"/>
  <c r="H273" i="1"/>
  <c r="H27" i="1"/>
  <c r="H57" i="1"/>
  <c r="H112" i="1"/>
  <c r="H411" i="1"/>
  <c r="H184" i="1"/>
  <c r="H167" i="1"/>
  <c r="H229" i="1"/>
  <c r="H268" i="1"/>
  <c r="H324" i="1"/>
  <c r="H512" i="1"/>
  <c r="H373" i="1"/>
  <c r="H509" i="1"/>
  <c r="H435" i="1"/>
  <c r="H87" i="1"/>
  <c r="H152" i="1"/>
  <c r="H76" i="1"/>
  <c r="H225" i="1"/>
  <c r="H124" i="1"/>
  <c r="H367" i="1"/>
  <c r="H203" i="1"/>
  <c r="H381" i="1"/>
  <c r="H154" i="1"/>
  <c r="H50" i="1"/>
  <c r="H410" i="1"/>
  <c r="H451" i="1"/>
  <c r="H129" i="1"/>
  <c r="H398" i="1"/>
  <c r="H227" i="1"/>
  <c r="H41" i="1"/>
  <c r="H351" i="1"/>
  <c r="H322" i="1"/>
  <c r="H331" i="1"/>
  <c r="H502" i="1"/>
  <c r="H264" i="1"/>
  <c r="H151" i="1"/>
  <c r="H162" i="1"/>
  <c r="H262" i="1"/>
  <c r="H195" i="1"/>
  <c r="H359" i="1"/>
  <c r="H369" i="1"/>
  <c r="H440" i="1"/>
  <c r="H393" i="1"/>
  <c r="H83" i="1"/>
  <c r="H78" i="1"/>
  <c r="H285" i="1"/>
  <c r="H114" i="1"/>
  <c r="H88" i="1"/>
  <c r="H32" i="1"/>
  <c r="H385" i="1"/>
  <c r="H354" i="1"/>
  <c r="H193" i="1"/>
  <c r="H342" i="1"/>
  <c r="H447" i="1"/>
  <c r="H51" i="1"/>
  <c r="H147" i="1"/>
  <c r="H96" i="1"/>
  <c r="H362" i="1"/>
  <c r="H109" i="1"/>
  <c r="H72" i="1"/>
  <c r="H260" i="1"/>
  <c r="H278" i="1"/>
  <c r="H457" i="1"/>
  <c r="H237" i="1"/>
  <c r="H500" i="1"/>
  <c r="H82" i="1"/>
  <c r="H46" i="1"/>
  <c r="H318" i="1"/>
  <c r="H172" i="1"/>
  <c r="H423" i="1"/>
  <c r="H54" i="1"/>
  <c r="H209" i="1"/>
  <c r="H402" i="1"/>
  <c r="H255" i="1"/>
  <c r="H303" i="1"/>
  <c r="H414" i="1"/>
  <c r="H304" i="1"/>
  <c r="H95" i="1"/>
  <c r="H101" i="1"/>
  <c r="H293" i="1"/>
  <c r="H459" i="1"/>
  <c r="H380" i="1"/>
  <c r="H102" i="1"/>
  <c r="H455" i="1"/>
  <c r="H206" i="1"/>
  <c r="H256" i="1"/>
  <c r="H139" i="1"/>
  <c r="H404" i="1"/>
  <c r="H338" i="1"/>
  <c r="H69" i="1"/>
  <c r="H478" i="1"/>
  <c r="H228" i="1"/>
  <c r="H427" i="1"/>
  <c r="H460" i="1"/>
  <c r="H165" i="1"/>
  <c r="H120" i="1"/>
  <c r="H180" i="1"/>
  <c r="H250" i="1"/>
  <c r="H38" i="1"/>
  <c r="H145" i="1"/>
  <c r="H155" i="1"/>
  <c r="H489" i="1"/>
  <c r="H492" i="1"/>
  <c r="H232" i="1"/>
  <c r="H199" i="1"/>
  <c r="H301" i="1"/>
  <c r="H74" i="1"/>
  <c r="H348" i="1"/>
  <c r="H56" i="1"/>
  <c r="H317" i="1"/>
  <c r="H208" i="1"/>
  <c r="H482" i="1"/>
  <c r="H133" i="1"/>
  <c r="H106" i="1"/>
  <c r="H168" i="1"/>
  <c r="H176" i="1"/>
  <c r="H284" i="1"/>
  <c r="H433" i="1"/>
  <c r="H291" i="1"/>
  <c r="H341" i="1"/>
  <c r="H170" i="1"/>
  <c r="H171" i="1" s="1"/>
  <c r="H468" i="1"/>
  <c r="H254" i="1"/>
  <c r="H71" i="1"/>
  <c r="H471" i="1"/>
  <c r="H146" i="1"/>
  <c r="H315" i="1"/>
  <c r="H126" i="1"/>
  <c r="H361" i="1"/>
  <c r="H473" i="1"/>
  <c r="H418" i="1"/>
  <c r="H469" i="1"/>
  <c r="H339" i="1"/>
  <c r="H216" i="1"/>
  <c r="H370" i="1"/>
  <c r="H156" i="1"/>
  <c r="H26" i="1"/>
  <c r="H328" i="1"/>
  <c r="H407" i="1"/>
  <c r="H388" i="1"/>
  <c r="H22" i="1"/>
  <c r="H465" i="1"/>
  <c r="H67" i="1"/>
  <c r="H313" i="1"/>
  <c r="H33" i="1"/>
  <c r="H488" i="1"/>
  <c r="H316" i="1"/>
  <c r="H70" i="1"/>
  <c r="H179" i="1"/>
  <c r="H401" i="1"/>
  <c r="H506" i="1"/>
  <c r="H198" i="1"/>
  <c r="H230" i="1"/>
  <c r="H205" i="1"/>
  <c r="H160" i="1"/>
  <c r="H220" i="1"/>
  <c r="H443" i="1"/>
  <c r="H464" i="1"/>
  <c r="H428" i="1"/>
  <c r="H249" i="1"/>
  <c r="H484" i="1"/>
  <c r="H298" i="1"/>
  <c r="H326" i="1"/>
  <c r="H242" i="1"/>
  <c r="H296" i="1"/>
  <c r="H462" i="1"/>
  <c r="H185" i="1"/>
  <c r="H34" i="1"/>
  <c r="H161" i="1"/>
  <c r="H187" i="1"/>
  <c r="H391" i="1"/>
  <c r="H20" i="1"/>
  <c r="H5" i="1"/>
  <c r="H344" i="1"/>
  <c r="H60" i="1"/>
  <c r="H321" i="1"/>
  <c r="H345" i="1"/>
  <c r="H279" i="1"/>
  <c r="H476" i="1"/>
  <c r="H501" i="1"/>
  <c r="H115" i="1"/>
  <c r="H138" i="1"/>
  <c r="H289" i="1"/>
  <c r="H253" i="1"/>
  <c r="H446" i="1"/>
  <c r="H215" i="1"/>
  <c r="H200" i="1"/>
  <c r="H241" i="1"/>
  <c r="H128" i="1"/>
  <c r="H163" i="1"/>
  <c r="H337" i="1"/>
  <c r="H376" i="1"/>
  <c r="H248" i="1"/>
  <c r="H507" i="1"/>
  <c r="H247" i="1"/>
  <c r="H6" i="1"/>
  <c r="H11" i="1"/>
  <c r="H19" i="1"/>
  <c r="H36" i="1"/>
  <c r="H12" i="1"/>
  <c r="H7" i="1"/>
  <c r="H30" i="1"/>
  <c r="H8" i="1"/>
  <c r="H35" i="1"/>
  <c r="H10" i="1"/>
  <c r="H43" i="1"/>
  <c r="H252" i="1"/>
  <c r="H327" i="1"/>
  <c r="H231" i="1"/>
  <c r="H52" i="1"/>
  <c r="H181" i="1"/>
  <c r="H221" i="1"/>
  <c r="H84" i="1"/>
  <c r="H463" i="1"/>
  <c r="H511" i="1"/>
  <c r="H243" i="1"/>
  <c r="H234" i="1"/>
  <c r="H389" i="1"/>
  <c r="H259" i="1"/>
  <c r="H44" i="1"/>
  <c r="H308" i="1"/>
  <c r="H363" i="1"/>
  <c r="H333" i="1"/>
  <c r="H224" i="1"/>
  <c r="H470" i="1"/>
  <c r="H472" i="1" s="1"/>
  <c r="H281" i="1"/>
  <c r="H117" i="1"/>
  <c r="H142" i="1"/>
  <c r="H107" i="1"/>
  <c r="H239" i="1"/>
  <c r="H432" i="1"/>
  <c r="H474" i="1"/>
  <c r="H194" i="1"/>
  <c r="H426" i="1"/>
  <c r="H204" i="1"/>
  <c r="H61" i="1"/>
  <c r="H25" i="1"/>
  <c r="H347" i="1"/>
  <c r="H334" i="1"/>
  <c r="H31" i="1"/>
  <c r="H267" i="1"/>
  <c r="H240" i="1"/>
  <c r="H288" i="1"/>
  <c r="H277" i="1"/>
  <c r="H307" i="1"/>
  <c r="H134" i="1"/>
  <c r="H442" i="1"/>
  <c r="H75" i="1"/>
  <c r="H189" i="1"/>
  <c r="H93" i="1"/>
  <c r="H360" i="1"/>
  <c r="H283" i="1"/>
  <c r="H494" i="1"/>
  <c r="H110" i="1"/>
  <c r="H257" i="1"/>
  <c r="H143" i="1"/>
  <c r="H49" i="1"/>
  <c r="H306" i="1"/>
  <c r="H77" i="1"/>
  <c r="H510" i="1"/>
  <c r="H48" i="1"/>
  <c r="H461" i="1"/>
  <c r="H286" i="1"/>
  <c r="H382" i="1"/>
  <c r="H94" i="1"/>
  <c r="H135" i="1"/>
  <c r="H197" i="1"/>
  <c r="H450" i="1"/>
  <c r="H150" i="1"/>
  <c r="H477" i="1"/>
  <c r="H481" i="1" s="1"/>
  <c r="H18" i="1"/>
  <c r="H113" i="1"/>
  <c r="H238" i="1"/>
  <c r="H244" i="1"/>
  <c r="H92" i="1"/>
  <c r="H346" i="1"/>
  <c r="H399" i="1"/>
  <c r="H100" i="1"/>
  <c r="H235" i="1"/>
  <c r="H425" i="1"/>
  <c r="H290" i="1"/>
  <c r="H21" i="1"/>
  <c r="H394" i="1"/>
  <c r="H219" i="1"/>
  <c r="H485" i="1"/>
  <c r="H387" i="1"/>
  <c r="H53" i="1"/>
  <c r="H266" i="1"/>
  <c r="H420" i="1"/>
  <c r="H9" i="1"/>
  <c r="H430" i="1"/>
  <c r="H395" i="1"/>
  <c r="H444" i="1"/>
  <c r="H245" i="1"/>
  <c r="H441" i="1"/>
  <c r="H64" i="1"/>
  <c r="H323" i="1"/>
  <c r="H302" i="1"/>
  <c r="H127" i="1"/>
  <c r="H408" i="1"/>
  <c r="H409" i="1" s="1"/>
  <c r="H59" i="1"/>
  <c r="H103" i="1"/>
  <c r="H131" i="1"/>
  <c r="H495" i="1"/>
  <c r="H325" i="1"/>
  <c r="H499" i="1"/>
  <c r="H24" i="1"/>
  <c r="H28" i="1" s="1"/>
  <c r="H309" i="1"/>
  <c r="H496" i="1"/>
  <c r="H213" i="1"/>
  <c r="H299" i="1"/>
  <c r="H416" i="1"/>
  <c r="H214" i="1"/>
  <c r="H445" i="1"/>
  <c r="H261" i="1"/>
  <c r="H505" i="1"/>
  <c r="H68" i="1"/>
  <c r="H355" i="1"/>
  <c r="H419" i="1"/>
  <c r="H119" i="1"/>
  <c r="H449" i="1"/>
  <c r="H365" i="1"/>
  <c r="H282" i="1"/>
  <c r="H66" i="1"/>
  <c r="H108" i="1"/>
  <c r="H217" i="1"/>
  <c r="H352" i="1"/>
  <c r="H357" i="1"/>
  <c r="H191" i="1"/>
  <c r="H192" i="1"/>
  <c r="H504" i="1"/>
  <c r="H164" i="1"/>
  <c r="H140" i="1"/>
  <c r="H65" i="1"/>
  <c r="H73" i="1" s="1"/>
  <c r="H118" i="1"/>
  <c r="H434" i="1"/>
  <c r="H436" i="1"/>
  <c r="H421" i="1"/>
  <c r="H157" i="1"/>
  <c r="H392" i="1"/>
  <c r="H276" i="1"/>
  <c r="H452" i="1"/>
  <c r="H300" i="1"/>
  <c r="H305" i="1" s="1"/>
  <c r="H340" i="1"/>
  <c r="H372" i="1"/>
  <c r="H39" i="1"/>
  <c r="H207" i="1"/>
  <c r="H454" i="1"/>
  <c r="H374" i="1"/>
  <c r="H400" i="1"/>
  <c r="H55" i="1"/>
  <c r="H413" i="1"/>
  <c r="H79" i="1"/>
  <c r="H424" i="1"/>
  <c r="H186" i="1"/>
  <c r="H122" i="1"/>
  <c r="H508" i="1"/>
  <c r="H379" i="1"/>
  <c r="H384" i="1" s="1"/>
  <c r="H17" i="1"/>
  <c r="H295" i="1"/>
  <c r="H287" i="1"/>
  <c r="H158" i="1"/>
  <c r="H166" i="1" s="1"/>
  <c r="H269" i="1"/>
  <c r="H497" i="1"/>
  <c r="H183" i="1"/>
  <c r="H312" i="1"/>
  <c r="H86" i="1"/>
  <c r="H246" i="1"/>
  <c r="H81" i="1"/>
  <c r="H226" i="1"/>
  <c r="H258" i="1"/>
  <c r="H294" i="1"/>
  <c r="H178" i="1"/>
  <c r="H16" i="1"/>
  <c r="H23" i="1"/>
  <c r="H274" i="1"/>
  <c r="H201" i="1"/>
  <c r="H89" i="1"/>
  <c r="H292" i="1"/>
  <c r="H368" i="1"/>
  <c r="H396" i="1"/>
  <c r="H111" i="1"/>
  <c r="H353" i="1"/>
  <c r="H320" i="1"/>
  <c r="H275" i="1"/>
  <c r="H85" i="1"/>
  <c r="H13" i="1"/>
  <c r="H265" i="1"/>
  <c r="H223" i="1"/>
  <c r="H236" i="1" s="1"/>
  <c r="H397" i="1"/>
  <c r="H366" i="1"/>
  <c r="H375" i="1"/>
  <c r="H136" i="1"/>
  <c r="H174" i="1"/>
  <c r="H177" i="1" s="1"/>
  <c r="H14" i="1"/>
  <c r="H439" i="1"/>
  <c r="H448" i="1" s="1"/>
  <c r="H188" i="1"/>
  <c r="K547" i="1"/>
  <c r="J547" i="1"/>
  <c r="I547" i="1"/>
  <c r="G547" i="1"/>
  <c r="K546" i="1"/>
  <c r="J546" i="1"/>
  <c r="I546" i="1"/>
  <c r="G546" i="1"/>
  <c r="K545" i="1"/>
  <c r="J545" i="1"/>
  <c r="I545" i="1"/>
  <c r="G545" i="1"/>
  <c r="K544" i="1"/>
  <c r="J544" i="1"/>
  <c r="I544" i="1"/>
  <c r="G544" i="1"/>
  <c r="K543" i="1"/>
  <c r="J543" i="1"/>
  <c r="I543" i="1"/>
  <c r="G543" i="1"/>
  <c r="K542" i="1"/>
  <c r="J542" i="1"/>
  <c r="I542" i="1"/>
  <c r="G542" i="1"/>
  <c r="K541" i="1"/>
  <c r="J541" i="1"/>
  <c r="I541" i="1"/>
  <c r="G541" i="1"/>
  <c r="K540" i="1"/>
  <c r="J540" i="1"/>
  <c r="I540" i="1"/>
  <c r="G540" i="1"/>
  <c r="K539" i="1"/>
  <c r="J539" i="1"/>
  <c r="I539" i="1"/>
  <c r="G539" i="1"/>
  <c r="K538" i="1"/>
  <c r="J538" i="1"/>
  <c r="I538" i="1"/>
  <c r="G538" i="1"/>
  <c r="K537" i="1"/>
  <c r="J537" i="1"/>
  <c r="I537" i="1"/>
  <c r="G537" i="1"/>
  <c r="K536" i="1"/>
  <c r="J536" i="1"/>
  <c r="I536" i="1"/>
  <c r="G536" i="1"/>
  <c r="K535" i="1"/>
  <c r="J535" i="1"/>
  <c r="I535" i="1"/>
  <c r="G535" i="1"/>
  <c r="K534" i="1"/>
  <c r="J534" i="1"/>
  <c r="I534" i="1"/>
  <c r="G534" i="1"/>
  <c r="K533" i="1"/>
  <c r="J533" i="1"/>
  <c r="I533" i="1"/>
  <c r="G533" i="1"/>
  <c r="K532" i="1"/>
  <c r="J532" i="1"/>
  <c r="I532" i="1"/>
  <c r="G532" i="1"/>
  <c r="K531" i="1"/>
  <c r="J531" i="1"/>
  <c r="I531" i="1"/>
  <c r="G531" i="1"/>
  <c r="K530" i="1"/>
  <c r="J530" i="1"/>
  <c r="I530" i="1"/>
  <c r="G530" i="1"/>
  <c r="K529" i="1"/>
  <c r="J529" i="1"/>
  <c r="I529" i="1"/>
  <c r="G529" i="1"/>
  <c r="K528" i="1"/>
  <c r="J528" i="1"/>
  <c r="I528" i="1"/>
  <c r="G528" i="1"/>
  <c r="K527" i="1"/>
  <c r="J527" i="1"/>
  <c r="I527" i="1"/>
  <c r="G527" i="1"/>
  <c r="K526" i="1"/>
  <c r="J526" i="1"/>
  <c r="I526" i="1"/>
  <c r="G526" i="1"/>
  <c r="K525" i="1"/>
  <c r="J525" i="1"/>
  <c r="I525" i="1"/>
  <c r="G525" i="1"/>
  <c r="K524" i="1"/>
  <c r="J524" i="1"/>
  <c r="I524" i="1"/>
  <c r="G524" i="1"/>
  <c r="K523" i="1"/>
  <c r="J523" i="1"/>
  <c r="I523" i="1"/>
  <c r="G523" i="1"/>
  <c r="K522" i="1"/>
  <c r="J522" i="1"/>
  <c r="I522" i="1"/>
  <c r="G522" i="1"/>
  <c r="K521" i="1"/>
  <c r="J521" i="1"/>
  <c r="I521" i="1"/>
  <c r="G521" i="1"/>
  <c r="K520" i="1"/>
  <c r="J520" i="1"/>
  <c r="I520" i="1"/>
  <c r="G520" i="1"/>
  <c r="K519" i="1"/>
  <c r="K552" i="1" s="1"/>
  <c r="B558" i="1" s="1"/>
  <c r="J519" i="1"/>
  <c r="J552" i="1"/>
  <c r="I519" i="1"/>
  <c r="G519" i="1"/>
  <c r="I518" i="1"/>
  <c r="I552" i="1"/>
  <c r="G518" i="1"/>
  <c r="G552" i="1" l="1"/>
  <c r="H91" i="1"/>
  <c r="H190" i="1"/>
  <c r="H358" i="1"/>
  <c r="H125" i="1"/>
  <c r="H222" i="1"/>
  <c r="H319" i="1"/>
  <c r="H503" i="1"/>
  <c r="H132" i="1"/>
  <c r="H429" i="1"/>
  <c r="H405" i="1"/>
  <c r="H202" i="1"/>
  <c r="H297" i="1"/>
  <c r="H513" i="1"/>
  <c r="H80" i="1"/>
  <c r="H98" i="1"/>
  <c r="H144" i="1"/>
  <c r="H212" i="1"/>
  <c r="H335" i="1"/>
  <c r="H263" i="1"/>
  <c r="H15" i="1"/>
  <c r="H251" i="1"/>
  <c r="H63" i="1"/>
  <c r="H330" i="1"/>
  <c r="H116" i="1"/>
  <c r="H491" i="1"/>
  <c r="H182" i="1"/>
  <c r="H467" i="1"/>
  <c r="H105" i="1"/>
  <c r="H58" i="1"/>
  <c r="H153" i="1"/>
  <c r="H196" i="1"/>
  <c r="H364" i="1"/>
  <c r="H456" i="1"/>
  <c r="H280" i="1"/>
  <c r="H45" i="1"/>
  <c r="H350" i="1"/>
  <c r="H417" i="1"/>
  <c r="H272" i="1"/>
  <c r="H390" i="1"/>
  <c r="H37" i="1"/>
  <c r="H552" i="1"/>
  <c r="H515" i="1"/>
  <c r="B560" i="1" s="1"/>
  <c r="B561" i="1" l="1"/>
  <c r="B562" i="1" s="1"/>
</calcChain>
</file>

<file path=xl/sharedStrings.xml><?xml version="1.0" encoding="utf-8"?>
<sst xmlns="http://schemas.openxmlformats.org/spreadsheetml/2006/main" count="1556" uniqueCount="932">
  <si>
    <t>Employee</t>
  </si>
  <si>
    <t>JHT by Comp</t>
  </si>
  <si>
    <t>JHT by Employee</t>
  </si>
  <si>
    <t>Jamsostek
 No</t>
  </si>
  <si>
    <t>Date of Birth</t>
  </si>
  <si>
    <t>NIP</t>
  </si>
  <si>
    <t>JKM</t>
  </si>
  <si>
    <t>JKK</t>
  </si>
  <si>
    <t>AAS MULYANINGSIH</t>
  </si>
  <si>
    <t>10014599038</t>
  </si>
  <si>
    <t>ADRIYANI</t>
  </si>
  <si>
    <t>ANIK SUPRIYANTI</t>
  </si>
  <si>
    <t>ANIS AMBARWATI</t>
  </si>
  <si>
    <t>09019867697</t>
  </si>
  <si>
    <t>APRILIANA FITRAH ZAIRINA</t>
  </si>
  <si>
    <t>12014325539</t>
  </si>
  <si>
    <t>ASWAN HADI</t>
  </si>
  <si>
    <t>BIMO YANUARDI</t>
  </si>
  <si>
    <t>DAHLIA</t>
  </si>
  <si>
    <t>06JP0133001</t>
  </si>
  <si>
    <t>DARLINA</t>
  </si>
  <si>
    <t>06JP0133175</t>
  </si>
  <si>
    <t>DEDI SETIAWAN</t>
  </si>
  <si>
    <t>10026354125</t>
  </si>
  <si>
    <t>DENI PURWANINGSIH</t>
  </si>
  <si>
    <t>DESI NIS SUDARNINGSIH</t>
  </si>
  <si>
    <t>12010795024</t>
  </si>
  <si>
    <t>DESSY KRISMAWATI</t>
  </si>
  <si>
    <t>10006926314</t>
  </si>
  <si>
    <t>DEWI LIANA</t>
  </si>
  <si>
    <t>06JP0132854</t>
  </si>
  <si>
    <t>DINI OKTAVIANI</t>
  </si>
  <si>
    <t>DWI TRISULA TUNGGADEWI</t>
  </si>
  <si>
    <t>11026537412</t>
  </si>
  <si>
    <t>EFENDY AFRIYANTO</t>
  </si>
  <si>
    <t>12014325570</t>
  </si>
  <si>
    <t>EKA MANDASARI</t>
  </si>
  <si>
    <t>12014325588</t>
  </si>
  <si>
    <t>EKOWATI</t>
  </si>
  <si>
    <t>ESTI NARULITA</t>
  </si>
  <si>
    <t>10028924180</t>
  </si>
  <si>
    <t>ETI SUMARSIH</t>
  </si>
  <si>
    <t>08026797038</t>
  </si>
  <si>
    <t>FAJAR ADI PUTRA</t>
  </si>
  <si>
    <t>10007282956</t>
  </si>
  <si>
    <t>FITRI PURNAMA DEWI</t>
  </si>
  <si>
    <t>07002444144</t>
  </si>
  <si>
    <t>GITA LESTARI</t>
  </si>
  <si>
    <t>HENDRA SURYA SAPUTRA</t>
  </si>
  <si>
    <t>11007443119</t>
  </si>
  <si>
    <t>HENRI MEDIYANTO</t>
  </si>
  <si>
    <t>HERVINA RAM</t>
  </si>
  <si>
    <t>09015892251</t>
  </si>
  <si>
    <t>HESTI HARYATI</t>
  </si>
  <si>
    <t>IKA DARWATI</t>
  </si>
  <si>
    <t>JOHANES KAREL SENGKO</t>
  </si>
  <si>
    <t>KIKI RIZKY SAPUTRI</t>
  </si>
  <si>
    <t>KURNIA WAHYUNI</t>
  </si>
  <si>
    <t>09007371876</t>
  </si>
  <si>
    <t>KUSDIYANINGSIH</t>
  </si>
  <si>
    <t>06JP0133159</t>
  </si>
  <si>
    <t>LIA RATNA KOMALA</t>
  </si>
  <si>
    <t>08026797087</t>
  </si>
  <si>
    <t>LILIK RAHAYU</t>
  </si>
  <si>
    <t>12010794712</t>
  </si>
  <si>
    <t>NENGSIH FATMAWATI</t>
  </si>
  <si>
    <t>09011199644</t>
  </si>
  <si>
    <t>NINAGRESI HANDAYANI</t>
  </si>
  <si>
    <t>NINIK YUNI PURWANTI</t>
  </si>
  <si>
    <t>11026537487</t>
  </si>
  <si>
    <t>NITA MULIKA</t>
  </si>
  <si>
    <t>NURHASANAH</t>
  </si>
  <si>
    <t>NURLINIA</t>
  </si>
  <si>
    <t>NURSANTI</t>
  </si>
  <si>
    <t>06JP0133217</t>
  </si>
  <si>
    <t>PUPUT WILUJEUNG</t>
  </si>
  <si>
    <t>11014479601</t>
  </si>
  <si>
    <t>PURWANINGSIH</t>
  </si>
  <si>
    <t>RENDY DIOR ISMI</t>
  </si>
  <si>
    <t>12014325745</t>
  </si>
  <si>
    <t>RESTI RAHAYU</t>
  </si>
  <si>
    <t>10015796518</t>
  </si>
  <si>
    <t>SISCA NUR FADHILAH</t>
  </si>
  <si>
    <t>SRI DARMININGSIH</t>
  </si>
  <si>
    <t>09004726015</t>
  </si>
  <si>
    <t>SRI WAHYUNI</t>
  </si>
  <si>
    <t>SUCI PILLAH</t>
  </si>
  <si>
    <t>SUCI SAPITRI</t>
  </si>
  <si>
    <t>07000446570</t>
  </si>
  <si>
    <t>SUSAN YULIATY</t>
  </si>
  <si>
    <t>07008538139</t>
  </si>
  <si>
    <t>TITIK MEGA SARI</t>
  </si>
  <si>
    <t>10006931520</t>
  </si>
  <si>
    <t>TRI MULYANI</t>
  </si>
  <si>
    <t>10026354307</t>
  </si>
  <si>
    <t>TRIYANA INDRAWAN</t>
  </si>
  <si>
    <t>09015892343</t>
  </si>
  <si>
    <t>WAHYUNINGSIH</t>
  </si>
  <si>
    <t>06JP0132896</t>
  </si>
  <si>
    <t>WINARTI</t>
  </si>
  <si>
    <t>WIWIK NOVITASARI</t>
  </si>
  <si>
    <t>10015796542</t>
  </si>
  <si>
    <t>YANA NOVITA</t>
  </si>
  <si>
    <t>10021623144</t>
  </si>
  <si>
    <t>YANTI HERIYANI</t>
  </si>
  <si>
    <t>YULIA DE VEGA</t>
  </si>
  <si>
    <t>12010794993</t>
  </si>
  <si>
    <t>YUNI RAMSILOWATI</t>
  </si>
  <si>
    <t>10015796559</t>
  </si>
  <si>
    <t>ZOLLA NURYANI</t>
  </si>
  <si>
    <t>12010794852</t>
  </si>
  <si>
    <t>A NUR INDAH SARI HILAL</t>
  </si>
  <si>
    <t>ACHMAD ARDIANSYAH</t>
  </si>
  <si>
    <t>12014325513</t>
  </si>
  <si>
    <t>ADE ROSITA</t>
  </si>
  <si>
    <t>ADITYA FALIANA</t>
  </si>
  <si>
    <t>11028246079</t>
  </si>
  <si>
    <t>AFRIANI AMRI</t>
  </si>
  <si>
    <t>AGUS SURATMAN</t>
  </si>
  <si>
    <t>09013613915</t>
  </si>
  <si>
    <t>AGUSTIE TRI RAHAYU</t>
  </si>
  <si>
    <t>10017646752</t>
  </si>
  <si>
    <t>AGUSTINI</t>
  </si>
  <si>
    <t>11033354405</t>
  </si>
  <si>
    <t>AHMAD TOPAN</t>
  </si>
  <si>
    <t>ALFIYANTI KARTIKA UTAMI</t>
  </si>
  <si>
    <t>AMIRRULOH  IBRAHIM</t>
  </si>
  <si>
    <t>12014080720</t>
  </si>
  <si>
    <t>ANDRI YANI</t>
  </si>
  <si>
    <t>10014598550</t>
  </si>
  <si>
    <t>ANDRIANI NOVITA YULIANA</t>
  </si>
  <si>
    <t>ANGGI YOSKARA</t>
  </si>
  <si>
    <t>ANI LISTIA</t>
  </si>
  <si>
    <t>ANITA</t>
  </si>
  <si>
    <t>09004725850</t>
  </si>
  <si>
    <t>ANITA PRASTIANTI</t>
  </si>
  <si>
    <t>12014325521</t>
  </si>
  <si>
    <t>ANNIE KHAIRUNNISA</t>
  </si>
  <si>
    <t>11035751657</t>
  </si>
  <si>
    <t>ANNISA</t>
  </si>
  <si>
    <t>11024896539</t>
  </si>
  <si>
    <t>ANNISA KURNIA FAJRIN</t>
  </si>
  <si>
    <t>APRI YANI</t>
  </si>
  <si>
    <t>10032496126</t>
  </si>
  <si>
    <t>APRILIA WENING WULANDARI</t>
  </si>
  <si>
    <t>12010794910</t>
  </si>
  <si>
    <t>APRILIANY ARIESTYOWATI</t>
  </si>
  <si>
    <t>ARIA PRASETIA WIJAYA</t>
  </si>
  <si>
    <t>12010795065</t>
  </si>
  <si>
    <t>ARIA RIZKY</t>
  </si>
  <si>
    <t>ARIF MAULANA</t>
  </si>
  <si>
    <t>ARLY WIJAYANTI</t>
  </si>
  <si>
    <t>12014325547</t>
  </si>
  <si>
    <t>ARMAND FACREZA MAINAKY</t>
  </si>
  <si>
    <t>12010794829</t>
  </si>
  <si>
    <t>ASEP DONA APRIANTA</t>
  </si>
  <si>
    <t>ASIHTYAS HUTAMI</t>
  </si>
  <si>
    <t>ASIKIN</t>
  </si>
  <si>
    <t>ASTI ANALISA</t>
  </si>
  <si>
    <t>09023404610</t>
  </si>
  <si>
    <t>ASTI ARIS SUSANTI</t>
  </si>
  <si>
    <t>12014325554</t>
  </si>
  <si>
    <t>ASTRI MAULINA</t>
  </si>
  <si>
    <t>12014080738</t>
  </si>
  <si>
    <t>ASTUTI</t>
  </si>
  <si>
    <t>AYANAH</t>
  </si>
  <si>
    <t>11033354348</t>
  </si>
  <si>
    <t>AYU LESTARI</t>
  </si>
  <si>
    <t>10026354109</t>
  </si>
  <si>
    <t>BERTHA ISWARININGTYAS</t>
  </si>
  <si>
    <t>11021533085</t>
  </si>
  <si>
    <t>BETI WULANDARI</t>
  </si>
  <si>
    <t>12007000990</t>
  </si>
  <si>
    <t>BETRIYAH</t>
  </si>
  <si>
    <t>06JP0133068</t>
  </si>
  <si>
    <t>BINTI MAULUDATUL R.</t>
  </si>
  <si>
    <t>BRIAN BAMBANG SAPUTRA</t>
  </si>
  <si>
    <t>BUDI ISMAIL</t>
  </si>
  <si>
    <t>10026354117</t>
  </si>
  <si>
    <t>BUDI SETIAWAN</t>
  </si>
  <si>
    <t>11026537545</t>
  </si>
  <si>
    <t>CATUR PUTRI REKNO M</t>
  </si>
  <si>
    <t>11014479569</t>
  </si>
  <si>
    <t>CHAIRINA HAFNI H</t>
  </si>
  <si>
    <t>12007000974</t>
  </si>
  <si>
    <t>CHAIRIYAH</t>
  </si>
  <si>
    <t>10017646786</t>
  </si>
  <si>
    <t>CHAIRUNNISA</t>
  </si>
  <si>
    <t>CHOIRILLA FAJAR WATI</t>
  </si>
  <si>
    <t>10017636027</t>
  </si>
  <si>
    <t>CHOIRIYAH</t>
  </si>
  <si>
    <t>12014080761</t>
  </si>
  <si>
    <t>CHOIRIYATUN NIKMAH</t>
  </si>
  <si>
    <t>CICI INDRIA SEPTIANA</t>
  </si>
  <si>
    <t>10028924222</t>
  </si>
  <si>
    <t>CICILIA SAGITARIANI</t>
  </si>
  <si>
    <t>CITRA DEWIYANTI</t>
  </si>
  <si>
    <t>CITRA MAHAYANA</t>
  </si>
  <si>
    <t>DADAN DARUSALAM</t>
  </si>
  <si>
    <t>11028246012</t>
  </si>
  <si>
    <t>DARWANTI</t>
  </si>
  <si>
    <t>11028246087</t>
  </si>
  <si>
    <t>DEDE ARDIANSYAH</t>
  </si>
  <si>
    <t>11021533028</t>
  </si>
  <si>
    <t>DEDEN RIDWAN</t>
  </si>
  <si>
    <t>12010794753</t>
  </si>
  <si>
    <t>DELLA SAPUTRI</t>
  </si>
  <si>
    <t>DERIS YUSEPTIN DWI HARDINI</t>
  </si>
  <si>
    <t>DESI TRISNAWATI</t>
  </si>
  <si>
    <t>DEVI ANGGRAENI</t>
  </si>
  <si>
    <t>08026797020</t>
  </si>
  <si>
    <t>DEVI LOVIANA</t>
  </si>
  <si>
    <t>DEWI ASTUTI</t>
  </si>
  <si>
    <t>08006161502</t>
  </si>
  <si>
    <t>DEWI MALASARI</t>
  </si>
  <si>
    <t>11002264304</t>
  </si>
  <si>
    <t>DEWI NOPIYANTI</t>
  </si>
  <si>
    <t>06JP0132912</t>
  </si>
  <si>
    <t>DEWI RAHMAWATI</t>
  </si>
  <si>
    <t>11028246095</t>
  </si>
  <si>
    <t>DEWI RATNA LISTYANA</t>
  </si>
  <si>
    <t>11002264312</t>
  </si>
  <si>
    <t>DEYLINA CHAN</t>
  </si>
  <si>
    <t>11014479577</t>
  </si>
  <si>
    <t>DHEA ANDHEO</t>
  </si>
  <si>
    <t>DIAN ANUGRAH</t>
  </si>
  <si>
    <t>DIAN AYU KUSUMANIGRUM</t>
  </si>
  <si>
    <t>10026354133</t>
  </si>
  <si>
    <t>DIAN MARYANI</t>
  </si>
  <si>
    <t>11033354330</t>
  </si>
  <si>
    <t>DIAN NOVITA</t>
  </si>
  <si>
    <t>06JP0132979</t>
  </si>
  <si>
    <t>DIAN PUSPITA SARI</t>
  </si>
  <si>
    <t>09007371793</t>
  </si>
  <si>
    <t>DIAN SAPUTRI</t>
  </si>
  <si>
    <t>10028924172</t>
  </si>
  <si>
    <t>DIANA RISNA PERTIWI</t>
  </si>
  <si>
    <t>DIANA ROSMALINA</t>
  </si>
  <si>
    <t>09005341731</t>
  </si>
  <si>
    <t>DIKA ADITYA AKBAR</t>
  </si>
  <si>
    <t>12010795073</t>
  </si>
  <si>
    <t>DINI AMINAWIYAH</t>
  </si>
  <si>
    <t>12010795081</t>
  </si>
  <si>
    <t>DINI DIENI</t>
  </si>
  <si>
    <t>DUWI SEPTIANINGSIH</t>
  </si>
  <si>
    <t>11035751632</t>
  </si>
  <si>
    <t>DWI ASTUTI H</t>
  </si>
  <si>
    <t>11026537404</t>
  </si>
  <si>
    <t>DWI FAJAR RAHAYU NINGRUM</t>
  </si>
  <si>
    <t>10014598535</t>
  </si>
  <si>
    <t>DWI RAHAYU</t>
  </si>
  <si>
    <t>10026354141</t>
  </si>
  <si>
    <t>EFRIYANTI KOMALA SARI</t>
  </si>
  <si>
    <t>09023404461</t>
  </si>
  <si>
    <t>EKA DEWI KARTIKAWATI</t>
  </si>
  <si>
    <t>EKA PURNAMASARI</t>
  </si>
  <si>
    <t>EKA YULIANTI</t>
  </si>
  <si>
    <t>12014080779</t>
  </si>
  <si>
    <t>EKAWATI</t>
  </si>
  <si>
    <t>12007001014</t>
  </si>
  <si>
    <t>ELIN WINDRATI</t>
  </si>
  <si>
    <t>11010865852</t>
  </si>
  <si>
    <t xml:space="preserve">ELIZABETH JANUARTI </t>
  </si>
  <si>
    <t>ELLEN APRILLINA</t>
  </si>
  <si>
    <t>11028246103</t>
  </si>
  <si>
    <t>EMILLIANA</t>
  </si>
  <si>
    <t>10014598576</t>
  </si>
  <si>
    <t>EMMA YUNITA</t>
  </si>
  <si>
    <t>EMY WIDIYANINGSIH</t>
  </si>
  <si>
    <t>ENDAH DIAN PRIATI</t>
  </si>
  <si>
    <t>09015892210</t>
  </si>
  <si>
    <t>ENDANG SRI LESTARI</t>
  </si>
  <si>
    <t>ENDEN ESTI FAUZIAHISHAK</t>
  </si>
  <si>
    <t>12010794803</t>
  </si>
  <si>
    <t>EPI ASTUTI</t>
  </si>
  <si>
    <t>ERNI RATMAWATI</t>
  </si>
  <si>
    <t>06001479119</t>
  </si>
  <si>
    <t>ERWAN SUHERMAN</t>
  </si>
  <si>
    <t>09015892236</t>
  </si>
  <si>
    <t>ERWIN NINGTYAS</t>
  </si>
  <si>
    <t>ESTI NUGRAHENI</t>
  </si>
  <si>
    <t>06JP0132946</t>
  </si>
  <si>
    <t>ESTY PRIYANY</t>
  </si>
  <si>
    <t>EVA INDRAWATI</t>
  </si>
  <si>
    <t>11042293255</t>
  </si>
  <si>
    <t>EVA NURFITRIA</t>
  </si>
  <si>
    <t>FANY SILVIA F.</t>
  </si>
  <si>
    <t>FARDHYLLA LUTHFIANA</t>
  </si>
  <si>
    <t>11028246111</t>
  </si>
  <si>
    <t>FARIDA SAHARA</t>
  </si>
  <si>
    <t>FASHA FADILLAH</t>
  </si>
  <si>
    <t>12014325596</t>
  </si>
  <si>
    <t>FEBRI PERMADI</t>
  </si>
  <si>
    <t>FINA LUBIS</t>
  </si>
  <si>
    <t>11021533044</t>
  </si>
  <si>
    <t>FIQICH JAYATI</t>
  </si>
  <si>
    <t>12014080803</t>
  </si>
  <si>
    <t>FIRLIANA DEWI</t>
  </si>
  <si>
    <t>FITRI DJURIATI</t>
  </si>
  <si>
    <t>09015892244</t>
  </si>
  <si>
    <t>FITRI ELIDA</t>
  </si>
  <si>
    <t>FITRI FUJI ASTUTI</t>
  </si>
  <si>
    <t>FITRI HINDRAYANI</t>
  </si>
  <si>
    <t>FITRI ROHANI</t>
  </si>
  <si>
    <t>11028246129</t>
  </si>
  <si>
    <t>FITRI WAHYUNI</t>
  </si>
  <si>
    <t>12014080811</t>
  </si>
  <si>
    <t>FITRIA</t>
  </si>
  <si>
    <t>FITRIA INDRIYANI</t>
  </si>
  <si>
    <t>09007371835</t>
  </si>
  <si>
    <t>FITRIAH</t>
  </si>
  <si>
    <t>12007000941</t>
  </si>
  <si>
    <t>FITRIANI</t>
  </si>
  <si>
    <t>FITRIYA</t>
  </si>
  <si>
    <t>11010865860</t>
  </si>
  <si>
    <t>GALIH RETNO W</t>
  </si>
  <si>
    <t>12014325612</t>
  </si>
  <si>
    <t>GALUNG HUSAINAH</t>
  </si>
  <si>
    <t>10021623037</t>
  </si>
  <si>
    <t>GIFTHIA</t>
  </si>
  <si>
    <t>GINA MARGI</t>
  </si>
  <si>
    <t>11021533036</t>
  </si>
  <si>
    <t>GITA RIZKI AMELIA</t>
  </si>
  <si>
    <t>12014325620</t>
  </si>
  <si>
    <t>GITA RIZKY APRILIA</t>
  </si>
  <si>
    <t>09017667602</t>
  </si>
  <si>
    <t>HADASSAH</t>
  </si>
  <si>
    <t>08016259361</t>
  </si>
  <si>
    <t>HANDAYANI</t>
  </si>
  <si>
    <t>06JP0133142</t>
  </si>
  <si>
    <t>HANIF RIZAL</t>
  </si>
  <si>
    <t>10000018472</t>
  </si>
  <si>
    <t>HAPPY INDAH SRI LESTARI</t>
  </si>
  <si>
    <t>07000446513</t>
  </si>
  <si>
    <t>HARTINI</t>
  </si>
  <si>
    <t>HASANAH AKHEROH</t>
  </si>
  <si>
    <t>HENDAR SURYANA</t>
  </si>
  <si>
    <t>12010795115</t>
  </si>
  <si>
    <t>HENI MAISAFITRI</t>
  </si>
  <si>
    <t>HENI PUSPITAWATI</t>
  </si>
  <si>
    <t>HENNY SETIAWATI</t>
  </si>
  <si>
    <t>HERI MUSTOFA</t>
  </si>
  <si>
    <t>11007443127</t>
  </si>
  <si>
    <t>HERMAWATI</t>
  </si>
  <si>
    <t>07001102883</t>
  </si>
  <si>
    <t>HERNAWATI</t>
  </si>
  <si>
    <t>06002289558</t>
  </si>
  <si>
    <t>HESTI WIRABUANA</t>
  </si>
  <si>
    <t>09019867762</t>
  </si>
  <si>
    <t>IDA KARTIKA SARI</t>
  </si>
  <si>
    <t>12014325638</t>
  </si>
  <si>
    <t>IIN KURNIATI</t>
  </si>
  <si>
    <t>12014080829</t>
  </si>
  <si>
    <t>IKA</t>
  </si>
  <si>
    <t>IKA ATIKA</t>
  </si>
  <si>
    <t>10014598592</t>
  </si>
  <si>
    <t>IKA RESTY</t>
  </si>
  <si>
    <t>11002264353</t>
  </si>
  <si>
    <t>IMAS JULYANI</t>
  </si>
  <si>
    <t>10022873896</t>
  </si>
  <si>
    <t>IMAS YUNIARTI</t>
  </si>
  <si>
    <t>IMRANA</t>
  </si>
  <si>
    <t>INDAH SUMARNI</t>
  </si>
  <si>
    <t>10014598600</t>
  </si>
  <si>
    <t>INDRI YANA RUKMANA</t>
  </si>
  <si>
    <t>INEU KANIA DEWI</t>
  </si>
  <si>
    <t>12010794837</t>
  </si>
  <si>
    <t>INTAN PUSPITASARI</t>
  </si>
  <si>
    <t>IRMA</t>
  </si>
  <si>
    <t>10028924206</t>
  </si>
  <si>
    <t>IRMA PURNAWATI</t>
  </si>
  <si>
    <t>08016260013</t>
  </si>
  <si>
    <t>IRWAN ISMAIL</t>
  </si>
  <si>
    <t>ISDIANTI</t>
  </si>
  <si>
    <t>09015892269</t>
  </si>
  <si>
    <t>ISNAINI RATNA LESTARI</t>
  </si>
  <si>
    <t>09013613956</t>
  </si>
  <si>
    <t>ITA PURWANTI</t>
  </si>
  <si>
    <t>12014325893</t>
  </si>
  <si>
    <t>ITA SUPRIYATIN</t>
  </si>
  <si>
    <t>07009866711</t>
  </si>
  <si>
    <t>IZZATUN NAJA</t>
  </si>
  <si>
    <t>JHUNITA ANDRIANY</t>
  </si>
  <si>
    <t>JOICE RIRY</t>
  </si>
  <si>
    <t>KADEK SRI WAHYUNI</t>
  </si>
  <si>
    <t>KAMILAH</t>
  </si>
  <si>
    <t>KARMILAH</t>
  </si>
  <si>
    <t>10026354182</t>
  </si>
  <si>
    <t>KASTUMI</t>
  </si>
  <si>
    <t xml:space="preserve">KATARINA SIENA ERYCA </t>
  </si>
  <si>
    <t>KHOIRUL ANWAR</t>
  </si>
  <si>
    <t>12014325653</t>
  </si>
  <si>
    <t>KHOLIPAH</t>
  </si>
  <si>
    <t>KHUROTUL UYUN</t>
  </si>
  <si>
    <t>12010794720</t>
  </si>
  <si>
    <t>KIRSANTI AMALIYAH</t>
  </si>
  <si>
    <t>KURNIAWATI</t>
  </si>
  <si>
    <t>KUSDARINI</t>
  </si>
  <si>
    <t>12010794795</t>
  </si>
  <si>
    <t>KUSWATI</t>
  </si>
  <si>
    <t>10026354190</t>
  </si>
  <si>
    <t>LAILATUL SRI LASWATI</t>
  </si>
  <si>
    <t>12014325661</t>
  </si>
  <si>
    <t>LARAS H</t>
  </si>
  <si>
    <t>11028246194</t>
  </si>
  <si>
    <t>LATIFAH</t>
  </si>
  <si>
    <t>LATIFAH SEPTIYANI</t>
  </si>
  <si>
    <t>12014325679</t>
  </si>
  <si>
    <t>LELA APRIANI</t>
  </si>
  <si>
    <t>11033354389</t>
  </si>
  <si>
    <t>LENI MARINI</t>
  </si>
  <si>
    <t>12010794977</t>
  </si>
  <si>
    <t>LESTARI</t>
  </si>
  <si>
    <t>08026797079</t>
  </si>
  <si>
    <t>LIA AGUSTINA</t>
  </si>
  <si>
    <t>11026537438</t>
  </si>
  <si>
    <t>LIA AMELIA</t>
  </si>
  <si>
    <t>LIA INAWATI</t>
  </si>
  <si>
    <t>11014479593</t>
  </si>
  <si>
    <t>LIA SUGIARTHI</t>
  </si>
  <si>
    <t>LIANI SAFITRI</t>
  </si>
  <si>
    <t>11026537445</t>
  </si>
  <si>
    <t>LISMIATI</t>
  </si>
  <si>
    <t>02J60007297</t>
  </si>
  <si>
    <t>LUH DWI PAWITRI</t>
  </si>
  <si>
    <t>MADE SUCITRA</t>
  </si>
  <si>
    <t>10017636050</t>
  </si>
  <si>
    <t>MAIMUNAH</t>
  </si>
  <si>
    <t>11028246145</t>
  </si>
  <si>
    <t>MAINA SUSANTY</t>
  </si>
  <si>
    <t>12010795131</t>
  </si>
  <si>
    <t>MARDIAH</t>
  </si>
  <si>
    <t>08016259395</t>
  </si>
  <si>
    <t>MARDIANA</t>
  </si>
  <si>
    <t>11042293289</t>
  </si>
  <si>
    <t>MARIA SEFIANI</t>
  </si>
  <si>
    <t>MARIANI</t>
  </si>
  <si>
    <t>12014080860</t>
  </si>
  <si>
    <t>MARTINI EKA RAHAYU</t>
  </si>
  <si>
    <t>MARWANIH</t>
  </si>
  <si>
    <t>MARWIYAH</t>
  </si>
  <si>
    <t>12007000958</t>
  </si>
  <si>
    <t>MARYANA</t>
  </si>
  <si>
    <t>MAWAR PURWANTI</t>
  </si>
  <si>
    <t>09026401209</t>
  </si>
  <si>
    <t>MEILITA CANDRA AVIANA</t>
  </si>
  <si>
    <t>12014080886</t>
  </si>
  <si>
    <t>MELDA ERVINA</t>
  </si>
  <si>
    <t>08026797129</t>
  </si>
  <si>
    <t>MELUR GUMILANG</t>
  </si>
  <si>
    <t>MIMIN KARMILA</t>
  </si>
  <si>
    <t>11026537453</t>
  </si>
  <si>
    <t>MITA PRIBIYANI</t>
  </si>
  <si>
    <t>MONICA MAIT</t>
  </si>
  <si>
    <t>12014325687</t>
  </si>
  <si>
    <t>MULYANI</t>
  </si>
  <si>
    <t>07004300799</t>
  </si>
  <si>
    <t>MURWANINGSIH</t>
  </si>
  <si>
    <t>09011199586</t>
  </si>
  <si>
    <t>MUTIARA CAROLINA</t>
  </si>
  <si>
    <t>11026537461</t>
  </si>
  <si>
    <t>NENI SRI WAHYUNI</t>
  </si>
  <si>
    <t>11026537479</t>
  </si>
  <si>
    <t>NI KADE YULIANI</t>
  </si>
  <si>
    <t>10017636068</t>
  </si>
  <si>
    <t>NI KADEK CAHYANINGSIH</t>
  </si>
  <si>
    <t>NI KADEK SARTIKA</t>
  </si>
  <si>
    <t>NI KETUT SUTIRTAWATI</t>
  </si>
  <si>
    <t>NI LUH PUTU PUSPA YANTI</t>
  </si>
  <si>
    <t>NI LUH SINARWATI</t>
  </si>
  <si>
    <t>10028924248</t>
  </si>
  <si>
    <t>NI LUH SUCIATI</t>
  </si>
  <si>
    <t>12014325695</t>
  </si>
  <si>
    <t>NI MADE LANI</t>
  </si>
  <si>
    <t>11042293305</t>
  </si>
  <si>
    <t>NI NYOMAN SUKAYANTI</t>
  </si>
  <si>
    <t>NI WAYAN JULIASIH</t>
  </si>
  <si>
    <t>NIA KURNIA PERDANAWATI</t>
  </si>
  <si>
    <t>12014080894</t>
  </si>
  <si>
    <t>NIA KURNIANINGSIH</t>
  </si>
  <si>
    <t>09023404719</t>
  </si>
  <si>
    <t>NIKEN WINDARTI</t>
  </si>
  <si>
    <t>NILA AZMI</t>
  </si>
  <si>
    <t>12014325703</t>
  </si>
  <si>
    <t>NINA MARLINA</t>
  </si>
  <si>
    <t>11028246152</t>
  </si>
  <si>
    <t>NING SUYATNI</t>
  </si>
  <si>
    <t>NINUKH AMBAR AYU</t>
  </si>
  <si>
    <t>12014325711</t>
  </si>
  <si>
    <t>NITA SEPTIANA</t>
  </si>
  <si>
    <t>11033354371</t>
  </si>
  <si>
    <t>NOFA SETYORINI</t>
  </si>
  <si>
    <t>NOVI INDRIANI</t>
  </si>
  <si>
    <t>NOVI RIZKIKA</t>
  </si>
  <si>
    <t>12007000966</t>
  </si>
  <si>
    <t>NOVI YULIANTI</t>
  </si>
  <si>
    <t>NUNIK MUNIARTI</t>
  </si>
  <si>
    <t>09011199651</t>
  </si>
  <si>
    <t>NUR ANGGRAINI</t>
  </si>
  <si>
    <t>NUR HALIMAH</t>
  </si>
  <si>
    <t>NUR HARDIYANTI PUJI LESTARI</t>
  </si>
  <si>
    <t>06JP0133258</t>
  </si>
  <si>
    <t>NUR INDRAWAN</t>
  </si>
  <si>
    <t>NUR LAILANI</t>
  </si>
  <si>
    <t>06001479101</t>
  </si>
  <si>
    <t>NURBAITI</t>
  </si>
  <si>
    <t>10014598634</t>
  </si>
  <si>
    <t>NURHAYATI</t>
  </si>
  <si>
    <t>07008538162</t>
  </si>
  <si>
    <t>NURI SUSILOWATI</t>
  </si>
  <si>
    <t>11024896562</t>
  </si>
  <si>
    <t>NURIANI SHOLIKHAH</t>
  </si>
  <si>
    <t>12014325729</t>
  </si>
  <si>
    <t>NURLAELA</t>
  </si>
  <si>
    <t>10028924255</t>
  </si>
  <si>
    <t>NURRAH ISMALIAH</t>
  </si>
  <si>
    <t>12014325737</t>
  </si>
  <si>
    <t>NURUL AINI</t>
  </si>
  <si>
    <t>NURUL KUSWAYANTI</t>
  </si>
  <si>
    <t>NURYANAH</t>
  </si>
  <si>
    <t>12010794886</t>
  </si>
  <si>
    <t>NYAYU SUSI FAUZIAH</t>
  </si>
  <si>
    <t>NYOMAN ARTINI</t>
  </si>
  <si>
    <t>PAMELA INDRIYANI</t>
  </si>
  <si>
    <t>11007443317</t>
  </si>
  <si>
    <t>PENGKUH WASTUDIAWAN</t>
  </si>
  <si>
    <t>11026537495</t>
  </si>
  <si>
    <t>PITRI RIANI</t>
  </si>
  <si>
    <t>12007000982</t>
  </si>
  <si>
    <t>PRATIWI INDRIANI</t>
  </si>
  <si>
    <t>PRATIWI ISMI YANTHI</t>
  </si>
  <si>
    <t>07009866729</t>
  </si>
  <si>
    <t>PREMITA RACHMAWATI</t>
  </si>
  <si>
    <t>08018640576</t>
  </si>
  <si>
    <t>PUJIATI</t>
  </si>
  <si>
    <t>10021623094</t>
  </si>
  <si>
    <t>PUSPASARI WIGUNA</t>
  </si>
  <si>
    <t>09011199602</t>
  </si>
  <si>
    <t>PUTRI LARASATI</t>
  </si>
  <si>
    <t>12014080910</t>
  </si>
  <si>
    <t>RAHMAWATI - MC</t>
  </si>
  <si>
    <t>09013613972</t>
  </si>
  <si>
    <t>RARA RATRI UNTARININGTYAS</t>
  </si>
  <si>
    <t>10017646778</t>
  </si>
  <si>
    <t>RATIH JULIYANTI</t>
  </si>
  <si>
    <t>10017636076</t>
  </si>
  <si>
    <t>RATIH YULIANI</t>
  </si>
  <si>
    <t>11028246053</t>
  </si>
  <si>
    <t>RATNA NOVITA SARI</t>
  </si>
  <si>
    <t>RATNA SUSILAWATI</t>
  </si>
  <si>
    <t>09026401282</t>
  </si>
  <si>
    <t>RATNAWATI</t>
  </si>
  <si>
    <t>06002289533</t>
  </si>
  <si>
    <t>RIA AGUSTINA</t>
  </si>
  <si>
    <t>09023404776</t>
  </si>
  <si>
    <t>RIA AGUSTINI</t>
  </si>
  <si>
    <t>11010865894</t>
  </si>
  <si>
    <t>RIA ANDRIANI</t>
  </si>
  <si>
    <t>10014598642</t>
  </si>
  <si>
    <t>RIA HERLINA</t>
  </si>
  <si>
    <t>11042293297</t>
  </si>
  <si>
    <t>RIKI SUGIANTO</t>
  </si>
  <si>
    <t>10026354257</t>
  </si>
  <si>
    <t>RINA RAHAYU</t>
  </si>
  <si>
    <t>09013614004</t>
  </si>
  <si>
    <t>RINA ROSIANA</t>
  </si>
  <si>
    <t>RINDU AFNI HIBASARI</t>
  </si>
  <si>
    <t>06J30240201</t>
  </si>
  <si>
    <t>RINI MARYATI</t>
  </si>
  <si>
    <t>12010795156</t>
  </si>
  <si>
    <t>RISNA</t>
  </si>
  <si>
    <t>12014325752</t>
  </si>
  <si>
    <t>RIYAN JUWITA</t>
  </si>
  <si>
    <t>RIZKI PENI SUGESTI</t>
  </si>
  <si>
    <t>ROHAINI</t>
  </si>
  <si>
    <t>11021533010</t>
  </si>
  <si>
    <t>ROHILLAH</t>
  </si>
  <si>
    <t>09011199669</t>
  </si>
  <si>
    <t>ROSA AMALIA</t>
  </si>
  <si>
    <t>12007001006</t>
  </si>
  <si>
    <t>ROSANTI OKTAVIA S</t>
  </si>
  <si>
    <t>ROSDIANA ADE PERTIWI</t>
  </si>
  <si>
    <t>12010794761</t>
  </si>
  <si>
    <t>ROSMALENA SINTA A</t>
  </si>
  <si>
    <t>ROSMALINA</t>
  </si>
  <si>
    <t>12014325786</t>
  </si>
  <si>
    <t>ROZA YULIANA</t>
  </si>
  <si>
    <t>12014080928</t>
  </si>
  <si>
    <t>RUDI FEBRI ANWAR</t>
  </si>
  <si>
    <t>RURI MERIANA</t>
  </si>
  <si>
    <t>10028924271</t>
  </si>
  <si>
    <t>SAFITRI</t>
  </si>
  <si>
    <t>12010795206</t>
  </si>
  <si>
    <t>SANDRYA KINENSIA</t>
  </si>
  <si>
    <t>12010794985</t>
  </si>
  <si>
    <t>SANTI</t>
  </si>
  <si>
    <t>SANTI NURHAYATI</t>
  </si>
  <si>
    <t>11033354421</t>
  </si>
  <si>
    <t>SARI SULAMURTI</t>
  </si>
  <si>
    <t>09011199693</t>
  </si>
  <si>
    <t>SARI UTAMI</t>
  </si>
  <si>
    <t>12014080936</t>
  </si>
  <si>
    <t>SEFTIA DEFI RATNA SARI</t>
  </si>
  <si>
    <t>SEPTIANA EFRIANI</t>
  </si>
  <si>
    <t>10021623102</t>
  </si>
  <si>
    <t>SETYANINGSIH</t>
  </si>
  <si>
    <t>11010865910</t>
  </si>
  <si>
    <t>SEVINA ANJAR RETNO MURTI</t>
  </si>
  <si>
    <t>12014325794</t>
  </si>
  <si>
    <t>SHANTI DEWI OKTAVIANI</t>
  </si>
  <si>
    <t>11026537503</t>
  </si>
  <si>
    <t>SHELA MARIANA AISYAH</t>
  </si>
  <si>
    <t>10017636092</t>
  </si>
  <si>
    <t>SHERLY NOVAGIA KASTANYA</t>
  </si>
  <si>
    <t>06JP0133092</t>
  </si>
  <si>
    <t>SHINTA LESTARI</t>
  </si>
  <si>
    <t>11024896570</t>
  </si>
  <si>
    <t>SIFAH FAUJIA</t>
  </si>
  <si>
    <t>SILFANA YUNIANTI</t>
  </si>
  <si>
    <t>12014080944</t>
  </si>
  <si>
    <t>SITI FARIDA</t>
  </si>
  <si>
    <t>08026797178</t>
  </si>
  <si>
    <t>SITI HAJAR</t>
  </si>
  <si>
    <t>SITI HASANAH</t>
  </si>
  <si>
    <t>SITI MUHIMAH</t>
  </si>
  <si>
    <t>12010794936</t>
  </si>
  <si>
    <t>SITI MULYANI</t>
  </si>
  <si>
    <t>12014080951</t>
  </si>
  <si>
    <t>SITI MUNAWAROH</t>
  </si>
  <si>
    <t>12014325802</t>
  </si>
  <si>
    <t>SITI NUR HALIMAH</t>
  </si>
  <si>
    <t>SITI NURHIDAYAH</t>
  </si>
  <si>
    <t>10014598667</t>
  </si>
  <si>
    <t>SITI RODIYAH</t>
  </si>
  <si>
    <t>12010794944</t>
  </si>
  <si>
    <t>SITI ROHMAH</t>
  </si>
  <si>
    <t>06JP0133225</t>
  </si>
  <si>
    <t>SITI ROHMAH MULIAH</t>
  </si>
  <si>
    <t>09019867853</t>
  </si>
  <si>
    <t>SITI ROMLAH</t>
  </si>
  <si>
    <t>SITI SALWAH</t>
  </si>
  <si>
    <t>06001479150</t>
  </si>
  <si>
    <t>SITI ULFIA</t>
  </si>
  <si>
    <t>12014080969</t>
  </si>
  <si>
    <t>SONA SITI NURAINI</t>
  </si>
  <si>
    <t>12010794811</t>
  </si>
  <si>
    <t>SRI DJUMAINI SUSMITA</t>
  </si>
  <si>
    <t>11033354413</t>
  </si>
  <si>
    <t>SRI HARTINI</t>
  </si>
  <si>
    <t>12014325810</t>
  </si>
  <si>
    <t>SRI KUSDIANTINA</t>
  </si>
  <si>
    <t>12014080977</t>
  </si>
  <si>
    <t>SRI PURYANTI</t>
  </si>
  <si>
    <t>SRI RUMINI</t>
  </si>
  <si>
    <t>08006161486</t>
  </si>
  <si>
    <t>SRI SETIAWATI</t>
  </si>
  <si>
    <t>06002289541</t>
  </si>
  <si>
    <t>09007371959</t>
  </si>
  <si>
    <t>09004725884</t>
  </si>
  <si>
    <t>SRI WAHYUNINGSIH</t>
  </si>
  <si>
    <t>10026354281</t>
  </si>
  <si>
    <t>08026797186</t>
  </si>
  <si>
    <t>SRY RAHMI FATMAWATI</t>
  </si>
  <si>
    <t>10022873854</t>
  </si>
  <si>
    <t>STEPFANI IRNA</t>
  </si>
  <si>
    <t>SUCIATI</t>
  </si>
  <si>
    <t>SUGIARTI</t>
  </si>
  <si>
    <t>12014325828</t>
  </si>
  <si>
    <t>SUHARNI</t>
  </si>
  <si>
    <t>07002444169</t>
  </si>
  <si>
    <t>SULASTRI WULANDARI</t>
  </si>
  <si>
    <t>10017636100</t>
  </si>
  <si>
    <t>SULIHA</t>
  </si>
  <si>
    <t>12014325836</t>
  </si>
  <si>
    <t>SULLY SIA WATY</t>
  </si>
  <si>
    <t>12014080993</t>
  </si>
  <si>
    <t>SUMARTI</t>
  </si>
  <si>
    <t>09007371975</t>
  </si>
  <si>
    <t>SUMARYATI</t>
  </si>
  <si>
    <t>06001479127</t>
  </si>
  <si>
    <t>SUNARTI</t>
  </si>
  <si>
    <t>SUNARYO</t>
  </si>
  <si>
    <t>11021533051</t>
  </si>
  <si>
    <t>SUPRAPTI</t>
  </si>
  <si>
    <t>11024896588</t>
  </si>
  <si>
    <t>SUPRI HARTINI</t>
  </si>
  <si>
    <t>09015892327</t>
  </si>
  <si>
    <t>SURYANI</t>
  </si>
  <si>
    <t>12014325844</t>
  </si>
  <si>
    <t>SURYANSYAH TONANGNGA</t>
  </si>
  <si>
    <t>11026537511</t>
  </si>
  <si>
    <t>SUSI OKTAVIANI</t>
  </si>
  <si>
    <t>TIAH</t>
  </si>
  <si>
    <t>12014325851</t>
  </si>
  <si>
    <t>TIEKA SUSILAWATI</t>
  </si>
  <si>
    <t>TINA KARTIKA</t>
  </si>
  <si>
    <t>11042293263</t>
  </si>
  <si>
    <t>TINUK ENDAR RAHAYU</t>
  </si>
  <si>
    <t>12010794928</t>
  </si>
  <si>
    <t>TRI HARDYANI</t>
  </si>
  <si>
    <t>12014325869</t>
  </si>
  <si>
    <t>TRI ROCHIMIYANTO</t>
  </si>
  <si>
    <t>TUTIK</t>
  </si>
  <si>
    <t>10032496191</t>
  </si>
  <si>
    <t>UMAR SANDHI</t>
  </si>
  <si>
    <t>11007442848</t>
  </si>
  <si>
    <t>UNAI YATI</t>
  </si>
  <si>
    <t>UTAMI FITRIANI</t>
  </si>
  <si>
    <t>11014479627</t>
  </si>
  <si>
    <t>VICHO WULANDARY</t>
  </si>
  <si>
    <t>09007372015</t>
  </si>
  <si>
    <t>WAHYU AYU PRATIWI</t>
  </si>
  <si>
    <t>WAHYUNI TALANG SARI</t>
  </si>
  <si>
    <t>12014081017</t>
  </si>
  <si>
    <t>WIHARYUNINGSIH</t>
  </si>
  <si>
    <t>12010795180</t>
  </si>
  <si>
    <t>WINDA YULIANA</t>
  </si>
  <si>
    <t>1102637529</t>
  </si>
  <si>
    <t>WIWIN WINARTI</t>
  </si>
  <si>
    <t>09011199552</t>
  </si>
  <si>
    <t>WIWIT LESTARI</t>
  </si>
  <si>
    <t>11033354397</t>
  </si>
  <si>
    <t>XENNA FAUZIA DWITAMARA</t>
  </si>
  <si>
    <t>YANCE RUDOLF KASTANYA</t>
  </si>
  <si>
    <t>10028924313</t>
  </si>
  <si>
    <t>YANI RATNASARI</t>
  </si>
  <si>
    <t>11028246046</t>
  </si>
  <si>
    <t>YANI SETYANINGSIH</t>
  </si>
  <si>
    <t>YANTI YAHYA</t>
  </si>
  <si>
    <t>12014325885</t>
  </si>
  <si>
    <t>YENI HANDAYANI</t>
  </si>
  <si>
    <t>10022873938</t>
  </si>
  <si>
    <t>YOHANA F</t>
  </si>
  <si>
    <t>12010795198</t>
  </si>
  <si>
    <t>YOSITA RAMANIA</t>
  </si>
  <si>
    <t>12010794779</t>
  </si>
  <si>
    <t>YUDI SETIADI</t>
  </si>
  <si>
    <t>10032496209</t>
  </si>
  <si>
    <t>YULI EKAWATI</t>
  </si>
  <si>
    <t>06JP0132862</t>
  </si>
  <si>
    <t>YULI PURWANTI</t>
  </si>
  <si>
    <t>12010794878</t>
  </si>
  <si>
    <t>YULIANA MASRI</t>
  </si>
  <si>
    <t>YULIANTI - ELC</t>
  </si>
  <si>
    <t>09005341699</t>
  </si>
  <si>
    <t>YULIANTI - MC</t>
  </si>
  <si>
    <t>06JP0132987</t>
  </si>
  <si>
    <t>YULIASTUTI</t>
  </si>
  <si>
    <t>YULIATI</t>
  </si>
  <si>
    <t>07001102909</t>
  </si>
  <si>
    <t>YUNI HERLIAN</t>
  </si>
  <si>
    <t>11007443176</t>
  </si>
  <si>
    <t>YUNITA ANGGRA DIANA</t>
  </si>
  <si>
    <t>YUYUN SUNARSEH</t>
  </si>
  <si>
    <t>07000446554</t>
  </si>
  <si>
    <t>Location</t>
  </si>
  <si>
    <t>Salary</t>
  </si>
  <si>
    <t>TRI RAHMAWANTO</t>
  </si>
  <si>
    <t>HO</t>
  </si>
  <si>
    <t>DAHLAN</t>
  </si>
  <si>
    <t>RUSTONO</t>
  </si>
  <si>
    <t>ABDUL ZAMAL</t>
  </si>
  <si>
    <t>AGUNG SUPRIADI </t>
  </si>
  <si>
    <t>ARDIANSYAH</t>
  </si>
  <si>
    <t>ARIYANTO</t>
  </si>
  <si>
    <t>ASEP</t>
  </si>
  <si>
    <t>EVI SUSANTI</t>
  </si>
  <si>
    <t>EKO BUDIYANTO</t>
  </si>
  <si>
    <t>ERI RIDWAN</t>
  </si>
  <si>
    <t>ERIK SUPRIYANDI</t>
  </si>
  <si>
    <t>IRPAN SUPRAYITNO</t>
  </si>
  <si>
    <t>IRWAN MUJIONO</t>
  </si>
  <si>
    <t>IRWANSYAH</t>
  </si>
  <si>
    <t>ISMU JOKO</t>
  </si>
  <si>
    <t>JOKO EDI TRANSISWOYO</t>
  </si>
  <si>
    <t>KISMANTO</t>
  </si>
  <si>
    <t>MASUD</t>
  </si>
  <si>
    <t>MOHAMMAD SHALEH ABDI</t>
  </si>
  <si>
    <t>MOKHAMAD</t>
  </si>
  <si>
    <t>MUHAMAD SOBRI</t>
  </si>
  <si>
    <t>MUHAMMAD IDRUS</t>
  </si>
  <si>
    <t>RIPAI</t>
  </si>
  <si>
    <t>SUPARDI</t>
  </si>
  <si>
    <t>SURANTO</t>
  </si>
  <si>
    <t>SYAIFUL ANWAR</t>
  </si>
  <si>
    <t>TONY RAHMADI</t>
  </si>
  <si>
    <t>YUDA WIJAYA</t>
  </si>
  <si>
    <t>Pondok Indah Mall - ELC</t>
  </si>
  <si>
    <t>Puri Mall - ELC</t>
  </si>
  <si>
    <t>Bandung - MC</t>
  </si>
  <si>
    <t>Pacific Place - MC</t>
  </si>
  <si>
    <t>Kuningan City - MC</t>
  </si>
  <si>
    <t>Operations</t>
  </si>
  <si>
    <t>Kelapa Gading - MC</t>
  </si>
  <si>
    <t>Senayan City - MC</t>
  </si>
  <si>
    <t>Pondok Indah Mall - MC</t>
  </si>
  <si>
    <t>Central Park - MC</t>
  </si>
  <si>
    <t>Kemang Medical - MC</t>
  </si>
  <si>
    <t>Pacific Place - ELC</t>
  </si>
  <si>
    <t>Plaza Indonesia - MC</t>
  </si>
  <si>
    <t>Taman Anggrek Mall - MC</t>
  </si>
  <si>
    <t>Pluit Emporium - MC</t>
  </si>
  <si>
    <t>Gandaria City - MC</t>
  </si>
  <si>
    <t>Puri Mall - MC</t>
  </si>
  <si>
    <t>Grand Indonesia - MC</t>
  </si>
  <si>
    <t>VM AREA</t>
  </si>
  <si>
    <t>Tunjungan Plaza - MC</t>
  </si>
  <si>
    <t>Surabaya - MC</t>
  </si>
  <si>
    <t>Taman Anggrek - ELC</t>
  </si>
  <si>
    <t>Kelapa Gading - ELC</t>
  </si>
  <si>
    <t>Summarecon - MC</t>
  </si>
  <si>
    <t>Central Park - ELC</t>
  </si>
  <si>
    <t>Kuningan City - ELC</t>
  </si>
  <si>
    <t>Pluit Emporium - ELC</t>
  </si>
  <si>
    <t>Plaza Indonesia - ELC</t>
  </si>
  <si>
    <t>Gandaria City - ELC</t>
  </si>
  <si>
    <t>Senayan City - ELC</t>
  </si>
  <si>
    <t>Paris Van Java - ELC</t>
  </si>
  <si>
    <t>Paris Van Java - MC</t>
  </si>
  <si>
    <t>Grand Indonesia - ELC</t>
  </si>
  <si>
    <t>Ciputra World - MC</t>
  </si>
  <si>
    <t>Bali Beach Walk - MC</t>
  </si>
  <si>
    <t>Bali - MC</t>
  </si>
  <si>
    <t>Kuningan City - GS</t>
  </si>
  <si>
    <t>Surabaya - ELC</t>
  </si>
  <si>
    <t>Pondok Indah Mall - GS</t>
  </si>
  <si>
    <t>Plaza Indonesia - GS</t>
  </si>
  <si>
    <t>Trans Studio - MC</t>
  </si>
  <si>
    <t>Bali Beach Walk - ELC</t>
  </si>
  <si>
    <t>Trans Studio - ELC</t>
  </si>
  <si>
    <t>Bandung - ELC</t>
  </si>
  <si>
    <t>Summarecon - ELC</t>
  </si>
  <si>
    <t>Ciputra World - ELC</t>
  </si>
  <si>
    <t>Tunjungan Plaza - ELC</t>
  </si>
  <si>
    <t>Gandaria City - GS</t>
  </si>
  <si>
    <t>Paris Van Java - GS</t>
  </si>
  <si>
    <t>Puri Mall - GS</t>
  </si>
  <si>
    <t>Servicing - CRM</t>
  </si>
  <si>
    <t>Grand Indonesia - GS</t>
  </si>
  <si>
    <t>Senayan City - GS</t>
  </si>
  <si>
    <t>Metro Bandung - GS</t>
  </si>
  <si>
    <t>Metro Pondok Indah Mall - MC</t>
  </si>
  <si>
    <t>Bali Beach Walk - GS</t>
  </si>
  <si>
    <t>Metro Pondok Indah Mall - GS</t>
  </si>
  <si>
    <t>Metro Plaza Senayan - MC</t>
  </si>
  <si>
    <t>Surabaya - GS</t>
  </si>
  <si>
    <t>Metro Ciputra World - GS</t>
  </si>
  <si>
    <t>Health</t>
  </si>
  <si>
    <t>HARRY PRASETYO</t>
  </si>
  <si>
    <t>MUHAMAD SHOLA</t>
  </si>
  <si>
    <t>NENENG SAUDI</t>
  </si>
  <si>
    <t>PRIWIYANTO RAMELAN</t>
  </si>
  <si>
    <t>LAPORAN JAMSOSTEK PT. MULTITREND INDO PERIOD DESEMBER 2012</t>
  </si>
  <si>
    <t>09018473661</t>
  </si>
  <si>
    <t>HEAD OFFICE</t>
  </si>
  <si>
    <t>08026797061</t>
  </si>
  <si>
    <t>09004726007</t>
  </si>
  <si>
    <t>08018640600</t>
  </si>
  <si>
    <t>09013613964</t>
  </si>
  <si>
    <t>08018640568</t>
  </si>
  <si>
    <t>NEW STAFF</t>
  </si>
  <si>
    <t>-</t>
  </si>
  <si>
    <t>Store</t>
  </si>
  <si>
    <t>Employer</t>
  </si>
  <si>
    <t>TOTAL</t>
  </si>
  <si>
    <t xml:space="preserve">Total </t>
  </si>
  <si>
    <t>: Total masing-masing column (dengan rumus SUM)</t>
  </si>
  <si>
    <t>: Dengan menggunakan rumus VLOOKUP (ditarik dari Sheet DATA STAFF)</t>
  </si>
  <si>
    <t>3A</t>
  </si>
  <si>
    <t>3B</t>
  </si>
  <si>
    <t>: 3 huruf awal nama karyawan</t>
  </si>
  <si>
    <t>: 3 angka terakhir dari jamsostek no</t>
  </si>
  <si>
    <t>: gabungan 3A dan 3B</t>
  </si>
  <si>
    <t>Jr staff</t>
  </si>
  <si>
    <t>Sr staff</t>
  </si>
  <si>
    <t>No</t>
  </si>
  <si>
    <t>Karyawan</t>
  </si>
  <si>
    <t>Divisi</t>
  </si>
  <si>
    <t>Jabatan</t>
  </si>
  <si>
    <t>Gaji Pokok</t>
  </si>
  <si>
    <t>Soal</t>
  </si>
  <si>
    <t>Supervisor</t>
  </si>
  <si>
    <t>Manager</t>
  </si>
  <si>
    <t>Abdul Zamal</t>
  </si>
  <si>
    <t>Agung Supriadi </t>
  </si>
  <si>
    <t>Ardiansyah</t>
  </si>
  <si>
    <t>Ariyanto</t>
  </si>
  <si>
    <t>Asep</t>
  </si>
  <si>
    <t>Dahlan</t>
  </si>
  <si>
    <t>Eko Budiyanto</t>
  </si>
  <si>
    <t>Eri Ridwan</t>
  </si>
  <si>
    <t>Erik Supriyandi</t>
  </si>
  <si>
    <t>Evi Susanti</t>
  </si>
  <si>
    <t>Harry Prasetyo</t>
  </si>
  <si>
    <t>Irpan Suprayitno</t>
  </si>
  <si>
    <t>Irwan Mujiono</t>
  </si>
  <si>
    <t>Irwansyah</t>
  </si>
  <si>
    <t>Ismu Joko</t>
  </si>
  <si>
    <t>Joko Edi Transiswoyo</t>
  </si>
  <si>
    <t>Kismanto</t>
  </si>
  <si>
    <t>Masud</t>
  </si>
  <si>
    <t>Mohammad Shaleh Abdi</t>
  </si>
  <si>
    <t>Mokhamad</t>
  </si>
  <si>
    <t>Muhamad Shola</t>
  </si>
  <si>
    <t>Muhamad Sobri</t>
  </si>
  <si>
    <t>Muhammad Idrus</t>
  </si>
  <si>
    <t>Neneng Saudi</t>
  </si>
  <si>
    <t>Priwiyanto Ramelan</t>
  </si>
  <si>
    <t>Ripai</t>
  </si>
  <si>
    <t>Rustono</t>
  </si>
  <si>
    <t>Supardi</t>
  </si>
  <si>
    <t>Suranto</t>
  </si>
  <si>
    <t>Syaiful Anwar</t>
  </si>
  <si>
    <t>Tony Rahmadi</t>
  </si>
  <si>
    <t>Tri Rahmawanto</t>
  </si>
  <si>
    <t>Yuda Wijaya</t>
  </si>
  <si>
    <t>Finance</t>
  </si>
  <si>
    <t>Accounting</t>
  </si>
  <si>
    <t>Operational</t>
  </si>
  <si>
    <t>Logistik</t>
  </si>
  <si>
    <t>Sr Staff</t>
  </si>
  <si>
    <t>Jr Staff</t>
  </si>
  <si>
    <t>Jamsostek No</t>
  </si>
  <si>
    <t>Gaji pokok</t>
  </si>
  <si>
    <t>JHT (Jaminan Hari Tua)</t>
  </si>
  <si>
    <t>JKM (Jaminan  Kematian)</t>
  </si>
  <si>
    <t>: 3% dari total Gaji Pokok</t>
  </si>
  <si>
    <t>: 5% dari total Gaji Pokok</t>
  </si>
  <si>
    <t>JHT</t>
  </si>
  <si>
    <t>Gaji Bersih</t>
  </si>
  <si>
    <t>: Gaji Pokok - JKM - JHT</t>
  </si>
  <si>
    <t>Keterangan : Isi pada column yang kosong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</si>
</sst>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&quot;Rp&quot;* #,##0_);_(&quot;Rp&quot;* \(#,##0\);_(&quot;Rp&quot;* &quot;-&quot;_);_(@_)"/>
    <numFmt numFmtId="166" formatCode="#,##0;\-#,##0;0"/>
    <numFmt numFmtId="167" formatCode="dd\-mmm\-yyyy"/>
  </numFmts>
  <fonts count="18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sz val="8"/>
      <name val="Calibri"/>
      <family val="2"/>
    </font>
    <font>
      <sz val="8"/>
      <color indexed="8"/>
      <name val="Calibri"/>
      <family val="2"/>
      <scheme val="minor"/>
    </font>
    <font>
      <b/>
      <i/>
      <sz val="8"/>
      <color indexed="8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8"/>
      <name val="Yu Gothic UI Semibold"/>
      <family val="2"/>
    </font>
    <font>
      <sz val="8"/>
      <name val="Yu Gothic UI Semibold"/>
      <family val="2"/>
    </font>
    <font>
      <sz val="12"/>
      <color indexed="8"/>
      <name val="Yu Gothic UI Semibold"/>
      <family val="2"/>
    </font>
    <font>
      <sz val="12"/>
      <name val="Yu Gothic UI Semibold"/>
      <family val="2"/>
    </font>
    <font>
      <b/>
      <sz val="12"/>
      <color theme="0"/>
      <name val="Yu Gothic UI Semibold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00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top"/>
    </xf>
    <xf numFmtId="0" fontId="1" fillId="0" borderId="0">
      <alignment vertical="top"/>
    </xf>
    <xf numFmtId="164" fontId="12" fillId="0" borderId="0" applyFont="0" applyFill="0" applyBorder="0" applyAlignment="0" applyProtection="0"/>
  </cellStyleXfs>
  <cellXfs count="80">
    <xf numFmtId="0" fontId="0" fillId="2" borderId="0" xfId="0" applyFill="1">
      <alignment vertical="top"/>
    </xf>
    <xf numFmtId="166" fontId="3" fillId="0" borderId="0" xfId="1" applyNumberFormat="1" applyFont="1" applyAlignment="1">
      <alignment horizontal="right" vertical="center" readingOrder="1"/>
    </xf>
    <xf numFmtId="0" fontId="3" fillId="0" borderId="0" xfId="0" applyFont="1" applyAlignment="1">
      <alignment vertical="center" readingOrder="1"/>
    </xf>
    <xf numFmtId="0" fontId="3" fillId="0" borderId="0" xfId="1" applyFont="1" applyAlignment="1">
      <alignment vertical="center" readingOrder="1"/>
    </xf>
    <xf numFmtId="166" fontId="3" fillId="0" borderId="0" xfId="1" applyNumberFormat="1" applyFont="1" applyAlignment="1">
      <alignment vertical="center" readingOrder="1"/>
    </xf>
    <xf numFmtId="167" fontId="3" fillId="0" borderId="0" xfId="1" applyNumberFormat="1" applyFont="1" applyAlignment="1">
      <alignment vertical="center" readingOrder="1"/>
    </xf>
    <xf numFmtId="0" fontId="3" fillId="0" borderId="0" xfId="0" applyFont="1" applyAlignment="1">
      <alignment vertical="center"/>
    </xf>
    <xf numFmtId="0" fontId="4" fillId="3" borderId="0" xfId="1" applyFont="1" applyFill="1" applyAlignment="1">
      <alignment horizontal="center" vertical="center" readingOrder="1"/>
    </xf>
    <xf numFmtId="1" fontId="3" fillId="0" borderId="0" xfId="0" applyNumberFormat="1" applyFont="1" applyAlignment="1">
      <alignment vertical="center"/>
    </xf>
    <xf numFmtId="1" fontId="4" fillId="3" borderId="0" xfId="1" applyNumberFormat="1" applyFont="1" applyFill="1" applyAlignment="1">
      <alignment horizontal="center" vertical="center" readingOrder="1"/>
    </xf>
    <xf numFmtId="1" fontId="3" fillId="0" borderId="0" xfId="0" applyNumberFormat="1" applyFont="1" applyAlignment="1">
      <alignment vertical="center" readingOrder="1"/>
    </xf>
    <xf numFmtId="3" fontId="3" fillId="0" borderId="0" xfId="1" applyNumberFormat="1" applyFont="1" applyAlignment="1">
      <alignment vertical="center" readingOrder="1"/>
    </xf>
    <xf numFmtId="3" fontId="5" fillId="0" borderId="0" xfId="0" applyNumberFormat="1" applyFont="1" applyAlignment="1">
      <alignment vertical="center"/>
    </xf>
    <xf numFmtId="3" fontId="3" fillId="0" borderId="0" xfId="1" applyNumberFormat="1" applyFont="1" applyAlignment="1">
      <alignment vertical="center" wrapText="1" readingOrder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3" borderId="0" xfId="1" applyFont="1" applyFill="1" applyAlignment="1">
      <alignment horizontal="left" vertical="center" readingOrder="1"/>
    </xf>
    <xf numFmtId="0" fontId="3" fillId="0" borderId="0" xfId="1" applyFont="1" applyAlignment="1">
      <alignment horizontal="left" vertical="center" readingOrder="1"/>
    </xf>
    <xf numFmtId="0" fontId="7" fillId="0" borderId="0" xfId="1" applyFont="1" applyAlignment="1">
      <alignment horizontal="left" vertical="center" readingOrder="1"/>
    </xf>
    <xf numFmtId="0" fontId="3" fillId="0" borderId="0" xfId="0" applyFont="1" applyAlignment="1">
      <alignment horizontal="left" vertical="center" readingOrder="1"/>
    </xf>
    <xf numFmtId="0" fontId="3" fillId="0" borderId="0" xfId="0" applyFont="1" applyAlignment="1">
      <alignment horizontal="center" vertical="center" readingOrder="1"/>
    </xf>
    <xf numFmtId="0" fontId="3" fillId="0" borderId="0" xfId="1" applyFont="1" applyAlignment="1">
      <alignment horizontal="right" vertical="center" readingOrder="1"/>
    </xf>
    <xf numFmtId="0" fontId="3" fillId="0" borderId="0" xfId="0" applyFont="1" applyAlignment="1">
      <alignment horizontal="right" vertical="center" readingOrder="1"/>
    </xf>
    <xf numFmtId="0" fontId="5" fillId="0" borderId="0" xfId="0" applyFont="1" applyAlignment="1">
      <alignment vertical="center"/>
    </xf>
    <xf numFmtId="1" fontId="7" fillId="0" borderId="0" xfId="0" applyNumberFormat="1" applyFont="1" applyAlignment="1">
      <alignment horizontal="left" vertical="center"/>
    </xf>
    <xf numFmtId="0" fontId="7" fillId="0" borderId="0" xfId="1" quotePrefix="1" applyFont="1" applyAlignment="1">
      <alignment horizontal="left" vertical="center" readingOrder="1"/>
    </xf>
    <xf numFmtId="0" fontId="2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7" fillId="0" borderId="0" xfId="1" quotePrefix="1" applyFont="1" applyAlignment="1">
      <alignment horizontal="center" vertical="center" readingOrder="1"/>
    </xf>
    <xf numFmtId="0" fontId="8" fillId="3" borderId="2" xfId="0" applyFont="1" applyFill="1" applyBorder="1" applyAlignment="1">
      <alignment horizontal="center" vertical="center" readingOrder="1"/>
    </xf>
    <xf numFmtId="0" fontId="8" fillId="3" borderId="3" xfId="0" applyFont="1" applyFill="1" applyBorder="1" applyAlignment="1">
      <alignment horizontal="center" vertical="center" readingOrder="1"/>
    </xf>
    <xf numFmtId="0" fontId="8" fillId="0" borderId="1" xfId="0" applyFont="1" applyBorder="1" applyAlignment="1">
      <alignment vertical="center" readingOrder="1"/>
    </xf>
    <xf numFmtId="0" fontId="8" fillId="4" borderId="1" xfId="0" applyFont="1" applyFill="1" applyBorder="1" applyAlignment="1">
      <alignment vertical="center" readingOrder="1"/>
    </xf>
    <xf numFmtId="3" fontId="9" fillId="5" borderId="0" xfId="0" applyNumberFormat="1" applyFont="1" applyFill="1" applyAlignment="1">
      <alignment vertical="center" readingOrder="1"/>
    </xf>
    <xf numFmtId="166" fontId="8" fillId="5" borderId="0" xfId="1" applyNumberFormat="1" applyFont="1" applyFill="1" applyAlignment="1">
      <alignment horizontal="right" vertical="center" readingOrder="1"/>
    </xf>
    <xf numFmtId="166" fontId="8" fillId="0" borderId="0" xfId="1" applyNumberFormat="1" applyFont="1" applyAlignment="1">
      <alignment horizontal="right" vertical="center" readingOrder="1"/>
    </xf>
    <xf numFmtId="166" fontId="8" fillId="0" borderId="0" xfId="1" applyNumberFormat="1" applyFont="1" applyAlignment="1">
      <alignment vertical="center" readingOrder="1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vertical="center" readingOrder="1"/>
    </xf>
    <xf numFmtId="0" fontId="10" fillId="3" borderId="4" xfId="0" applyFont="1" applyFill="1" applyBorder="1" applyAlignment="1">
      <alignment horizontal="center" vertical="center" readingOrder="1"/>
    </xf>
    <xf numFmtId="0" fontId="14" fillId="0" borderId="0" xfId="0" applyFont="1" applyAlignment="1">
      <alignment vertical="center"/>
    </xf>
    <xf numFmtId="0" fontId="15" fillId="2" borderId="0" xfId="0" applyFont="1" applyFill="1">
      <alignment vertical="top"/>
    </xf>
    <xf numFmtId="0" fontId="16" fillId="0" borderId="1" xfId="0" applyFont="1" applyBorder="1" applyAlignment="1">
      <alignment horizontal="left" vertical="center"/>
    </xf>
    <xf numFmtId="0" fontId="15" fillId="2" borderId="1" xfId="0" applyFont="1" applyFill="1" applyBorder="1">
      <alignment vertical="top"/>
    </xf>
    <xf numFmtId="165" fontId="15" fillId="2" borderId="1" xfId="2" applyNumberFormat="1" applyFont="1" applyFill="1" applyBorder="1" applyAlignment="1">
      <alignment vertical="top"/>
    </xf>
    <xf numFmtId="0" fontId="16" fillId="0" borderId="1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5" fillId="2" borderId="1" xfId="0" applyFont="1" applyFill="1" applyBorder="1" applyAlignment="1">
      <alignment horizontal="center" vertical="top"/>
    </xf>
    <xf numFmtId="0" fontId="17" fillId="6" borderId="1" xfId="1" applyFont="1" applyFill="1" applyBorder="1" applyAlignment="1">
      <alignment horizontal="center" vertical="center" wrapText="1" readingOrder="1"/>
    </xf>
    <xf numFmtId="0" fontId="14" fillId="0" borderId="0" xfId="0" applyFont="1" applyAlignment="1">
      <alignment horizontal="center" vertical="center"/>
    </xf>
    <xf numFmtId="165" fontId="14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14" fillId="3" borderId="1" xfId="0" applyFont="1" applyFill="1" applyBorder="1" applyAlignment="1">
      <alignment horizontal="center" vertical="center"/>
    </xf>
    <xf numFmtId="0" fontId="13" fillId="3" borderId="1" xfId="1" applyFont="1" applyFill="1" applyBorder="1" applyAlignment="1">
      <alignment horizontal="center" vertical="center" wrapText="1" readingOrder="1"/>
    </xf>
    <xf numFmtId="165" fontId="13" fillId="3" borderId="1" xfId="0" applyNumberFormat="1" applyFont="1" applyFill="1" applyBorder="1" applyAlignment="1">
      <alignment horizontal="center" vertical="center"/>
    </xf>
    <xf numFmtId="165" fontId="13" fillId="3" borderId="1" xfId="1" applyNumberFormat="1" applyFont="1" applyFill="1" applyBorder="1" applyAlignment="1">
      <alignment horizontal="center" vertical="center" wrapText="1" readingOrder="1"/>
    </xf>
    <xf numFmtId="0" fontId="17" fillId="6" borderId="1" xfId="1" applyFont="1" applyFill="1" applyBorder="1" applyAlignment="1">
      <alignment horizontal="center" vertical="center" readingOrder="1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" xfId="1" applyFont="1" applyBorder="1" applyAlignment="1">
      <alignment horizontal="center" vertical="center" readingOrder="1"/>
    </xf>
    <xf numFmtId="0" fontId="14" fillId="0" borderId="0" xfId="0" applyFont="1" applyAlignment="1">
      <alignment horizontal="left" vertical="center"/>
    </xf>
    <xf numFmtId="0" fontId="14" fillId="0" borderId="1" xfId="1" applyFont="1" applyBorder="1" applyAlignment="1">
      <alignment horizontal="left" vertical="top"/>
    </xf>
    <xf numFmtId="0" fontId="14" fillId="0" borderId="1" xfId="1" applyFont="1" applyBorder="1" applyAlignment="1">
      <alignment horizontal="left" vertical="center" readingOrder="1"/>
    </xf>
    <xf numFmtId="0" fontId="14" fillId="0" borderId="1" xfId="0" applyFont="1" applyBorder="1" applyAlignment="1">
      <alignment horizontal="left"/>
    </xf>
    <xf numFmtId="0" fontId="14" fillId="0" borderId="1" xfId="1" applyFont="1" applyBorder="1" applyAlignment="1">
      <alignment horizontal="left" vertical="center" wrapText="1" readingOrder="1"/>
    </xf>
    <xf numFmtId="166" fontId="8" fillId="4" borderId="4" xfId="0" applyNumberFormat="1" applyFont="1" applyFill="1" applyBorder="1" applyAlignment="1">
      <alignment horizontal="right" vertical="center" readingOrder="1"/>
    </xf>
    <xf numFmtId="166" fontId="8" fillId="4" borderId="3" xfId="0" applyNumberFormat="1" applyFont="1" applyFill="1" applyBorder="1" applyAlignment="1">
      <alignment horizontal="right" vertical="center" readingOrder="1"/>
    </xf>
    <xf numFmtId="0" fontId="9" fillId="5" borderId="0" xfId="0" applyFont="1" applyFill="1" applyAlignment="1">
      <alignment horizontal="center" vertical="center" readingOrder="1"/>
    </xf>
    <xf numFmtId="0" fontId="11" fillId="0" borderId="0" xfId="0" applyFont="1" applyAlignment="1">
      <alignment horizontal="center" vertical="center"/>
    </xf>
    <xf numFmtId="166" fontId="8" fillId="0" borderId="4" xfId="0" applyNumberFormat="1" applyFont="1" applyBorder="1" applyAlignment="1">
      <alignment horizontal="right" vertical="center" readingOrder="1"/>
    </xf>
    <xf numFmtId="166" fontId="8" fillId="0" borderId="3" xfId="0" applyNumberFormat="1" applyFont="1" applyBorder="1" applyAlignment="1">
      <alignment horizontal="right" vertical="center" readingOrder="1"/>
    </xf>
    <xf numFmtId="3" fontId="8" fillId="0" borderId="4" xfId="0" applyNumberFormat="1" applyFont="1" applyBorder="1" applyAlignment="1">
      <alignment horizontal="right" vertical="center" readingOrder="1"/>
    </xf>
    <xf numFmtId="3" fontId="8" fillId="0" borderId="3" xfId="0" applyNumberFormat="1" applyFont="1" applyBorder="1" applyAlignment="1">
      <alignment horizontal="right" vertical="center" readingOrder="1"/>
    </xf>
    <xf numFmtId="0" fontId="14" fillId="0" borderId="0" xfId="0" applyFont="1" applyAlignment="1">
      <alignment horizontal="left" vertical="center"/>
    </xf>
    <xf numFmtId="0" fontId="13" fillId="3" borderId="1" xfId="0" applyFont="1" applyFill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1D1D1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0"/>
  <sheetViews>
    <sheetView showOutlineSymbols="0" workbookViewId="0">
      <selection activeCell="G4" sqref="G4:K4"/>
    </sheetView>
  </sheetViews>
  <sheetFormatPr defaultColWidth="7" defaultRowHeight="12.75" customHeight="1" x14ac:dyDescent="0.2"/>
  <cols>
    <col min="1" max="1" width="20.7109375" style="2" bestFit="1" customWidth="1"/>
    <col min="2" max="2" width="8.140625" style="23" customWidth="1"/>
    <col min="3" max="3" width="13.42578125" style="22" customWidth="1"/>
    <col min="4" max="4" width="14.140625" style="2" customWidth="1"/>
    <col min="5" max="5" width="21.42578125" style="2" bestFit="1" customWidth="1"/>
    <col min="6" max="6" width="10" style="10" customWidth="1"/>
    <col min="7" max="7" width="8.85546875" style="2" bestFit="1" customWidth="1"/>
    <col min="8" max="8" width="10.28515625" style="2" bestFit="1" customWidth="1"/>
    <col min="9" max="9" width="8.85546875" style="2" bestFit="1" customWidth="1"/>
    <col min="10" max="10" width="14.140625" style="2" bestFit="1" customWidth="1"/>
    <col min="11" max="11" width="16.5703125" style="2" bestFit="1" customWidth="1"/>
    <col min="12" max="16384" width="7" style="2"/>
  </cols>
  <sheetData>
    <row r="1" spans="1:13" s="6" customFormat="1" ht="12.75" customHeight="1" x14ac:dyDescent="0.2">
      <c r="A1" s="73" t="s">
        <v>852</v>
      </c>
      <c r="B1" s="73"/>
      <c r="C1" s="73"/>
      <c r="D1" s="73"/>
      <c r="E1" s="73"/>
      <c r="F1" s="73"/>
      <c r="G1" s="73"/>
      <c r="H1" s="73"/>
      <c r="I1" s="73"/>
      <c r="J1" s="73"/>
      <c r="K1" s="73"/>
    </row>
    <row r="2" spans="1:13" s="6" customFormat="1" ht="12.75" customHeight="1" x14ac:dyDescent="0.2">
      <c r="B2" s="15"/>
      <c r="C2" s="18"/>
      <c r="F2" s="8"/>
    </row>
    <row r="3" spans="1:13" s="6" customFormat="1" ht="12.75" customHeight="1" x14ac:dyDescent="0.2">
      <c r="B3" s="15"/>
      <c r="C3" s="18"/>
      <c r="F3" s="8"/>
    </row>
    <row r="4" spans="1:13" s="6" customFormat="1" ht="12.75" customHeight="1" x14ac:dyDescent="0.2">
      <c r="A4" s="7" t="s">
        <v>0</v>
      </c>
      <c r="B4" s="7" t="s">
        <v>5</v>
      </c>
      <c r="C4" s="19" t="s">
        <v>3</v>
      </c>
      <c r="D4" s="7" t="s">
        <v>4</v>
      </c>
      <c r="E4" s="7" t="s">
        <v>755</v>
      </c>
      <c r="F4" s="9" t="s">
        <v>756</v>
      </c>
      <c r="G4" s="7" t="s">
        <v>6</v>
      </c>
      <c r="H4" s="7" t="s">
        <v>847</v>
      </c>
      <c r="I4" s="7" t="s">
        <v>7</v>
      </c>
      <c r="J4" s="7" t="s">
        <v>1</v>
      </c>
      <c r="K4" s="7" t="s">
        <v>2</v>
      </c>
    </row>
    <row r="5" spans="1:13" ht="12.75" customHeight="1" x14ac:dyDescent="0.2">
      <c r="A5" s="3" t="s">
        <v>425</v>
      </c>
      <c r="B5" s="24">
        <v>469</v>
      </c>
      <c r="C5" s="20" t="s">
        <v>426</v>
      </c>
      <c r="D5" s="5">
        <v>31053</v>
      </c>
      <c r="E5" s="5" t="s">
        <v>822</v>
      </c>
      <c r="F5" s="11">
        <v>1723567</v>
      </c>
      <c r="G5" s="1">
        <v>5171</v>
      </c>
      <c r="H5" s="4">
        <f t="shared" ref="H5:H76" si="0">IF(F5&lt;3080000,F5*3%,IF(F5&gt;=3080000,3080000*3%,0))</f>
        <v>51707.009999999995</v>
      </c>
      <c r="I5" s="4">
        <v>4137</v>
      </c>
      <c r="J5" s="4">
        <v>63772</v>
      </c>
      <c r="K5" s="4">
        <v>34471</v>
      </c>
      <c r="M5" s="5"/>
    </row>
    <row r="6" spans="1:13" ht="12.75" customHeight="1" x14ac:dyDescent="0.2">
      <c r="A6" s="3" t="s">
        <v>463</v>
      </c>
      <c r="B6" s="24">
        <v>484</v>
      </c>
      <c r="C6" s="20" t="s">
        <v>464</v>
      </c>
      <c r="D6" s="5">
        <v>31227</v>
      </c>
      <c r="E6" s="5" t="s">
        <v>822</v>
      </c>
      <c r="F6" s="11">
        <v>1983522.5</v>
      </c>
      <c r="G6" s="1">
        <v>5951</v>
      </c>
      <c r="H6" s="4">
        <f t="shared" si="0"/>
        <v>59505.674999999996</v>
      </c>
      <c r="I6" s="4">
        <v>4760</v>
      </c>
      <c r="J6" s="4">
        <v>73390</v>
      </c>
      <c r="K6" s="4">
        <v>39670</v>
      </c>
      <c r="M6" s="5"/>
    </row>
    <row r="7" spans="1:13" ht="12.75" customHeight="1" x14ac:dyDescent="0.2">
      <c r="A7" s="3" t="s">
        <v>469</v>
      </c>
      <c r="B7" s="24">
        <v>575</v>
      </c>
      <c r="C7" s="20" t="s">
        <v>470</v>
      </c>
      <c r="D7" s="5">
        <v>31297</v>
      </c>
      <c r="E7" s="5" t="s">
        <v>822</v>
      </c>
      <c r="F7" s="11">
        <v>1329585</v>
      </c>
      <c r="G7" s="1">
        <v>4620</v>
      </c>
      <c r="H7" s="4">
        <f t="shared" si="0"/>
        <v>39887.549999999996</v>
      </c>
      <c r="I7" s="4">
        <v>3696</v>
      </c>
      <c r="J7" s="4">
        <v>56983</v>
      </c>
      <c r="K7" s="4">
        <v>30801</v>
      </c>
      <c r="M7" s="5"/>
    </row>
    <row r="8" spans="1:13" ht="12.75" customHeight="1" x14ac:dyDescent="0.2">
      <c r="A8" s="3" t="s">
        <v>473</v>
      </c>
      <c r="B8" s="24">
        <v>856</v>
      </c>
      <c r="C8" s="20" t="s">
        <v>474</v>
      </c>
      <c r="D8" s="5">
        <v>31096</v>
      </c>
      <c r="E8" s="5" t="s">
        <v>822</v>
      </c>
      <c r="F8" s="11">
        <v>1540069</v>
      </c>
      <c r="G8" s="1">
        <v>4620</v>
      </c>
      <c r="H8" s="4">
        <f t="shared" si="0"/>
        <v>46202.07</v>
      </c>
      <c r="I8" s="4">
        <v>3696</v>
      </c>
      <c r="J8" s="4">
        <v>56983</v>
      </c>
      <c r="K8" s="4">
        <v>30801</v>
      </c>
      <c r="M8" s="5"/>
    </row>
    <row r="9" spans="1:13" ht="12.75" customHeight="1" x14ac:dyDescent="0.2">
      <c r="A9" s="3" t="s">
        <v>602</v>
      </c>
      <c r="B9" s="24">
        <v>1286</v>
      </c>
      <c r="C9" s="21">
        <v>12034862545</v>
      </c>
      <c r="D9" s="5">
        <v>33850</v>
      </c>
      <c r="E9" s="5" t="s">
        <v>822</v>
      </c>
      <c r="F9" s="11">
        <v>1540069</v>
      </c>
      <c r="G9" s="1">
        <v>4620</v>
      </c>
      <c r="H9" s="4">
        <f t="shared" si="0"/>
        <v>46202.07</v>
      </c>
      <c r="I9" s="4">
        <v>3696</v>
      </c>
      <c r="J9" s="4">
        <v>56983</v>
      </c>
      <c r="K9" s="4">
        <v>30801</v>
      </c>
      <c r="M9" s="5"/>
    </row>
    <row r="10" spans="1:13" ht="12.75" customHeight="1" x14ac:dyDescent="0.2">
      <c r="A10" s="3" t="s">
        <v>476</v>
      </c>
      <c r="B10" s="24">
        <v>1288</v>
      </c>
      <c r="C10" s="21">
        <v>12034863469</v>
      </c>
      <c r="D10" s="5">
        <v>33057</v>
      </c>
      <c r="E10" s="5" t="s">
        <v>822</v>
      </c>
      <c r="F10" s="11">
        <v>1540069</v>
      </c>
      <c r="G10" s="1">
        <v>4620</v>
      </c>
      <c r="H10" s="4">
        <f t="shared" si="0"/>
        <v>46202.07</v>
      </c>
      <c r="I10" s="4">
        <v>3696</v>
      </c>
      <c r="J10" s="4">
        <v>56983</v>
      </c>
      <c r="K10" s="4">
        <v>30801</v>
      </c>
      <c r="M10" s="5"/>
    </row>
    <row r="11" spans="1:13" ht="12.75" customHeight="1" x14ac:dyDescent="0.2">
      <c r="A11" s="3" t="s">
        <v>465</v>
      </c>
      <c r="B11" s="24">
        <v>1292</v>
      </c>
      <c r="C11" s="21">
        <v>12034863402</v>
      </c>
      <c r="D11" s="5">
        <v>34448</v>
      </c>
      <c r="E11" s="5" t="s">
        <v>822</v>
      </c>
      <c r="F11" s="11">
        <v>1540069</v>
      </c>
      <c r="G11" s="1">
        <v>4620</v>
      </c>
      <c r="H11" s="4">
        <f t="shared" si="0"/>
        <v>46202.07</v>
      </c>
      <c r="I11" s="4">
        <v>3696</v>
      </c>
      <c r="J11" s="4">
        <v>56983</v>
      </c>
      <c r="K11" s="4">
        <v>30801</v>
      </c>
      <c r="M11" s="5"/>
    </row>
    <row r="12" spans="1:13" ht="12.75" customHeight="1" x14ac:dyDescent="0.2">
      <c r="A12" s="3" t="s">
        <v>468</v>
      </c>
      <c r="B12" s="24">
        <v>1293</v>
      </c>
      <c r="C12" s="21">
        <v>12034863436</v>
      </c>
      <c r="D12" s="5">
        <v>31801</v>
      </c>
      <c r="E12" s="5" t="s">
        <v>822</v>
      </c>
      <c r="F12" s="11">
        <v>1540069</v>
      </c>
      <c r="G12" s="1">
        <v>4620</v>
      </c>
      <c r="H12" s="4">
        <f t="shared" si="0"/>
        <v>46202.07</v>
      </c>
      <c r="I12" s="4">
        <v>3696</v>
      </c>
      <c r="J12" s="4">
        <v>56983</v>
      </c>
      <c r="K12" s="4">
        <v>30801</v>
      </c>
      <c r="M12" s="5"/>
    </row>
    <row r="13" spans="1:13" ht="12.75" customHeight="1" x14ac:dyDescent="0.2">
      <c r="A13" s="3" t="s">
        <v>742</v>
      </c>
      <c r="B13" s="24">
        <v>1297</v>
      </c>
      <c r="C13" s="21">
        <v>12034863568</v>
      </c>
      <c r="D13" s="5">
        <v>30051</v>
      </c>
      <c r="E13" s="5" t="s">
        <v>822</v>
      </c>
      <c r="F13" s="11">
        <v>1540069</v>
      </c>
      <c r="G13" s="1">
        <v>4620</v>
      </c>
      <c r="H13" s="4">
        <f t="shared" si="0"/>
        <v>46202.07</v>
      </c>
      <c r="I13" s="4">
        <v>3696</v>
      </c>
      <c r="J13" s="4">
        <v>56983</v>
      </c>
      <c r="K13" s="4">
        <v>30801</v>
      </c>
      <c r="M13" s="5"/>
    </row>
    <row r="14" spans="1:13" ht="12.75" customHeight="1" x14ac:dyDescent="0.2">
      <c r="A14" s="3" t="s">
        <v>752</v>
      </c>
      <c r="B14" s="24">
        <v>1330</v>
      </c>
      <c r="C14" s="21">
        <v>12034863576</v>
      </c>
      <c r="D14" s="5">
        <v>30472</v>
      </c>
      <c r="E14" s="5" t="s">
        <v>822</v>
      </c>
      <c r="F14" s="11">
        <v>2189957.5</v>
      </c>
      <c r="G14" s="1">
        <v>6570</v>
      </c>
      <c r="H14" s="4">
        <f t="shared" si="0"/>
        <v>65698.724999999991</v>
      </c>
      <c r="I14" s="4">
        <v>5256</v>
      </c>
      <c r="J14" s="4">
        <v>81028</v>
      </c>
      <c r="K14" s="4">
        <v>43799</v>
      </c>
      <c r="M14" s="5"/>
    </row>
    <row r="15" spans="1:13" ht="12.75" customHeight="1" x14ac:dyDescent="0.2">
      <c r="A15" s="3"/>
      <c r="B15" s="24"/>
      <c r="C15" s="21"/>
      <c r="D15" s="5"/>
      <c r="E15" s="5"/>
      <c r="F15" s="11"/>
      <c r="G15" s="37">
        <f>SUM(G5:G14)</f>
        <v>50032</v>
      </c>
      <c r="H15" s="37">
        <f>SUM(H5:H14)</f>
        <v>494011.38</v>
      </c>
      <c r="I15" s="37">
        <f>SUM(I5:I14)</f>
        <v>40025</v>
      </c>
      <c r="J15" s="37">
        <f>SUM(J5:J14)</f>
        <v>617071</v>
      </c>
      <c r="K15" s="37">
        <f>SUM(K5:K14)</f>
        <v>333547</v>
      </c>
      <c r="M15" s="5"/>
    </row>
    <row r="16" spans="1:13" ht="12.75" customHeight="1" x14ac:dyDescent="0.2">
      <c r="A16" s="3" t="s">
        <v>723</v>
      </c>
      <c r="B16" s="24">
        <v>585</v>
      </c>
      <c r="C16" s="20" t="s">
        <v>724</v>
      </c>
      <c r="D16" s="5">
        <v>31511</v>
      </c>
      <c r="E16" s="5" t="s">
        <v>828</v>
      </c>
      <c r="F16" s="11">
        <v>1540069</v>
      </c>
      <c r="G16" s="1">
        <v>4620</v>
      </c>
      <c r="H16" s="4">
        <f t="shared" si="0"/>
        <v>46202.07</v>
      </c>
      <c r="I16" s="4">
        <v>3696</v>
      </c>
      <c r="J16" s="4">
        <v>56983</v>
      </c>
      <c r="K16" s="4">
        <v>30801</v>
      </c>
      <c r="M16" s="5"/>
    </row>
    <row r="17" spans="1:13" ht="12.75" customHeight="1" x14ac:dyDescent="0.2">
      <c r="A17" s="3" t="s">
        <v>704</v>
      </c>
      <c r="B17" s="24">
        <v>637</v>
      </c>
      <c r="C17" s="20" t="s">
        <v>705</v>
      </c>
      <c r="D17" s="5">
        <v>33917</v>
      </c>
      <c r="E17" s="5" t="s">
        <v>828</v>
      </c>
      <c r="F17" s="11">
        <v>1723567</v>
      </c>
      <c r="G17" s="1">
        <v>5171</v>
      </c>
      <c r="H17" s="4">
        <f t="shared" si="0"/>
        <v>51707.009999999995</v>
      </c>
      <c r="I17" s="4">
        <v>4137</v>
      </c>
      <c r="J17" s="4">
        <v>63772</v>
      </c>
      <c r="K17" s="4">
        <v>34471</v>
      </c>
      <c r="M17" s="5"/>
    </row>
    <row r="18" spans="1:13" ht="12.75" customHeight="1" x14ac:dyDescent="0.2">
      <c r="A18" s="3" t="s">
        <v>572</v>
      </c>
      <c r="B18" s="24">
        <v>1320</v>
      </c>
      <c r="C18" s="21">
        <v>12034863493</v>
      </c>
      <c r="D18" s="5">
        <v>34463</v>
      </c>
      <c r="E18" s="5" t="s">
        <v>828</v>
      </c>
      <c r="F18" s="11">
        <v>1606900</v>
      </c>
      <c r="G18" s="1">
        <v>5171</v>
      </c>
      <c r="H18" s="4">
        <f t="shared" si="0"/>
        <v>48207</v>
      </c>
      <c r="I18" s="4">
        <v>4137</v>
      </c>
      <c r="J18" s="4">
        <v>63772</v>
      </c>
      <c r="K18" s="4">
        <v>34471</v>
      </c>
      <c r="M18" s="5"/>
    </row>
    <row r="19" spans="1:13" ht="12.75" customHeight="1" x14ac:dyDescent="0.2">
      <c r="A19" s="3" t="s">
        <v>466</v>
      </c>
      <c r="B19" s="24">
        <v>1322</v>
      </c>
      <c r="C19" s="21">
        <v>12034863410</v>
      </c>
      <c r="D19" s="5">
        <v>32669</v>
      </c>
      <c r="E19" s="5" t="s">
        <v>828</v>
      </c>
      <c r="F19" s="11">
        <v>1540069</v>
      </c>
      <c r="G19" s="1">
        <v>4620</v>
      </c>
      <c r="H19" s="4">
        <f t="shared" si="0"/>
        <v>46202.07</v>
      </c>
      <c r="I19" s="4">
        <v>3696</v>
      </c>
      <c r="J19" s="4">
        <v>56983</v>
      </c>
      <c r="K19" s="4">
        <v>30801</v>
      </c>
      <c r="M19" s="5"/>
    </row>
    <row r="20" spans="1:13" ht="12.75" customHeight="1" x14ac:dyDescent="0.2">
      <c r="A20" s="3" t="s">
        <v>424</v>
      </c>
      <c r="B20" s="24">
        <v>1465</v>
      </c>
      <c r="C20" s="21">
        <v>12037894644</v>
      </c>
      <c r="D20" s="5">
        <v>33229</v>
      </c>
      <c r="E20" s="5" t="s">
        <v>828</v>
      </c>
      <c r="F20" s="11">
        <v>1540069</v>
      </c>
      <c r="G20" s="1">
        <v>4620</v>
      </c>
      <c r="H20" s="4">
        <f t="shared" si="0"/>
        <v>46202.07</v>
      </c>
      <c r="I20" s="4">
        <v>3696</v>
      </c>
      <c r="J20" s="4">
        <v>56983</v>
      </c>
      <c r="K20" s="4">
        <v>30801</v>
      </c>
      <c r="M20" s="5"/>
    </row>
    <row r="21" spans="1:13" ht="12.75" customHeight="1" x14ac:dyDescent="0.2">
      <c r="A21" s="3" t="s">
        <v>588</v>
      </c>
      <c r="B21" s="24">
        <v>1475</v>
      </c>
      <c r="C21" s="21">
        <v>12037894651</v>
      </c>
      <c r="D21" s="5">
        <v>34013</v>
      </c>
      <c r="E21" s="5" t="s">
        <v>828</v>
      </c>
      <c r="F21" s="11">
        <v>1540069</v>
      </c>
      <c r="G21" s="1">
        <v>4620</v>
      </c>
      <c r="H21" s="4">
        <f t="shared" si="0"/>
        <v>46202.07</v>
      </c>
      <c r="I21" s="4">
        <v>3696</v>
      </c>
      <c r="J21" s="4">
        <v>56983</v>
      </c>
      <c r="K21" s="4">
        <v>30801</v>
      </c>
      <c r="M21" s="5"/>
    </row>
    <row r="22" spans="1:13" ht="12.75" customHeight="1" x14ac:dyDescent="0.2">
      <c r="A22" s="3" t="s">
        <v>384</v>
      </c>
      <c r="B22" s="24">
        <v>1738</v>
      </c>
      <c r="C22" s="31" t="s">
        <v>861</v>
      </c>
      <c r="D22" s="5">
        <v>30837</v>
      </c>
      <c r="E22" s="5" t="s">
        <v>828</v>
      </c>
      <c r="F22" s="11">
        <v>1623567</v>
      </c>
      <c r="G22" s="1">
        <v>5171</v>
      </c>
      <c r="H22" s="4">
        <f t="shared" si="0"/>
        <v>48707.009999999995</v>
      </c>
      <c r="I22" s="4">
        <v>4137</v>
      </c>
      <c r="J22" s="4">
        <v>63772</v>
      </c>
      <c r="K22" s="4">
        <v>34471</v>
      </c>
      <c r="M22" s="5"/>
    </row>
    <row r="23" spans="1:13" ht="12.75" customHeight="1" x14ac:dyDescent="0.2">
      <c r="A23" s="3"/>
      <c r="B23" s="24"/>
      <c r="C23" s="31"/>
      <c r="D23" s="5"/>
      <c r="E23" s="5"/>
      <c r="F23" s="11"/>
      <c r="G23" s="37">
        <f>SUM(G16:G22)</f>
        <v>33993</v>
      </c>
      <c r="H23" s="37">
        <f>SUM(H16:H22)</f>
        <v>333429.3</v>
      </c>
      <c r="I23" s="37">
        <f>SUM(I16:I22)</f>
        <v>27195</v>
      </c>
      <c r="J23" s="37">
        <f>SUM(J16:J22)</f>
        <v>419248</v>
      </c>
      <c r="K23" s="37">
        <f>SUM(K16:K22)</f>
        <v>226617</v>
      </c>
      <c r="M23" s="5"/>
    </row>
    <row r="24" spans="1:13" ht="12.75" customHeight="1" x14ac:dyDescent="0.2">
      <c r="A24" s="3" t="s">
        <v>630</v>
      </c>
      <c r="B24" s="24">
        <v>1337</v>
      </c>
      <c r="C24" s="21">
        <v>12034863527</v>
      </c>
      <c r="D24" s="5">
        <v>31830</v>
      </c>
      <c r="E24" s="5" t="s">
        <v>842</v>
      </c>
      <c r="F24" s="11">
        <v>1983522.5</v>
      </c>
      <c r="G24" s="1">
        <v>5951</v>
      </c>
      <c r="H24" s="4">
        <f t="shared" si="0"/>
        <v>59505.674999999996</v>
      </c>
      <c r="I24" s="4">
        <v>4760</v>
      </c>
      <c r="J24" s="4">
        <v>73390</v>
      </c>
      <c r="K24" s="4">
        <v>39670</v>
      </c>
      <c r="M24" s="5"/>
    </row>
    <row r="25" spans="1:13" ht="12.75" customHeight="1" x14ac:dyDescent="0.2">
      <c r="A25" s="3" t="s">
        <v>518</v>
      </c>
      <c r="B25" s="24">
        <v>1540</v>
      </c>
      <c r="C25" s="31" t="s">
        <v>861</v>
      </c>
      <c r="D25" s="5">
        <v>30876</v>
      </c>
      <c r="E25" s="5" t="s">
        <v>842</v>
      </c>
      <c r="F25" s="11">
        <v>2358164.5</v>
      </c>
      <c r="G25" s="1">
        <v>7074</v>
      </c>
      <c r="H25" s="4">
        <f t="shared" si="0"/>
        <v>70744.934999999998</v>
      </c>
      <c r="I25" s="4">
        <v>5660</v>
      </c>
      <c r="J25" s="4">
        <v>87252</v>
      </c>
      <c r="K25" s="4">
        <v>47163</v>
      </c>
      <c r="M25" s="5"/>
    </row>
    <row r="26" spans="1:13" ht="12.75" customHeight="1" x14ac:dyDescent="0.2">
      <c r="A26" s="3" t="s">
        <v>381</v>
      </c>
      <c r="B26" s="24">
        <v>1617</v>
      </c>
      <c r="C26" s="31" t="s">
        <v>861</v>
      </c>
      <c r="D26" s="5">
        <v>32248</v>
      </c>
      <c r="E26" s="5" t="s">
        <v>842</v>
      </c>
      <c r="F26" s="11">
        <v>1540069</v>
      </c>
      <c r="G26" s="1">
        <v>4620</v>
      </c>
      <c r="H26" s="4">
        <f t="shared" si="0"/>
        <v>46202.07</v>
      </c>
      <c r="I26" s="4">
        <v>3696</v>
      </c>
      <c r="J26" s="4">
        <v>56983</v>
      </c>
      <c r="K26" s="4">
        <v>30801</v>
      </c>
      <c r="M26" s="5"/>
    </row>
    <row r="27" spans="1:13" ht="12.75" customHeight="1" x14ac:dyDescent="0.2">
      <c r="A27" s="3" t="s">
        <v>195</v>
      </c>
      <c r="B27" s="24">
        <v>1651</v>
      </c>
      <c r="C27" s="31" t="s">
        <v>861</v>
      </c>
      <c r="D27" s="5">
        <v>33939</v>
      </c>
      <c r="E27" s="5" t="s">
        <v>842</v>
      </c>
      <c r="F27" s="11">
        <v>1540069</v>
      </c>
      <c r="G27" s="1">
        <v>4620</v>
      </c>
      <c r="H27" s="4">
        <f t="shared" si="0"/>
        <v>46202.07</v>
      </c>
      <c r="I27" s="4">
        <v>3696</v>
      </c>
      <c r="J27" s="4">
        <v>56983</v>
      </c>
      <c r="K27" s="4">
        <v>30801</v>
      </c>
      <c r="M27" s="5"/>
    </row>
    <row r="28" spans="1:13" ht="12.75" customHeight="1" x14ac:dyDescent="0.2">
      <c r="A28" s="3"/>
      <c r="B28" s="24"/>
      <c r="C28" s="31"/>
      <c r="D28" s="5"/>
      <c r="E28" s="5"/>
      <c r="F28" s="11"/>
      <c r="G28" s="37">
        <f>SUM(G24:G27)</f>
        <v>22265</v>
      </c>
      <c r="H28" s="37">
        <f>SUM(H24:H27)</f>
        <v>222654.75</v>
      </c>
      <c r="I28" s="37">
        <f>SUM(I24:I27)</f>
        <v>17812</v>
      </c>
      <c r="J28" s="37">
        <f>SUM(J24:J27)</f>
        <v>274608</v>
      </c>
      <c r="K28" s="37">
        <f>SUM(K24:K27)</f>
        <v>148435</v>
      </c>
      <c r="M28" s="5"/>
    </row>
    <row r="29" spans="1:13" ht="12.75" customHeight="1" x14ac:dyDescent="0.2">
      <c r="A29" s="3" t="s">
        <v>120</v>
      </c>
      <c r="B29" s="24">
        <v>466</v>
      </c>
      <c r="C29" s="20" t="s">
        <v>121</v>
      </c>
      <c r="D29" s="5">
        <v>31652</v>
      </c>
      <c r="E29" s="5" t="s">
        <v>821</v>
      </c>
      <c r="F29" s="11">
        <v>1723567</v>
      </c>
      <c r="G29" s="1">
        <v>5171</v>
      </c>
      <c r="H29" s="4">
        <f t="shared" si="0"/>
        <v>51707.009999999995</v>
      </c>
      <c r="I29" s="4">
        <v>4137</v>
      </c>
      <c r="J29" s="4">
        <v>63772</v>
      </c>
      <c r="K29" s="4">
        <v>34471</v>
      </c>
      <c r="M29" s="5"/>
    </row>
    <row r="30" spans="1:13" ht="12.75" customHeight="1" x14ac:dyDescent="0.2">
      <c r="A30" s="3" t="s">
        <v>471</v>
      </c>
      <c r="B30" s="24">
        <v>1194</v>
      </c>
      <c r="C30" s="20" t="s">
        <v>472</v>
      </c>
      <c r="D30" s="5">
        <v>30053</v>
      </c>
      <c r="E30" s="5" t="s">
        <v>821</v>
      </c>
      <c r="F30" s="11">
        <v>1540069</v>
      </c>
      <c r="G30" s="1">
        <v>4620</v>
      </c>
      <c r="H30" s="4">
        <f t="shared" si="0"/>
        <v>46202.07</v>
      </c>
      <c r="I30" s="4">
        <v>3696</v>
      </c>
      <c r="J30" s="4">
        <v>56983</v>
      </c>
      <c r="K30" s="4">
        <v>30801</v>
      </c>
      <c r="M30" s="5"/>
    </row>
    <row r="31" spans="1:13" ht="12.75" customHeight="1" x14ac:dyDescent="0.2">
      <c r="A31" s="3" t="s">
        <v>522</v>
      </c>
      <c r="B31" s="24">
        <v>1285</v>
      </c>
      <c r="C31" s="21">
        <v>12034862529</v>
      </c>
      <c r="D31" s="5">
        <v>31064</v>
      </c>
      <c r="E31" s="5" t="s">
        <v>821</v>
      </c>
      <c r="F31" s="11">
        <v>1540069</v>
      </c>
      <c r="G31" s="1">
        <v>4620</v>
      </c>
      <c r="H31" s="4">
        <f t="shared" si="0"/>
        <v>46202.07</v>
      </c>
      <c r="I31" s="4">
        <v>3696</v>
      </c>
      <c r="J31" s="4">
        <v>56983</v>
      </c>
      <c r="K31" s="4">
        <v>30801</v>
      </c>
      <c r="M31" s="5"/>
    </row>
    <row r="32" spans="1:13" ht="12.75" customHeight="1" x14ac:dyDescent="0.2">
      <c r="A32" s="3" t="s">
        <v>255</v>
      </c>
      <c r="B32" s="24">
        <v>1287</v>
      </c>
      <c r="C32" s="21">
        <v>12034862487</v>
      </c>
      <c r="D32" s="5">
        <v>33361</v>
      </c>
      <c r="E32" s="5" t="s">
        <v>821</v>
      </c>
      <c r="F32" s="11">
        <v>1540069</v>
      </c>
      <c r="G32" s="1">
        <v>4620</v>
      </c>
      <c r="H32" s="4">
        <f t="shared" si="0"/>
        <v>46202.07</v>
      </c>
      <c r="I32" s="4">
        <v>3696</v>
      </c>
      <c r="J32" s="4">
        <v>56983</v>
      </c>
      <c r="K32" s="4">
        <v>30801</v>
      </c>
      <c r="M32" s="5"/>
    </row>
    <row r="33" spans="1:13" ht="12.75" customHeight="1" x14ac:dyDescent="0.2">
      <c r="A33" s="3" t="s">
        <v>389</v>
      </c>
      <c r="B33" s="24">
        <v>1290</v>
      </c>
      <c r="C33" s="21">
        <v>12034863329</v>
      </c>
      <c r="D33" s="5">
        <v>34448</v>
      </c>
      <c r="E33" s="5" t="s">
        <v>821</v>
      </c>
      <c r="F33" s="11">
        <v>1540069</v>
      </c>
      <c r="G33" s="1">
        <v>4620</v>
      </c>
      <c r="H33" s="4">
        <f t="shared" si="0"/>
        <v>46202.07</v>
      </c>
      <c r="I33" s="4">
        <v>3696</v>
      </c>
      <c r="J33" s="4">
        <v>56983</v>
      </c>
      <c r="K33" s="4">
        <v>30801</v>
      </c>
      <c r="M33" s="5"/>
    </row>
    <row r="34" spans="1:13" ht="12.75" customHeight="1" x14ac:dyDescent="0.2">
      <c r="A34" s="3" t="s">
        <v>419</v>
      </c>
      <c r="B34" s="24">
        <v>1291</v>
      </c>
      <c r="C34" s="21">
        <v>12034863378</v>
      </c>
      <c r="D34" s="5">
        <v>31433</v>
      </c>
      <c r="E34" s="5" t="s">
        <v>821</v>
      </c>
      <c r="F34" s="11">
        <v>1540069</v>
      </c>
      <c r="G34" s="1">
        <v>4620</v>
      </c>
      <c r="H34" s="4">
        <f t="shared" si="0"/>
        <v>46202.07</v>
      </c>
      <c r="I34" s="4">
        <v>3696</v>
      </c>
      <c r="J34" s="4">
        <v>56983</v>
      </c>
      <c r="K34" s="4">
        <v>30801</v>
      </c>
      <c r="M34" s="5"/>
    </row>
    <row r="35" spans="1:13" ht="12.75" customHeight="1" x14ac:dyDescent="0.2">
      <c r="A35" s="3" t="s">
        <v>475</v>
      </c>
      <c r="B35" s="24">
        <v>1294</v>
      </c>
      <c r="C35" s="21">
        <v>12034863444</v>
      </c>
      <c r="D35" s="5">
        <v>31336</v>
      </c>
      <c r="E35" s="5" t="s">
        <v>821</v>
      </c>
      <c r="F35" s="11">
        <v>1540069</v>
      </c>
      <c r="G35" s="1">
        <v>4620</v>
      </c>
      <c r="H35" s="4">
        <f t="shared" si="0"/>
        <v>46202.07</v>
      </c>
      <c r="I35" s="4">
        <v>3696</v>
      </c>
      <c r="J35" s="4">
        <v>56983</v>
      </c>
      <c r="K35" s="4">
        <v>30801</v>
      </c>
      <c r="M35" s="5"/>
    </row>
    <row r="36" spans="1:13" ht="12.75" customHeight="1" x14ac:dyDescent="0.2">
      <c r="A36" s="3" t="s">
        <v>467</v>
      </c>
      <c r="B36" s="24">
        <v>1336</v>
      </c>
      <c r="C36" s="21">
        <v>12034863428</v>
      </c>
      <c r="D36" s="5">
        <v>31127</v>
      </c>
      <c r="E36" s="5" t="s">
        <v>821</v>
      </c>
      <c r="F36" s="11">
        <v>2901012.5</v>
      </c>
      <c r="G36" s="1">
        <v>8703</v>
      </c>
      <c r="H36" s="4">
        <f t="shared" si="0"/>
        <v>87030.375</v>
      </c>
      <c r="I36" s="4">
        <v>6962</v>
      </c>
      <c r="J36" s="4">
        <v>107337</v>
      </c>
      <c r="K36" s="4">
        <v>58020</v>
      </c>
      <c r="M36" s="5"/>
    </row>
    <row r="37" spans="1:13" ht="12.75" customHeight="1" x14ac:dyDescent="0.2">
      <c r="A37" s="3"/>
      <c r="B37" s="24"/>
      <c r="C37" s="21"/>
      <c r="D37" s="5"/>
      <c r="E37" s="5"/>
      <c r="F37" s="11"/>
      <c r="G37" s="37">
        <f>SUM(G29:G36)</f>
        <v>41594</v>
      </c>
      <c r="H37" s="37">
        <f>SUM(H29:H36)</f>
        <v>415949.80499999999</v>
      </c>
      <c r="I37" s="37">
        <f>SUM(I29:I36)</f>
        <v>33275</v>
      </c>
      <c r="J37" s="37">
        <f>SUM(J29:J36)</f>
        <v>513007</v>
      </c>
      <c r="K37" s="37">
        <f>SUM(K29:K36)</f>
        <v>277297</v>
      </c>
      <c r="M37" s="5"/>
    </row>
    <row r="38" spans="1:13" ht="12.75" customHeight="1" x14ac:dyDescent="0.2">
      <c r="A38" s="3" t="s">
        <v>324</v>
      </c>
      <c r="B38" s="24">
        <v>620</v>
      </c>
      <c r="C38" s="20" t="s">
        <v>325</v>
      </c>
      <c r="D38" s="5">
        <v>32985</v>
      </c>
      <c r="E38" s="5" t="s">
        <v>830</v>
      </c>
      <c r="F38" s="11">
        <v>1723567</v>
      </c>
      <c r="G38" s="1">
        <v>5171</v>
      </c>
      <c r="H38" s="4">
        <f t="shared" si="0"/>
        <v>51707.009999999995</v>
      </c>
      <c r="I38" s="4">
        <v>4137</v>
      </c>
      <c r="J38" s="4">
        <v>63772</v>
      </c>
      <c r="K38" s="4">
        <v>34471</v>
      </c>
      <c r="M38" s="5"/>
    </row>
    <row r="39" spans="1:13" ht="12.75" customHeight="1" x14ac:dyDescent="0.2">
      <c r="A39" s="3" t="s">
        <v>689</v>
      </c>
      <c r="B39" s="24">
        <v>755</v>
      </c>
      <c r="C39" s="20" t="s">
        <v>690</v>
      </c>
      <c r="D39" s="5">
        <v>30626</v>
      </c>
      <c r="E39" s="5" t="s">
        <v>830</v>
      </c>
      <c r="F39" s="11">
        <v>2595182.5</v>
      </c>
      <c r="G39" s="1">
        <v>7786</v>
      </c>
      <c r="H39" s="4">
        <f t="shared" si="0"/>
        <v>77855.474999999991</v>
      </c>
      <c r="I39" s="4">
        <v>6228</v>
      </c>
      <c r="J39" s="4">
        <v>96022</v>
      </c>
      <c r="K39" s="4">
        <v>51904</v>
      </c>
      <c r="M39" s="5"/>
    </row>
    <row r="40" spans="1:13" ht="12.75" customHeight="1" x14ac:dyDescent="0.2">
      <c r="A40" s="3" t="s">
        <v>179</v>
      </c>
      <c r="B40" s="24">
        <v>766</v>
      </c>
      <c r="C40" s="20" t="s">
        <v>180</v>
      </c>
      <c r="D40" s="5">
        <v>34107</v>
      </c>
      <c r="E40" s="5" t="s">
        <v>830</v>
      </c>
      <c r="F40" s="11">
        <v>1540069</v>
      </c>
      <c r="G40" s="1">
        <v>4620</v>
      </c>
      <c r="H40" s="4">
        <f t="shared" si="0"/>
        <v>46202.07</v>
      </c>
      <c r="I40" s="4">
        <v>3696</v>
      </c>
      <c r="J40" s="4">
        <v>56983</v>
      </c>
      <c r="K40" s="4">
        <v>30801</v>
      </c>
      <c r="M40" s="5"/>
    </row>
    <row r="41" spans="1:13" ht="12.75" customHeight="1" x14ac:dyDescent="0.2">
      <c r="A41" s="3" t="s">
        <v>228</v>
      </c>
      <c r="B41" s="24">
        <v>829</v>
      </c>
      <c r="C41" s="20" t="s">
        <v>229</v>
      </c>
      <c r="D41" s="5">
        <v>34176</v>
      </c>
      <c r="E41" s="5" t="s">
        <v>830</v>
      </c>
      <c r="F41" s="11">
        <v>1540069</v>
      </c>
      <c r="G41" s="1">
        <v>4620</v>
      </c>
      <c r="H41" s="4">
        <f t="shared" si="0"/>
        <v>46202.07</v>
      </c>
      <c r="I41" s="4">
        <v>3696</v>
      </c>
      <c r="J41" s="4">
        <v>56983</v>
      </c>
      <c r="K41" s="4">
        <v>30801</v>
      </c>
      <c r="M41" s="5"/>
    </row>
    <row r="42" spans="1:13" ht="12.75" customHeight="1" x14ac:dyDescent="0.2">
      <c r="A42" s="3" t="s">
        <v>126</v>
      </c>
      <c r="B42" s="24">
        <v>1091</v>
      </c>
      <c r="C42" s="20" t="s">
        <v>127</v>
      </c>
      <c r="D42" s="5">
        <v>33970</v>
      </c>
      <c r="E42" s="5" t="s">
        <v>830</v>
      </c>
      <c r="F42" s="11">
        <v>1540069</v>
      </c>
      <c r="G42" s="1">
        <v>4620</v>
      </c>
      <c r="H42" s="4">
        <f t="shared" si="0"/>
        <v>46202.07</v>
      </c>
      <c r="I42" s="4">
        <v>3696</v>
      </c>
      <c r="J42" s="4">
        <v>56983</v>
      </c>
      <c r="K42" s="4">
        <v>30801</v>
      </c>
      <c r="M42" s="5"/>
    </row>
    <row r="43" spans="1:13" ht="12.75" customHeight="1" x14ac:dyDescent="0.2">
      <c r="A43" s="3" t="s">
        <v>477</v>
      </c>
      <c r="B43" s="24">
        <v>1116</v>
      </c>
      <c r="C43" s="20" t="s">
        <v>478</v>
      </c>
      <c r="D43" s="5">
        <v>32733</v>
      </c>
      <c r="E43" s="5" t="s">
        <v>830</v>
      </c>
      <c r="F43" s="11">
        <v>1540069</v>
      </c>
      <c r="G43" s="1">
        <v>4620</v>
      </c>
      <c r="H43" s="4">
        <f t="shared" si="0"/>
        <v>46202.07</v>
      </c>
      <c r="I43" s="4">
        <v>3696</v>
      </c>
      <c r="J43" s="4">
        <v>56983</v>
      </c>
      <c r="K43" s="4">
        <v>30801</v>
      </c>
      <c r="M43" s="5"/>
    </row>
    <row r="44" spans="1:13" ht="12.75" customHeight="1" x14ac:dyDescent="0.2">
      <c r="A44" s="3" t="s">
        <v>495</v>
      </c>
      <c r="B44" s="24">
        <v>1736</v>
      </c>
      <c r="C44" s="31" t="s">
        <v>861</v>
      </c>
      <c r="D44" s="5">
        <v>32471</v>
      </c>
      <c r="E44" s="5" t="s">
        <v>830</v>
      </c>
      <c r="F44" s="11">
        <v>1365069</v>
      </c>
      <c r="G44" s="1">
        <v>4620</v>
      </c>
      <c r="H44" s="4">
        <f t="shared" si="0"/>
        <v>40952.07</v>
      </c>
      <c r="I44" s="4">
        <v>3696</v>
      </c>
      <c r="J44" s="4">
        <v>56983</v>
      </c>
      <c r="K44" s="4">
        <v>30801</v>
      </c>
      <c r="M44" s="5"/>
    </row>
    <row r="45" spans="1:13" ht="12.75" customHeight="1" x14ac:dyDescent="0.2">
      <c r="A45" s="3"/>
      <c r="B45" s="24"/>
      <c r="C45" s="31"/>
      <c r="D45" s="5"/>
      <c r="E45" s="5"/>
      <c r="F45" s="11"/>
      <c r="G45" s="37">
        <f>SUM(G38:G44)</f>
        <v>36057</v>
      </c>
      <c r="H45" s="37">
        <f>SUM(H38:H44)</f>
        <v>355322.83500000002</v>
      </c>
      <c r="I45" s="37">
        <f>SUM(I38:I44)</f>
        <v>28845</v>
      </c>
      <c r="J45" s="37">
        <f>SUM(J38:J44)</f>
        <v>444709</v>
      </c>
      <c r="K45" s="37">
        <f>SUM(K38:K44)</f>
        <v>240380</v>
      </c>
      <c r="M45" s="5"/>
    </row>
    <row r="46" spans="1:13" ht="12.75" customHeight="1" x14ac:dyDescent="0.2">
      <c r="A46" s="3" t="s">
        <v>280</v>
      </c>
      <c r="B46" s="24">
        <v>9</v>
      </c>
      <c r="C46" s="20" t="s">
        <v>281</v>
      </c>
      <c r="D46" s="5">
        <v>27183</v>
      </c>
      <c r="E46" s="5" t="s">
        <v>789</v>
      </c>
      <c r="F46" s="11">
        <v>2358164.5</v>
      </c>
      <c r="G46" s="1">
        <v>7074</v>
      </c>
      <c r="H46" s="4">
        <f t="shared" si="0"/>
        <v>70744.934999999998</v>
      </c>
      <c r="I46" s="4">
        <v>5660</v>
      </c>
      <c r="J46" s="4">
        <v>87252</v>
      </c>
      <c r="K46" s="4">
        <v>47163</v>
      </c>
      <c r="M46" s="5"/>
    </row>
    <row r="47" spans="1:13" ht="12.75" customHeight="1" x14ac:dyDescent="0.2">
      <c r="A47" s="3" t="s">
        <v>158</v>
      </c>
      <c r="B47" s="24">
        <v>340</v>
      </c>
      <c r="C47" s="20" t="s">
        <v>159</v>
      </c>
      <c r="D47" s="5">
        <v>31192</v>
      </c>
      <c r="E47" s="5" t="s">
        <v>789</v>
      </c>
      <c r="F47" s="11">
        <v>2121146.5</v>
      </c>
      <c r="G47" s="1">
        <v>6363</v>
      </c>
      <c r="H47" s="4">
        <f t="shared" si="0"/>
        <v>63634.394999999997</v>
      </c>
      <c r="I47" s="4">
        <v>5091</v>
      </c>
      <c r="J47" s="4">
        <v>78482</v>
      </c>
      <c r="K47" s="4">
        <v>42423</v>
      </c>
      <c r="M47" s="5"/>
    </row>
    <row r="48" spans="1:13" ht="12.75" customHeight="1" x14ac:dyDescent="0.2">
      <c r="A48" s="3" t="s">
        <v>553</v>
      </c>
      <c r="B48" s="24">
        <v>348</v>
      </c>
      <c r="C48" s="20" t="s">
        <v>554</v>
      </c>
      <c r="D48" s="5">
        <v>29092</v>
      </c>
      <c r="E48" s="5" t="s">
        <v>789</v>
      </c>
      <c r="F48" s="11">
        <v>1601235</v>
      </c>
      <c r="G48" s="1">
        <v>4804</v>
      </c>
      <c r="H48" s="4">
        <f t="shared" si="0"/>
        <v>48037.049999999996</v>
      </c>
      <c r="I48" s="4">
        <v>3843</v>
      </c>
      <c r="J48" s="4">
        <v>59246</v>
      </c>
      <c r="K48" s="4">
        <v>32025</v>
      </c>
      <c r="M48" s="5"/>
    </row>
    <row r="49" spans="1:13" ht="12.75" customHeight="1" x14ac:dyDescent="0.2">
      <c r="A49" s="3" t="s">
        <v>549</v>
      </c>
      <c r="B49" s="24">
        <v>372</v>
      </c>
      <c r="C49" s="20" t="s">
        <v>550</v>
      </c>
      <c r="D49" s="5">
        <v>30431</v>
      </c>
      <c r="E49" s="5" t="s">
        <v>789</v>
      </c>
      <c r="F49" s="11">
        <v>1983522.5</v>
      </c>
      <c r="G49" s="1">
        <v>5951</v>
      </c>
      <c r="H49" s="4">
        <f t="shared" si="0"/>
        <v>59505.674999999996</v>
      </c>
      <c r="I49" s="4">
        <v>4760</v>
      </c>
      <c r="J49" s="4">
        <v>73390</v>
      </c>
      <c r="K49" s="4">
        <v>39670</v>
      </c>
      <c r="M49" s="5"/>
    </row>
    <row r="50" spans="1:13" ht="12.75" customHeight="1" x14ac:dyDescent="0.2">
      <c r="A50" s="3" t="s">
        <v>218</v>
      </c>
      <c r="B50" s="24">
        <v>776</v>
      </c>
      <c r="C50" s="20" t="s">
        <v>219</v>
      </c>
      <c r="D50" s="5">
        <v>30400</v>
      </c>
      <c r="E50" s="5" t="s">
        <v>789</v>
      </c>
      <c r="F50" s="11">
        <v>1540069</v>
      </c>
      <c r="G50" s="1">
        <v>4620</v>
      </c>
      <c r="H50" s="4">
        <f t="shared" si="0"/>
        <v>46202.07</v>
      </c>
      <c r="I50" s="4">
        <v>3696</v>
      </c>
      <c r="J50" s="4">
        <v>56983</v>
      </c>
      <c r="K50" s="4">
        <v>30801</v>
      </c>
      <c r="M50" s="5"/>
    </row>
    <row r="51" spans="1:13" ht="12.75" customHeight="1" x14ac:dyDescent="0.2">
      <c r="A51" s="3" t="s">
        <v>263</v>
      </c>
      <c r="B51" s="24">
        <v>777</v>
      </c>
      <c r="C51" s="20" t="s">
        <v>264</v>
      </c>
      <c r="D51" s="5">
        <v>28961</v>
      </c>
      <c r="E51" s="5" t="s">
        <v>789</v>
      </c>
      <c r="F51" s="11">
        <v>1540069</v>
      </c>
      <c r="G51" s="1">
        <v>4620</v>
      </c>
      <c r="H51" s="4">
        <f t="shared" si="0"/>
        <v>46202.07</v>
      </c>
      <c r="I51" s="4">
        <v>3696</v>
      </c>
      <c r="J51" s="4">
        <v>56983</v>
      </c>
      <c r="K51" s="4">
        <v>30801</v>
      </c>
      <c r="M51" s="5"/>
    </row>
    <row r="52" spans="1:13" ht="12.75" customHeight="1" x14ac:dyDescent="0.2">
      <c r="A52" s="3" t="s">
        <v>484</v>
      </c>
      <c r="B52" s="24">
        <v>789</v>
      </c>
      <c r="C52" s="20" t="s">
        <v>485</v>
      </c>
      <c r="D52" s="5">
        <v>31319</v>
      </c>
      <c r="E52" s="5" t="s">
        <v>789</v>
      </c>
      <c r="F52" s="11">
        <v>1540069</v>
      </c>
      <c r="G52" s="1">
        <v>4620</v>
      </c>
      <c r="H52" s="4">
        <f t="shared" si="0"/>
        <v>46202.07</v>
      </c>
      <c r="I52" s="4">
        <v>3696</v>
      </c>
      <c r="J52" s="4">
        <v>56983</v>
      </c>
      <c r="K52" s="4">
        <v>30801</v>
      </c>
      <c r="M52" s="5"/>
    </row>
    <row r="53" spans="1:13" ht="12.75" customHeight="1" x14ac:dyDescent="0.2">
      <c r="A53" s="3" t="s">
        <v>596</v>
      </c>
      <c r="B53" s="24">
        <v>822</v>
      </c>
      <c r="C53" s="20" t="s">
        <v>597</v>
      </c>
      <c r="D53" s="5">
        <v>31038</v>
      </c>
      <c r="E53" s="5" t="s">
        <v>789</v>
      </c>
      <c r="F53" s="11">
        <v>1540069</v>
      </c>
      <c r="G53" s="1">
        <v>4620</v>
      </c>
      <c r="H53" s="4">
        <f t="shared" si="0"/>
        <v>46202.07</v>
      </c>
      <c r="I53" s="4">
        <v>3696</v>
      </c>
      <c r="J53" s="4">
        <v>56983</v>
      </c>
      <c r="K53" s="4">
        <v>30801</v>
      </c>
      <c r="M53" s="5"/>
    </row>
    <row r="54" spans="1:13" ht="12.75" customHeight="1" x14ac:dyDescent="0.2">
      <c r="A54" s="3" t="s">
        <v>285</v>
      </c>
      <c r="B54" s="24">
        <v>881</v>
      </c>
      <c r="C54" s="20" t="s">
        <v>284</v>
      </c>
      <c r="D54" s="5">
        <v>33694</v>
      </c>
      <c r="E54" s="5" t="s">
        <v>789</v>
      </c>
      <c r="F54" s="11">
        <v>1540069</v>
      </c>
      <c r="G54" s="1">
        <v>4620</v>
      </c>
      <c r="H54" s="4">
        <f t="shared" si="0"/>
        <v>46202.07</v>
      </c>
      <c r="I54" s="4">
        <v>3696</v>
      </c>
      <c r="J54" s="4">
        <v>56983</v>
      </c>
      <c r="K54" s="4">
        <v>30801</v>
      </c>
      <c r="M54" s="5"/>
    </row>
    <row r="55" spans="1:13" ht="12.75" customHeight="1" x14ac:dyDescent="0.2">
      <c r="A55" s="3" t="s">
        <v>695</v>
      </c>
      <c r="B55" s="24">
        <v>882</v>
      </c>
      <c r="C55" s="20" t="s">
        <v>696</v>
      </c>
      <c r="D55" s="5">
        <v>32387</v>
      </c>
      <c r="E55" s="5" t="s">
        <v>789</v>
      </c>
      <c r="F55" s="11">
        <v>1540069</v>
      </c>
      <c r="G55" s="1">
        <v>4620</v>
      </c>
      <c r="H55" s="4">
        <f t="shared" si="0"/>
        <v>46202.07</v>
      </c>
      <c r="I55" s="4">
        <v>3696</v>
      </c>
      <c r="J55" s="4">
        <v>56983</v>
      </c>
      <c r="K55" s="4">
        <v>30801</v>
      </c>
      <c r="M55" s="5"/>
    </row>
    <row r="56" spans="1:13" ht="12.75" customHeight="1" x14ac:dyDescent="0.2">
      <c r="A56" s="3" t="s">
        <v>339</v>
      </c>
      <c r="B56" s="24">
        <v>1305</v>
      </c>
      <c r="C56" s="21">
        <v>12034863279</v>
      </c>
      <c r="D56" s="5">
        <v>30477</v>
      </c>
      <c r="E56" s="5" t="s">
        <v>789</v>
      </c>
      <c r="F56" s="11">
        <v>1540069</v>
      </c>
      <c r="G56" s="1">
        <v>4620</v>
      </c>
      <c r="H56" s="4">
        <f t="shared" si="0"/>
        <v>46202.07</v>
      </c>
      <c r="I56" s="4">
        <v>3696</v>
      </c>
      <c r="J56" s="4">
        <v>56983</v>
      </c>
      <c r="K56" s="4">
        <v>30801</v>
      </c>
      <c r="M56" s="5"/>
    </row>
    <row r="57" spans="1:13" ht="12.75" customHeight="1" x14ac:dyDescent="0.2">
      <c r="A57" s="3" t="s">
        <v>196</v>
      </c>
      <c r="B57" s="24">
        <v>1307</v>
      </c>
      <c r="C57" s="21">
        <v>12034863196</v>
      </c>
      <c r="D57" s="5">
        <v>29764</v>
      </c>
      <c r="E57" s="5" t="s">
        <v>789</v>
      </c>
      <c r="F57" s="11">
        <v>1540069</v>
      </c>
      <c r="G57" s="1">
        <v>4620</v>
      </c>
      <c r="H57" s="4">
        <f t="shared" si="0"/>
        <v>46202.07</v>
      </c>
      <c r="I57" s="4">
        <v>3696</v>
      </c>
      <c r="J57" s="4">
        <v>56983</v>
      </c>
      <c r="K57" s="4">
        <v>30801</v>
      </c>
      <c r="M57" s="5"/>
    </row>
    <row r="58" spans="1:13" ht="12.75" customHeight="1" x14ac:dyDescent="0.2">
      <c r="A58" s="3"/>
      <c r="B58" s="24"/>
      <c r="C58" s="21"/>
      <c r="D58" s="5"/>
      <c r="E58" s="5"/>
      <c r="F58" s="11"/>
      <c r="G58" s="37">
        <f>SUM(G46:G57)</f>
        <v>61152</v>
      </c>
      <c r="H58" s="37">
        <f>SUM(H46:H57)</f>
        <v>611538.61499999987</v>
      </c>
      <c r="I58" s="37">
        <f>SUM(I46:I57)</f>
        <v>48922</v>
      </c>
      <c r="J58" s="37">
        <f>SUM(J46:J57)</f>
        <v>754234</v>
      </c>
      <c r="K58" s="37">
        <f>SUM(K46:K57)</f>
        <v>407689</v>
      </c>
      <c r="M58" s="5"/>
    </row>
    <row r="59" spans="1:13" ht="12.75" customHeight="1" x14ac:dyDescent="0.2">
      <c r="A59" s="3" t="s">
        <v>620</v>
      </c>
      <c r="B59" s="24">
        <v>153</v>
      </c>
      <c r="C59" s="20" t="s">
        <v>621</v>
      </c>
      <c r="D59" s="5">
        <v>29741</v>
      </c>
      <c r="E59" s="5" t="s">
        <v>811</v>
      </c>
      <c r="F59" s="11">
        <v>1983522.5</v>
      </c>
      <c r="G59" s="1">
        <v>5951</v>
      </c>
      <c r="H59" s="4">
        <f t="shared" si="0"/>
        <v>59505.674999999996</v>
      </c>
      <c r="I59" s="4">
        <v>4760</v>
      </c>
      <c r="J59" s="4">
        <v>73390</v>
      </c>
      <c r="K59" s="4">
        <v>39670</v>
      </c>
      <c r="M59" s="5"/>
    </row>
    <row r="60" spans="1:13" ht="12.75" customHeight="1" x14ac:dyDescent="0.2">
      <c r="A60" s="3" t="s">
        <v>429</v>
      </c>
      <c r="B60" s="24">
        <v>917</v>
      </c>
      <c r="C60" s="20" t="s">
        <v>430</v>
      </c>
      <c r="D60" s="5">
        <v>31177</v>
      </c>
      <c r="E60" s="5" t="s">
        <v>811</v>
      </c>
      <c r="F60" s="11">
        <v>1540069</v>
      </c>
      <c r="G60" s="1">
        <v>4620</v>
      </c>
      <c r="H60" s="4">
        <f t="shared" si="0"/>
        <v>46202.07</v>
      </c>
      <c r="I60" s="4">
        <v>3696</v>
      </c>
      <c r="J60" s="4">
        <v>56983</v>
      </c>
      <c r="K60" s="4">
        <v>30801</v>
      </c>
      <c r="M60" s="5"/>
    </row>
    <row r="61" spans="1:13" ht="12.75" customHeight="1" x14ac:dyDescent="0.2">
      <c r="A61" s="3" t="s">
        <v>517</v>
      </c>
      <c r="B61" s="24">
        <v>1410</v>
      </c>
      <c r="C61" s="21">
        <v>12037894420</v>
      </c>
      <c r="D61" s="5">
        <v>32840</v>
      </c>
      <c r="E61" s="5" t="s">
        <v>811</v>
      </c>
      <c r="F61" s="11">
        <v>1540069</v>
      </c>
      <c r="G61" s="1">
        <v>4620</v>
      </c>
      <c r="H61" s="4">
        <f t="shared" si="0"/>
        <v>46202.07</v>
      </c>
      <c r="I61" s="4">
        <v>3696</v>
      </c>
      <c r="J61" s="4">
        <v>56983</v>
      </c>
      <c r="K61" s="4">
        <v>30801</v>
      </c>
      <c r="M61" s="5"/>
    </row>
    <row r="62" spans="1:13" ht="12.75" customHeight="1" x14ac:dyDescent="0.2">
      <c r="A62" s="3" t="s">
        <v>124</v>
      </c>
      <c r="B62" s="24">
        <v>1534</v>
      </c>
      <c r="C62" s="31" t="s">
        <v>861</v>
      </c>
      <c r="D62" s="5">
        <v>33981</v>
      </c>
      <c r="E62" s="5" t="s">
        <v>811</v>
      </c>
      <c r="F62" s="11">
        <v>1540069</v>
      </c>
      <c r="G62" s="1">
        <v>4620</v>
      </c>
      <c r="H62" s="4">
        <f t="shared" si="0"/>
        <v>46202.07</v>
      </c>
      <c r="I62" s="4">
        <v>3696</v>
      </c>
      <c r="J62" s="4">
        <v>56983</v>
      </c>
      <c r="K62" s="4">
        <v>30801</v>
      </c>
      <c r="M62" s="5"/>
    </row>
    <row r="63" spans="1:13" ht="12.75" customHeight="1" x14ac:dyDescent="0.2">
      <c r="A63" s="3"/>
      <c r="B63" s="24"/>
      <c r="C63" s="31"/>
      <c r="D63" s="5"/>
      <c r="E63" s="5"/>
      <c r="F63" s="11"/>
      <c r="G63" s="37">
        <f>SUM(G59:G62)</f>
        <v>19811</v>
      </c>
      <c r="H63" s="37">
        <f>SUM(H59:H62)</f>
        <v>198111.88500000001</v>
      </c>
      <c r="I63" s="37">
        <f>SUM(I59:I62)</f>
        <v>15848</v>
      </c>
      <c r="J63" s="37">
        <f>SUM(J59:J62)</f>
        <v>244339</v>
      </c>
      <c r="K63" s="37">
        <f>SUM(K59:K62)</f>
        <v>132073</v>
      </c>
      <c r="M63" s="5"/>
    </row>
    <row r="64" spans="1:13" ht="12.75" customHeight="1" x14ac:dyDescent="0.2">
      <c r="A64" s="3" t="s">
        <v>613</v>
      </c>
      <c r="B64" s="24">
        <v>34</v>
      </c>
      <c r="C64" s="20" t="s">
        <v>614</v>
      </c>
      <c r="D64" s="5">
        <v>29283</v>
      </c>
      <c r="E64" s="5" t="s">
        <v>796</v>
      </c>
      <c r="F64" s="11">
        <v>3436215</v>
      </c>
      <c r="G64" s="1">
        <v>10309</v>
      </c>
      <c r="H64" s="4">
        <f t="shared" si="0"/>
        <v>92400</v>
      </c>
      <c r="I64" s="4">
        <v>8247</v>
      </c>
      <c r="J64" s="4">
        <v>127140</v>
      </c>
      <c r="K64" s="4">
        <v>68724</v>
      </c>
      <c r="M64" s="5"/>
    </row>
    <row r="65" spans="1:13" ht="12.75" customHeight="1" x14ac:dyDescent="0.2">
      <c r="A65" s="3" t="s">
        <v>668</v>
      </c>
      <c r="B65" s="24">
        <v>85</v>
      </c>
      <c r="C65" s="20" t="s">
        <v>669</v>
      </c>
      <c r="D65" s="5">
        <v>28835</v>
      </c>
      <c r="E65" s="5" t="s">
        <v>796</v>
      </c>
      <c r="F65" s="11">
        <v>1601235</v>
      </c>
      <c r="G65" s="1">
        <v>4804</v>
      </c>
      <c r="H65" s="4">
        <f t="shared" si="0"/>
        <v>48037.049999999996</v>
      </c>
      <c r="I65" s="4">
        <v>3843</v>
      </c>
      <c r="J65" s="4">
        <v>59246</v>
      </c>
      <c r="K65" s="4">
        <v>32025</v>
      </c>
      <c r="M65" s="5"/>
    </row>
    <row r="66" spans="1:13" ht="12.75" customHeight="1" x14ac:dyDescent="0.2">
      <c r="A66" s="3" t="s">
        <v>85</v>
      </c>
      <c r="B66" s="24">
        <v>222</v>
      </c>
      <c r="C66" s="20" t="s">
        <v>657</v>
      </c>
      <c r="D66" s="5">
        <v>27920</v>
      </c>
      <c r="E66" s="5" t="s">
        <v>796</v>
      </c>
      <c r="F66" s="11">
        <v>1601235</v>
      </c>
      <c r="G66" s="1">
        <v>4804</v>
      </c>
      <c r="H66" s="4">
        <f t="shared" si="0"/>
        <v>48037.049999999996</v>
      </c>
      <c r="I66" s="4">
        <v>3843</v>
      </c>
      <c r="J66" s="4">
        <v>59246</v>
      </c>
      <c r="K66" s="4">
        <v>32025</v>
      </c>
      <c r="M66" s="5"/>
    </row>
    <row r="67" spans="1:13" ht="12.75" customHeight="1" x14ac:dyDescent="0.2">
      <c r="A67" s="3" t="s">
        <v>386</v>
      </c>
      <c r="B67" s="24">
        <v>557</v>
      </c>
      <c r="C67" s="20" t="s">
        <v>387</v>
      </c>
      <c r="D67" s="5">
        <v>28955</v>
      </c>
      <c r="E67" s="5" t="s">
        <v>796</v>
      </c>
      <c r="F67" s="11">
        <v>1540069</v>
      </c>
      <c r="G67" s="1">
        <v>4620</v>
      </c>
      <c r="H67" s="4">
        <f t="shared" si="0"/>
        <v>46202.07</v>
      </c>
      <c r="I67" s="4">
        <v>3696</v>
      </c>
      <c r="J67" s="4">
        <v>56983</v>
      </c>
      <c r="K67" s="4">
        <v>30801</v>
      </c>
      <c r="M67" s="5"/>
    </row>
    <row r="68" spans="1:13" ht="12.75" customHeight="1" x14ac:dyDescent="0.2">
      <c r="A68" s="3" t="s">
        <v>646</v>
      </c>
      <c r="B68" s="24">
        <v>826</v>
      </c>
      <c r="C68" s="20" t="s">
        <v>647</v>
      </c>
      <c r="D68" s="5">
        <v>34172</v>
      </c>
      <c r="E68" s="5" t="s">
        <v>796</v>
      </c>
      <c r="F68" s="11">
        <v>1540069</v>
      </c>
      <c r="G68" s="1">
        <v>4620</v>
      </c>
      <c r="H68" s="4">
        <f t="shared" si="0"/>
        <v>46202.07</v>
      </c>
      <c r="I68" s="4">
        <v>3696</v>
      </c>
      <c r="J68" s="4">
        <v>56983</v>
      </c>
      <c r="K68" s="4">
        <v>30801</v>
      </c>
      <c r="M68" s="5"/>
    </row>
    <row r="69" spans="1:13" ht="12.75" customHeight="1" x14ac:dyDescent="0.2">
      <c r="A69" s="3" t="s">
        <v>310</v>
      </c>
      <c r="B69" s="24">
        <v>872</v>
      </c>
      <c r="C69" s="20" t="s">
        <v>311</v>
      </c>
      <c r="D69" s="5">
        <v>34231</v>
      </c>
      <c r="E69" s="5" t="s">
        <v>796</v>
      </c>
      <c r="F69" s="11">
        <v>1540069</v>
      </c>
      <c r="G69" s="1">
        <v>4620</v>
      </c>
      <c r="H69" s="4">
        <f t="shared" si="0"/>
        <v>46202.07</v>
      </c>
      <c r="I69" s="4">
        <v>3696</v>
      </c>
      <c r="J69" s="4">
        <v>56983</v>
      </c>
      <c r="K69" s="4">
        <v>30801</v>
      </c>
      <c r="M69" s="5"/>
    </row>
    <row r="70" spans="1:13" ht="12.75" customHeight="1" x14ac:dyDescent="0.2">
      <c r="A70" s="3" t="s">
        <v>393</v>
      </c>
      <c r="B70" s="24">
        <v>1044</v>
      </c>
      <c r="C70" s="20" t="s">
        <v>394</v>
      </c>
      <c r="D70" s="5">
        <v>30803</v>
      </c>
      <c r="E70" s="5" t="s">
        <v>796</v>
      </c>
      <c r="F70" s="11">
        <v>1601235</v>
      </c>
      <c r="G70" s="1">
        <v>4804</v>
      </c>
      <c r="H70" s="4">
        <f t="shared" si="0"/>
        <v>48037.049999999996</v>
      </c>
      <c r="I70" s="4">
        <v>3843</v>
      </c>
      <c r="J70" s="4">
        <v>59246</v>
      </c>
      <c r="K70" s="4">
        <v>32025</v>
      </c>
      <c r="M70" s="5"/>
    </row>
    <row r="71" spans="1:13" ht="12.75" customHeight="1" x14ac:dyDescent="0.2">
      <c r="A71" s="3" t="s">
        <v>360</v>
      </c>
      <c r="B71" s="24">
        <v>1471</v>
      </c>
      <c r="C71" s="21">
        <v>12037894701</v>
      </c>
      <c r="D71" s="5">
        <v>30105</v>
      </c>
      <c r="E71" s="5" t="s">
        <v>796</v>
      </c>
      <c r="F71" s="11">
        <v>1540069</v>
      </c>
      <c r="G71" s="1">
        <v>4620</v>
      </c>
      <c r="H71" s="4">
        <f t="shared" si="0"/>
        <v>46202.07</v>
      </c>
      <c r="I71" s="4">
        <v>3696</v>
      </c>
      <c r="J71" s="4">
        <v>56983</v>
      </c>
      <c r="K71" s="4">
        <v>30801</v>
      </c>
      <c r="M71" s="5"/>
    </row>
    <row r="72" spans="1:13" ht="12.75" customHeight="1" x14ac:dyDescent="0.2">
      <c r="A72" s="3" t="s">
        <v>271</v>
      </c>
      <c r="B72" s="24">
        <v>1543</v>
      </c>
      <c r="C72" s="31" t="s">
        <v>861</v>
      </c>
      <c r="D72" s="5">
        <v>31506</v>
      </c>
      <c r="E72" s="5" t="s">
        <v>796</v>
      </c>
      <c r="F72" s="11">
        <v>1540069</v>
      </c>
      <c r="G72" s="1">
        <v>4620</v>
      </c>
      <c r="H72" s="4">
        <f t="shared" si="0"/>
        <v>46202.07</v>
      </c>
      <c r="I72" s="4">
        <v>3696</v>
      </c>
      <c r="J72" s="4">
        <v>56983</v>
      </c>
      <c r="K72" s="4">
        <v>30801</v>
      </c>
      <c r="M72" s="5"/>
    </row>
    <row r="73" spans="1:13" ht="12.75" customHeight="1" x14ac:dyDescent="0.2">
      <c r="A73" s="3"/>
      <c r="B73" s="24"/>
      <c r="C73" s="31"/>
      <c r="D73" s="5"/>
      <c r="E73" s="5"/>
      <c r="F73" s="11"/>
      <c r="G73" s="37">
        <f>SUM(G64:G72)</f>
        <v>47821</v>
      </c>
      <c r="H73" s="37">
        <f>SUM(H64:H72)</f>
        <v>467521.5</v>
      </c>
      <c r="I73" s="37">
        <f>SUM(I64:I72)</f>
        <v>38256</v>
      </c>
      <c r="J73" s="37">
        <f>SUM(J64:J72)</f>
        <v>589793</v>
      </c>
      <c r="K73" s="37">
        <f>SUM(K64:K72)</f>
        <v>318804</v>
      </c>
      <c r="M73" s="5"/>
    </row>
    <row r="74" spans="1:13" ht="12.75" customHeight="1" x14ac:dyDescent="0.2">
      <c r="A74" s="3" t="s">
        <v>48</v>
      </c>
      <c r="B74" s="24">
        <v>665</v>
      </c>
      <c r="C74" s="20" t="s">
        <v>49</v>
      </c>
      <c r="D74" s="5">
        <v>33972</v>
      </c>
      <c r="E74" s="5" t="s">
        <v>832</v>
      </c>
      <c r="F74" s="11">
        <v>1983522.5</v>
      </c>
      <c r="G74" s="1">
        <v>5951</v>
      </c>
      <c r="H74" s="4">
        <f t="shared" si="0"/>
        <v>59505.674999999996</v>
      </c>
      <c r="I74" s="4">
        <v>4760</v>
      </c>
      <c r="J74" s="4">
        <v>73390</v>
      </c>
      <c r="K74" s="4">
        <v>39670</v>
      </c>
      <c r="M74" s="5"/>
    </row>
    <row r="75" spans="1:13" ht="12.75" customHeight="1" x14ac:dyDescent="0.2">
      <c r="A75" s="3" t="s">
        <v>75</v>
      </c>
      <c r="B75" s="24">
        <v>698</v>
      </c>
      <c r="C75" s="20" t="s">
        <v>76</v>
      </c>
      <c r="D75" s="5">
        <v>34029</v>
      </c>
      <c r="E75" s="5" t="s">
        <v>832</v>
      </c>
      <c r="F75" s="11">
        <v>1540069</v>
      </c>
      <c r="G75" s="1">
        <v>4620</v>
      </c>
      <c r="H75" s="4">
        <f t="shared" si="0"/>
        <v>46202.07</v>
      </c>
      <c r="I75" s="4">
        <v>3696</v>
      </c>
      <c r="J75" s="4">
        <v>56983</v>
      </c>
      <c r="K75" s="4">
        <v>30801</v>
      </c>
      <c r="M75" s="5"/>
    </row>
    <row r="76" spans="1:13" ht="12.75" customHeight="1" x14ac:dyDescent="0.2">
      <c r="A76" s="3" t="s">
        <v>27</v>
      </c>
      <c r="B76" s="24">
        <v>1156</v>
      </c>
      <c r="C76" s="20" t="s">
        <v>28</v>
      </c>
      <c r="D76" s="5">
        <v>31405</v>
      </c>
      <c r="E76" s="5" t="s">
        <v>832</v>
      </c>
      <c r="F76" s="11">
        <v>1983522.5</v>
      </c>
      <c r="G76" s="1">
        <v>5951</v>
      </c>
      <c r="H76" s="4">
        <f t="shared" si="0"/>
        <v>59505.674999999996</v>
      </c>
      <c r="I76" s="4">
        <v>4760</v>
      </c>
      <c r="J76" s="4">
        <v>73390</v>
      </c>
      <c r="K76" s="4">
        <v>39670</v>
      </c>
      <c r="M76" s="5"/>
    </row>
    <row r="77" spans="1:13" ht="12.75" customHeight="1" x14ac:dyDescent="0.2">
      <c r="A77" s="3" t="s">
        <v>78</v>
      </c>
      <c r="B77" s="24">
        <v>1185</v>
      </c>
      <c r="C77" s="20" t="s">
        <v>79</v>
      </c>
      <c r="D77" s="5">
        <v>33204</v>
      </c>
      <c r="E77" s="5" t="s">
        <v>832</v>
      </c>
      <c r="F77" s="11">
        <v>1540069</v>
      </c>
      <c r="G77" s="1">
        <v>4620</v>
      </c>
      <c r="H77" s="4">
        <f t="shared" ref="H77:H148" si="1">IF(F77&lt;3080000,F77*3%,IF(F77&gt;=3080000,3080000*3%,0))</f>
        <v>46202.07</v>
      </c>
      <c r="I77" s="4">
        <v>3696</v>
      </c>
      <c r="J77" s="4">
        <v>56983</v>
      </c>
      <c r="K77" s="4">
        <v>30801</v>
      </c>
      <c r="M77" s="5"/>
    </row>
    <row r="78" spans="1:13" ht="12.75" customHeight="1" x14ac:dyDescent="0.2">
      <c r="A78" s="3" t="s">
        <v>34</v>
      </c>
      <c r="B78" s="24">
        <v>1187</v>
      </c>
      <c r="C78" s="20" t="s">
        <v>35</v>
      </c>
      <c r="D78" s="5">
        <v>31514</v>
      </c>
      <c r="E78" s="5" t="s">
        <v>832</v>
      </c>
      <c r="F78" s="11">
        <v>1540069</v>
      </c>
      <c r="G78" s="1">
        <v>4620</v>
      </c>
      <c r="H78" s="4">
        <f t="shared" si="1"/>
        <v>46202.07</v>
      </c>
      <c r="I78" s="4">
        <v>3696</v>
      </c>
      <c r="J78" s="4">
        <v>56983</v>
      </c>
      <c r="K78" s="4">
        <v>30801</v>
      </c>
      <c r="M78" s="5"/>
    </row>
    <row r="79" spans="1:13" ht="12.75" customHeight="1" x14ac:dyDescent="0.2">
      <c r="A79" s="3" t="s">
        <v>91</v>
      </c>
      <c r="B79" s="24">
        <v>1212</v>
      </c>
      <c r="C79" s="20" t="s">
        <v>92</v>
      </c>
      <c r="D79" s="5">
        <v>31317</v>
      </c>
      <c r="E79" s="5" t="s">
        <v>832</v>
      </c>
      <c r="F79" s="11">
        <v>1540069</v>
      </c>
      <c r="G79" s="1">
        <v>4620</v>
      </c>
      <c r="H79" s="4">
        <f t="shared" si="1"/>
        <v>46202.07</v>
      </c>
      <c r="I79" s="4">
        <v>3696</v>
      </c>
      <c r="J79" s="4">
        <v>56983</v>
      </c>
      <c r="K79" s="4">
        <v>30801</v>
      </c>
      <c r="M79" s="5"/>
    </row>
    <row r="80" spans="1:13" ht="12.75" customHeight="1" x14ac:dyDescent="0.2">
      <c r="A80" s="3"/>
      <c r="B80" s="24"/>
      <c r="C80" s="20"/>
      <c r="D80" s="5"/>
      <c r="E80" s="5"/>
      <c r="F80" s="11"/>
      <c r="G80" s="37">
        <f>SUM(G74:G79)</f>
        <v>30382</v>
      </c>
      <c r="H80" s="37">
        <f>SUM(H74:H79)</f>
        <v>303819.63</v>
      </c>
      <c r="I80" s="37">
        <f>SUM(I74:I79)</f>
        <v>24304</v>
      </c>
      <c r="J80" s="37">
        <f>SUM(J74:J79)</f>
        <v>374712</v>
      </c>
      <c r="K80" s="37">
        <f>SUM(K74:K79)</f>
        <v>202544</v>
      </c>
      <c r="M80" s="5"/>
    </row>
    <row r="81" spans="1:13" ht="12.75" customHeight="1" x14ac:dyDescent="0.2">
      <c r="A81" s="3" t="s">
        <v>100</v>
      </c>
      <c r="B81" s="24">
        <v>444</v>
      </c>
      <c r="C81" s="20" t="s">
        <v>101</v>
      </c>
      <c r="D81" s="5">
        <v>33611</v>
      </c>
      <c r="E81" s="5" t="s">
        <v>820</v>
      </c>
      <c r="F81" s="11">
        <v>1983522.5</v>
      </c>
      <c r="G81" s="1">
        <v>5951</v>
      </c>
      <c r="H81" s="4">
        <f t="shared" si="1"/>
        <v>59505.674999999996</v>
      </c>
      <c r="I81" s="4">
        <v>4760</v>
      </c>
      <c r="J81" s="4">
        <v>73390</v>
      </c>
      <c r="K81" s="4">
        <v>39670</v>
      </c>
      <c r="M81" s="5"/>
    </row>
    <row r="82" spans="1:13" ht="12.75" customHeight="1" x14ac:dyDescent="0.2">
      <c r="A82" s="3" t="s">
        <v>39</v>
      </c>
      <c r="B82" s="24">
        <v>573</v>
      </c>
      <c r="C82" s="20" t="s">
        <v>40</v>
      </c>
      <c r="D82" s="5">
        <v>32636</v>
      </c>
      <c r="E82" s="5" t="s">
        <v>820</v>
      </c>
      <c r="F82" s="11">
        <v>1540069</v>
      </c>
      <c r="G82" s="1">
        <v>4620</v>
      </c>
      <c r="H82" s="4">
        <f t="shared" si="1"/>
        <v>46202.07</v>
      </c>
      <c r="I82" s="4">
        <v>3696</v>
      </c>
      <c r="J82" s="4">
        <v>56983</v>
      </c>
      <c r="K82" s="4">
        <v>30801</v>
      </c>
      <c r="M82" s="5"/>
    </row>
    <row r="83" spans="1:13" ht="12.75" customHeight="1" x14ac:dyDescent="0.2">
      <c r="A83" s="3" t="s">
        <v>32</v>
      </c>
      <c r="B83" s="24">
        <v>734</v>
      </c>
      <c r="C83" s="20" t="s">
        <v>33</v>
      </c>
      <c r="D83" s="5">
        <v>34040</v>
      </c>
      <c r="E83" s="5" t="s">
        <v>820</v>
      </c>
      <c r="F83" s="11">
        <v>1540069</v>
      </c>
      <c r="G83" s="1">
        <v>4620</v>
      </c>
      <c r="H83" s="4">
        <f t="shared" si="1"/>
        <v>46202.07</v>
      </c>
      <c r="I83" s="4">
        <v>3696</v>
      </c>
      <c r="J83" s="4">
        <v>56983</v>
      </c>
      <c r="K83" s="4">
        <v>30801</v>
      </c>
      <c r="M83" s="5"/>
    </row>
    <row r="84" spans="1:13" ht="12.75" customHeight="1" x14ac:dyDescent="0.2">
      <c r="A84" s="3" t="s">
        <v>68</v>
      </c>
      <c r="B84" s="24">
        <v>765</v>
      </c>
      <c r="C84" s="20" t="s">
        <v>69</v>
      </c>
      <c r="D84" s="5">
        <v>34101</v>
      </c>
      <c r="E84" s="5" t="s">
        <v>820</v>
      </c>
      <c r="F84" s="11">
        <v>1540069</v>
      </c>
      <c r="G84" s="1">
        <v>4620</v>
      </c>
      <c r="H84" s="4">
        <f t="shared" si="1"/>
        <v>46202.07</v>
      </c>
      <c r="I84" s="4">
        <v>3696</v>
      </c>
      <c r="J84" s="4">
        <v>56983</v>
      </c>
      <c r="K84" s="4">
        <v>30801</v>
      </c>
      <c r="M84" s="5"/>
    </row>
    <row r="85" spans="1:13" ht="12.75" customHeight="1" x14ac:dyDescent="0.2">
      <c r="A85" s="3" t="s">
        <v>105</v>
      </c>
      <c r="B85" s="24">
        <v>1037</v>
      </c>
      <c r="C85" s="20" t="s">
        <v>106</v>
      </c>
      <c r="D85" s="5">
        <v>32164</v>
      </c>
      <c r="E85" s="5" t="s">
        <v>820</v>
      </c>
      <c r="F85" s="11">
        <v>1540069</v>
      </c>
      <c r="G85" s="1">
        <v>4620</v>
      </c>
      <c r="H85" s="4">
        <f t="shared" si="1"/>
        <v>46202.07</v>
      </c>
      <c r="I85" s="4">
        <v>3696</v>
      </c>
      <c r="J85" s="4">
        <v>56983</v>
      </c>
      <c r="K85" s="4">
        <v>30801</v>
      </c>
      <c r="M85" s="5"/>
    </row>
    <row r="86" spans="1:13" ht="12.75" customHeight="1" x14ac:dyDescent="0.2">
      <c r="A86" s="3" t="s">
        <v>99</v>
      </c>
      <c r="B86" s="24">
        <v>1042</v>
      </c>
      <c r="C86" s="27">
        <v>12010795016</v>
      </c>
      <c r="D86" s="5">
        <v>31136</v>
      </c>
      <c r="E86" s="5" t="s">
        <v>820</v>
      </c>
      <c r="F86" s="11">
        <v>1540069</v>
      </c>
      <c r="G86" s="1">
        <v>4620</v>
      </c>
      <c r="H86" s="4">
        <f t="shared" si="1"/>
        <v>46202.07</v>
      </c>
      <c r="I86" s="4">
        <v>3696</v>
      </c>
      <c r="J86" s="4">
        <v>56983</v>
      </c>
      <c r="K86" s="4">
        <v>30801</v>
      </c>
      <c r="M86" s="5"/>
    </row>
    <row r="87" spans="1:13" ht="12.75" customHeight="1" x14ac:dyDescent="0.2">
      <c r="A87" s="3" t="s">
        <v>25</v>
      </c>
      <c r="B87" s="24">
        <v>1043</v>
      </c>
      <c r="C87" s="20" t="s">
        <v>26</v>
      </c>
      <c r="D87" s="5">
        <v>29202</v>
      </c>
      <c r="E87" s="5" t="s">
        <v>820</v>
      </c>
      <c r="F87" s="11">
        <v>1540069</v>
      </c>
      <c r="G87" s="1">
        <v>4620</v>
      </c>
      <c r="H87" s="4">
        <f t="shared" si="1"/>
        <v>46202.07</v>
      </c>
      <c r="I87" s="4">
        <v>3696</v>
      </c>
      <c r="J87" s="4">
        <v>56983</v>
      </c>
      <c r="K87" s="4">
        <v>30801</v>
      </c>
      <c r="M87" s="5"/>
    </row>
    <row r="88" spans="1:13" ht="12.75" customHeight="1" x14ac:dyDescent="0.2">
      <c r="A88" s="3" t="s">
        <v>36</v>
      </c>
      <c r="B88" s="24">
        <v>1157</v>
      </c>
      <c r="C88" s="20" t="s">
        <v>37</v>
      </c>
      <c r="D88" s="5">
        <v>32062</v>
      </c>
      <c r="E88" s="5" t="s">
        <v>820</v>
      </c>
      <c r="F88" s="11">
        <v>2595182.5</v>
      </c>
      <c r="G88" s="1">
        <v>7786</v>
      </c>
      <c r="H88" s="4">
        <f t="shared" si="1"/>
        <v>77855.474999999991</v>
      </c>
      <c r="I88" s="4">
        <v>6228</v>
      </c>
      <c r="J88" s="4">
        <v>96022</v>
      </c>
      <c r="K88" s="4">
        <v>51904</v>
      </c>
      <c r="M88" s="5"/>
    </row>
    <row r="89" spans="1:13" ht="12.75" customHeight="1" x14ac:dyDescent="0.2">
      <c r="A89" s="3" t="s">
        <v>104</v>
      </c>
      <c r="B89" s="24">
        <v>1299</v>
      </c>
      <c r="C89" s="21">
        <v>12034862586</v>
      </c>
      <c r="D89" s="5">
        <v>30968</v>
      </c>
      <c r="E89" s="5" t="s">
        <v>820</v>
      </c>
      <c r="F89" s="11">
        <v>1540069</v>
      </c>
      <c r="G89" s="1">
        <v>4620</v>
      </c>
      <c r="H89" s="4">
        <f t="shared" si="1"/>
        <v>46202.07</v>
      </c>
      <c r="I89" s="4">
        <v>3696</v>
      </c>
      <c r="J89" s="4">
        <v>56983</v>
      </c>
      <c r="K89" s="4">
        <v>30801</v>
      </c>
      <c r="M89" s="5"/>
    </row>
    <row r="90" spans="1:13" ht="12.75" customHeight="1" x14ac:dyDescent="0.2">
      <c r="A90" s="3" t="s">
        <v>11</v>
      </c>
      <c r="B90" s="24">
        <v>1525</v>
      </c>
      <c r="C90" s="31" t="s">
        <v>861</v>
      </c>
      <c r="D90" s="5">
        <v>32908</v>
      </c>
      <c r="E90" s="5" t="s">
        <v>820</v>
      </c>
      <c r="F90" s="11">
        <v>1540069</v>
      </c>
      <c r="G90" s="1">
        <v>4620</v>
      </c>
      <c r="H90" s="4">
        <f t="shared" si="1"/>
        <v>46202.07</v>
      </c>
      <c r="I90" s="4">
        <v>3696</v>
      </c>
      <c r="J90" s="4">
        <v>56983</v>
      </c>
      <c r="K90" s="4">
        <v>30801</v>
      </c>
      <c r="M90" s="5"/>
    </row>
    <row r="91" spans="1:13" ht="12.75" customHeight="1" x14ac:dyDescent="0.2">
      <c r="A91" s="3"/>
      <c r="B91" s="24"/>
      <c r="C91" s="31"/>
      <c r="D91" s="5"/>
      <c r="E91" s="5"/>
      <c r="F91" s="11"/>
      <c r="G91" s="37">
        <f>SUM(G81:G90)</f>
        <v>50697</v>
      </c>
      <c r="H91" s="37">
        <f>SUM(H81:H90)</f>
        <v>506977.71</v>
      </c>
      <c r="I91" s="37">
        <f>SUM(I81:I90)</f>
        <v>40556</v>
      </c>
      <c r="J91" s="37">
        <f>SUM(J81:J90)</f>
        <v>625276</v>
      </c>
      <c r="K91" s="37">
        <f>SUM(K81:K90)</f>
        <v>337982</v>
      </c>
      <c r="M91" s="5"/>
    </row>
    <row r="92" spans="1:13" ht="12.75" customHeight="1" x14ac:dyDescent="0.2">
      <c r="A92" s="3" t="s">
        <v>576</v>
      </c>
      <c r="B92" s="24">
        <v>247</v>
      </c>
      <c r="C92" s="20" t="s">
        <v>577</v>
      </c>
      <c r="D92" s="5">
        <v>32060</v>
      </c>
      <c r="E92" s="5" t="s">
        <v>815</v>
      </c>
      <c r="F92" s="11">
        <v>1800189.5</v>
      </c>
      <c r="G92" s="1">
        <v>5951</v>
      </c>
      <c r="H92" s="4">
        <f t="shared" si="1"/>
        <v>54005.684999999998</v>
      </c>
      <c r="I92" s="4">
        <v>4760</v>
      </c>
      <c r="J92" s="4">
        <v>73390</v>
      </c>
      <c r="K92" s="4">
        <v>39670</v>
      </c>
      <c r="M92" s="5"/>
    </row>
    <row r="93" spans="1:13" ht="12.75" customHeight="1" x14ac:dyDescent="0.2">
      <c r="A93" s="3" t="s">
        <v>536</v>
      </c>
      <c r="B93" s="24">
        <v>258</v>
      </c>
      <c r="C93" s="20" t="s">
        <v>537</v>
      </c>
      <c r="D93" s="5">
        <v>30482</v>
      </c>
      <c r="E93" s="5" t="s">
        <v>815</v>
      </c>
      <c r="F93" s="11">
        <v>1983522.5</v>
      </c>
      <c r="G93" s="1">
        <v>5951</v>
      </c>
      <c r="H93" s="4">
        <f t="shared" si="1"/>
        <v>59505.674999999996</v>
      </c>
      <c r="I93" s="4">
        <v>4760</v>
      </c>
      <c r="J93" s="4">
        <v>73390</v>
      </c>
      <c r="K93" s="4">
        <v>39670</v>
      </c>
      <c r="M93" s="5"/>
    </row>
    <row r="94" spans="1:13" ht="12.75" customHeight="1" x14ac:dyDescent="0.2">
      <c r="A94" s="3" t="s">
        <v>561</v>
      </c>
      <c r="B94" s="24">
        <v>541</v>
      </c>
      <c r="C94" s="20" t="s">
        <v>562</v>
      </c>
      <c r="D94" s="5">
        <v>32655</v>
      </c>
      <c r="E94" s="5" t="s">
        <v>815</v>
      </c>
      <c r="F94" s="11">
        <v>1540069</v>
      </c>
      <c r="G94" s="1">
        <v>4620</v>
      </c>
      <c r="H94" s="4">
        <f t="shared" si="1"/>
        <v>46202.07</v>
      </c>
      <c r="I94" s="4">
        <v>3696</v>
      </c>
      <c r="J94" s="4">
        <v>56983</v>
      </c>
      <c r="K94" s="4">
        <v>30801</v>
      </c>
      <c r="M94" s="5"/>
    </row>
    <row r="95" spans="1:13" ht="12.75" customHeight="1" x14ac:dyDescent="0.2">
      <c r="A95" s="3" t="s">
        <v>293</v>
      </c>
      <c r="B95" s="24">
        <v>707</v>
      </c>
      <c r="C95" s="20" t="s">
        <v>294</v>
      </c>
      <c r="D95" s="5">
        <v>31325</v>
      </c>
      <c r="E95" s="5" t="s">
        <v>815</v>
      </c>
      <c r="F95" s="11">
        <v>1983522.5</v>
      </c>
      <c r="G95" s="1">
        <v>5951</v>
      </c>
      <c r="H95" s="4">
        <f t="shared" si="1"/>
        <v>59505.674999999996</v>
      </c>
      <c r="I95" s="4">
        <v>4760</v>
      </c>
      <c r="J95" s="4">
        <v>73390</v>
      </c>
      <c r="K95" s="4">
        <v>39670</v>
      </c>
      <c r="M95" s="5"/>
    </row>
    <row r="96" spans="1:13" ht="12.75" customHeight="1" x14ac:dyDescent="0.2">
      <c r="A96" s="3" t="s">
        <v>267</v>
      </c>
      <c r="B96" s="24">
        <v>1341</v>
      </c>
      <c r="C96" s="21">
        <v>12034863220</v>
      </c>
      <c r="D96" s="5">
        <v>32685</v>
      </c>
      <c r="E96" s="5" t="s">
        <v>815</v>
      </c>
      <c r="F96" s="11">
        <v>1540069</v>
      </c>
      <c r="G96" s="1">
        <v>4620</v>
      </c>
      <c r="H96" s="4">
        <f t="shared" si="1"/>
        <v>46202.07</v>
      </c>
      <c r="I96" s="4">
        <v>3696</v>
      </c>
      <c r="J96" s="4">
        <v>56983</v>
      </c>
      <c r="K96" s="4">
        <v>30801</v>
      </c>
      <c r="M96" s="5"/>
    </row>
    <row r="97" spans="1:13" ht="12.75" customHeight="1" x14ac:dyDescent="0.2">
      <c r="A97" s="3" t="s">
        <v>187</v>
      </c>
      <c r="B97" s="24">
        <v>1460</v>
      </c>
      <c r="C97" s="21">
        <v>12037894669</v>
      </c>
      <c r="D97" s="5">
        <v>34297</v>
      </c>
      <c r="E97" s="5" t="s">
        <v>815</v>
      </c>
      <c r="F97" s="11">
        <v>1540069</v>
      </c>
      <c r="G97" s="1">
        <v>4620</v>
      </c>
      <c r="H97" s="4">
        <f t="shared" si="1"/>
        <v>46202.07</v>
      </c>
      <c r="I97" s="4">
        <v>3696</v>
      </c>
      <c r="J97" s="4">
        <v>56983</v>
      </c>
      <c r="K97" s="4">
        <v>30801</v>
      </c>
      <c r="M97" s="5"/>
    </row>
    <row r="98" spans="1:13" ht="12.75" customHeight="1" x14ac:dyDescent="0.2">
      <c r="A98" s="3"/>
      <c r="B98" s="24"/>
      <c r="C98" s="21"/>
      <c r="D98" s="5"/>
      <c r="E98" s="5"/>
      <c r="F98" s="11"/>
      <c r="G98" s="37">
        <f>SUM(G92:G97)</f>
        <v>31713</v>
      </c>
      <c r="H98" s="37">
        <f>SUM(H92:H97)</f>
        <v>311623.245</v>
      </c>
      <c r="I98" s="37">
        <f>SUM(I92:I97)</f>
        <v>25368</v>
      </c>
      <c r="J98" s="37">
        <f>SUM(J92:J97)</f>
        <v>391119</v>
      </c>
      <c r="K98" s="37">
        <f>SUM(K92:K97)</f>
        <v>211413</v>
      </c>
      <c r="M98" s="5"/>
    </row>
    <row r="99" spans="1:13" ht="12.75" customHeight="1" x14ac:dyDescent="0.2">
      <c r="A99" s="3" t="s">
        <v>139</v>
      </c>
      <c r="B99" s="24">
        <v>736</v>
      </c>
      <c r="C99" s="20" t="s">
        <v>140</v>
      </c>
      <c r="D99" s="5">
        <v>30932</v>
      </c>
      <c r="E99" s="5" t="s">
        <v>834</v>
      </c>
      <c r="F99" s="11">
        <v>1540069</v>
      </c>
      <c r="G99" s="1">
        <v>4620</v>
      </c>
      <c r="H99" s="4">
        <f t="shared" si="1"/>
        <v>46202.07</v>
      </c>
      <c r="I99" s="4">
        <v>3696</v>
      </c>
      <c r="J99" s="4">
        <v>56983</v>
      </c>
      <c r="K99" s="4">
        <v>30801</v>
      </c>
      <c r="M99" s="5"/>
    </row>
    <row r="100" spans="1:13" ht="12.75" customHeight="1" x14ac:dyDescent="0.2">
      <c r="A100" s="3" t="s">
        <v>581</v>
      </c>
      <c r="B100" s="24">
        <v>1063</v>
      </c>
      <c r="C100" s="20" t="s">
        <v>582</v>
      </c>
      <c r="D100" s="5">
        <v>34042</v>
      </c>
      <c r="E100" s="5" t="s">
        <v>834</v>
      </c>
      <c r="F100" s="11">
        <v>1601235</v>
      </c>
      <c r="G100" s="1">
        <v>4804</v>
      </c>
      <c r="H100" s="4">
        <f t="shared" si="1"/>
        <v>48037.049999999996</v>
      </c>
      <c r="I100" s="4">
        <v>3843</v>
      </c>
      <c r="J100" s="4">
        <v>59246</v>
      </c>
      <c r="K100" s="4">
        <v>32025</v>
      </c>
      <c r="M100" s="5"/>
    </row>
    <row r="101" spans="1:13" ht="12.75" customHeight="1" x14ac:dyDescent="0.2">
      <c r="A101" s="3" t="s">
        <v>295</v>
      </c>
      <c r="B101" s="24">
        <v>1122</v>
      </c>
      <c r="C101" s="20" t="s">
        <v>296</v>
      </c>
      <c r="D101" s="5">
        <v>32529</v>
      </c>
      <c r="E101" s="5" t="s">
        <v>834</v>
      </c>
      <c r="F101" s="11">
        <v>1540069</v>
      </c>
      <c r="G101" s="1">
        <v>4620</v>
      </c>
      <c r="H101" s="4">
        <f t="shared" si="1"/>
        <v>46202.07</v>
      </c>
      <c r="I101" s="4">
        <v>3696</v>
      </c>
      <c r="J101" s="4">
        <v>56983</v>
      </c>
      <c r="K101" s="4">
        <v>30801</v>
      </c>
      <c r="M101" s="5"/>
    </row>
    <row r="102" spans="1:13" ht="12.75" customHeight="1" x14ac:dyDescent="0.2">
      <c r="A102" s="3" t="s">
        <v>301</v>
      </c>
      <c r="B102" s="24">
        <v>1219</v>
      </c>
      <c r="C102" s="27">
        <v>12026525704</v>
      </c>
      <c r="D102" s="5">
        <v>34398</v>
      </c>
      <c r="E102" s="5" t="s">
        <v>834</v>
      </c>
      <c r="F102" s="11">
        <v>1540069</v>
      </c>
      <c r="G102" s="1">
        <v>4620</v>
      </c>
      <c r="H102" s="4">
        <f t="shared" si="1"/>
        <v>46202.07</v>
      </c>
      <c r="I102" s="4">
        <v>3696</v>
      </c>
      <c r="J102" s="4">
        <v>56983</v>
      </c>
      <c r="K102" s="4">
        <v>30801</v>
      </c>
      <c r="M102" s="5"/>
    </row>
    <row r="103" spans="1:13" ht="12.75" customHeight="1" x14ac:dyDescent="0.2">
      <c r="A103" s="3" t="s">
        <v>622</v>
      </c>
      <c r="B103" s="24">
        <v>1284</v>
      </c>
      <c r="C103" s="21">
        <v>12034863519</v>
      </c>
      <c r="D103" s="5">
        <v>31345</v>
      </c>
      <c r="E103" s="5" t="s">
        <v>834</v>
      </c>
      <c r="F103" s="11">
        <v>2289352.5</v>
      </c>
      <c r="G103" s="1">
        <v>6868</v>
      </c>
      <c r="H103" s="4">
        <f t="shared" si="1"/>
        <v>68680.574999999997</v>
      </c>
      <c r="I103" s="4">
        <v>5494</v>
      </c>
      <c r="J103" s="4">
        <v>84706</v>
      </c>
      <c r="K103" s="4">
        <v>45787</v>
      </c>
      <c r="M103" s="5"/>
    </row>
    <row r="104" spans="1:13" ht="12.75" customHeight="1" x14ac:dyDescent="0.2">
      <c r="A104" s="3" t="s">
        <v>156</v>
      </c>
      <c r="B104" s="24">
        <v>1716</v>
      </c>
      <c r="C104" s="31" t="s">
        <v>861</v>
      </c>
      <c r="D104" s="5">
        <v>31776</v>
      </c>
      <c r="E104" s="5" t="s">
        <v>834</v>
      </c>
      <c r="F104" s="11">
        <v>1323402</v>
      </c>
      <c r="G104" s="1">
        <v>4620</v>
      </c>
      <c r="H104" s="4">
        <f t="shared" si="1"/>
        <v>39702.06</v>
      </c>
      <c r="I104" s="4">
        <v>3696</v>
      </c>
      <c r="J104" s="4">
        <v>56983</v>
      </c>
      <c r="K104" s="4">
        <v>30801</v>
      </c>
      <c r="M104" s="5"/>
    </row>
    <row r="105" spans="1:13" ht="12.75" customHeight="1" x14ac:dyDescent="0.2">
      <c r="A105" s="3"/>
      <c r="B105" s="24"/>
      <c r="C105" s="31"/>
      <c r="D105" s="5"/>
      <c r="E105" s="5"/>
      <c r="F105" s="11"/>
      <c r="G105" s="37">
        <f>SUM(G99:G104)</f>
        <v>30152</v>
      </c>
      <c r="H105" s="37">
        <f>SUM(H99:H104)</f>
        <v>295025.89500000002</v>
      </c>
      <c r="I105" s="37">
        <f>SUM(I99:I104)</f>
        <v>24121</v>
      </c>
      <c r="J105" s="37">
        <f>SUM(J99:J104)</f>
        <v>371884</v>
      </c>
      <c r="K105" s="37">
        <f>SUM(K99:K104)</f>
        <v>201016</v>
      </c>
      <c r="M105" s="5"/>
    </row>
    <row r="106" spans="1:13" ht="12.75" customHeight="1" x14ac:dyDescent="0.2">
      <c r="A106" s="3" t="s">
        <v>345</v>
      </c>
      <c r="B106" s="24">
        <v>62</v>
      </c>
      <c r="C106" s="20" t="s">
        <v>346</v>
      </c>
      <c r="D106" s="5">
        <v>29466</v>
      </c>
      <c r="E106" s="5" t="s">
        <v>802</v>
      </c>
      <c r="F106" s="11">
        <v>2358164.5</v>
      </c>
      <c r="G106" s="1">
        <v>7074</v>
      </c>
      <c r="H106" s="4">
        <f t="shared" si="1"/>
        <v>70744.934999999998</v>
      </c>
      <c r="I106" s="4">
        <v>5660</v>
      </c>
      <c r="J106" s="4">
        <v>87252</v>
      </c>
      <c r="K106" s="4">
        <v>47163</v>
      </c>
      <c r="M106" s="5"/>
    </row>
    <row r="107" spans="1:13" ht="12.75" customHeight="1" x14ac:dyDescent="0.2">
      <c r="A107" s="3" t="s">
        <v>507</v>
      </c>
      <c r="B107" s="24">
        <v>98</v>
      </c>
      <c r="C107" s="20" t="s">
        <v>508</v>
      </c>
      <c r="D107" s="5">
        <v>29839</v>
      </c>
      <c r="E107" s="5" t="s">
        <v>802</v>
      </c>
      <c r="F107" s="11">
        <v>1754150</v>
      </c>
      <c r="G107" s="1">
        <v>5262</v>
      </c>
      <c r="H107" s="4">
        <f t="shared" si="1"/>
        <v>52624.5</v>
      </c>
      <c r="I107" s="4">
        <v>4210</v>
      </c>
      <c r="J107" s="4">
        <v>64904</v>
      </c>
      <c r="K107" s="4">
        <v>35083</v>
      </c>
      <c r="M107" s="5"/>
    </row>
    <row r="108" spans="1:13" ht="12.75" customHeight="1" x14ac:dyDescent="0.2">
      <c r="A108" s="3" t="s">
        <v>659</v>
      </c>
      <c r="B108" s="24">
        <v>152</v>
      </c>
      <c r="C108" s="20" t="s">
        <v>661</v>
      </c>
      <c r="D108" s="5">
        <v>28468</v>
      </c>
      <c r="E108" s="5" t="s">
        <v>802</v>
      </c>
      <c r="F108" s="11">
        <v>1601235</v>
      </c>
      <c r="G108" s="1">
        <v>4804</v>
      </c>
      <c r="H108" s="4">
        <f t="shared" si="1"/>
        <v>48037.049999999996</v>
      </c>
      <c r="I108" s="4">
        <v>3843</v>
      </c>
      <c r="J108" s="4">
        <v>59246</v>
      </c>
      <c r="K108" s="4">
        <v>32025</v>
      </c>
      <c r="M108" s="5"/>
    </row>
    <row r="109" spans="1:13" ht="12.75" customHeight="1" x14ac:dyDescent="0.2">
      <c r="A109" s="3" t="s">
        <v>269</v>
      </c>
      <c r="B109" s="24">
        <v>295</v>
      </c>
      <c r="C109" s="20" t="s">
        <v>270</v>
      </c>
      <c r="D109" s="5">
        <v>29620</v>
      </c>
      <c r="E109" s="5" t="s">
        <v>802</v>
      </c>
      <c r="F109" s="11">
        <v>1601235</v>
      </c>
      <c r="G109" s="1">
        <v>4804</v>
      </c>
      <c r="H109" s="4">
        <f t="shared" si="1"/>
        <v>48037.049999999996</v>
      </c>
      <c r="I109" s="4">
        <v>3843</v>
      </c>
      <c r="J109" s="4">
        <v>59246</v>
      </c>
      <c r="K109" s="4">
        <v>32025</v>
      </c>
      <c r="M109" s="5"/>
    </row>
    <row r="110" spans="1:13" s="3" customFormat="1" ht="12.75" customHeight="1" x14ac:dyDescent="0.2">
      <c r="A110" s="3" t="s">
        <v>544</v>
      </c>
      <c r="B110" s="24">
        <v>465</v>
      </c>
      <c r="C110" s="20" t="s">
        <v>545</v>
      </c>
      <c r="D110" s="5">
        <v>26490</v>
      </c>
      <c r="E110" s="5" t="s">
        <v>802</v>
      </c>
      <c r="F110" s="11">
        <v>2709868.5</v>
      </c>
      <c r="G110" s="1">
        <v>8130</v>
      </c>
      <c r="H110" s="4">
        <f t="shared" si="1"/>
        <v>81296.054999999993</v>
      </c>
      <c r="I110" s="4">
        <v>6504</v>
      </c>
      <c r="J110" s="4">
        <v>100265</v>
      </c>
      <c r="K110" s="4">
        <v>54197</v>
      </c>
      <c r="M110" s="5"/>
    </row>
    <row r="111" spans="1:13" s="3" customFormat="1" ht="12.75" customHeight="1" x14ac:dyDescent="0.2">
      <c r="A111" s="3" t="s">
        <v>734</v>
      </c>
      <c r="B111" s="24">
        <v>1075</v>
      </c>
      <c r="C111" s="20" t="s">
        <v>735</v>
      </c>
      <c r="D111" s="5">
        <v>31135</v>
      </c>
      <c r="E111" s="5" t="s">
        <v>802</v>
      </c>
      <c r="F111" s="11">
        <v>1601235</v>
      </c>
      <c r="G111" s="1">
        <v>4804</v>
      </c>
      <c r="H111" s="4">
        <f t="shared" si="1"/>
        <v>48037.049999999996</v>
      </c>
      <c r="I111" s="4">
        <v>3843</v>
      </c>
      <c r="J111" s="4">
        <v>59246</v>
      </c>
      <c r="K111" s="4">
        <v>32025</v>
      </c>
      <c r="M111" s="5"/>
    </row>
    <row r="112" spans="1:13" s="3" customFormat="1" ht="12.75" customHeight="1" x14ac:dyDescent="0.2">
      <c r="A112" s="3" t="s">
        <v>197</v>
      </c>
      <c r="B112" s="24">
        <v>1426</v>
      </c>
      <c r="C112" s="21">
        <v>12037894453</v>
      </c>
      <c r="D112" s="5">
        <v>32617</v>
      </c>
      <c r="E112" s="5" t="s">
        <v>802</v>
      </c>
      <c r="F112" s="11">
        <v>2189957.5</v>
      </c>
      <c r="G112" s="1">
        <v>6570</v>
      </c>
      <c r="H112" s="4">
        <f t="shared" si="1"/>
        <v>65698.724999999991</v>
      </c>
      <c r="I112" s="4">
        <v>5256</v>
      </c>
      <c r="J112" s="4">
        <v>81028</v>
      </c>
      <c r="K112" s="4">
        <v>43799</v>
      </c>
      <c r="M112" s="5"/>
    </row>
    <row r="113" spans="1:13" s="3" customFormat="1" ht="12.75" customHeight="1" x14ac:dyDescent="0.2">
      <c r="A113" s="3" t="s">
        <v>573</v>
      </c>
      <c r="B113" s="24">
        <v>1448</v>
      </c>
      <c r="C113" s="21">
        <v>12037894727</v>
      </c>
      <c r="D113" s="5">
        <v>34395</v>
      </c>
      <c r="E113" s="5" t="s">
        <v>802</v>
      </c>
      <c r="F113" s="11">
        <v>1340069</v>
      </c>
      <c r="G113" s="1">
        <v>4620</v>
      </c>
      <c r="H113" s="4">
        <f t="shared" si="1"/>
        <v>40202.07</v>
      </c>
      <c r="I113" s="4">
        <v>3696</v>
      </c>
      <c r="J113" s="4">
        <v>56983</v>
      </c>
      <c r="K113" s="4">
        <v>30801</v>
      </c>
      <c r="M113" s="5"/>
    </row>
    <row r="114" spans="1:13" ht="12.75" customHeight="1" x14ac:dyDescent="0.2">
      <c r="A114" s="3" t="s">
        <v>254</v>
      </c>
      <c r="B114" s="24">
        <v>1507</v>
      </c>
      <c r="C114" s="31" t="s">
        <v>861</v>
      </c>
      <c r="D114" s="5">
        <v>29697</v>
      </c>
      <c r="E114" s="5" t="s">
        <v>802</v>
      </c>
      <c r="F114" s="11">
        <v>1540069</v>
      </c>
      <c r="G114" s="1">
        <v>4620</v>
      </c>
      <c r="H114" s="4">
        <f t="shared" si="1"/>
        <v>46202.07</v>
      </c>
      <c r="I114" s="4">
        <v>3696</v>
      </c>
      <c r="J114" s="4">
        <v>56983</v>
      </c>
      <c r="K114" s="4">
        <v>30801</v>
      </c>
    </row>
    <row r="115" spans="1:13" ht="12.75" customHeight="1" x14ac:dyDescent="0.2">
      <c r="A115" s="3" t="s">
        <v>439</v>
      </c>
      <c r="B115" s="24">
        <v>1723</v>
      </c>
      <c r="C115" s="31" t="s">
        <v>861</v>
      </c>
      <c r="D115" s="5">
        <v>32307</v>
      </c>
      <c r="E115" s="5" t="s">
        <v>802</v>
      </c>
      <c r="F115" s="11">
        <v>1331736</v>
      </c>
      <c r="G115" s="1">
        <v>4620</v>
      </c>
      <c r="H115" s="4">
        <f t="shared" si="1"/>
        <v>39952.080000000002</v>
      </c>
      <c r="I115" s="4">
        <v>3696</v>
      </c>
      <c r="J115" s="4">
        <v>56983</v>
      </c>
      <c r="K115" s="4">
        <v>30801</v>
      </c>
      <c r="M115" s="5"/>
    </row>
    <row r="116" spans="1:13" ht="12.75" customHeight="1" x14ac:dyDescent="0.2">
      <c r="A116" s="3"/>
      <c r="B116" s="24"/>
      <c r="C116" s="31"/>
      <c r="D116" s="5"/>
      <c r="E116" s="5"/>
      <c r="F116" s="11"/>
      <c r="G116" s="37">
        <f>SUM(G106:G115)</f>
        <v>55308</v>
      </c>
      <c r="H116" s="37">
        <f>SUM(H106:H115)</f>
        <v>540831.58499999996</v>
      </c>
      <c r="I116" s="37">
        <f>SUM(I106:I115)</f>
        <v>44247</v>
      </c>
      <c r="J116" s="37">
        <f>SUM(J106:J115)</f>
        <v>682136</v>
      </c>
      <c r="K116" s="37">
        <f>SUM(K106:K115)</f>
        <v>368720</v>
      </c>
      <c r="M116" s="5"/>
    </row>
    <row r="117" spans="1:13" ht="12.75" customHeight="1" x14ac:dyDescent="0.2">
      <c r="A117" s="3" t="s">
        <v>505</v>
      </c>
      <c r="B117" s="24">
        <v>400</v>
      </c>
      <c r="C117" s="20" t="s">
        <v>506</v>
      </c>
      <c r="D117" s="5">
        <v>28191</v>
      </c>
      <c r="E117" s="5" t="s">
        <v>819</v>
      </c>
      <c r="F117" s="11">
        <v>1540069</v>
      </c>
      <c r="G117" s="1">
        <v>4620</v>
      </c>
      <c r="H117" s="4">
        <f t="shared" si="1"/>
        <v>46202.07</v>
      </c>
      <c r="I117" s="4">
        <v>3696</v>
      </c>
      <c r="J117" s="4">
        <v>56983</v>
      </c>
      <c r="K117" s="4">
        <v>30801</v>
      </c>
      <c r="M117" s="5"/>
    </row>
    <row r="118" spans="1:13" ht="12.75" customHeight="1" x14ac:dyDescent="0.2">
      <c r="A118" s="3" t="s">
        <v>670</v>
      </c>
      <c r="B118" s="24">
        <v>449</v>
      </c>
      <c r="C118" s="20" t="s">
        <v>671</v>
      </c>
      <c r="D118" s="5">
        <v>29587</v>
      </c>
      <c r="E118" s="5" t="s">
        <v>819</v>
      </c>
      <c r="F118" s="11">
        <v>2595182.5</v>
      </c>
      <c r="G118" s="1">
        <v>7786</v>
      </c>
      <c r="H118" s="4">
        <f t="shared" si="1"/>
        <v>77855.474999999991</v>
      </c>
      <c r="I118" s="4">
        <v>6228</v>
      </c>
      <c r="J118" s="4">
        <v>96022</v>
      </c>
      <c r="K118" s="4">
        <v>51904</v>
      </c>
      <c r="M118" s="5"/>
    </row>
    <row r="119" spans="1:13" ht="12.75" customHeight="1" x14ac:dyDescent="0.2">
      <c r="A119" s="3" t="s">
        <v>652</v>
      </c>
      <c r="B119" s="24">
        <v>633</v>
      </c>
      <c r="C119" s="27">
        <v>11002264395</v>
      </c>
      <c r="D119" s="5">
        <v>31811</v>
      </c>
      <c r="E119" s="5" t="s">
        <v>819</v>
      </c>
      <c r="F119" s="11">
        <v>1540069</v>
      </c>
      <c r="G119" s="1">
        <v>4620</v>
      </c>
      <c r="H119" s="4">
        <f t="shared" si="1"/>
        <v>46202.07</v>
      </c>
      <c r="I119" s="4">
        <v>3696</v>
      </c>
      <c r="J119" s="4">
        <v>56983</v>
      </c>
      <c r="K119" s="4">
        <v>30801</v>
      </c>
      <c r="M119" s="5"/>
    </row>
    <row r="120" spans="1:13" ht="12.75" customHeight="1" x14ac:dyDescent="0.2">
      <c r="A120" s="3" t="s">
        <v>320</v>
      </c>
      <c r="B120" s="24">
        <v>717</v>
      </c>
      <c r="C120" s="20" t="s">
        <v>321</v>
      </c>
      <c r="D120" s="5">
        <v>33730</v>
      </c>
      <c r="E120" s="5" t="s">
        <v>819</v>
      </c>
      <c r="F120" s="11">
        <v>1540069</v>
      </c>
      <c r="G120" s="1">
        <v>4620</v>
      </c>
      <c r="H120" s="4">
        <f t="shared" si="1"/>
        <v>46202.07</v>
      </c>
      <c r="I120" s="4">
        <v>3696</v>
      </c>
      <c r="J120" s="4">
        <v>56983</v>
      </c>
      <c r="K120" s="4">
        <v>30801</v>
      </c>
      <c r="M120" s="5"/>
    </row>
    <row r="121" spans="1:13" ht="12.75" customHeight="1" x14ac:dyDescent="0.2">
      <c r="A121" s="3" t="s">
        <v>137</v>
      </c>
      <c r="B121" s="24">
        <v>834</v>
      </c>
      <c r="C121" s="20" t="s">
        <v>138</v>
      </c>
      <c r="D121" s="5">
        <v>33386</v>
      </c>
      <c r="E121" s="5" t="s">
        <v>819</v>
      </c>
      <c r="F121" s="11">
        <v>1540069</v>
      </c>
      <c r="G121" s="1">
        <v>4620</v>
      </c>
      <c r="H121" s="4">
        <f t="shared" si="1"/>
        <v>46202.07</v>
      </c>
      <c r="I121" s="4">
        <v>3696</v>
      </c>
      <c r="J121" s="4">
        <v>56983</v>
      </c>
      <c r="K121" s="4">
        <v>30801</v>
      </c>
      <c r="M121" s="5"/>
    </row>
    <row r="122" spans="1:13" ht="12.75" customHeight="1" x14ac:dyDescent="0.2">
      <c r="A122" s="3" t="s">
        <v>701</v>
      </c>
      <c r="B122" s="24">
        <v>1270</v>
      </c>
      <c r="C122" s="21">
        <v>12034862560</v>
      </c>
      <c r="D122" s="5">
        <v>33827</v>
      </c>
      <c r="E122" s="5" t="s">
        <v>819</v>
      </c>
      <c r="F122" s="11">
        <v>1540069</v>
      </c>
      <c r="G122" s="1">
        <v>4620</v>
      </c>
      <c r="H122" s="4">
        <f t="shared" si="1"/>
        <v>46202.07</v>
      </c>
      <c r="I122" s="4">
        <v>3696</v>
      </c>
      <c r="J122" s="4">
        <v>56983</v>
      </c>
      <c r="K122" s="4">
        <v>30801</v>
      </c>
      <c r="M122" s="5"/>
    </row>
    <row r="123" spans="1:13" ht="12.75" customHeight="1" x14ac:dyDescent="0.2">
      <c r="A123" s="3" t="s">
        <v>130</v>
      </c>
      <c r="B123" s="24">
        <v>1428</v>
      </c>
      <c r="C123" s="21">
        <v>12037894677</v>
      </c>
      <c r="D123" s="5">
        <v>31980</v>
      </c>
      <c r="E123" s="5" t="s">
        <v>819</v>
      </c>
      <c r="F123" s="11">
        <v>2189957.5</v>
      </c>
      <c r="G123" s="1">
        <v>6570</v>
      </c>
      <c r="H123" s="4">
        <f t="shared" si="1"/>
        <v>65698.724999999991</v>
      </c>
      <c r="I123" s="4">
        <v>5256</v>
      </c>
      <c r="J123" s="4">
        <v>81028</v>
      </c>
      <c r="K123" s="4">
        <v>43799</v>
      </c>
      <c r="M123" s="5"/>
    </row>
    <row r="124" spans="1:13" ht="12.75" customHeight="1" x14ac:dyDescent="0.2">
      <c r="A124" s="3" t="s">
        <v>211</v>
      </c>
      <c r="B124" s="24">
        <v>1614</v>
      </c>
      <c r="C124" s="31" t="s">
        <v>861</v>
      </c>
      <c r="D124" s="5">
        <v>34622</v>
      </c>
      <c r="E124" s="5" t="s">
        <v>819</v>
      </c>
      <c r="F124" s="11">
        <v>1540069</v>
      </c>
      <c r="G124" s="1">
        <v>4620</v>
      </c>
      <c r="H124" s="4">
        <f t="shared" si="1"/>
        <v>46202.07</v>
      </c>
      <c r="I124" s="4">
        <v>3696</v>
      </c>
      <c r="J124" s="4">
        <v>56983</v>
      </c>
      <c r="K124" s="4">
        <v>30801</v>
      </c>
      <c r="M124" s="5"/>
    </row>
    <row r="125" spans="1:13" ht="12.75" customHeight="1" x14ac:dyDescent="0.2">
      <c r="A125" s="3"/>
      <c r="B125" s="24"/>
      <c r="C125" s="31"/>
      <c r="D125" s="5"/>
      <c r="E125" s="5"/>
      <c r="F125" s="11"/>
      <c r="G125" s="37">
        <f>SUM(G117:G124)</f>
        <v>42076</v>
      </c>
      <c r="H125" s="37">
        <f>SUM(H117:H124)</f>
        <v>420766.62</v>
      </c>
      <c r="I125" s="37">
        <f>SUM(I117:I124)</f>
        <v>33660</v>
      </c>
      <c r="J125" s="37">
        <f>SUM(J117:J124)</f>
        <v>518948</v>
      </c>
      <c r="K125" s="37">
        <f>SUM(K117:K124)</f>
        <v>280509</v>
      </c>
      <c r="M125" s="5"/>
    </row>
    <row r="126" spans="1:13" ht="12.75" customHeight="1" x14ac:dyDescent="0.2">
      <c r="A126" s="3" t="s">
        <v>365</v>
      </c>
      <c r="B126" s="24">
        <v>1067</v>
      </c>
      <c r="C126" s="20" t="s">
        <v>366</v>
      </c>
      <c r="D126" s="5">
        <v>30533</v>
      </c>
      <c r="E126" s="5" t="s">
        <v>838</v>
      </c>
      <c r="F126" s="11">
        <v>1601235</v>
      </c>
      <c r="G126" s="1">
        <v>4804</v>
      </c>
      <c r="H126" s="4">
        <f t="shared" si="1"/>
        <v>48037.049999999996</v>
      </c>
      <c r="I126" s="4">
        <v>3843</v>
      </c>
      <c r="J126" s="4">
        <v>59246</v>
      </c>
      <c r="K126" s="4">
        <v>32025</v>
      </c>
      <c r="M126" s="5"/>
    </row>
    <row r="127" spans="1:13" ht="12.75" customHeight="1" x14ac:dyDescent="0.2">
      <c r="A127" s="3" t="s">
        <v>618</v>
      </c>
      <c r="B127" s="24">
        <v>1109</v>
      </c>
      <c r="C127" s="20" t="s">
        <v>619</v>
      </c>
      <c r="D127" s="5">
        <v>29391</v>
      </c>
      <c r="E127" s="5" t="s">
        <v>838</v>
      </c>
      <c r="F127" s="11">
        <v>1983522.5</v>
      </c>
      <c r="G127" s="1">
        <v>5951</v>
      </c>
      <c r="H127" s="4">
        <f t="shared" si="1"/>
        <v>59505.674999999996</v>
      </c>
      <c r="I127" s="4">
        <v>4760</v>
      </c>
      <c r="J127" s="4">
        <v>73390</v>
      </c>
      <c r="K127" s="4">
        <v>39670</v>
      </c>
      <c r="M127" s="5"/>
    </row>
    <row r="128" spans="1:13" ht="12.75" customHeight="1" x14ac:dyDescent="0.2">
      <c r="A128" s="3" t="s">
        <v>452</v>
      </c>
      <c r="B128" s="24">
        <v>1503</v>
      </c>
      <c r="C128" s="31" t="s">
        <v>861</v>
      </c>
      <c r="D128" s="5">
        <v>31087</v>
      </c>
      <c r="E128" s="5" t="s">
        <v>838</v>
      </c>
      <c r="F128" s="11">
        <v>1601235</v>
      </c>
      <c r="G128" s="1">
        <v>4804</v>
      </c>
      <c r="H128" s="4">
        <f t="shared" si="1"/>
        <v>48037.049999999996</v>
      </c>
      <c r="I128" s="4">
        <v>3843</v>
      </c>
      <c r="J128" s="4">
        <v>59246</v>
      </c>
      <c r="K128" s="4">
        <v>32025</v>
      </c>
      <c r="M128" s="5"/>
    </row>
    <row r="129" spans="1:13" ht="12.75" customHeight="1" x14ac:dyDescent="0.2">
      <c r="A129" s="3" t="s">
        <v>224</v>
      </c>
      <c r="B129" s="24">
        <v>1568</v>
      </c>
      <c r="C129" s="31" t="s">
        <v>861</v>
      </c>
      <c r="D129" s="5">
        <v>33672</v>
      </c>
      <c r="E129" s="5" t="s">
        <v>838</v>
      </c>
      <c r="F129" s="11">
        <v>1738859</v>
      </c>
      <c r="G129" s="1">
        <v>5217</v>
      </c>
      <c r="H129" s="4">
        <f t="shared" si="1"/>
        <v>52165.77</v>
      </c>
      <c r="I129" s="4">
        <v>4173</v>
      </c>
      <c r="J129" s="4">
        <v>64338</v>
      </c>
      <c r="K129" s="4">
        <v>34777</v>
      </c>
      <c r="M129" s="5"/>
    </row>
    <row r="130" spans="1:13" ht="12.75" customHeight="1" x14ac:dyDescent="0.2">
      <c r="A130" s="3" t="s">
        <v>114</v>
      </c>
      <c r="B130" s="24">
        <v>1696</v>
      </c>
      <c r="C130" s="31" t="s">
        <v>861</v>
      </c>
      <c r="D130" s="5">
        <v>31231</v>
      </c>
      <c r="E130" s="5" t="s">
        <v>838</v>
      </c>
      <c r="F130" s="11">
        <v>1498402</v>
      </c>
      <c r="G130" s="1">
        <v>4620</v>
      </c>
      <c r="H130" s="4">
        <f t="shared" si="1"/>
        <v>44952.06</v>
      </c>
      <c r="I130" s="4">
        <v>3696</v>
      </c>
      <c r="J130" s="4">
        <v>56983</v>
      </c>
      <c r="K130" s="4">
        <v>30801</v>
      </c>
      <c r="M130" s="5"/>
    </row>
    <row r="131" spans="1:13" ht="12.75" customHeight="1" x14ac:dyDescent="0.2">
      <c r="A131" s="3" t="s">
        <v>623</v>
      </c>
      <c r="B131" s="24">
        <v>1740</v>
      </c>
      <c r="C131" s="31" t="s">
        <v>861</v>
      </c>
      <c r="D131" s="5">
        <v>31127</v>
      </c>
      <c r="E131" s="5" t="s">
        <v>838</v>
      </c>
      <c r="F131" s="11">
        <v>2189957.5</v>
      </c>
      <c r="G131" s="1">
        <v>6570</v>
      </c>
      <c r="H131" s="4">
        <f t="shared" si="1"/>
        <v>65698.724999999991</v>
      </c>
      <c r="I131" s="4">
        <v>5256</v>
      </c>
      <c r="J131" s="4">
        <v>81028</v>
      </c>
      <c r="K131" s="4">
        <v>43799</v>
      </c>
      <c r="M131" s="5"/>
    </row>
    <row r="132" spans="1:13" ht="12.75" customHeight="1" x14ac:dyDescent="0.2">
      <c r="A132" s="3"/>
      <c r="B132" s="24"/>
      <c r="C132" s="31"/>
      <c r="D132" s="5"/>
      <c r="E132" s="5"/>
      <c r="F132" s="11"/>
      <c r="G132" s="37">
        <f>SUM(G126:G131)</f>
        <v>31966</v>
      </c>
      <c r="H132" s="37">
        <f>SUM(H126:H131)</f>
        <v>318396.32999999996</v>
      </c>
      <c r="I132" s="37">
        <f>SUM(I126:I131)</f>
        <v>25571</v>
      </c>
      <c r="J132" s="37">
        <f>SUM(J126:J131)</f>
        <v>394231</v>
      </c>
      <c r="K132" s="37">
        <f>SUM(K126:K131)</f>
        <v>213097</v>
      </c>
      <c r="M132" s="5"/>
    </row>
    <row r="133" spans="1:13" ht="12.75" customHeight="1" x14ac:dyDescent="0.2">
      <c r="A133" s="3" t="s">
        <v>343</v>
      </c>
      <c r="B133" s="24">
        <v>65</v>
      </c>
      <c r="C133" s="20" t="s">
        <v>344</v>
      </c>
      <c r="D133" s="5">
        <v>31612</v>
      </c>
      <c r="E133" s="5" t="s">
        <v>804</v>
      </c>
      <c r="F133" s="11">
        <v>1754150</v>
      </c>
      <c r="G133" s="1">
        <v>5262</v>
      </c>
      <c r="H133" s="4">
        <f t="shared" si="1"/>
        <v>52624.5</v>
      </c>
      <c r="I133" s="4">
        <v>4210</v>
      </c>
      <c r="J133" s="4">
        <v>64904</v>
      </c>
      <c r="K133" s="4">
        <v>35083</v>
      </c>
    </row>
    <row r="134" spans="1:13" ht="12.75" customHeight="1" x14ac:dyDescent="0.2">
      <c r="A134" s="3" t="s">
        <v>532</v>
      </c>
      <c r="B134" s="24">
        <v>128</v>
      </c>
      <c r="C134" s="20" t="s">
        <v>533</v>
      </c>
      <c r="D134" s="5">
        <v>28961</v>
      </c>
      <c r="E134" s="5" t="s">
        <v>804</v>
      </c>
      <c r="F134" s="11">
        <v>2901012.5</v>
      </c>
      <c r="G134" s="1">
        <v>8703</v>
      </c>
      <c r="H134" s="4">
        <f t="shared" si="1"/>
        <v>87030.375</v>
      </c>
      <c r="I134" s="4">
        <v>6962</v>
      </c>
      <c r="J134" s="4">
        <v>107337</v>
      </c>
      <c r="K134" s="4">
        <v>58020</v>
      </c>
      <c r="M134" s="5"/>
    </row>
    <row r="135" spans="1:13" ht="12.75" customHeight="1" x14ac:dyDescent="0.2">
      <c r="A135" s="3" t="s">
        <v>563</v>
      </c>
      <c r="B135" s="24">
        <v>262</v>
      </c>
      <c r="C135" s="20" t="s">
        <v>564</v>
      </c>
      <c r="D135" s="5">
        <v>29887</v>
      </c>
      <c r="E135" s="5" t="s">
        <v>804</v>
      </c>
      <c r="F135" s="11">
        <v>1983522.5</v>
      </c>
      <c r="G135" s="1">
        <v>5951</v>
      </c>
      <c r="H135" s="4">
        <f t="shared" si="1"/>
        <v>59505.674999999996</v>
      </c>
      <c r="I135" s="4">
        <v>4760</v>
      </c>
      <c r="J135" s="4">
        <v>73390</v>
      </c>
      <c r="K135" s="4">
        <v>39670</v>
      </c>
      <c r="M135" s="5"/>
    </row>
    <row r="136" spans="1:13" ht="12.75" customHeight="1" x14ac:dyDescent="0.2">
      <c r="A136" s="3" t="s">
        <v>750</v>
      </c>
      <c r="B136" s="24">
        <v>653</v>
      </c>
      <c r="C136" s="20" t="s">
        <v>751</v>
      </c>
      <c r="D136" s="5">
        <v>32051</v>
      </c>
      <c r="E136" s="5" t="s">
        <v>804</v>
      </c>
      <c r="F136" s="11">
        <v>1540069</v>
      </c>
      <c r="G136" s="1">
        <v>4620</v>
      </c>
      <c r="H136" s="4">
        <f t="shared" si="1"/>
        <v>46202.07</v>
      </c>
      <c r="I136" s="4">
        <v>3696</v>
      </c>
      <c r="J136" s="4">
        <v>56983</v>
      </c>
      <c r="K136" s="4">
        <v>30801</v>
      </c>
      <c r="M136" s="5"/>
    </row>
    <row r="137" spans="1:13" ht="12.75" customHeight="1" x14ac:dyDescent="0.2">
      <c r="A137" s="3" t="s">
        <v>165</v>
      </c>
      <c r="B137" s="24">
        <v>818</v>
      </c>
      <c r="C137" s="20" t="s">
        <v>166</v>
      </c>
      <c r="D137" s="5">
        <v>34168</v>
      </c>
      <c r="E137" s="5" t="s">
        <v>804</v>
      </c>
      <c r="F137" s="11">
        <v>1540069</v>
      </c>
      <c r="G137" s="1">
        <v>4620</v>
      </c>
      <c r="H137" s="4">
        <f t="shared" si="1"/>
        <v>46202.07</v>
      </c>
      <c r="I137" s="4">
        <v>3696</v>
      </c>
      <c r="J137" s="4">
        <v>56983</v>
      </c>
      <c r="K137" s="4">
        <v>30801</v>
      </c>
      <c r="M137" s="5"/>
    </row>
    <row r="138" spans="1:13" ht="12.75" customHeight="1" x14ac:dyDescent="0.2">
      <c r="A138" s="3" t="s">
        <v>440</v>
      </c>
      <c r="B138" s="24">
        <v>893</v>
      </c>
      <c r="C138" s="20" t="s">
        <v>441</v>
      </c>
      <c r="D138" s="5">
        <v>30733</v>
      </c>
      <c r="E138" s="5" t="s">
        <v>804</v>
      </c>
      <c r="F138" s="11">
        <v>1540069</v>
      </c>
      <c r="G138" s="1">
        <v>4620</v>
      </c>
      <c r="H138" s="4">
        <f t="shared" si="1"/>
        <v>46202.07</v>
      </c>
      <c r="I138" s="4">
        <v>3696</v>
      </c>
      <c r="J138" s="4">
        <v>56983</v>
      </c>
      <c r="K138" s="4">
        <v>30801</v>
      </c>
      <c r="M138" s="5"/>
    </row>
    <row r="139" spans="1:13" ht="12.75" customHeight="1" x14ac:dyDescent="0.2">
      <c r="A139" s="3" t="s">
        <v>305</v>
      </c>
      <c r="B139" s="24">
        <v>1081</v>
      </c>
      <c r="C139" s="20" t="s">
        <v>306</v>
      </c>
      <c r="D139" s="5">
        <v>32281</v>
      </c>
      <c r="E139" s="5" t="s">
        <v>804</v>
      </c>
      <c r="F139" s="11">
        <v>1601235</v>
      </c>
      <c r="G139" s="1">
        <v>4804</v>
      </c>
      <c r="H139" s="4">
        <f t="shared" si="1"/>
        <v>48037.049999999996</v>
      </c>
      <c r="I139" s="4">
        <v>3843</v>
      </c>
      <c r="J139" s="4">
        <v>59246</v>
      </c>
      <c r="K139" s="4">
        <v>32025</v>
      </c>
      <c r="M139" s="5"/>
    </row>
    <row r="140" spans="1:13" ht="12.75" customHeight="1" x14ac:dyDescent="0.2">
      <c r="A140" s="3" t="s">
        <v>666</v>
      </c>
      <c r="B140" s="24">
        <v>1166</v>
      </c>
      <c r="C140" s="20" t="s">
        <v>667</v>
      </c>
      <c r="D140" s="5">
        <v>32176</v>
      </c>
      <c r="E140" s="5" t="s">
        <v>804</v>
      </c>
      <c r="F140" s="11">
        <v>1540069</v>
      </c>
      <c r="G140" s="1">
        <v>4620</v>
      </c>
      <c r="H140" s="4">
        <f t="shared" si="1"/>
        <v>46202.07</v>
      </c>
      <c r="I140" s="4">
        <v>3696</v>
      </c>
      <c r="J140" s="4">
        <v>56983</v>
      </c>
      <c r="K140" s="4">
        <v>30801</v>
      </c>
      <c r="M140" s="5"/>
    </row>
    <row r="141" spans="1:13" ht="12.75" customHeight="1" x14ac:dyDescent="0.2">
      <c r="A141" s="3" t="s">
        <v>146</v>
      </c>
      <c r="B141" s="24">
        <v>1216</v>
      </c>
      <c r="C141" s="27">
        <v>12026525654</v>
      </c>
      <c r="D141" s="5">
        <v>33336</v>
      </c>
      <c r="E141" s="5" t="s">
        <v>804</v>
      </c>
      <c r="F141" s="11">
        <v>1540069</v>
      </c>
      <c r="G141" s="1">
        <v>4620</v>
      </c>
      <c r="H141" s="4">
        <f t="shared" si="1"/>
        <v>46202.07</v>
      </c>
      <c r="I141" s="4">
        <v>3696</v>
      </c>
      <c r="J141" s="4">
        <v>56983</v>
      </c>
      <c r="K141" s="4">
        <v>30801</v>
      </c>
      <c r="M141" s="5"/>
    </row>
    <row r="142" spans="1:13" ht="12.75" customHeight="1" x14ac:dyDescent="0.2">
      <c r="A142" s="3" t="s">
        <v>71</v>
      </c>
      <c r="B142" s="24">
        <v>1702</v>
      </c>
      <c r="C142" s="31" t="s">
        <v>861</v>
      </c>
      <c r="D142" s="5">
        <v>33643</v>
      </c>
      <c r="E142" s="5" t="s">
        <v>804</v>
      </c>
      <c r="F142" s="11">
        <v>1506736</v>
      </c>
      <c r="G142" s="1">
        <v>4620</v>
      </c>
      <c r="H142" s="4">
        <f t="shared" si="1"/>
        <v>45202.080000000002</v>
      </c>
      <c r="I142" s="4">
        <v>3696</v>
      </c>
      <c r="J142" s="4">
        <v>56983</v>
      </c>
      <c r="K142" s="4">
        <v>30801</v>
      </c>
      <c r="M142" s="5"/>
    </row>
    <row r="143" spans="1:13" ht="12.75" customHeight="1" x14ac:dyDescent="0.2">
      <c r="A143" s="3" t="s">
        <v>548</v>
      </c>
      <c r="B143" s="24">
        <v>1724</v>
      </c>
      <c r="C143" s="31" t="s">
        <v>861</v>
      </c>
      <c r="D143" s="5">
        <v>33932</v>
      </c>
      <c r="E143" s="5" t="s">
        <v>804</v>
      </c>
      <c r="F143" s="11">
        <v>1340069</v>
      </c>
      <c r="G143" s="1">
        <v>4620</v>
      </c>
      <c r="H143" s="4">
        <f t="shared" si="1"/>
        <v>40202.07</v>
      </c>
      <c r="I143" s="4">
        <v>3696</v>
      </c>
      <c r="J143" s="4">
        <v>56983</v>
      </c>
      <c r="K143" s="4">
        <v>30801</v>
      </c>
      <c r="M143" s="5"/>
    </row>
    <row r="144" spans="1:13" ht="12.75" customHeight="1" x14ac:dyDescent="0.2">
      <c r="A144" s="3"/>
      <c r="B144" s="24"/>
      <c r="C144" s="31"/>
      <c r="D144" s="5"/>
      <c r="E144" s="5"/>
      <c r="F144" s="11"/>
      <c r="G144" s="37">
        <f>SUM(G133:G143)</f>
        <v>57060</v>
      </c>
      <c r="H144" s="37">
        <f>SUM(H133:H143)</f>
        <v>563612.1</v>
      </c>
      <c r="I144" s="37">
        <f>SUM(I133:I143)</f>
        <v>45647</v>
      </c>
      <c r="J144" s="37">
        <f>SUM(J133:J143)</f>
        <v>703758</v>
      </c>
      <c r="K144" s="37">
        <f>SUM(K133:K143)</f>
        <v>380405</v>
      </c>
      <c r="M144" s="5"/>
    </row>
    <row r="145" spans="1:13" ht="12.75" customHeight="1" x14ac:dyDescent="0.2">
      <c r="A145" s="3" t="s">
        <v>326</v>
      </c>
      <c r="B145" s="24">
        <v>120</v>
      </c>
      <c r="C145" s="20" t="s">
        <v>327</v>
      </c>
      <c r="D145" s="5">
        <v>28812</v>
      </c>
      <c r="E145" s="5" t="s">
        <v>809</v>
      </c>
      <c r="F145" s="11">
        <v>2289352.5</v>
      </c>
      <c r="G145" s="1">
        <v>6868</v>
      </c>
      <c r="H145" s="4">
        <f t="shared" si="1"/>
        <v>68680.574999999997</v>
      </c>
      <c r="I145" s="4">
        <v>5494</v>
      </c>
      <c r="J145" s="4">
        <v>84706</v>
      </c>
      <c r="K145" s="4">
        <v>45787</v>
      </c>
      <c r="M145" s="5"/>
    </row>
    <row r="146" spans="1:13" ht="12.75" customHeight="1" x14ac:dyDescent="0.2">
      <c r="A146" s="3" t="s">
        <v>362</v>
      </c>
      <c r="B146" s="24">
        <v>411</v>
      </c>
      <c r="C146" s="20" t="s">
        <v>363</v>
      </c>
      <c r="D146" s="5">
        <v>30240</v>
      </c>
      <c r="E146" s="5" t="s">
        <v>809</v>
      </c>
      <c r="F146" s="11">
        <v>1540069</v>
      </c>
      <c r="G146" s="1">
        <v>4620</v>
      </c>
      <c r="H146" s="4">
        <f t="shared" si="1"/>
        <v>46202.07</v>
      </c>
      <c r="I146" s="4">
        <v>3696</v>
      </c>
      <c r="J146" s="4">
        <v>56983</v>
      </c>
      <c r="K146" s="4">
        <v>30801</v>
      </c>
      <c r="M146" s="5"/>
    </row>
    <row r="147" spans="1:13" ht="12.75" customHeight="1" x14ac:dyDescent="0.2">
      <c r="A147" s="3" t="s">
        <v>265</v>
      </c>
      <c r="B147" s="24">
        <v>413</v>
      </c>
      <c r="C147" s="20" t="s">
        <v>266</v>
      </c>
      <c r="D147" s="5">
        <v>30435</v>
      </c>
      <c r="E147" s="5" t="s">
        <v>809</v>
      </c>
      <c r="F147" s="11">
        <v>1601235</v>
      </c>
      <c r="G147" s="1">
        <v>4804</v>
      </c>
      <c r="H147" s="4">
        <f t="shared" si="1"/>
        <v>48037.049999999996</v>
      </c>
      <c r="I147" s="4">
        <v>3843</v>
      </c>
      <c r="J147" s="4">
        <v>59246</v>
      </c>
      <c r="K147" s="4">
        <v>32025</v>
      </c>
      <c r="M147" s="5"/>
    </row>
    <row r="148" spans="1:13" ht="12.75" customHeight="1" x14ac:dyDescent="0.2">
      <c r="A148" s="3" t="s">
        <v>142</v>
      </c>
      <c r="B148" s="24">
        <v>601</v>
      </c>
      <c r="C148" s="20" t="s">
        <v>143</v>
      </c>
      <c r="D148" s="5">
        <v>31167</v>
      </c>
      <c r="E148" s="5" t="s">
        <v>809</v>
      </c>
      <c r="F148" s="11">
        <v>1540069</v>
      </c>
      <c r="G148" s="1">
        <v>4620</v>
      </c>
      <c r="H148" s="4">
        <f t="shared" si="1"/>
        <v>46202.07</v>
      </c>
      <c r="I148" s="4">
        <v>3696</v>
      </c>
      <c r="J148" s="4">
        <v>56983</v>
      </c>
      <c r="K148" s="4">
        <v>30801</v>
      </c>
      <c r="M148" s="5"/>
    </row>
    <row r="149" spans="1:13" ht="12.75" customHeight="1" x14ac:dyDescent="0.2">
      <c r="A149" s="3" t="s">
        <v>147</v>
      </c>
      <c r="B149" s="24">
        <v>938</v>
      </c>
      <c r="C149" s="20" t="s">
        <v>148</v>
      </c>
      <c r="D149" s="5">
        <v>34366</v>
      </c>
      <c r="E149" s="5" t="s">
        <v>809</v>
      </c>
      <c r="F149" s="11">
        <v>1540069</v>
      </c>
      <c r="G149" s="1">
        <v>4620</v>
      </c>
      <c r="H149" s="4">
        <f t="shared" ref="H149:H223" si="2">IF(F149&lt;3080000,F149*3%,IF(F149&gt;=3080000,3080000*3%,0))</f>
        <v>46202.07</v>
      </c>
      <c r="I149" s="4">
        <v>3696</v>
      </c>
      <c r="J149" s="4">
        <v>56983</v>
      </c>
      <c r="K149" s="4">
        <v>30801</v>
      </c>
      <c r="M149" s="5"/>
    </row>
    <row r="150" spans="1:13" ht="12.75" customHeight="1" x14ac:dyDescent="0.2">
      <c r="A150" s="3" t="s">
        <v>568</v>
      </c>
      <c r="B150" s="24">
        <v>939</v>
      </c>
      <c r="C150" s="20" t="s">
        <v>569</v>
      </c>
      <c r="D150" s="5">
        <v>33550</v>
      </c>
      <c r="E150" s="5" t="s">
        <v>809</v>
      </c>
      <c r="F150" s="11">
        <v>1540069</v>
      </c>
      <c r="G150" s="1">
        <v>4620</v>
      </c>
      <c r="H150" s="4">
        <f t="shared" si="2"/>
        <v>46202.07</v>
      </c>
      <c r="I150" s="4">
        <v>3696</v>
      </c>
      <c r="J150" s="4">
        <v>56983</v>
      </c>
      <c r="K150" s="4">
        <v>30801</v>
      </c>
      <c r="M150" s="5"/>
    </row>
    <row r="151" spans="1:13" ht="12.75" customHeight="1" x14ac:dyDescent="0.2">
      <c r="A151" s="3" t="s">
        <v>239</v>
      </c>
      <c r="B151" s="24">
        <v>999</v>
      </c>
      <c r="C151" s="20" t="s">
        <v>240</v>
      </c>
      <c r="D151" s="5">
        <v>31276</v>
      </c>
      <c r="E151" s="5" t="s">
        <v>809</v>
      </c>
      <c r="F151" s="11">
        <v>1815316</v>
      </c>
      <c r="G151" s="1">
        <v>5446</v>
      </c>
      <c r="H151" s="4">
        <f t="shared" si="2"/>
        <v>54459.479999999996</v>
      </c>
      <c r="I151" s="4">
        <v>4357</v>
      </c>
      <c r="J151" s="4">
        <v>67167</v>
      </c>
      <c r="K151" s="4">
        <v>36306</v>
      </c>
      <c r="M151" s="5"/>
    </row>
    <row r="152" spans="1:13" ht="12.75" customHeight="1" x14ac:dyDescent="0.2">
      <c r="A152" s="3" t="s">
        <v>208</v>
      </c>
      <c r="B152" s="24">
        <v>1360</v>
      </c>
      <c r="C152" s="21">
        <v>12034863204</v>
      </c>
      <c r="D152" s="5">
        <v>34670</v>
      </c>
      <c r="E152" s="5" t="s">
        <v>809</v>
      </c>
      <c r="F152" s="11">
        <v>1540069</v>
      </c>
      <c r="G152" s="1">
        <v>4620</v>
      </c>
      <c r="H152" s="4">
        <f t="shared" si="2"/>
        <v>46202.07</v>
      </c>
      <c r="I152" s="4">
        <v>3696</v>
      </c>
      <c r="J152" s="4">
        <v>56983</v>
      </c>
      <c r="K152" s="4">
        <v>30801</v>
      </c>
      <c r="M152" s="5"/>
    </row>
    <row r="153" spans="1:13" ht="12.75" customHeight="1" x14ac:dyDescent="0.2">
      <c r="A153" s="3"/>
      <c r="B153" s="24"/>
      <c r="C153" s="21"/>
      <c r="D153" s="5"/>
      <c r="E153" s="5"/>
      <c r="F153" s="11"/>
      <c r="G153" s="37">
        <f>SUM(G145:G152)</f>
        <v>40218</v>
      </c>
      <c r="H153" s="37">
        <f>SUM(H145:H152)</f>
        <v>402187.45499999996</v>
      </c>
      <c r="I153" s="37">
        <f>SUM(I145:I152)</f>
        <v>32174</v>
      </c>
      <c r="J153" s="37">
        <f>SUM(J145:J152)</f>
        <v>496034</v>
      </c>
      <c r="K153" s="37">
        <f>SUM(K145:K152)</f>
        <v>268123</v>
      </c>
      <c r="M153" s="5"/>
    </row>
    <row r="154" spans="1:13" ht="12.75" customHeight="1" x14ac:dyDescent="0.2">
      <c r="A154" s="3" t="s">
        <v>216</v>
      </c>
      <c r="B154" s="24">
        <v>22</v>
      </c>
      <c r="C154" s="20" t="s">
        <v>217</v>
      </c>
      <c r="D154" s="5">
        <v>29555</v>
      </c>
      <c r="E154" s="5" t="s">
        <v>793</v>
      </c>
      <c r="F154" s="11">
        <v>2709868.5</v>
      </c>
      <c r="G154" s="1">
        <v>8130</v>
      </c>
      <c r="H154" s="4">
        <f t="shared" si="2"/>
        <v>81296.054999999993</v>
      </c>
      <c r="I154" s="4">
        <v>6504</v>
      </c>
      <c r="J154" s="4">
        <v>100265</v>
      </c>
      <c r="K154" s="4">
        <v>54197</v>
      </c>
      <c r="M154" s="5"/>
    </row>
    <row r="155" spans="1:13" ht="12.75" customHeight="1" x14ac:dyDescent="0.2">
      <c r="A155" s="3" t="s">
        <v>328</v>
      </c>
      <c r="B155" s="24">
        <v>31</v>
      </c>
      <c r="C155" s="20" t="s">
        <v>329</v>
      </c>
      <c r="D155" s="5">
        <v>30609</v>
      </c>
      <c r="E155" s="5" t="s">
        <v>793</v>
      </c>
      <c r="F155" s="11">
        <v>1907065</v>
      </c>
      <c r="G155" s="1">
        <v>5721</v>
      </c>
      <c r="H155" s="4">
        <f t="shared" si="2"/>
        <v>57211.95</v>
      </c>
      <c r="I155" s="4">
        <v>4577</v>
      </c>
      <c r="J155" s="4">
        <v>70561</v>
      </c>
      <c r="K155" s="4">
        <v>38141</v>
      </c>
      <c r="M155" s="5"/>
    </row>
    <row r="156" spans="1:13" ht="12.75" customHeight="1" x14ac:dyDescent="0.2">
      <c r="A156" s="3" t="s">
        <v>379</v>
      </c>
      <c r="B156" s="24">
        <v>106</v>
      </c>
      <c r="C156" s="20" t="s">
        <v>380</v>
      </c>
      <c r="D156" s="5">
        <v>30594</v>
      </c>
      <c r="E156" s="5" t="s">
        <v>793</v>
      </c>
      <c r="F156" s="11">
        <v>1601235</v>
      </c>
      <c r="G156" s="1">
        <v>4804</v>
      </c>
      <c r="H156" s="4">
        <f t="shared" si="2"/>
        <v>48037.049999999996</v>
      </c>
      <c r="I156" s="4">
        <v>3843</v>
      </c>
      <c r="J156" s="4">
        <v>59246</v>
      </c>
      <c r="K156" s="4">
        <v>32025</v>
      </c>
      <c r="M156" s="5"/>
    </row>
    <row r="157" spans="1:13" ht="12.75" customHeight="1" x14ac:dyDescent="0.2">
      <c r="A157" s="3" t="s">
        <v>676</v>
      </c>
      <c r="B157" s="24">
        <v>223</v>
      </c>
      <c r="C157" s="20" t="s">
        <v>677</v>
      </c>
      <c r="D157" s="5">
        <v>32036</v>
      </c>
      <c r="E157" s="5" t="s">
        <v>793</v>
      </c>
      <c r="F157" s="11">
        <v>1601235</v>
      </c>
      <c r="G157" s="1">
        <v>4804</v>
      </c>
      <c r="H157" s="4">
        <f t="shared" si="2"/>
        <v>48037.049999999996</v>
      </c>
      <c r="I157" s="4">
        <v>3843</v>
      </c>
      <c r="J157" s="4">
        <v>59246</v>
      </c>
      <c r="K157" s="4">
        <v>32025</v>
      </c>
      <c r="M157" s="5"/>
    </row>
    <row r="158" spans="1:13" ht="12.75" customHeight="1" x14ac:dyDescent="0.2">
      <c r="A158" s="3" t="s">
        <v>709</v>
      </c>
      <c r="B158" s="24">
        <v>225</v>
      </c>
      <c r="C158" s="20" t="s">
        <v>710</v>
      </c>
      <c r="D158" s="5">
        <v>33295</v>
      </c>
      <c r="E158" s="5" t="s">
        <v>793</v>
      </c>
      <c r="F158" s="11">
        <v>1983522.5</v>
      </c>
      <c r="G158" s="1">
        <v>5951</v>
      </c>
      <c r="H158" s="4">
        <f t="shared" si="2"/>
        <v>59505.674999999996</v>
      </c>
      <c r="I158" s="4">
        <v>4760</v>
      </c>
      <c r="J158" s="4">
        <v>73390</v>
      </c>
      <c r="K158" s="4">
        <v>39670</v>
      </c>
      <c r="M158" s="5"/>
    </row>
    <row r="159" spans="1:13" ht="12.75" customHeight="1" x14ac:dyDescent="0.2">
      <c r="A159" s="3" t="s">
        <v>128</v>
      </c>
      <c r="B159" s="24">
        <v>406</v>
      </c>
      <c r="C159" s="20" t="s">
        <v>129</v>
      </c>
      <c r="D159" s="5">
        <v>30406</v>
      </c>
      <c r="E159" s="5" t="s">
        <v>793</v>
      </c>
      <c r="F159" s="11">
        <v>1601235</v>
      </c>
      <c r="G159" s="1">
        <v>4804</v>
      </c>
      <c r="H159" s="4">
        <f t="shared" si="2"/>
        <v>48037.049999999996</v>
      </c>
      <c r="I159" s="4">
        <v>3843</v>
      </c>
      <c r="J159" s="4">
        <v>59246</v>
      </c>
      <c r="K159" s="4">
        <v>32025</v>
      </c>
      <c r="M159" s="5"/>
    </row>
    <row r="160" spans="1:13" ht="12.75" customHeight="1" x14ac:dyDescent="0.2">
      <c r="A160" s="3" t="s">
        <v>399</v>
      </c>
      <c r="B160" s="24">
        <v>550</v>
      </c>
      <c r="C160" s="20" t="s">
        <v>400</v>
      </c>
      <c r="D160" s="5">
        <v>28896</v>
      </c>
      <c r="E160" s="5" t="s">
        <v>793</v>
      </c>
      <c r="F160" s="11">
        <v>1601235</v>
      </c>
      <c r="G160" s="1">
        <v>4804</v>
      </c>
      <c r="H160" s="4">
        <f t="shared" si="2"/>
        <v>48037.049999999996</v>
      </c>
      <c r="I160" s="4">
        <v>3843</v>
      </c>
      <c r="J160" s="4">
        <v>59246</v>
      </c>
      <c r="K160" s="4">
        <v>32025</v>
      </c>
      <c r="M160" s="5"/>
    </row>
    <row r="161" spans="1:13" ht="12.75" customHeight="1" x14ac:dyDescent="0.2">
      <c r="A161" s="3" t="s">
        <v>420</v>
      </c>
      <c r="B161" s="24">
        <v>746</v>
      </c>
      <c r="C161" s="20" t="s">
        <v>421</v>
      </c>
      <c r="D161" s="5">
        <v>29317</v>
      </c>
      <c r="E161" s="5" t="s">
        <v>793</v>
      </c>
      <c r="F161" s="11">
        <v>1381736</v>
      </c>
      <c r="G161" s="1">
        <v>4620</v>
      </c>
      <c r="H161" s="4">
        <f t="shared" si="2"/>
        <v>41452.080000000002</v>
      </c>
      <c r="I161" s="4">
        <v>3696</v>
      </c>
      <c r="J161" s="4">
        <v>56983</v>
      </c>
      <c r="K161" s="4">
        <v>30801</v>
      </c>
      <c r="M161" s="5"/>
    </row>
    <row r="162" spans="1:13" ht="12.75" customHeight="1" x14ac:dyDescent="0.2">
      <c r="A162" s="3" t="s">
        <v>241</v>
      </c>
      <c r="B162" s="24">
        <v>937</v>
      </c>
      <c r="C162" s="20" t="s">
        <v>242</v>
      </c>
      <c r="D162" s="5">
        <v>33566</v>
      </c>
      <c r="E162" s="5" t="s">
        <v>793</v>
      </c>
      <c r="F162" s="11">
        <v>1540069</v>
      </c>
      <c r="G162" s="1">
        <v>4620</v>
      </c>
      <c r="H162" s="4">
        <f t="shared" si="2"/>
        <v>46202.07</v>
      </c>
      <c r="I162" s="4">
        <v>3696</v>
      </c>
      <c r="J162" s="4">
        <v>56983</v>
      </c>
      <c r="K162" s="4">
        <v>30801</v>
      </c>
      <c r="M162" s="5"/>
    </row>
    <row r="163" spans="1:13" ht="12.75" customHeight="1" x14ac:dyDescent="0.2">
      <c r="A163" s="3" t="s">
        <v>453</v>
      </c>
      <c r="B163" s="24">
        <v>1158</v>
      </c>
      <c r="C163" s="20" t="s">
        <v>454</v>
      </c>
      <c r="D163" s="5">
        <v>34368</v>
      </c>
      <c r="E163" s="5" t="s">
        <v>793</v>
      </c>
      <c r="F163" s="11">
        <v>1540069</v>
      </c>
      <c r="G163" s="1">
        <v>4620</v>
      </c>
      <c r="H163" s="4">
        <f t="shared" si="2"/>
        <v>46202.07</v>
      </c>
      <c r="I163" s="4">
        <v>3696</v>
      </c>
      <c r="J163" s="4">
        <v>56983</v>
      </c>
      <c r="K163" s="4">
        <v>30801</v>
      </c>
      <c r="M163" s="5"/>
    </row>
    <row r="164" spans="1:13" ht="12.75" customHeight="1" x14ac:dyDescent="0.2">
      <c r="A164" s="3" t="s">
        <v>665</v>
      </c>
      <c r="B164" s="24">
        <v>1361</v>
      </c>
      <c r="C164" s="21">
        <v>12034863543</v>
      </c>
      <c r="D164" s="5">
        <v>34601</v>
      </c>
      <c r="E164" s="5" t="s">
        <v>793</v>
      </c>
      <c r="F164" s="11">
        <v>1540069</v>
      </c>
      <c r="G164" s="1">
        <v>4620</v>
      </c>
      <c r="H164" s="4">
        <f t="shared" si="2"/>
        <v>46202.07</v>
      </c>
      <c r="I164" s="4">
        <v>3696</v>
      </c>
      <c r="J164" s="4">
        <v>56983</v>
      </c>
      <c r="K164" s="4">
        <v>30801</v>
      </c>
      <c r="M164" s="5"/>
    </row>
    <row r="165" spans="1:13" ht="12.75" customHeight="1" x14ac:dyDescent="0.2">
      <c r="A165" s="3" t="s">
        <v>319</v>
      </c>
      <c r="B165" s="24">
        <v>1441</v>
      </c>
      <c r="C165" s="21">
        <v>12037894735</v>
      </c>
      <c r="D165" s="5">
        <v>33715</v>
      </c>
      <c r="E165" s="5" t="s">
        <v>793</v>
      </c>
      <c r="F165" s="11">
        <v>1540069</v>
      </c>
      <c r="G165" s="1">
        <v>4620</v>
      </c>
      <c r="H165" s="4">
        <f t="shared" si="2"/>
        <v>46202.07</v>
      </c>
      <c r="I165" s="4">
        <v>3696</v>
      </c>
      <c r="J165" s="4">
        <v>56983</v>
      </c>
      <c r="K165" s="4">
        <v>30801</v>
      </c>
      <c r="M165" s="5"/>
    </row>
    <row r="166" spans="1:13" ht="12.75" customHeight="1" x14ac:dyDescent="0.2">
      <c r="A166" s="3"/>
      <c r="B166" s="24"/>
      <c r="C166" s="21"/>
      <c r="D166" s="5"/>
      <c r="E166" s="5"/>
      <c r="F166" s="11"/>
      <c r="G166" s="37">
        <f>SUM(G154:G165)</f>
        <v>62118</v>
      </c>
      <c r="H166" s="37">
        <f>SUM(H154:H165)</f>
        <v>616422.23999999987</v>
      </c>
      <c r="I166" s="37">
        <f>SUM(I154:I165)</f>
        <v>49693</v>
      </c>
      <c r="J166" s="37">
        <f>SUM(J154:J165)</f>
        <v>766115</v>
      </c>
      <c r="K166" s="37">
        <f>SUM(K154:K165)</f>
        <v>414113</v>
      </c>
      <c r="M166" s="5"/>
    </row>
    <row r="167" spans="1:13" ht="12.75" customHeight="1" x14ac:dyDescent="0.2">
      <c r="A167" s="3" t="s">
        <v>20</v>
      </c>
      <c r="B167" s="24">
        <v>38</v>
      </c>
      <c r="C167" s="20" t="s">
        <v>21</v>
      </c>
      <c r="D167" s="5">
        <v>30211</v>
      </c>
      <c r="E167" s="5" t="s">
        <v>797</v>
      </c>
      <c r="F167" s="11">
        <v>1754150</v>
      </c>
      <c r="G167" s="1">
        <v>5262</v>
      </c>
      <c r="H167" s="4">
        <f t="shared" si="2"/>
        <v>52624.5</v>
      </c>
      <c r="I167" s="4">
        <v>4210</v>
      </c>
      <c r="J167" s="4">
        <v>64904</v>
      </c>
      <c r="K167" s="4">
        <v>35083</v>
      </c>
      <c r="M167" s="5"/>
    </row>
    <row r="168" spans="1:13" ht="12.75" customHeight="1" x14ac:dyDescent="0.2">
      <c r="A168" s="3" t="s">
        <v>51</v>
      </c>
      <c r="B168" s="24">
        <v>302</v>
      </c>
      <c r="C168" s="20" t="s">
        <v>52</v>
      </c>
      <c r="D168" s="5">
        <v>29440</v>
      </c>
      <c r="E168" s="5" t="s">
        <v>797</v>
      </c>
      <c r="F168" s="11">
        <v>1409568</v>
      </c>
      <c r="G168" s="1">
        <v>4804</v>
      </c>
      <c r="H168" s="4">
        <f t="shared" si="2"/>
        <v>42287.040000000001</v>
      </c>
      <c r="I168" s="4">
        <v>3843</v>
      </c>
      <c r="J168" s="4">
        <v>59246</v>
      </c>
      <c r="K168" s="4">
        <v>32025</v>
      </c>
      <c r="M168" s="5"/>
    </row>
    <row r="169" spans="1:13" ht="12.75" customHeight="1" x14ac:dyDescent="0.2">
      <c r="A169" s="3" t="s">
        <v>10</v>
      </c>
      <c r="B169" s="24">
        <v>1480</v>
      </c>
      <c r="C169" s="21">
        <v>12037894719</v>
      </c>
      <c r="D169" s="5">
        <v>31086</v>
      </c>
      <c r="E169" s="5" t="s">
        <v>797</v>
      </c>
      <c r="F169" s="11">
        <v>1540069</v>
      </c>
      <c r="G169" s="1">
        <v>4620</v>
      </c>
      <c r="H169" s="4">
        <f t="shared" si="2"/>
        <v>46202.07</v>
      </c>
      <c r="I169" s="4">
        <v>3696</v>
      </c>
      <c r="J169" s="4">
        <v>56983</v>
      </c>
      <c r="K169" s="4">
        <v>30801</v>
      </c>
      <c r="M169" s="5"/>
    </row>
    <row r="170" spans="1:13" ht="12.75" customHeight="1" x14ac:dyDescent="0.2">
      <c r="A170" s="3" t="s">
        <v>54</v>
      </c>
      <c r="B170" s="24">
        <v>1710</v>
      </c>
      <c r="C170" s="31" t="s">
        <v>861</v>
      </c>
      <c r="D170" s="5">
        <v>33102</v>
      </c>
      <c r="E170" s="5" t="s">
        <v>797</v>
      </c>
      <c r="F170" s="11">
        <v>1456736</v>
      </c>
      <c r="G170" s="1">
        <v>4620</v>
      </c>
      <c r="H170" s="4">
        <f t="shared" si="2"/>
        <v>43702.080000000002</v>
      </c>
      <c r="I170" s="4">
        <v>3696</v>
      </c>
      <c r="J170" s="4">
        <v>56983</v>
      </c>
      <c r="K170" s="4">
        <v>30801</v>
      </c>
      <c r="M170" s="5"/>
    </row>
    <row r="171" spans="1:13" ht="12.75" customHeight="1" x14ac:dyDescent="0.2">
      <c r="A171" s="3"/>
      <c r="B171" s="24"/>
      <c r="C171" s="31"/>
      <c r="D171" s="5"/>
      <c r="E171" s="5"/>
      <c r="F171" s="11"/>
      <c r="G171" s="37">
        <f>SUM(G167:G170)</f>
        <v>19306</v>
      </c>
      <c r="H171" s="37">
        <f>SUM(H167:H170)</f>
        <v>184815.69</v>
      </c>
      <c r="I171" s="37">
        <f>SUM(I167:I170)</f>
        <v>15445</v>
      </c>
      <c r="J171" s="37">
        <f>SUM(J167:J170)</f>
        <v>238116</v>
      </c>
      <c r="K171" s="37">
        <f>SUM(K167:K170)</f>
        <v>128710</v>
      </c>
      <c r="M171" s="5"/>
    </row>
    <row r="172" spans="1:13" ht="12.75" customHeight="1" x14ac:dyDescent="0.2">
      <c r="A172" s="3" t="s">
        <v>41</v>
      </c>
      <c r="B172" s="24">
        <v>159</v>
      </c>
      <c r="C172" s="20" t="s">
        <v>42</v>
      </c>
      <c r="D172" s="5">
        <v>29958</v>
      </c>
      <c r="E172" s="5" t="s">
        <v>812</v>
      </c>
      <c r="F172" s="11">
        <v>1540069</v>
      </c>
      <c r="G172" s="1">
        <v>4620</v>
      </c>
      <c r="H172" s="4">
        <f t="shared" si="2"/>
        <v>46202.07</v>
      </c>
      <c r="I172" s="4">
        <v>3696</v>
      </c>
      <c r="J172" s="4">
        <v>56983</v>
      </c>
      <c r="K172" s="4">
        <v>30801</v>
      </c>
      <c r="M172" s="5"/>
    </row>
    <row r="173" spans="1:13" ht="12.75" customHeight="1" x14ac:dyDescent="0.2">
      <c r="A173" s="3" t="s">
        <v>12</v>
      </c>
      <c r="B173" s="24">
        <v>325</v>
      </c>
      <c r="C173" s="20" t="s">
        <v>13</v>
      </c>
      <c r="D173" s="5">
        <v>31695</v>
      </c>
      <c r="E173" s="5" t="s">
        <v>812</v>
      </c>
      <c r="F173" s="11">
        <v>1723567</v>
      </c>
      <c r="G173" s="1">
        <v>5171</v>
      </c>
      <c r="H173" s="4">
        <f t="shared" si="2"/>
        <v>51707.009999999995</v>
      </c>
      <c r="I173" s="4">
        <v>4137</v>
      </c>
      <c r="J173" s="4">
        <v>63772</v>
      </c>
      <c r="K173" s="4">
        <v>34471</v>
      </c>
      <c r="M173" s="5"/>
    </row>
    <row r="174" spans="1:13" ht="12.75" customHeight="1" x14ac:dyDescent="0.2">
      <c r="A174" s="3" t="s">
        <v>107</v>
      </c>
      <c r="B174" s="24">
        <v>446</v>
      </c>
      <c r="C174" s="20" t="s">
        <v>108</v>
      </c>
      <c r="D174" s="5">
        <v>31209</v>
      </c>
      <c r="E174" s="5" t="s">
        <v>812</v>
      </c>
      <c r="F174" s="11">
        <v>1323402</v>
      </c>
      <c r="G174" s="1">
        <v>4620</v>
      </c>
      <c r="H174" s="4">
        <f t="shared" si="2"/>
        <v>39702.06</v>
      </c>
      <c r="I174" s="4">
        <v>3696</v>
      </c>
      <c r="J174" s="4">
        <v>56983</v>
      </c>
      <c r="K174" s="4">
        <v>30801</v>
      </c>
      <c r="M174" s="5"/>
    </row>
    <row r="175" spans="1:13" ht="12.75" customHeight="1" x14ac:dyDescent="0.2">
      <c r="A175" s="3" t="s">
        <v>14</v>
      </c>
      <c r="B175" s="24">
        <v>1144</v>
      </c>
      <c r="C175" s="20" t="s">
        <v>15</v>
      </c>
      <c r="D175" s="5">
        <v>31513</v>
      </c>
      <c r="E175" s="5" t="s">
        <v>812</v>
      </c>
      <c r="F175" s="11">
        <v>2289352.5</v>
      </c>
      <c r="G175" s="1">
        <v>6868</v>
      </c>
      <c r="H175" s="4">
        <f t="shared" si="2"/>
        <v>68680.574999999997</v>
      </c>
      <c r="I175" s="4">
        <v>5494</v>
      </c>
      <c r="J175" s="4">
        <v>84706</v>
      </c>
      <c r="K175" s="4">
        <v>45787</v>
      </c>
      <c r="M175" s="5"/>
    </row>
    <row r="176" spans="1:13" ht="12.75" customHeight="1" x14ac:dyDescent="0.2">
      <c r="A176" s="3" t="s">
        <v>53</v>
      </c>
      <c r="B176" s="24">
        <v>1546</v>
      </c>
      <c r="C176" s="31" t="s">
        <v>861</v>
      </c>
      <c r="D176" s="5">
        <v>33998</v>
      </c>
      <c r="E176" s="5" t="s">
        <v>812</v>
      </c>
      <c r="F176" s="11">
        <v>1540069</v>
      </c>
      <c r="G176" s="1">
        <v>4620</v>
      </c>
      <c r="H176" s="4">
        <f t="shared" si="2"/>
        <v>46202.07</v>
      </c>
      <c r="I176" s="4">
        <v>3696</v>
      </c>
      <c r="J176" s="4">
        <v>56983</v>
      </c>
      <c r="K176" s="4">
        <v>30801</v>
      </c>
      <c r="M176" s="5"/>
    </row>
    <row r="177" spans="1:13" ht="12.75" customHeight="1" x14ac:dyDescent="0.2">
      <c r="A177" s="3"/>
      <c r="B177" s="24"/>
      <c r="C177" s="31"/>
      <c r="D177" s="5"/>
      <c r="E177" s="5"/>
      <c r="F177" s="11"/>
      <c r="G177" s="37">
        <f>SUM(G172:G176)</f>
        <v>25899</v>
      </c>
      <c r="H177" s="37">
        <f>SUM(H172:H176)</f>
        <v>252493.78499999997</v>
      </c>
      <c r="I177" s="37">
        <f>SUM(I172:I176)</f>
        <v>20719</v>
      </c>
      <c r="J177" s="37">
        <f>SUM(J172:J176)</f>
        <v>319427</v>
      </c>
      <c r="K177" s="37">
        <f>SUM(K172:K176)</f>
        <v>172661</v>
      </c>
      <c r="M177" s="5"/>
    </row>
    <row r="178" spans="1:13" ht="12.75" customHeight="1" x14ac:dyDescent="0.2">
      <c r="A178" s="3" t="s">
        <v>102</v>
      </c>
      <c r="B178" s="24">
        <v>509</v>
      </c>
      <c r="C178" s="20" t="s">
        <v>103</v>
      </c>
      <c r="D178" s="5">
        <v>31725</v>
      </c>
      <c r="E178" s="5" t="s">
        <v>823</v>
      </c>
      <c r="F178" s="11">
        <v>1540069</v>
      </c>
      <c r="G178" s="1">
        <v>4620</v>
      </c>
      <c r="H178" s="4">
        <f t="shared" si="2"/>
        <v>46202.07</v>
      </c>
      <c r="I178" s="4">
        <v>3696</v>
      </c>
      <c r="J178" s="4">
        <v>56983</v>
      </c>
      <c r="K178" s="4">
        <v>30801</v>
      </c>
      <c r="M178" s="5"/>
    </row>
    <row r="179" spans="1:13" ht="12.75" customHeight="1" x14ac:dyDescent="0.2">
      <c r="A179" s="3" t="s">
        <v>56</v>
      </c>
      <c r="B179" s="24">
        <v>1354</v>
      </c>
      <c r="C179" s="21">
        <v>12034863337</v>
      </c>
      <c r="D179" s="5">
        <v>32061</v>
      </c>
      <c r="E179" s="5" t="s">
        <v>823</v>
      </c>
      <c r="F179" s="11">
        <v>1540069</v>
      </c>
      <c r="G179" s="1">
        <v>4620</v>
      </c>
      <c r="H179" s="4">
        <f t="shared" si="2"/>
        <v>46202.07</v>
      </c>
      <c r="I179" s="4">
        <v>3696</v>
      </c>
      <c r="J179" s="4">
        <v>56983</v>
      </c>
      <c r="K179" s="4">
        <v>30801</v>
      </c>
      <c r="M179" s="5"/>
    </row>
    <row r="180" spans="1:13" ht="12.75" customHeight="1" x14ac:dyDescent="0.2">
      <c r="A180" s="3" t="s">
        <v>47</v>
      </c>
      <c r="B180" s="24">
        <v>1557</v>
      </c>
      <c r="C180" s="31" t="s">
        <v>861</v>
      </c>
      <c r="D180" s="5">
        <v>33292</v>
      </c>
      <c r="E180" s="5" t="s">
        <v>823</v>
      </c>
      <c r="F180" s="11">
        <v>1540069</v>
      </c>
      <c r="G180" s="1">
        <v>4620</v>
      </c>
      <c r="H180" s="4">
        <f t="shared" si="2"/>
        <v>46202.07</v>
      </c>
      <c r="I180" s="4">
        <v>3696</v>
      </c>
      <c r="J180" s="4">
        <v>56983</v>
      </c>
      <c r="K180" s="4">
        <v>30801</v>
      </c>
      <c r="M180" s="5"/>
    </row>
    <row r="181" spans="1:13" ht="12.75" customHeight="1" x14ac:dyDescent="0.2">
      <c r="A181" s="3" t="s">
        <v>67</v>
      </c>
      <c r="B181" s="24">
        <v>1725</v>
      </c>
      <c r="C181" s="31" t="s">
        <v>861</v>
      </c>
      <c r="D181" s="5">
        <v>33525</v>
      </c>
      <c r="E181" s="5" t="s">
        <v>823</v>
      </c>
      <c r="F181" s="11">
        <v>1390069</v>
      </c>
      <c r="G181" s="1">
        <v>4620</v>
      </c>
      <c r="H181" s="4">
        <f t="shared" si="2"/>
        <v>41702.07</v>
      </c>
      <c r="I181" s="4">
        <v>3696</v>
      </c>
      <c r="J181" s="4">
        <v>56983</v>
      </c>
      <c r="K181" s="4">
        <v>30801</v>
      </c>
      <c r="M181" s="5"/>
    </row>
    <row r="182" spans="1:13" ht="12.75" customHeight="1" x14ac:dyDescent="0.2">
      <c r="A182" s="3"/>
      <c r="B182" s="24"/>
      <c r="C182" s="31"/>
      <c r="D182" s="5"/>
      <c r="E182" s="5"/>
      <c r="F182" s="11"/>
      <c r="G182" s="37">
        <f>SUM(G178:G181)</f>
        <v>18480</v>
      </c>
      <c r="H182" s="37">
        <f>SUM(H178:H181)</f>
        <v>180308.28</v>
      </c>
      <c r="I182" s="37">
        <f>SUM(I178:I181)</f>
        <v>14784</v>
      </c>
      <c r="J182" s="37">
        <f>SUM(J178:J181)</f>
        <v>227932</v>
      </c>
      <c r="K182" s="37">
        <f>SUM(K178:K181)</f>
        <v>123204</v>
      </c>
      <c r="M182" s="5"/>
    </row>
    <row r="183" spans="1:13" ht="12.75" customHeight="1" x14ac:dyDescent="0.2">
      <c r="A183" s="3" t="s">
        <v>97</v>
      </c>
      <c r="B183" s="24">
        <v>13</v>
      </c>
      <c r="C183" s="20" t="s">
        <v>98</v>
      </c>
      <c r="D183" s="5">
        <v>28756</v>
      </c>
      <c r="E183" s="5" t="s">
        <v>791</v>
      </c>
      <c r="F183" s="11">
        <v>1907065</v>
      </c>
      <c r="G183" s="1">
        <v>5721</v>
      </c>
      <c r="H183" s="4">
        <f t="shared" si="2"/>
        <v>57211.95</v>
      </c>
      <c r="I183" s="4">
        <v>4577</v>
      </c>
      <c r="J183" s="4">
        <v>70561</v>
      </c>
      <c r="K183" s="4">
        <v>38141</v>
      </c>
      <c r="M183" s="5"/>
    </row>
    <row r="184" spans="1:13" ht="12.75" customHeight="1" x14ac:dyDescent="0.2">
      <c r="A184" s="3" t="s">
        <v>18</v>
      </c>
      <c r="B184" s="24">
        <v>21</v>
      </c>
      <c r="C184" s="20" t="s">
        <v>19</v>
      </c>
      <c r="D184" s="5">
        <v>30246</v>
      </c>
      <c r="E184" s="5" t="s">
        <v>791</v>
      </c>
      <c r="F184" s="11">
        <v>1907065</v>
      </c>
      <c r="G184" s="1">
        <v>5721</v>
      </c>
      <c r="H184" s="4">
        <f t="shared" si="2"/>
        <v>57211.95</v>
      </c>
      <c r="I184" s="4">
        <v>4577</v>
      </c>
      <c r="J184" s="4">
        <v>70561</v>
      </c>
      <c r="K184" s="4">
        <v>38141</v>
      </c>
      <c r="M184" s="5"/>
    </row>
    <row r="185" spans="1:13" ht="12.75" customHeight="1" x14ac:dyDescent="0.2">
      <c r="A185" s="3" t="s">
        <v>61</v>
      </c>
      <c r="B185" s="24">
        <v>151</v>
      </c>
      <c r="C185" s="20" t="s">
        <v>62</v>
      </c>
      <c r="D185" s="5">
        <v>28518</v>
      </c>
      <c r="E185" s="5" t="s">
        <v>791</v>
      </c>
      <c r="F185" s="11">
        <v>1601235</v>
      </c>
      <c r="G185" s="1">
        <v>4804</v>
      </c>
      <c r="H185" s="4">
        <f t="shared" si="2"/>
        <v>48037.049999999996</v>
      </c>
      <c r="I185" s="4">
        <v>3843</v>
      </c>
      <c r="J185" s="4">
        <v>59246</v>
      </c>
      <c r="K185" s="4">
        <v>32025</v>
      </c>
      <c r="M185" s="5"/>
    </row>
    <row r="186" spans="1:13" ht="12.75" customHeight="1" x14ac:dyDescent="0.2">
      <c r="A186" s="3" t="s">
        <v>93</v>
      </c>
      <c r="B186" s="24">
        <v>527</v>
      </c>
      <c r="C186" s="20" t="s">
        <v>94</v>
      </c>
      <c r="D186" s="5">
        <v>26939</v>
      </c>
      <c r="E186" s="5" t="s">
        <v>791</v>
      </c>
      <c r="F186" s="11">
        <v>2801617.5</v>
      </c>
      <c r="G186" s="1">
        <v>8405</v>
      </c>
      <c r="H186" s="4">
        <f t="shared" si="2"/>
        <v>84048.524999999994</v>
      </c>
      <c r="I186" s="4">
        <v>6724</v>
      </c>
      <c r="J186" s="4">
        <v>103660</v>
      </c>
      <c r="K186" s="4">
        <v>56032</v>
      </c>
      <c r="M186" s="5"/>
    </row>
    <row r="187" spans="1:13" ht="12.75" customHeight="1" x14ac:dyDescent="0.2">
      <c r="A187" s="3" t="s">
        <v>63</v>
      </c>
      <c r="B187" s="24">
        <v>1011</v>
      </c>
      <c r="C187" s="20" t="s">
        <v>64</v>
      </c>
      <c r="D187" s="5">
        <v>31162</v>
      </c>
      <c r="E187" s="5" t="s">
        <v>791</v>
      </c>
      <c r="F187" s="11">
        <v>2595182.5</v>
      </c>
      <c r="G187" s="1">
        <v>7786</v>
      </c>
      <c r="H187" s="4">
        <f t="shared" si="2"/>
        <v>77855.474999999991</v>
      </c>
      <c r="I187" s="4">
        <v>6228</v>
      </c>
      <c r="J187" s="4">
        <v>96022</v>
      </c>
      <c r="K187" s="4">
        <v>51904</v>
      </c>
      <c r="M187" s="5"/>
    </row>
    <row r="188" spans="1:13" ht="12.75" customHeight="1" x14ac:dyDescent="0.2">
      <c r="A188" s="3" t="s">
        <v>109</v>
      </c>
      <c r="B188" s="24">
        <v>1073</v>
      </c>
      <c r="C188" s="20" t="s">
        <v>110</v>
      </c>
      <c r="D188" s="5">
        <v>32052</v>
      </c>
      <c r="E188" s="5" t="s">
        <v>791</v>
      </c>
      <c r="F188" s="11">
        <v>1601235</v>
      </c>
      <c r="G188" s="1">
        <v>4804</v>
      </c>
      <c r="H188" s="4">
        <f t="shared" si="2"/>
        <v>48037.049999999996</v>
      </c>
      <c r="I188" s="4">
        <v>3843</v>
      </c>
      <c r="J188" s="4">
        <v>59246</v>
      </c>
      <c r="K188" s="4">
        <v>32025</v>
      </c>
      <c r="M188" s="5"/>
    </row>
    <row r="189" spans="1:13" ht="12.75" customHeight="1" x14ac:dyDescent="0.2">
      <c r="A189" s="3" t="s">
        <v>77</v>
      </c>
      <c r="B189" s="24">
        <v>1731</v>
      </c>
      <c r="C189" s="31" t="s">
        <v>861</v>
      </c>
      <c r="D189" s="5">
        <v>30491</v>
      </c>
      <c r="E189" s="5" t="s">
        <v>791</v>
      </c>
      <c r="F189" s="11">
        <v>1373402</v>
      </c>
      <c r="G189" s="1">
        <v>4620</v>
      </c>
      <c r="H189" s="4">
        <f t="shared" si="2"/>
        <v>41202.06</v>
      </c>
      <c r="I189" s="4">
        <v>3696</v>
      </c>
      <c r="J189" s="4">
        <v>56983</v>
      </c>
      <c r="K189" s="4">
        <v>30801</v>
      </c>
      <c r="M189" s="5"/>
    </row>
    <row r="190" spans="1:13" ht="12.75" customHeight="1" x14ac:dyDescent="0.2">
      <c r="A190" s="3"/>
      <c r="B190" s="24"/>
      <c r="C190" s="31"/>
      <c r="D190" s="5"/>
      <c r="E190" s="5"/>
      <c r="F190" s="11"/>
      <c r="G190" s="37">
        <f>SUM(G183:G189)</f>
        <v>41861</v>
      </c>
      <c r="H190" s="37">
        <f>SUM(H183:H189)</f>
        <v>413604.05999999994</v>
      </c>
      <c r="I190" s="37">
        <f>SUM(I183:I189)</f>
        <v>33488</v>
      </c>
      <c r="J190" s="37">
        <f>SUM(J183:J189)</f>
        <v>516279</v>
      </c>
      <c r="K190" s="37">
        <f>SUM(K183:K189)</f>
        <v>279069</v>
      </c>
      <c r="M190" s="5"/>
    </row>
    <row r="191" spans="1:13" ht="12.75" customHeight="1" x14ac:dyDescent="0.2">
      <c r="A191" s="3" t="s">
        <v>86</v>
      </c>
      <c r="B191" s="24">
        <v>1308</v>
      </c>
      <c r="C191" s="21">
        <v>12034863535</v>
      </c>
      <c r="D191" s="5">
        <v>32980</v>
      </c>
      <c r="E191" s="5" t="s">
        <v>840</v>
      </c>
      <c r="F191" s="11">
        <v>1540069</v>
      </c>
      <c r="G191" s="1">
        <v>4620</v>
      </c>
      <c r="H191" s="4">
        <f t="shared" si="2"/>
        <v>46202.07</v>
      </c>
      <c r="I191" s="4">
        <v>3696</v>
      </c>
      <c r="J191" s="4">
        <v>56983</v>
      </c>
      <c r="K191" s="4">
        <v>30801</v>
      </c>
      <c r="M191" s="5"/>
    </row>
    <row r="192" spans="1:13" ht="12.75" customHeight="1" x14ac:dyDescent="0.2">
      <c r="A192" s="3"/>
      <c r="B192" s="24"/>
      <c r="C192" s="21"/>
      <c r="D192" s="5"/>
      <c r="E192" s="5"/>
      <c r="F192" s="11"/>
      <c r="G192" s="37">
        <f>SUM(G191)</f>
        <v>4620</v>
      </c>
      <c r="H192" s="37">
        <f>SUM(H191)</f>
        <v>46202.07</v>
      </c>
      <c r="I192" s="37">
        <f>SUM(I191)</f>
        <v>3696</v>
      </c>
      <c r="J192" s="37">
        <f>SUM(J191)</f>
        <v>56983</v>
      </c>
      <c r="K192" s="37">
        <f>SUM(K191)</f>
        <v>30801</v>
      </c>
      <c r="M192" s="5"/>
    </row>
    <row r="193" spans="1:13" ht="12.75" customHeight="1" x14ac:dyDescent="0.2">
      <c r="A193" s="3" t="s">
        <v>38</v>
      </c>
      <c r="B193" s="24">
        <v>1586</v>
      </c>
      <c r="C193" s="31" t="s">
        <v>861</v>
      </c>
      <c r="D193" s="5">
        <v>30958</v>
      </c>
      <c r="E193" s="5" t="s">
        <v>846</v>
      </c>
      <c r="F193" s="11">
        <v>1540069</v>
      </c>
      <c r="G193" s="1">
        <v>4620</v>
      </c>
      <c r="H193" s="4">
        <f t="shared" si="2"/>
        <v>46202.07</v>
      </c>
      <c r="I193" s="4">
        <v>3696</v>
      </c>
      <c r="J193" s="4">
        <v>56983</v>
      </c>
      <c r="K193" s="4">
        <v>30801</v>
      </c>
      <c r="M193" s="5"/>
    </row>
    <row r="194" spans="1:13" ht="12.75" customHeight="1" x14ac:dyDescent="0.2">
      <c r="A194" s="3" t="s">
        <v>72</v>
      </c>
      <c r="B194" s="24">
        <v>1516</v>
      </c>
      <c r="C194" s="31" t="s">
        <v>861</v>
      </c>
      <c r="D194" s="5">
        <v>32208</v>
      </c>
      <c r="E194" s="5" t="s">
        <v>844</v>
      </c>
      <c r="F194" s="11">
        <v>1540069</v>
      </c>
      <c r="G194" s="1">
        <v>4620</v>
      </c>
      <c r="H194" s="4">
        <f t="shared" si="2"/>
        <v>46202.07</v>
      </c>
      <c r="I194" s="4">
        <v>3696</v>
      </c>
      <c r="J194" s="4">
        <v>56983</v>
      </c>
      <c r="K194" s="4">
        <v>30801</v>
      </c>
      <c r="M194" s="5"/>
    </row>
    <row r="195" spans="1:13" ht="12.75" customHeight="1" x14ac:dyDescent="0.2">
      <c r="A195" s="3" t="s">
        <v>31</v>
      </c>
      <c r="B195" s="24">
        <v>1719</v>
      </c>
      <c r="C195" s="31" t="s">
        <v>861</v>
      </c>
      <c r="D195" s="5">
        <v>34254</v>
      </c>
      <c r="E195" s="5" t="s">
        <v>844</v>
      </c>
      <c r="F195" s="11">
        <v>1523402</v>
      </c>
      <c r="G195" s="1">
        <v>4620</v>
      </c>
      <c r="H195" s="4">
        <f t="shared" si="2"/>
        <v>45702.06</v>
      </c>
      <c r="I195" s="4">
        <v>3696</v>
      </c>
      <c r="J195" s="4">
        <v>56983</v>
      </c>
      <c r="K195" s="4">
        <v>30801</v>
      </c>
      <c r="M195" s="5"/>
    </row>
    <row r="196" spans="1:13" ht="12.75" customHeight="1" x14ac:dyDescent="0.2">
      <c r="A196" s="3"/>
      <c r="B196" s="24"/>
      <c r="C196" s="31"/>
      <c r="D196" s="5"/>
      <c r="E196" s="5"/>
      <c r="F196" s="11"/>
      <c r="G196" s="37">
        <f>SUM(G193:G195)</f>
        <v>13860</v>
      </c>
      <c r="H196" s="37">
        <f>SUM(H193:H195)</f>
        <v>138106.20000000001</v>
      </c>
      <c r="I196" s="37">
        <f>SUM(I193:I195)</f>
        <v>11088</v>
      </c>
      <c r="J196" s="37">
        <f>SUM(J193:J195)</f>
        <v>170949</v>
      </c>
      <c r="K196" s="37">
        <f>SUM(K193:K195)</f>
        <v>92403</v>
      </c>
      <c r="M196" s="5"/>
    </row>
    <row r="197" spans="1:13" ht="12.75" customHeight="1" x14ac:dyDescent="0.2">
      <c r="A197" s="3" t="s">
        <v>565</v>
      </c>
      <c r="B197" s="24">
        <v>1435</v>
      </c>
      <c r="C197" s="21">
        <v>12037894438</v>
      </c>
      <c r="D197" s="5">
        <v>33402</v>
      </c>
      <c r="E197" s="5" t="s">
        <v>843</v>
      </c>
      <c r="F197" s="11">
        <v>1540069</v>
      </c>
      <c r="G197" s="1">
        <v>4620</v>
      </c>
      <c r="H197" s="4">
        <f t="shared" si="2"/>
        <v>46202.07</v>
      </c>
      <c r="I197" s="4">
        <v>3696</v>
      </c>
      <c r="J197" s="4">
        <v>56983</v>
      </c>
      <c r="K197" s="4">
        <v>30801</v>
      </c>
      <c r="M197" s="5"/>
    </row>
    <row r="198" spans="1:13" ht="12.75" customHeight="1" x14ac:dyDescent="0.2">
      <c r="A198" s="3" t="s">
        <v>396</v>
      </c>
      <c r="B198" s="24">
        <v>1436</v>
      </c>
      <c r="C198" s="21">
        <v>12037894693</v>
      </c>
      <c r="D198" s="5">
        <v>32237</v>
      </c>
      <c r="E198" s="5" t="s">
        <v>843</v>
      </c>
      <c r="F198" s="11">
        <v>1540069</v>
      </c>
      <c r="G198" s="1">
        <v>4620</v>
      </c>
      <c r="H198" s="4">
        <f t="shared" si="2"/>
        <v>46202.07</v>
      </c>
      <c r="I198" s="4">
        <v>3696</v>
      </c>
      <c r="J198" s="4">
        <v>56983</v>
      </c>
      <c r="K198" s="4">
        <v>30801</v>
      </c>
      <c r="M198" s="5"/>
    </row>
    <row r="199" spans="1:13" ht="12.75" customHeight="1" x14ac:dyDescent="0.2">
      <c r="A199" s="3" t="s">
        <v>335</v>
      </c>
      <c r="B199" s="24">
        <v>1604</v>
      </c>
      <c r="C199" s="31" t="s">
        <v>861</v>
      </c>
      <c r="D199" s="5">
        <v>34516</v>
      </c>
      <c r="E199" s="5" t="s">
        <v>843</v>
      </c>
      <c r="F199" s="11">
        <v>1540069</v>
      </c>
      <c r="G199" s="1">
        <v>4620</v>
      </c>
      <c r="H199" s="4">
        <f t="shared" si="2"/>
        <v>46202.07</v>
      </c>
      <c r="I199" s="4">
        <v>3696</v>
      </c>
      <c r="J199" s="4">
        <v>56983</v>
      </c>
      <c r="K199" s="4">
        <v>30801</v>
      </c>
      <c r="M199" s="5"/>
    </row>
    <row r="200" spans="1:13" ht="12.75" customHeight="1" x14ac:dyDescent="0.2">
      <c r="A200" s="3" t="s">
        <v>449</v>
      </c>
      <c r="B200" s="24">
        <v>1325</v>
      </c>
      <c r="C200" s="21">
        <v>12034863394</v>
      </c>
      <c r="D200" s="5">
        <v>33333</v>
      </c>
      <c r="E200" s="5" t="s">
        <v>841</v>
      </c>
      <c r="F200" s="11">
        <v>1540069</v>
      </c>
      <c r="G200" s="1">
        <v>4620</v>
      </c>
      <c r="H200" s="4">
        <f t="shared" si="2"/>
        <v>46202.07</v>
      </c>
      <c r="I200" s="4">
        <v>3696</v>
      </c>
      <c r="J200" s="4">
        <v>56983</v>
      </c>
      <c r="K200" s="4">
        <v>30801</v>
      </c>
      <c r="M200" s="5"/>
    </row>
    <row r="201" spans="1:13" ht="12.75" customHeight="1" x14ac:dyDescent="0.2">
      <c r="A201" s="3" t="s">
        <v>727</v>
      </c>
      <c r="B201" s="24">
        <v>1438</v>
      </c>
      <c r="C201" s="21">
        <v>12037894446</v>
      </c>
      <c r="D201" s="5">
        <v>33867</v>
      </c>
      <c r="E201" s="5" t="s">
        <v>841</v>
      </c>
      <c r="F201" s="11">
        <v>1540069</v>
      </c>
      <c r="G201" s="1">
        <v>4620</v>
      </c>
      <c r="H201" s="4">
        <f t="shared" si="2"/>
        <v>46202.07</v>
      </c>
      <c r="I201" s="4">
        <v>3696</v>
      </c>
      <c r="J201" s="4">
        <v>56983</v>
      </c>
      <c r="K201" s="4">
        <v>30801</v>
      </c>
      <c r="M201" s="5"/>
    </row>
    <row r="202" spans="1:13" ht="12.75" customHeight="1" x14ac:dyDescent="0.2">
      <c r="A202" s="3"/>
      <c r="B202" s="24"/>
      <c r="C202" s="21"/>
      <c r="D202" s="5"/>
      <c r="E202" s="5"/>
      <c r="F202" s="11"/>
      <c r="G202" s="37">
        <f>SUM(G197:G201)</f>
        <v>23100</v>
      </c>
      <c r="H202" s="37">
        <f>SUM(H197:H201)</f>
        <v>231010.35</v>
      </c>
      <c r="I202" s="37">
        <f>SUM(I197:I201)</f>
        <v>18480</v>
      </c>
      <c r="J202" s="37">
        <f>SUM(J197:J201)</f>
        <v>284915</v>
      </c>
      <c r="K202" s="37">
        <f>SUM(K197:K201)</f>
        <v>154005</v>
      </c>
      <c r="M202" s="5"/>
    </row>
    <row r="203" spans="1:13" ht="12.75" customHeight="1" x14ac:dyDescent="0.2">
      <c r="A203" s="3" t="s">
        <v>29</v>
      </c>
      <c r="B203" s="24">
        <v>19</v>
      </c>
      <c r="C203" s="20" t="s">
        <v>30</v>
      </c>
      <c r="D203" s="5">
        <v>28343</v>
      </c>
      <c r="E203" s="5" t="s">
        <v>792</v>
      </c>
      <c r="F203" s="11">
        <v>4781620</v>
      </c>
      <c r="G203" s="1">
        <v>14345</v>
      </c>
      <c r="H203" s="4">
        <f t="shared" si="2"/>
        <v>92400</v>
      </c>
      <c r="I203" s="4">
        <v>11476</v>
      </c>
      <c r="J203" s="4">
        <v>176920</v>
      </c>
      <c r="K203" s="4">
        <v>95632</v>
      </c>
      <c r="M203" s="5"/>
    </row>
    <row r="204" spans="1:13" ht="12.75" customHeight="1" x14ac:dyDescent="0.2">
      <c r="A204" s="3" t="s">
        <v>73</v>
      </c>
      <c r="B204" s="24">
        <v>43</v>
      </c>
      <c r="C204" s="20" t="s">
        <v>74</v>
      </c>
      <c r="D204" s="5">
        <v>25886</v>
      </c>
      <c r="E204" s="5" t="s">
        <v>792</v>
      </c>
      <c r="F204" s="11">
        <v>5546195</v>
      </c>
      <c r="G204" s="1">
        <v>16639</v>
      </c>
      <c r="H204" s="4">
        <f t="shared" si="2"/>
        <v>92400</v>
      </c>
      <c r="I204" s="4">
        <v>13311</v>
      </c>
      <c r="J204" s="4">
        <v>205209</v>
      </c>
      <c r="K204" s="4">
        <v>110924</v>
      </c>
      <c r="M204" s="5"/>
    </row>
    <row r="205" spans="1:13" ht="12.75" customHeight="1" x14ac:dyDescent="0.2">
      <c r="A205" s="3" t="s">
        <v>59</v>
      </c>
      <c r="B205" s="24">
        <v>78</v>
      </c>
      <c r="C205" s="20" t="s">
        <v>60</v>
      </c>
      <c r="D205" s="5">
        <v>27131</v>
      </c>
      <c r="E205" s="5" t="s">
        <v>792</v>
      </c>
      <c r="F205" s="11">
        <v>4781620</v>
      </c>
      <c r="G205" s="1">
        <v>14345</v>
      </c>
      <c r="H205" s="4">
        <f t="shared" si="2"/>
        <v>92400</v>
      </c>
      <c r="I205" s="4">
        <v>11476</v>
      </c>
      <c r="J205" s="4">
        <v>176920</v>
      </c>
      <c r="K205" s="4">
        <v>95632</v>
      </c>
      <c r="M205" s="5"/>
    </row>
    <row r="206" spans="1:13" ht="12.75" customHeight="1" x14ac:dyDescent="0.2">
      <c r="A206" s="3" t="s">
        <v>45</v>
      </c>
      <c r="B206" s="24">
        <v>83</v>
      </c>
      <c r="C206" s="20" t="s">
        <v>46</v>
      </c>
      <c r="D206" s="5">
        <v>27648</v>
      </c>
      <c r="E206" s="5" t="s">
        <v>792</v>
      </c>
      <c r="F206" s="11">
        <v>4781620</v>
      </c>
      <c r="G206" s="1">
        <v>14345</v>
      </c>
      <c r="H206" s="4">
        <f t="shared" si="2"/>
        <v>92400</v>
      </c>
      <c r="I206" s="4">
        <v>11476</v>
      </c>
      <c r="J206" s="4">
        <v>176920</v>
      </c>
      <c r="K206" s="4">
        <v>95632</v>
      </c>
      <c r="M206" s="5"/>
    </row>
    <row r="207" spans="1:13" ht="12.75" customHeight="1" x14ac:dyDescent="0.2">
      <c r="A207" s="3" t="s">
        <v>89</v>
      </c>
      <c r="B207" s="24">
        <v>101</v>
      </c>
      <c r="C207" s="20" t="s">
        <v>90</v>
      </c>
      <c r="D207" s="5">
        <v>28320</v>
      </c>
      <c r="E207" s="5" t="s">
        <v>792</v>
      </c>
      <c r="F207" s="11">
        <v>4781620</v>
      </c>
      <c r="G207" s="1">
        <v>14345</v>
      </c>
      <c r="H207" s="4">
        <f t="shared" si="2"/>
        <v>92400</v>
      </c>
      <c r="I207" s="4">
        <v>11476</v>
      </c>
      <c r="J207" s="4">
        <v>176920</v>
      </c>
      <c r="K207" s="4">
        <v>95632</v>
      </c>
      <c r="M207" s="5"/>
    </row>
    <row r="208" spans="1:13" ht="12.75" customHeight="1" x14ac:dyDescent="0.2">
      <c r="A208" s="3" t="s">
        <v>50</v>
      </c>
      <c r="B208" s="24">
        <v>318</v>
      </c>
      <c r="C208" s="21">
        <v>11042293321</v>
      </c>
      <c r="D208" s="5">
        <v>27836</v>
      </c>
      <c r="E208" s="5" t="s">
        <v>792</v>
      </c>
      <c r="F208" s="11">
        <v>4812203</v>
      </c>
      <c r="G208" s="1">
        <v>14437</v>
      </c>
      <c r="H208" s="4">
        <f t="shared" si="2"/>
        <v>92400</v>
      </c>
      <c r="I208" s="4">
        <v>11549</v>
      </c>
      <c r="J208" s="4">
        <v>178052</v>
      </c>
      <c r="K208" s="4">
        <v>96244</v>
      </c>
      <c r="M208" s="5"/>
    </row>
    <row r="209" spans="1:13" ht="12.75" customHeight="1" x14ac:dyDescent="0.2">
      <c r="A209" s="3" t="s">
        <v>43</v>
      </c>
      <c r="B209" s="24">
        <v>393</v>
      </c>
      <c r="C209" s="20" t="s">
        <v>44</v>
      </c>
      <c r="D209" s="5">
        <v>31294</v>
      </c>
      <c r="E209" s="5" t="s">
        <v>792</v>
      </c>
      <c r="F209" s="11">
        <v>4781620</v>
      </c>
      <c r="G209" s="1">
        <v>14345</v>
      </c>
      <c r="H209" s="4">
        <f t="shared" si="2"/>
        <v>92400</v>
      </c>
      <c r="I209" s="4">
        <v>11476</v>
      </c>
      <c r="J209" s="4">
        <v>176920</v>
      </c>
      <c r="K209" s="4">
        <v>95632</v>
      </c>
      <c r="M209" s="5"/>
    </row>
    <row r="210" spans="1:13" ht="12.75" customHeight="1" x14ac:dyDescent="0.2">
      <c r="A210" s="3" t="s">
        <v>8</v>
      </c>
      <c r="B210" s="24">
        <v>430</v>
      </c>
      <c r="C210" s="20" t="s">
        <v>9</v>
      </c>
      <c r="D210" s="5">
        <v>29736</v>
      </c>
      <c r="E210" s="5" t="s">
        <v>792</v>
      </c>
      <c r="F210" s="11">
        <v>4353705</v>
      </c>
      <c r="G210" s="1">
        <v>13061</v>
      </c>
      <c r="H210" s="4">
        <f t="shared" si="2"/>
        <v>92400</v>
      </c>
      <c r="I210" s="4">
        <v>10449</v>
      </c>
      <c r="J210" s="4">
        <v>161087</v>
      </c>
      <c r="K210" s="4">
        <v>87074</v>
      </c>
      <c r="M210" s="5"/>
    </row>
    <row r="211" spans="1:13" ht="12.75" customHeight="1" x14ac:dyDescent="0.2">
      <c r="A211" s="3" t="s">
        <v>17</v>
      </c>
      <c r="B211" s="24">
        <v>1271</v>
      </c>
      <c r="C211" s="31" t="s">
        <v>861</v>
      </c>
      <c r="D211" s="5">
        <v>30701</v>
      </c>
      <c r="E211" s="5" t="s">
        <v>792</v>
      </c>
      <c r="F211" s="11">
        <v>4781620</v>
      </c>
      <c r="G211" s="1">
        <v>14345</v>
      </c>
      <c r="H211" s="4">
        <f t="shared" si="2"/>
        <v>92400</v>
      </c>
      <c r="I211" s="4">
        <v>11476</v>
      </c>
      <c r="J211" s="4">
        <v>176920</v>
      </c>
      <c r="K211" s="4">
        <v>95632</v>
      </c>
    </row>
    <row r="212" spans="1:13" ht="12.75" customHeight="1" x14ac:dyDescent="0.2">
      <c r="A212" s="3"/>
      <c r="B212" s="24"/>
      <c r="C212" s="31"/>
      <c r="D212" s="5"/>
      <c r="E212" s="5"/>
      <c r="F212" s="11"/>
      <c r="G212" s="37">
        <f>SUM(G203:G211)</f>
        <v>130207</v>
      </c>
      <c r="H212" s="37">
        <f>SUM(H203:H211)</f>
        <v>831600</v>
      </c>
      <c r="I212" s="37">
        <f>SUM(I203:I211)</f>
        <v>104165</v>
      </c>
      <c r="J212" s="37">
        <f>SUM(J203:J211)</f>
        <v>1605868</v>
      </c>
      <c r="K212" s="37">
        <f>SUM(K203:K211)</f>
        <v>868034</v>
      </c>
    </row>
    <row r="213" spans="1:13" ht="12.75" customHeight="1" x14ac:dyDescent="0.2">
      <c r="A213" s="3" t="s">
        <v>635</v>
      </c>
      <c r="B213" s="24">
        <v>44</v>
      </c>
      <c r="C213" s="20" t="s">
        <v>636</v>
      </c>
      <c r="D213" s="5">
        <v>29031</v>
      </c>
      <c r="E213" s="5" t="s">
        <v>798</v>
      </c>
      <c r="F213" s="11">
        <v>1907065</v>
      </c>
      <c r="G213" s="1">
        <v>5721</v>
      </c>
      <c r="H213" s="4">
        <f t="shared" si="2"/>
        <v>57211.95</v>
      </c>
      <c r="I213" s="4">
        <v>4577</v>
      </c>
      <c r="J213" s="4">
        <v>70561</v>
      </c>
      <c r="K213" s="4">
        <v>38141</v>
      </c>
      <c r="M213" s="5"/>
    </row>
    <row r="214" spans="1:13" ht="12.75" customHeight="1" x14ac:dyDescent="0.2">
      <c r="A214" s="3" t="s">
        <v>640</v>
      </c>
      <c r="B214" s="24">
        <v>59</v>
      </c>
      <c r="C214" s="20" t="s">
        <v>641</v>
      </c>
      <c r="D214" s="5">
        <v>28042</v>
      </c>
      <c r="E214" s="5" t="s">
        <v>798</v>
      </c>
      <c r="F214" s="11">
        <v>1983522.5</v>
      </c>
      <c r="G214" s="1">
        <v>5951</v>
      </c>
      <c r="H214" s="4">
        <f t="shared" si="2"/>
        <v>59505.674999999996</v>
      </c>
      <c r="I214" s="4">
        <v>4760</v>
      </c>
      <c r="J214" s="4">
        <v>73390</v>
      </c>
      <c r="K214" s="4">
        <v>39670</v>
      </c>
    </row>
    <row r="215" spans="1:13" ht="12.75" customHeight="1" x14ac:dyDescent="0.2">
      <c r="A215" s="3" t="s">
        <v>447</v>
      </c>
      <c r="B215" s="24">
        <v>158</v>
      </c>
      <c r="C215" s="20" t="s">
        <v>448</v>
      </c>
      <c r="D215" s="5">
        <v>28380</v>
      </c>
      <c r="E215" s="5" t="s">
        <v>798</v>
      </c>
      <c r="F215" s="11">
        <v>2901012.5</v>
      </c>
      <c r="G215" s="1">
        <v>8703</v>
      </c>
      <c r="H215" s="4">
        <f t="shared" si="2"/>
        <v>87030.375</v>
      </c>
      <c r="I215" s="4">
        <v>6962</v>
      </c>
      <c r="J215" s="4">
        <v>107337</v>
      </c>
      <c r="K215" s="4">
        <v>58020</v>
      </c>
    </row>
    <row r="216" spans="1:13" ht="12.75" customHeight="1" x14ac:dyDescent="0.2">
      <c r="A216" s="3" t="s">
        <v>375</v>
      </c>
      <c r="B216" s="24">
        <v>290</v>
      </c>
      <c r="C216" s="20" t="s">
        <v>376</v>
      </c>
      <c r="D216" s="5">
        <v>31913</v>
      </c>
      <c r="E216" s="5" t="s">
        <v>798</v>
      </c>
      <c r="F216" s="11">
        <v>1754150</v>
      </c>
      <c r="G216" s="1">
        <v>5262</v>
      </c>
      <c r="H216" s="4">
        <f t="shared" si="2"/>
        <v>52624.5</v>
      </c>
      <c r="I216" s="4">
        <v>4210</v>
      </c>
      <c r="J216" s="4">
        <v>64904</v>
      </c>
      <c r="K216" s="4">
        <v>35083</v>
      </c>
    </row>
    <row r="217" spans="1:13" ht="12.75" customHeight="1" x14ac:dyDescent="0.2">
      <c r="A217" s="3" t="s">
        <v>659</v>
      </c>
      <c r="B217" s="24">
        <v>555</v>
      </c>
      <c r="C217" s="20" t="s">
        <v>660</v>
      </c>
      <c r="D217" s="5">
        <v>30621</v>
      </c>
      <c r="E217" s="5" t="s">
        <v>798</v>
      </c>
      <c r="F217" s="11">
        <v>1540069</v>
      </c>
      <c r="G217" s="1">
        <v>4620</v>
      </c>
      <c r="H217" s="4">
        <f t="shared" si="2"/>
        <v>46202.07</v>
      </c>
      <c r="I217" s="4">
        <v>3696</v>
      </c>
      <c r="J217" s="4">
        <v>56983</v>
      </c>
      <c r="K217" s="4">
        <v>30801</v>
      </c>
      <c r="M217" s="5"/>
    </row>
    <row r="218" spans="1:13" ht="12.75" customHeight="1" x14ac:dyDescent="0.2">
      <c r="A218" s="3" t="s">
        <v>177</v>
      </c>
      <c r="B218" s="24">
        <v>563</v>
      </c>
      <c r="C218" s="20" t="s">
        <v>178</v>
      </c>
      <c r="D218" s="5">
        <v>27402</v>
      </c>
      <c r="E218" s="5" t="s">
        <v>798</v>
      </c>
      <c r="F218" s="11">
        <v>3436215</v>
      </c>
      <c r="G218" s="1">
        <v>10309</v>
      </c>
      <c r="H218" s="4">
        <f t="shared" si="2"/>
        <v>92400</v>
      </c>
      <c r="I218" s="4">
        <v>8247</v>
      </c>
      <c r="J218" s="4">
        <v>127140</v>
      </c>
      <c r="K218" s="4">
        <v>68724</v>
      </c>
      <c r="M218" s="5"/>
    </row>
    <row r="219" spans="1:13" ht="12.75" customHeight="1" x14ac:dyDescent="0.2">
      <c r="A219" s="3" t="s">
        <v>591</v>
      </c>
      <c r="B219" s="24">
        <v>935</v>
      </c>
      <c r="C219" s="20" t="s">
        <v>592</v>
      </c>
      <c r="D219" s="5">
        <v>31953</v>
      </c>
      <c r="E219" s="5" t="s">
        <v>798</v>
      </c>
      <c r="F219" s="11">
        <v>1540069</v>
      </c>
      <c r="G219" s="1">
        <v>4620</v>
      </c>
      <c r="H219" s="4">
        <f t="shared" si="2"/>
        <v>46202.07</v>
      </c>
      <c r="I219" s="4">
        <v>3696</v>
      </c>
      <c r="J219" s="4">
        <v>56983</v>
      </c>
      <c r="K219" s="4">
        <v>30801</v>
      </c>
    </row>
    <row r="220" spans="1:13" ht="12.75" customHeight="1" x14ac:dyDescent="0.2">
      <c r="A220" s="3" t="s">
        <v>401</v>
      </c>
      <c r="B220" s="24">
        <v>1147</v>
      </c>
      <c r="C220" s="20" t="s">
        <v>402</v>
      </c>
      <c r="D220" s="5">
        <v>33994</v>
      </c>
      <c r="E220" s="5" t="s">
        <v>798</v>
      </c>
      <c r="F220" s="11">
        <v>1601235</v>
      </c>
      <c r="G220" s="1">
        <v>4804</v>
      </c>
      <c r="H220" s="4">
        <f t="shared" si="2"/>
        <v>48037.049999999996</v>
      </c>
      <c r="I220" s="4">
        <v>3843</v>
      </c>
      <c r="J220" s="4">
        <v>59246</v>
      </c>
      <c r="K220" s="4">
        <v>32025</v>
      </c>
      <c r="M220" s="5"/>
    </row>
    <row r="221" spans="1:13" ht="12.75" customHeight="1" x14ac:dyDescent="0.2">
      <c r="A221" s="3" t="s">
        <v>486</v>
      </c>
      <c r="B221" s="24">
        <v>1254</v>
      </c>
      <c r="C221" s="21">
        <v>12026525761</v>
      </c>
      <c r="D221" s="5">
        <v>30317</v>
      </c>
      <c r="E221" s="5" t="s">
        <v>798</v>
      </c>
      <c r="F221" s="11">
        <v>1540069</v>
      </c>
      <c r="G221" s="1">
        <v>4620</v>
      </c>
      <c r="H221" s="4">
        <f t="shared" si="2"/>
        <v>46202.07</v>
      </c>
      <c r="I221" s="4">
        <v>3696</v>
      </c>
      <c r="J221" s="4">
        <v>56983</v>
      </c>
      <c r="K221" s="4">
        <v>30801</v>
      </c>
    </row>
    <row r="222" spans="1:13" ht="12.75" customHeight="1" x14ac:dyDescent="0.2">
      <c r="A222" s="3"/>
      <c r="B222" s="24"/>
      <c r="C222" s="21"/>
      <c r="D222" s="5"/>
      <c r="E222" s="5"/>
      <c r="F222" s="11"/>
      <c r="G222" s="37">
        <f>SUM(G213:G221)</f>
        <v>54610</v>
      </c>
      <c r="H222" s="37">
        <f>SUM(H213:H221)</f>
        <v>535415.76</v>
      </c>
      <c r="I222" s="37">
        <f>SUM(I213:I221)</f>
        <v>43687</v>
      </c>
      <c r="J222" s="37">
        <f>SUM(J213:J221)</f>
        <v>673527</v>
      </c>
      <c r="K222" s="37">
        <f>SUM(K213:K221)</f>
        <v>364066</v>
      </c>
    </row>
    <row r="223" spans="1:13" ht="12.75" customHeight="1" x14ac:dyDescent="0.2">
      <c r="A223" s="3" t="s">
        <v>745</v>
      </c>
      <c r="B223" s="24">
        <v>10</v>
      </c>
      <c r="C223" s="20" t="s">
        <v>746</v>
      </c>
      <c r="D223" s="5">
        <v>30165</v>
      </c>
      <c r="E223" s="5" t="s">
        <v>790</v>
      </c>
      <c r="F223" s="11">
        <v>2335227.5</v>
      </c>
      <c r="G223" s="1">
        <v>7006</v>
      </c>
      <c r="H223" s="4">
        <f t="shared" si="2"/>
        <v>70056.824999999997</v>
      </c>
      <c r="I223" s="4">
        <v>5605</v>
      </c>
      <c r="J223" s="4">
        <v>86403</v>
      </c>
      <c r="K223" s="4">
        <v>46705</v>
      </c>
      <c r="M223" s="5"/>
    </row>
    <row r="224" spans="1:13" ht="12.75" customHeight="1" x14ac:dyDescent="0.2">
      <c r="A224" s="3" t="s">
        <v>500</v>
      </c>
      <c r="B224" s="24">
        <v>49</v>
      </c>
      <c r="C224" s="20" t="s">
        <v>501</v>
      </c>
      <c r="D224" s="5">
        <v>30074</v>
      </c>
      <c r="E224" s="5" t="s">
        <v>790</v>
      </c>
      <c r="F224" s="11">
        <v>2595182.5</v>
      </c>
      <c r="G224" s="1">
        <v>7786</v>
      </c>
      <c r="H224" s="4">
        <f t="shared" ref="H224:H293" si="3">IF(F224&lt;3080000,F224*3%,IF(F224&gt;=3080000,3080000*3%,0))</f>
        <v>77855.474999999991</v>
      </c>
      <c r="I224" s="4">
        <v>6228</v>
      </c>
      <c r="J224" s="4">
        <v>96022</v>
      </c>
      <c r="K224" s="4">
        <v>51904</v>
      </c>
    </row>
    <row r="225" spans="1:13" ht="12.75" customHeight="1" x14ac:dyDescent="0.2">
      <c r="A225" s="3" t="s">
        <v>209</v>
      </c>
      <c r="B225" s="24">
        <v>154</v>
      </c>
      <c r="C225" s="20" t="s">
        <v>210</v>
      </c>
      <c r="D225" s="5">
        <v>30765</v>
      </c>
      <c r="E225" s="5" t="s">
        <v>790</v>
      </c>
      <c r="F225" s="11">
        <v>1601235</v>
      </c>
      <c r="G225" s="1">
        <v>4804</v>
      </c>
      <c r="H225" s="4">
        <f t="shared" si="3"/>
        <v>48037.049999999996</v>
      </c>
      <c r="I225" s="4">
        <v>3843</v>
      </c>
      <c r="J225" s="4">
        <v>59246</v>
      </c>
      <c r="K225" s="4">
        <v>32025</v>
      </c>
      <c r="M225" s="5"/>
    </row>
    <row r="226" spans="1:13" ht="12.75" customHeight="1" x14ac:dyDescent="0.2">
      <c r="A226" s="3" t="s">
        <v>718</v>
      </c>
      <c r="B226" s="24">
        <v>270</v>
      </c>
      <c r="C226" s="20" t="s">
        <v>719</v>
      </c>
      <c r="D226" s="5">
        <v>30185</v>
      </c>
      <c r="E226" s="5" t="s">
        <v>790</v>
      </c>
      <c r="F226" s="11">
        <v>1315069</v>
      </c>
      <c r="G226" s="1">
        <v>4620</v>
      </c>
      <c r="H226" s="4">
        <f t="shared" si="3"/>
        <v>39452.07</v>
      </c>
      <c r="I226" s="4">
        <v>3696</v>
      </c>
      <c r="J226" s="4">
        <v>56983</v>
      </c>
      <c r="K226" s="4">
        <v>30801</v>
      </c>
      <c r="M226" s="5"/>
    </row>
    <row r="227" spans="1:13" ht="12.75" customHeight="1" x14ac:dyDescent="0.2">
      <c r="A227" s="3" t="s">
        <v>226</v>
      </c>
      <c r="B227" s="24">
        <v>558</v>
      </c>
      <c r="C227" s="20" t="s">
        <v>227</v>
      </c>
      <c r="D227" s="5">
        <v>29950</v>
      </c>
      <c r="E227" s="5" t="s">
        <v>790</v>
      </c>
      <c r="F227" s="11">
        <v>1540069</v>
      </c>
      <c r="G227" s="1">
        <v>4620</v>
      </c>
      <c r="H227" s="4">
        <f t="shared" si="3"/>
        <v>46202.07</v>
      </c>
      <c r="I227" s="4">
        <v>3696</v>
      </c>
      <c r="J227" s="4">
        <v>56983</v>
      </c>
      <c r="K227" s="4">
        <v>30801</v>
      </c>
      <c r="M227" s="5"/>
    </row>
    <row r="228" spans="1:13" ht="12.75" customHeight="1" x14ac:dyDescent="0.2">
      <c r="A228" s="3" t="s">
        <v>313</v>
      </c>
      <c r="B228" s="24">
        <v>671</v>
      </c>
      <c r="C228" s="20" t="s">
        <v>314</v>
      </c>
      <c r="D228" s="5">
        <v>29092</v>
      </c>
      <c r="E228" s="5" t="s">
        <v>790</v>
      </c>
      <c r="F228" s="11">
        <v>1540069</v>
      </c>
      <c r="G228" s="1">
        <v>4620</v>
      </c>
      <c r="H228" s="4">
        <f t="shared" si="3"/>
        <v>46202.07</v>
      </c>
      <c r="I228" s="4">
        <v>3696</v>
      </c>
      <c r="J228" s="4">
        <v>56983</v>
      </c>
      <c r="K228" s="4">
        <v>30801</v>
      </c>
      <c r="M228" s="5"/>
    </row>
    <row r="229" spans="1:13" ht="12.75" customHeight="1" x14ac:dyDescent="0.2">
      <c r="A229" s="3" t="s">
        <v>200</v>
      </c>
      <c r="B229" s="24">
        <v>785</v>
      </c>
      <c r="C229" s="20" t="s">
        <v>201</v>
      </c>
      <c r="D229" s="5">
        <v>31172</v>
      </c>
      <c r="E229" s="5" t="s">
        <v>790</v>
      </c>
      <c r="F229" s="11">
        <v>1540069</v>
      </c>
      <c r="G229" s="1">
        <v>4620</v>
      </c>
      <c r="H229" s="4">
        <f t="shared" si="3"/>
        <v>46202.07</v>
      </c>
      <c r="I229" s="4">
        <v>3696</v>
      </c>
      <c r="J229" s="4">
        <v>56983</v>
      </c>
      <c r="K229" s="4">
        <v>30801</v>
      </c>
      <c r="M229" s="5"/>
    </row>
    <row r="230" spans="1:13" ht="12.75" customHeight="1" x14ac:dyDescent="0.2">
      <c r="A230" s="3" t="s">
        <v>397</v>
      </c>
      <c r="B230" s="24">
        <v>1022</v>
      </c>
      <c r="C230" s="20" t="s">
        <v>398</v>
      </c>
      <c r="D230" s="5">
        <v>30385</v>
      </c>
      <c r="E230" s="5" t="s">
        <v>790</v>
      </c>
      <c r="F230" s="11">
        <v>1601235</v>
      </c>
      <c r="G230" s="1">
        <v>4804</v>
      </c>
      <c r="H230" s="4">
        <f t="shared" si="3"/>
        <v>48037.049999999996</v>
      </c>
      <c r="I230" s="4">
        <v>3843</v>
      </c>
      <c r="J230" s="4">
        <v>59246</v>
      </c>
      <c r="K230" s="4">
        <v>32025</v>
      </c>
      <c r="M230" s="5"/>
    </row>
    <row r="231" spans="1:13" ht="12.75" customHeight="1" x14ac:dyDescent="0.2">
      <c r="A231" s="3" t="s">
        <v>482</v>
      </c>
      <c r="B231" s="24">
        <v>1143</v>
      </c>
      <c r="C231" s="20" t="s">
        <v>483</v>
      </c>
      <c r="D231" s="5">
        <v>31926</v>
      </c>
      <c r="E231" s="5" t="s">
        <v>790</v>
      </c>
      <c r="F231" s="11">
        <v>1540069</v>
      </c>
      <c r="G231" s="1">
        <v>4620</v>
      </c>
      <c r="H231" s="4">
        <f t="shared" si="3"/>
        <v>46202.07</v>
      </c>
      <c r="I231" s="4">
        <v>3696</v>
      </c>
      <c r="J231" s="4">
        <v>56983</v>
      </c>
      <c r="K231" s="4">
        <v>30801</v>
      </c>
      <c r="M231" s="5"/>
    </row>
    <row r="232" spans="1:13" ht="12.75" customHeight="1" x14ac:dyDescent="0.2">
      <c r="A232" s="3" t="s">
        <v>334</v>
      </c>
      <c r="B232" s="24">
        <v>1230</v>
      </c>
      <c r="C232" s="27">
        <v>12026525712</v>
      </c>
      <c r="D232" s="5">
        <v>32455</v>
      </c>
      <c r="E232" s="5" t="s">
        <v>790</v>
      </c>
      <c r="F232" s="11">
        <v>1540069</v>
      </c>
      <c r="G232" s="1">
        <v>4620</v>
      </c>
      <c r="H232" s="4">
        <f t="shared" si="3"/>
        <v>46202.07</v>
      </c>
      <c r="I232" s="4">
        <v>3696</v>
      </c>
      <c r="J232" s="4">
        <v>56983</v>
      </c>
      <c r="K232" s="4">
        <v>30801</v>
      </c>
    </row>
    <row r="233" spans="1:13" ht="12.75" customHeight="1" x14ac:dyDescent="0.2">
      <c r="A233" s="3" t="s">
        <v>149</v>
      </c>
      <c r="B233" s="24">
        <v>1453</v>
      </c>
      <c r="C233" s="21">
        <v>12037894743</v>
      </c>
      <c r="D233" s="5">
        <v>34549</v>
      </c>
      <c r="E233" s="5" t="s">
        <v>790</v>
      </c>
      <c r="F233" s="11">
        <v>1540069</v>
      </c>
      <c r="G233" s="1">
        <v>4620</v>
      </c>
      <c r="H233" s="4">
        <f t="shared" si="3"/>
        <v>46202.07</v>
      </c>
      <c r="I233" s="4">
        <v>3696</v>
      </c>
      <c r="J233" s="4">
        <v>56983</v>
      </c>
      <c r="K233" s="4">
        <v>30801</v>
      </c>
    </row>
    <row r="234" spans="1:13" ht="12.75" customHeight="1" x14ac:dyDescent="0.2">
      <c r="A234" s="3" t="s">
        <v>491</v>
      </c>
      <c r="B234" s="24">
        <v>1690</v>
      </c>
      <c r="C234" s="31" t="s">
        <v>861</v>
      </c>
      <c r="D234" s="5">
        <v>33203</v>
      </c>
      <c r="E234" s="5" t="s">
        <v>790</v>
      </c>
      <c r="F234" s="11">
        <v>1601235</v>
      </c>
      <c r="G234" s="1">
        <v>4804</v>
      </c>
      <c r="H234" s="4">
        <f t="shared" si="3"/>
        <v>48037.049999999996</v>
      </c>
      <c r="I234" s="4">
        <v>3843</v>
      </c>
      <c r="J234" s="4">
        <v>59246</v>
      </c>
      <c r="K234" s="4">
        <v>32025</v>
      </c>
      <c r="M234" s="5"/>
    </row>
    <row r="235" spans="1:13" ht="12.75" customHeight="1" x14ac:dyDescent="0.2">
      <c r="A235" s="3" t="s">
        <v>583</v>
      </c>
      <c r="B235" s="24">
        <v>1699</v>
      </c>
      <c r="C235" s="31" t="s">
        <v>861</v>
      </c>
      <c r="D235" s="5">
        <v>33306</v>
      </c>
      <c r="E235" s="5" t="s">
        <v>790</v>
      </c>
      <c r="F235" s="11">
        <v>1498402</v>
      </c>
      <c r="G235" s="1">
        <v>4620</v>
      </c>
      <c r="H235" s="4">
        <f t="shared" si="3"/>
        <v>44952.06</v>
      </c>
      <c r="I235" s="4">
        <v>3696</v>
      </c>
      <c r="J235" s="4">
        <v>56983</v>
      </c>
      <c r="K235" s="4">
        <v>30801</v>
      </c>
      <c r="M235" s="5"/>
    </row>
    <row r="236" spans="1:13" ht="12.75" customHeight="1" x14ac:dyDescent="0.2">
      <c r="A236" s="3"/>
      <c r="B236" s="24"/>
      <c r="C236" s="31"/>
      <c r="D236" s="5"/>
      <c r="E236" s="5"/>
      <c r="F236" s="11"/>
      <c r="G236" s="37">
        <f>SUM(G223:G235)</f>
        <v>66164</v>
      </c>
      <c r="H236" s="37">
        <f>SUM(H223:H235)</f>
        <v>653640</v>
      </c>
      <c r="I236" s="37">
        <f>SUM(I223:I235)</f>
        <v>52930</v>
      </c>
      <c r="J236" s="37">
        <f>SUM(J223:J235)</f>
        <v>816027</v>
      </c>
      <c r="K236" s="37">
        <f>SUM(K223:K235)</f>
        <v>441092</v>
      </c>
      <c r="M236" s="5"/>
    </row>
    <row r="237" spans="1:13" ht="12.75" customHeight="1" x14ac:dyDescent="0.2">
      <c r="A237" s="3" t="s">
        <v>277</v>
      </c>
      <c r="B237" s="24">
        <v>305</v>
      </c>
      <c r="C237" s="20" t="s">
        <v>278</v>
      </c>
      <c r="D237" s="5">
        <v>31363</v>
      </c>
      <c r="E237" s="5" t="s">
        <v>817</v>
      </c>
      <c r="F237" s="11">
        <v>1983522.5</v>
      </c>
      <c r="G237" s="1">
        <v>5951</v>
      </c>
      <c r="H237" s="4">
        <f t="shared" si="3"/>
        <v>59505.674999999996</v>
      </c>
      <c r="I237" s="4">
        <v>4760</v>
      </c>
      <c r="J237" s="4">
        <v>73390</v>
      </c>
      <c r="K237" s="4">
        <v>39670</v>
      </c>
      <c r="M237" s="5"/>
    </row>
    <row r="238" spans="1:13" ht="12.75" customHeight="1" x14ac:dyDescent="0.2">
      <c r="A238" s="3" t="s">
        <v>574</v>
      </c>
      <c r="B238" s="24">
        <v>721</v>
      </c>
      <c r="C238" s="20" t="s">
        <v>575</v>
      </c>
      <c r="D238" s="5">
        <v>30609</v>
      </c>
      <c r="E238" s="5" t="s">
        <v>817</v>
      </c>
      <c r="F238" s="11">
        <v>1540069</v>
      </c>
      <c r="G238" s="1">
        <v>4620</v>
      </c>
      <c r="H238" s="4">
        <f t="shared" si="3"/>
        <v>46202.07</v>
      </c>
      <c r="I238" s="4">
        <v>3696</v>
      </c>
      <c r="J238" s="4">
        <v>56983</v>
      </c>
      <c r="K238" s="4">
        <v>30801</v>
      </c>
      <c r="M238" s="5"/>
    </row>
    <row r="239" spans="1:13" ht="12.75" customHeight="1" x14ac:dyDescent="0.2">
      <c r="A239" s="3" t="s">
        <v>509</v>
      </c>
      <c r="B239" s="24">
        <v>740</v>
      </c>
      <c r="C239" s="20" t="s">
        <v>510</v>
      </c>
      <c r="D239" s="5">
        <v>34084</v>
      </c>
      <c r="E239" s="5" t="s">
        <v>817</v>
      </c>
      <c r="F239" s="11">
        <v>1540069</v>
      </c>
      <c r="G239" s="1">
        <v>4620</v>
      </c>
      <c r="H239" s="4">
        <f t="shared" si="3"/>
        <v>46202.07</v>
      </c>
      <c r="I239" s="4">
        <v>3696</v>
      </c>
      <c r="J239" s="4">
        <v>56983</v>
      </c>
      <c r="K239" s="4">
        <v>30801</v>
      </c>
      <c r="M239" s="5"/>
    </row>
    <row r="240" spans="1:13" ht="12.75" customHeight="1" x14ac:dyDescent="0.2">
      <c r="A240" s="3" t="s">
        <v>525</v>
      </c>
      <c r="B240" s="24">
        <v>749</v>
      </c>
      <c r="C240" s="20" t="s">
        <v>526</v>
      </c>
      <c r="D240" s="5">
        <v>34091</v>
      </c>
      <c r="E240" s="5" t="s">
        <v>817</v>
      </c>
      <c r="F240" s="11">
        <v>1540069</v>
      </c>
      <c r="G240" s="1">
        <v>4620</v>
      </c>
      <c r="H240" s="4">
        <f t="shared" si="3"/>
        <v>46202.07</v>
      </c>
      <c r="I240" s="4">
        <v>3696</v>
      </c>
      <c r="J240" s="4">
        <v>56983</v>
      </c>
      <c r="K240" s="4">
        <v>30801</v>
      </c>
      <c r="M240" s="5"/>
    </row>
    <row r="241" spans="1:13" ht="12.75" customHeight="1" x14ac:dyDescent="0.2">
      <c r="A241" s="3" t="s">
        <v>450</v>
      </c>
      <c r="B241" s="24">
        <v>750</v>
      </c>
      <c r="C241" s="20" t="s">
        <v>451</v>
      </c>
      <c r="D241" s="5">
        <v>34091</v>
      </c>
      <c r="E241" s="5" t="s">
        <v>817</v>
      </c>
      <c r="F241" s="11">
        <v>1540069</v>
      </c>
      <c r="G241" s="1">
        <v>4620</v>
      </c>
      <c r="H241" s="4">
        <f t="shared" si="3"/>
        <v>46202.07</v>
      </c>
      <c r="I241" s="4">
        <v>3696</v>
      </c>
      <c r="J241" s="4">
        <v>56983</v>
      </c>
      <c r="K241" s="4">
        <v>30801</v>
      </c>
      <c r="M241" s="5"/>
    </row>
    <row r="242" spans="1:13" ht="12.75" customHeight="1" x14ac:dyDescent="0.2">
      <c r="A242" s="3" t="s">
        <v>414</v>
      </c>
      <c r="B242" s="24">
        <v>764</v>
      </c>
      <c r="C242" s="20" t="s">
        <v>415</v>
      </c>
      <c r="D242" s="5">
        <v>34099</v>
      </c>
      <c r="E242" s="5" t="s">
        <v>817</v>
      </c>
      <c r="F242" s="11">
        <v>1540069</v>
      </c>
      <c r="G242" s="1">
        <v>4620</v>
      </c>
      <c r="H242" s="4">
        <f t="shared" si="3"/>
        <v>46202.07</v>
      </c>
      <c r="I242" s="4">
        <v>3696</v>
      </c>
      <c r="J242" s="4">
        <v>56983</v>
      </c>
      <c r="K242" s="4">
        <v>30801</v>
      </c>
      <c r="M242" s="5"/>
    </row>
    <row r="243" spans="1:13" ht="12.75" customHeight="1" x14ac:dyDescent="0.2">
      <c r="A243" s="3" t="s">
        <v>489</v>
      </c>
      <c r="B243" s="24">
        <v>828</v>
      </c>
      <c r="C243" s="20" t="s">
        <v>490</v>
      </c>
      <c r="D243" s="5">
        <v>34175</v>
      </c>
      <c r="E243" s="5" t="s">
        <v>817</v>
      </c>
      <c r="F243" s="11">
        <v>1983522.5</v>
      </c>
      <c r="G243" s="1">
        <v>5951</v>
      </c>
      <c r="H243" s="4">
        <f t="shared" si="3"/>
        <v>59505.674999999996</v>
      </c>
      <c r="I243" s="4">
        <v>4760</v>
      </c>
      <c r="J243" s="4">
        <v>73390</v>
      </c>
      <c r="K243" s="4">
        <v>39670</v>
      </c>
    </row>
    <row r="244" spans="1:13" ht="12.75" customHeight="1" x14ac:dyDescent="0.2">
      <c r="A244" s="3"/>
      <c r="B244" s="24"/>
      <c r="C244" s="20"/>
      <c r="D244" s="5"/>
      <c r="E244" s="5"/>
      <c r="F244" s="11"/>
      <c r="G244" s="37">
        <f>SUM(G237:G243)</f>
        <v>35002</v>
      </c>
      <c r="H244" s="37">
        <f>SUM(H237:H243)</f>
        <v>350021.7</v>
      </c>
      <c r="I244" s="37">
        <f>SUM(I237:I243)</f>
        <v>28000</v>
      </c>
      <c r="J244" s="37">
        <f>SUM(J237:J243)</f>
        <v>431695</v>
      </c>
      <c r="K244" s="37">
        <f>SUM(K237:K243)</f>
        <v>233345</v>
      </c>
    </row>
    <row r="245" spans="1:13" ht="12.75" customHeight="1" x14ac:dyDescent="0.2">
      <c r="A245" s="3" t="s">
        <v>609</v>
      </c>
      <c r="B245" s="24">
        <v>751</v>
      </c>
      <c r="C245" s="20" t="s">
        <v>610</v>
      </c>
      <c r="D245" s="5">
        <v>34091</v>
      </c>
      <c r="E245" s="5" t="s">
        <v>835</v>
      </c>
      <c r="F245" s="11">
        <v>1540069</v>
      </c>
      <c r="G245" s="1">
        <v>4620</v>
      </c>
      <c r="H245" s="4">
        <f t="shared" si="3"/>
        <v>46202.07</v>
      </c>
      <c r="I245" s="4">
        <v>3696</v>
      </c>
      <c r="J245" s="4">
        <v>56983</v>
      </c>
      <c r="K245" s="4">
        <v>30801</v>
      </c>
      <c r="M245" s="5"/>
    </row>
    <row r="246" spans="1:13" ht="12.75" customHeight="1" x14ac:dyDescent="0.2">
      <c r="A246" s="3" t="s">
        <v>716</v>
      </c>
      <c r="B246" s="24">
        <v>771</v>
      </c>
      <c r="C246" s="20" t="s">
        <v>717</v>
      </c>
      <c r="D246" s="5">
        <v>32719</v>
      </c>
      <c r="E246" s="5" t="s">
        <v>835</v>
      </c>
      <c r="F246" s="11">
        <v>1540069</v>
      </c>
      <c r="G246" s="1">
        <v>4620</v>
      </c>
      <c r="H246" s="4">
        <f t="shared" si="3"/>
        <v>46202.07</v>
      </c>
      <c r="I246" s="4">
        <v>3696</v>
      </c>
      <c r="J246" s="4">
        <v>56983</v>
      </c>
      <c r="K246" s="4">
        <v>30801</v>
      </c>
    </row>
    <row r="247" spans="1:13" ht="12.75" customHeight="1" x14ac:dyDescent="0.2">
      <c r="A247" s="3" t="s">
        <v>461</v>
      </c>
      <c r="B247" s="24">
        <v>772</v>
      </c>
      <c r="C247" s="20" t="s">
        <v>462</v>
      </c>
      <c r="D247" s="5">
        <v>31690</v>
      </c>
      <c r="E247" s="5" t="s">
        <v>835</v>
      </c>
      <c r="F247" s="11">
        <v>1983522.5</v>
      </c>
      <c r="G247" s="1">
        <v>5951</v>
      </c>
      <c r="H247" s="4">
        <f t="shared" si="3"/>
        <v>59505.674999999996</v>
      </c>
      <c r="I247" s="4">
        <v>4760</v>
      </c>
      <c r="J247" s="4">
        <v>73390</v>
      </c>
      <c r="K247" s="4">
        <v>39670</v>
      </c>
      <c r="M247" s="5"/>
    </row>
    <row r="248" spans="1:13" ht="12.75" customHeight="1" x14ac:dyDescent="0.2">
      <c r="A248" s="3" t="s">
        <v>459</v>
      </c>
      <c r="B248" s="24">
        <v>773</v>
      </c>
      <c r="C248" s="20" t="s">
        <v>460</v>
      </c>
      <c r="D248" s="5">
        <v>31933</v>
      </c>
      <c r="E248" s="5" t="s">
        <v>835</v>
      </c>
      <c r="F248" s="11">
        <v>2358164.5</v>
      </c>
      <c r="G248" s="1">
        <v>7074</v>
      </c>
      <c r="H248" s="4">
        <f t="shared" si="3"/>
        <v>70744.934999999998</v>
      </c>
      <c r="I248" s="4">
        <v>5660</v>
      </c>
      <c r="J248" s="4">
        <v>87252</v>
      </c>
      <c r="K248" s="4">
        <v>47163</v>
      </c>
      <c r="M248" s="5"/>
    </row>
    <row r="249" spans="1:13" ht="12.75" customHeight="1" x14ac:dyDescent="0.2">
      <c r="A249" s="3" t="s">
        <v>408</v>
      </c>
      <c r="B249" s="24">
        <v>824</v>
      </c>
      <c r="C249" s="20" t="s">
        <v>409</v>
      </c>
      <c r="D249" s="5">
        <v>32965</v>
      </c>
      <c r="E249" s="5" t="s">
        <v>835</v>
      </c>
      <c r="F249" s="11">
        <v>1540069</v>
      </c>
      <c r="G249" s="1">
        <v>4620</v>
      </c>
      <c r="H249" s="4">
        <f t="shared" si="3"/>
        <v>46202.07</v>
      </c>
      <c r="I249" s="4">
        <v>3696</v>
      </c>
      <c r="J249" s="4">
        <v>56983</v>
      </c>
      <c r="K249" s="4">
        <v>30801</v>
      </c>
      <c r="M249" s="5"/>
    </row>
    <row r="250" spans="1:13" ht="12.75" customHeight="1" x14ac:dyDescent="0.2">
      <c r="A250" s="3" t="s">
        <v>322</v>
      </c>
      <c r="B250" s="24">
        <v>1168</v>
      </c>
      <c r="C250" s="20" t="s">
        <v>323</v>
      </c>
      <c r="D250" s="5">
        <v>31215</v>
      </c>
      <c r="E250" s="5" t="s">
        <v>835</v>
      </c>
      <c r="F250" s="11">
        <v>1540069</v>
      </c>
      <c r="G250" s="1">
        <v>4620</v>
      </c>
      <c r="H250" s="4">
        <f t="shared" si="3"/>
        <v>46202.07</v>
      </c>
      <c r="I250" s="4">
        <v>3696</v>
      </c>
      <c r="J250" s="4">
        <v>56983</v>
      </c>
      <c r="K250" s="4">
        <v>30801</v>
      </c>
      <c r="M250" s="5"/>
    </row>
    <row r="251" spans="1:13" ht="12.75" customHeight="1" x14ac:dyDescent="0.2">
      <c r="A251" s="3"/>
      <c r="B251" s="24"/>
      <c r="C251" s="20"/>
      <c r="D251" s="5"/>
      <c r="E251" s="5"/>
      <c r="F251" s="11"/>
      <c r="G251" s="37">
        <f>SUM(G245:G250)</f>
        <v>31505</v>
      </c>
      <c r="H251" s="37">
        <f>SUM(H245:H250)</f>
        <v>315058.89</v>
      </c>
      <c r="I251" s="37">
        <f>SUM(I245:I250)</f>
        <v>25204</v>
      </c>
      <c r="J251" s="37">
        <f>SUM(J245:J250)</f>
        <v>388574</v>
      </c>
      <c r="K251" s="37">
        <f>SUM(K245:K250)</f>
        <v>210037</v>
      </c>
      <c r="M251" s="5"/>
    </row>
    <row r="252" spans="1:13" ht="12.75" customHeight="1" x14ac:dyDescent="0.2">
      <c r="A252" s="3" t="s">
        <v>479</v>
      </c>
      <c r="B252" s="24">
        <v>344</v>
      </c>
      <c r="C252" s="20" t="s">
        <v>480</v>
      </c>
      <c r="D252" s="5">
        <v>30381</v>
      </c>
      <c r="E252" s="5" t="s">
        <v>818</v>
      </c>
      <c r="F252" s="11">
        <v>1983522.5</v>
      </c>
      <c r="G252" s="1">
        <v>5951</v>
      </c>
      <c r="H252" s="4">
        <f t="shared" si="3"/>
        <v>59505.674999999996</v>
      </c>
      <c r="I252" s="4">
        <v>4760</v>
      </c>
      <c r="J252" s="4">
        <v>73390</v>
      </c>
      <c r="K252" s="4">
        <v>39670</v>
      </c>
      <c r="M252" s="5"/>
    </row>
    <row r="253" spans="1:13" ht="12.75" customHeight="1" x14ac:dyDescent="0.2">
      <c r="A253" s="3" t="s">
        <v>443</v>
      </c>
      <c r="B253" s="24">
        <v>373</v>
      </c>
      <c r="C253" s="20" t="s">
        <v>444</v>
      </c>
      <c r="D253" s="5">
        <v>31863</v>
      </c>
      <c r="E253" s="5" t="s">
        <v>818</v>
      </c>
      <c r="F253" s="11">
        <v>1601235</v>
      </c>
      <c r="G253" s="1">
        <v>4804</v>
      </c>
      <c r="H253" s="4">
        <f t="shared" si="3"/>
        <v>48037.049999999996</v>
      </c>
      <c r="I253" s="4">
        <v>3843</v>
      </c>
      <c r="J253" s="4">
        <v>59246</v>
      </c>
      <c r="K253" s="4">
        <v>32025</v>
      </c>
      <c r="M253" s="5"/>
    </row>
    <row r="254" spans="1:13" ht="12.75" customHeight="1" x14ac:dyDescent="0.2">
      <c r="A254" s="3" t="s">
        <v>358</v>
      </c>
      <c r="B254" s="24">
        <v>520</v>
      </c>
      <c r="C254" s="20" t="s">
        <v>359</v>
      </c>
      <c r="D254" s="5">
        <v>31343</v>
      </c>
      <c r="E254" s="5" t="s">
        <v>818</v>
      </c>
      <c r="F254" s="11">
        <v>1540069</v>
      </c>
      <c r="G254" s="1">
        <v>4620</v>
      </c>
      <c r="H254" s="4">
        <f t="shared" si="3"/>
        <v>46202.07</v>
      </c>
      <c r="I254" s="4">
        <v>3696</v>
      </c>
      <c r="J254" s="4">
        <v>56983</v>
      </c>
      <c r="K254" s="4">
        <v>30801</v>
      </c>
      <c r="M254" s="5"/>
    </row>
    <row r="255" spans="1:13" ht="12.75" customHeight="1" x14ac:dyDescent="0.2">
      <c r="A255" s="3" t="s">
        <v>287</v>
      </c>
      <c r="B255" s="24">
        <v>774</v>
      </c>
      <c r="C255" s="20" t="s">
        <v>288</v>
      </c>
      <c r="D255" s="5">
        <v>29947</v>
      </c>
      <c r="E255" s="5" t="s">
        <v>818</v>
      </c>
      <c r="F255" s="11">
        <v>2595182.5</v>
      </c>
      <c r="G255" s="1">
        <v>7786</v>
      </c>
      <c r="H255" s="4">
        <f t="shared" si="3"/>
        <v>77855.474999999991</v>
      </c>
      <c r="I255" s="4">
        <v>6228</v>
      </c>
      <c r="J255" s="4">
        <v>96022</v>
      </c>
      <c r="K255" s="4">
        <v>51904</v>
      </c>
      <c r="M255" s="5"/>
    </row>
    <row r="256" spans="1:13" ht="12.75" customHeight="1" x14ac:dyDescent="0.2">
      <c r="A256" s="3" t="s">
        <v>303</v>
      </c>
      <c r="B256" s="24">
        <v>778</v>
      </c>
      <c r="C256" s="20" t="s">
        <v>304</v>
      </c>
      <c r="D256" s="5">
        <v>31566</v>
      </c>
      <c r="E256" s="5" t="s">
        <v>818</v>
      </c>
      <c r="F256" s="11">
        <v>1540069</v>
      </c>
      <c r="G256" s="1">
        <v>4620</v>
      </c>
      <c r="H256" s="4">
        <f t="shared" si="3"/>
        <v>46202.07</v>
      </c>
      <c r="I256" s="4">
        <v>3696</v>
      </c>
      <c r="J256" s="4">
        <v>56983</v>
      </c>
      <c r="K256" s="4">
        <v>30801</v>
      </c>
      <c r="M256" s="5"/>
    </row>
    <row r="257" spans="1:13" ht="12.75" customHeight="1" x14ac:dyDescent="0.2">
      <c r="A257" s="3" t="s">
        <v>546</v>
      </c>
      <c r="B257" s="24">
        <v>800</v>
      </c>
      <c r="C257" s="20" t="s">
        <v>547</v>
      </c>
      <c r="D257" s="5">
        <v>33440</v>
      </c>
      <c r="E257" s="5" t="s">
        <v>818</v>
      </c>
      <c r="F257" s="11">
        <v>1540069</v>
      </c>
      <c r="G257" s="1">
        <v>4620</v>
      </c>
      <c r="H257" s="4">
        <f t="shared" si="3"/>
        <v>46202.07</v>
      </c>
      <c r="I257" s="4">
        <v>3696</v>
      </c>
      <c r="J257" s="4">
        <v>56983</v>
      </c>
      <c r="K257" s="4">
        <v>30801</v>
      </c>
      <c r="M257" s="5"/>
    </row>
    <row r="258" spans="1:13" ht="12.75" customHeight="1" x14ac:dyDescent="0.2">
      <c r="A258" s="3" t="s">
        <v>720</v>
      </c>
      <c r="B258" s="24">
        <v>814</v>
      </c>
      <c r="C258" s="20" t="s">
        <v>721</v>
      </c>
      <c r="D258" s="5">
        <v>29355</v>
      </c>
      <c r="E258" s="5" t="s">
        <v>818</v>
      </c>
      <c r="F258" s="11">
        <v>1540069</v>
      </c>
      <c r="G258" s="1">
        <v>4620</v>
      </c>
      <c r="H258" s="4">
        <f t="shared" si="3"/>
        <v>46202.07</v>
      </c>
      <c r="I258" s="4">
        <v>3696</v>
      </c>
      <c r="J258" s="4">
        <v>56983</v>
      </c>
      <c r="K258" s="4">
        <v>30801</v>
      </c>
    </row>
    <row r="259" spans="1:13" ht="12.75" customHeight="1" x14ac:dyDescent="0.2">
      <c r="A259" s="3" t="s">
        <v>493</v>
      </c>
      <c r="B259" s="24">
        <v>883</v>
      </c>
      <c r="C259" s="20" t="s">
        <v>494</v>
      </c>
      <c r="D259" s="5">
        <v>30624</v>
      </c>
      <c r="E259" s="5" t="s">
        <v>818</v>
      </c>
      <c r="F259" s="11">
        <v>1540069</v>
      </c>
      <c r="G259" s="1">
        <v>4620</v>
      </c>
      <c r="H259" s="4">
        <f t="shared" si="3"/>
        <v>46202.07</v>
      </c>
      <c r="I259" s="4">
        <v>3696</v>
      </c>
      <c r="J259" s="4">
        <v>56983</v>
      </c>
      <c r="K259" s="4">
        <v>30801</v>
      </c>
      <c r="M259" s="5"/>
    </row>
    <row r="260" spans="1:13" ht="12.75" customHeight="1" x14ac:dyDescent="0.2">
      <c r="A260" s="3" t="s">
        <v>272</v>
      </c>
      <c r="B260" s="24">
        <v>1089</v>
      </c>
      <c r="C260" s="20" t="s">
        <v>273</v>
      </c>
      <c r="D260" s="5">
        <v>33423</v>
      </c>
      <c r="E260" s="5" t="s">
        <v>818</v>
      </c>
      <c r="F260" s="11">
        <v>1540069</v>
      </c>
      <c r="G260" s="1">
        <v>4620</v>
      </c>
      <c r="H260" s="4">
        <f t="shared" si="3"/>
        <v>46202.07</v>
      </c>
      <c r="I260" s="4">
        <v>3696</v>
      </c>
      <c r="J260" s="4">
        <v>56983</v>
      </c>
      <c r="K260" s="4">
        <v>30801</v>
      </c>
      <c r="M260" s="5"/>
    </row>
    <row r="261" spans="1:13" ht="12.75" customHeight="1" x14ac:dyDescent="0.2">
      <c r="A261" s="3" t="s">
        <v>644</v>
      </c>
      <c r="B261" s="24">
        <v>1090</v>
      </c>
      <c r="C261" s="20" t="s">
        <v>645</v>
      </c>
      <c r="D261" s="5">
        <v>32871</v>
      </c>
      <c r="E261" s="5" t="s">
        <v>818</v>
      </c>
      <c r="F261" s="11">
        <v>1540069</v>
      </c>
      <c r="G261" s="1">
        <v>4620</v>
      </c>
      <c r="H261" s="4">
        <f t="shared" si="3"/>
        <v>46202.07</v>
      </c>
      <c r="I261" s="4">
        <v>3696</v>
      </c>
      <c r="J261" s="4">
        <v>56983</v>
      </c>
      <c r="K261" s="4">
        <v>30801</v>
      </c>
    </row>
    <row r="262" spans="1:13" ht="12.75" customHeight="1" x14ac:dyDescent="0.2">
      <c r="A262" s="3" t="s">
        <v>243</v>
      </c>
      <c r="B262" s="24">
        <v>1304</v>
      </c>
      <c r="C262" s="21">
        <v>12034863212</v>
      </c>
      <c r="D262" s="5">
        <v>29245</v>
      </c>
      <c r="E262" s="5" t="s">
        <v>818</v>
      </c>
      <c r="F262" s="11">
        <v>1540069</v>
      </c>
      <c r="G262" s="1">
        <v>4620</v>
      </c>
      <c r="H262" s="4">
        <f t="shared" si="3"/>
        <v>46202.07</v>
      </c>
      <c r="I262" s="4">
        <v>3696</v>
      </c>
      <c r="J262" s="4">
        <v>56983</v>
      </c>
      <c r="K262" s="4">
        <v>30801</v>
      </c>
      <c r="M262" s="5"/>
    </row>
    <row r="263" spans="1:13" ht="12.75" customHeight="1" x14ac:dyDescent="0.2">
      <c r="A263" s="3"/>
      <c r="B263" s="24"/>
      <c r="C263" s="21"/>
      <c r="D263" s="5"/>
      <c r="E263" s="5"/>
      <c r="F263" s="11"/>
      <c r="G263" s="37">
        <f>SUM(G252:G262)</f>
        <v>55501</v>
      </c>
      <c r="H263" s="37">
        <f>SUM(H252:H262)</f>
        <v>555014.76</v>
      </c>
      <c r="I263" s="37">
        <f>SUM(I252:I262)</f>
        <v>44399</v>
      </c>
      <c r="J263" s="37">
        <f>SUM(J252:J262)</f>
        <v>684522</v>
      </c>
      <c r="K263" s="37">
        <f>SUM(K252:K262)</f>
        <v>370007</v>
      </c>
      <c r="M263" s="5"/>
    </row>
    <row r="264" spans="1:13" ht="12.75" customHeight="1" x14ac:dyDescent="0.2">
      <c r="A264" s="3" t="s">
        <v>237</v>
      </c>
      <c r="B264" s="24">
        <v>185</v>
      </c>
      <c r="C264" s="20" t="s">
        <v>238</v>
      </c>
      <c r="D264" s="5">
        <v>32135</v>
      </c>
      <c r="E264" s="5" t="s">
        <v>814</v>
      </c>
      <c r="F264" s="11">
        <v>1983522.5</v>
      </c>
      <c r="G264" s="1">
        <v>5951</v>
      </c>
      <c r="H264" s="4">
        <f t="shared" si="3"/>
        <v>59505.674999999996</v>
      </c>
      <c r="I264" s="4">
        <v>4760</v>
      </c>
      <c r="J264" s="4">
        <v>73390</v>
      </c>
      <c r="K264" s="4">
        <v>39670</v>
      </c>
    </row>
    <row r="265" spans="1:13" ht="12.75" customHeight="1" x14ac:dyDescent="0.2">
      <c r="A265" s="3" t="s">
        <v>743</v>
      </c>
      <c r="B265" s="24">
        <v>190</v>
      </c>
      <c r="C265" s="20" t="s">
        <v>744</v>
      </c>
      <c r="D265" s="5">
        <v>30545</v>
      </c>
      <c r="E265" s="5" t="s">
        <v>814</v>
      </c>
      <c r="F265" s="11">
        <v>1540069</v>
      </c>
      <c r="G265" s="1">
        <v>4620</v>
      </c>
      <c r="H265" s="4">
        <f t="shared" si="3"/>
        <v>46202.07</v>
      </c>
      <c r="I265" s="4">
        <v>3696</v>
      </c>
      <c r="J265" s="4">
        <v>56983</v>
      </c>
      <c r="K265" s="4">
        <v>30801</v>
      </c>
    </row>
    <row r="266" spans="1:13" ht="12.75" customHeight="1" x14ac:dyDescent="0.2">
      <c r="A266" s="3" t="s">
        <v>598</v>
      </c>
      <c r="B266" s="24">
        <v>249</v>
      </c>
      <c r="C266" s="20" t="s">
        <v>599</v>
      </c>
      <c r="D266" s="5">
        <v>31485</v>
      </c>
      <c r="E266" s="5" t="s">
        <v>814</v>
      </c>
      <c r="F266" s="11">
        <v>1754150</v>
      </c>
      <c r="G266" s="1">
        <v>5262</v>
      </c>
      <c r="H266" s="4">
        <f t="shared" si="3"/>
        <v>52624.5</v>
      </c>
      <c r="I266" s="4">
        <v>4210</v>
      </c>
      <c r="J266" s="4">
        <v>64904</v>
      </c>
      <c r="K266" s="4">
        <v>35083</v>
      </c>
    </row>
    <row r="267" spans="1:13" ht="12.75" customHeight="1" x14ac:dyDescent="0.2">
      <c r="A267" s="3" t="s">
        <v>523</v>
      </c>
      <c r="B267" s="24">
        <v>661</v>
      </c>
      <c r="C267" s="20" t="s">
        <v>524</v>
      </c>
      <c r="D267" s="5">
        <v>31963</v>
      </c>
      <c r="E267" s="5" t="s">
        <v>814</v>
      </c>
      <c r="F267" s="11">
        <v>1540069</v>
      </c>
      <c r="G267" s="1">
        <v>4620</v>
      </c>
      <c r="H267" s="4">
        <f t="shared" si="3"/>
        <v>46202.07</v>
      </c>
      <c r="I267" s="4">
        <v>3696</v>
      </c>
      <c r="J267" s="4">
        <v>56983</v>
      </c>
      <c r="K267" s="4">
        <v>30801</v>
      </c>
      <c r="M267" s="5"/>
    </row>
    <row r="268" spans="1:13" ht="12.75" customHeight="1" x14ac:dyDescent="0.2">
      <c r="A268" s="3" t="s">
        <v>202</v>
      </c>
      <c r="B268" s="24">
        <v>696</v>
      </c>
      <c r="C268" s="20" t="s">
        <v>203</v>
      </c>
      <c r="D268" s="5">
        <v>33470</v>
      </c>
      <c r="E268" s="5" t="s">
        <v>814</v>
      </c>
      <c r="F268" s="11">
        <v>1540069</v>
      </c>
      <c r="G268" s="1">
        <v>4620</v>
      </c>
      <c r="H268" s="4">
        <f t="shared" si="3"/>
        <v>46202.07</v>
      </c>
      <c r="I268" s="4">
        <v>3696</v>
      </c>
      <c r="J268" s="4">
        <v>56983</v>
      </c>
      <c r="K268" s="4">
        <v>30801</v>
      </c>
      <c r="M268" s="5"/>
    </row>
    <row r="269" spans="1:13" ht="12.75" customHeight="1" x14ac:dyDescent="0.2">
      <c r="A269" s="3" t="s">
        <v>711</v>
      </c>
      <c r="B269" s="24">
        <v>1346</v>
      </c>
      <c r="C269" s="21">
        <v>12034862578</v>
      </c>
      <c r="D269" s="5">
        <v>33971</v>
      </c>
      <c r="E269" s="5" t="s">
        <v>814</v>
      </c>
      <c r="F269" s="11">
        <v>1540069</v>
      </c>
      <c r="G269" s="1">
        <v>4620</v>
      </c>
      <c r="H269" s="4">
        <f t="shared" si="3"/>
        <v>46202.07</v>
      </c>
      <c r="I269" s="4">
        <v>3696</v>
      </c>
      <c r="J269" s="4">
        <v>56983</v>
      </c>
      <c r="K269" s="4">
        <v>30801</v>
      </c>
      <c r="M269" s="5"/>
    </row>
    <row r="270" spans="1:13" ht="12.75" customHeight="1" x14ac:dyDescent="0.2">
      <c r="A270" s="3" t="s">
        <v>155</v>
      </c>
      <c r="B270" s="24">
        <v>1494</v>
      </c>
      <c r="C270" s="31" t="s">
        <v>861</v>
      </c>
      <c r="D270" s="5">
        <v>31139</v>
      </c>
      <c r="E270" s="5" t="s">
        <v>814</v>
      </c>
      <c r="F270" s="11">
        <v>2595182.5</v>
      </c>
      <c r="G270" s="1">
        <v>7786</v>
      </c>
      <c r="H270" s="4">
        <f t="shared" si="3"/>
        <v>77855.474999999991</v>
      </c>
      <c r="I270" s="4">
        <v>6228</v>
      </c>
      <c r="J270" s="4">
        <v>96022</v>
      </c>
      <c r="K270" s="4">
        <v>51904</v>
      </c>
      <c r="M270" s="5"/>
    </row>
    <row r="271" spans="1:13" ht="12.75" customHeight="1" x14ac:dyDescent="0.2">
      <c r="A271" s="3" t="s">
        <v>141</v>
      </c>
      <c r="B271" s="24">
        <v>1529</v>
      </c>
      <c r="C271" s="31" t="s">
        <v>861</v>
      </c>
      <c r="D271" s="5">
        <v>34426</v>
      </c>
      <c r="E271" s="5" t="s">
        <v>814</v>
      </c>
      <c r="F271" s="11">
        <v>1540069</v>
      </c>
      <c r="G271" s="1">
        <v>4620</v>
      </c>
      <c r="H271" s="4">
        <f t="shared" si="3"/>
        <v>46202.07</v>
      </c>
      <c r="I271" s="4">
        <v>3696</v>
      </c>
      <c r="J271" s="4">
        <v>56983</v>
      </c>
      <c r="K271" s="4">
        <v>30801</v>
      </c>
    </row>
    <row r="272" spans="1:13" ht="12.75" customHeight="1" x14ac:dyDescent="0.2">
      <c r="A272" s="3"/>
      <c r="B272" s="24"/>
      <c r="C272" s="31"/>
      <c r="D272" s="5"/>
      <c r="E272" s="5"/>
      <c r="F272" s="11"/>
      <c r="G272" s="37">
        <f>SUM(G264:G271)</f>
        <v>42099</v>
      </c>
      <c r="H272" s="37">
        <f>SUM(H264:H271)</f>
        <v>420996</v>
      </c>
      <c r="I272" s="37">
        <f>SUM(I264:I271)</f>
        <v>33678</v>
      </c>
      <c r="J272" s="37">
        <f>SUM(J264:J271)</f>
        <v>519231</v>
      </c>
      <c r="K272" s="37">
        <f>SUM(K264:K271)</f>
        <v>280662</v>
      </c>
    </row>
    <row r="273" spans="1:13" ht="12.75" customHeight="1" x14ac:dyDescent="0.2">
      <c r="A273" s="3" t="s">
        <v>193</v>
      </c>
      <c r="B273" s="24">
        <v>569</v>
      </c>
      <c r="C273" s="20" t="s">
        <v>194</v>
      </c>
      <c r="D273" s="5">
        <v>33131</v>
      </c>
      <c r="E273" s="5" t="s">
        <v>826</v>
      </c>
      <c r="F273" s="11">
        <v>1723567</v>
      </c>
      <c r="G273" s="1">
        <v>5171</v>
      </c>
      <c r="H273" s="4">
        <f t="shared" si="3"/>
        <v>51707.009999999995</v>
      </c>
      <c r="I273" s="4">
        <v>4137</v>
      </c>
      <c r="J273" s="4">
        <v>63772</v>
      </c>
      <c r="K273" s="4">
        <v>34471</v>
      </c>
      <c r="M273" s="5"/>
    </row>
    <row r="274" spans="1:13" ht="12.75" customHeight="1" x14ac:dyDescent="0.2">
      <c r="A274" s="3" t="s">
        <v>725</v>
      </c>
      <c r="B274" s="24">
        <v>796</v>
      </c>
      <c r="C274" s="20" t="s">
        <v>726</v>
      </c>
      <c r="D274" s="5">
        <v>33213</v>
      </c>
      <c r="E274" s="5" t="s">
        <v>826</v>
      </c>
      <c r="F274" s="11">
        <v>1875189.5</v>
      </c>
      <c r="G274" s="1">
        <v>5951</v>
      </c>
      <c r="H274" s="4">
        <f t="shared" si="3"/>
        <v>56255.684999999998</v>
      </c>
      <c r="I274" s="4">
        <v>4760</v>
      </c>
      <c r="J274" s="4">
        <v>73390</v>
      </c>
      <c r="K274" s="4">
        <v>39670</v>
      </c>
      <c r="M274" s="5"/>
    </row>
    <row r="275" spans="1:13" ht="12.75" customHeight="1" x14ac:dyDescent="0.2">
      <c r="A275" s="3" t="s">
        <v>740</v>
      </c>
      <c r="B275" s="24">
        <v>1068</v>
      </c>
      <c r="C275" s="20" t="s">
        <v>741</v>
      </c>
      <c r="D275" s="5">
        <v>32346</v>
      </c>
      <c r="E275" s="5" t="s">
        <v>826</v>
      </c>
      <c r="F275" s="11">
        <v>2358164.5</v>
      </c>
      <c r="G275" s="1">
        <v>7074</v>
      </c>
      <c r="H275" s="4">
        <f t="shared" si="3"/>
        <v>70744.934999999998</v>
      </c>
      <c r="I275" s="4">
        <v>5660</v>
      </c>
      <c r="J275" s="4">
        <v>87252</v>
      </c>
      <c r="K275" s="4">
        <v>47163</v>
      </c>
      <c r="M275" s="5"/>
    </row>
    <row r="276" spans="1:13" ht="12.75" customHeight="1" x14ac:dyDescent="0.2">
      <c r="A276" s="3" t="s">
        <v>680</v>
      </c>
      <c r="B276" s="24">
        <v>1263</v>
      </c>
      <c r="C276" s="21">
        <v>12034862552</v>
      </c>
      <c r="D276" s="5">
        <v>31201</v>
      </c>
      <c r="E276" s="5" t="s">
        <v>826</v>
      </c>
      <c r="F276" s="11">
        <v>1540069</v>
      </c>
      <c r="G276" s="1">
        <v>4620</v>
      </c>
      <c r="H276" s="4">
        <f t="shared" si="3"/>
        <v>46202.07</v>
      </c>
      <c r="I276" s="4">
        <v>3696</v>
      </c>
      <c r="J276" s="4">
        <v>56983</v>
      </c>
      <c r="K276" s="4">
        <v>30801</v>
      </c>
      <c r="M276" s="5"/>
    </row>
    <row r="277" spans="1:13" ht="12.75" customHeight="1" x14ac:dyDescent="0.2">
      <c r="A277" s="3" t="s">
        <v>529</v>
      </c>
      <c r="B277" s="24">
        <v>1351</v>
      </c>
      <c r="C277" s="21">
        <v>12034863485</v>
      </c>
      <c r="D277" s="5">
        <v>33022</v>
      </c>
      <c r="E277" s="5" t="s">
        <v>826</v>
      </c>
      <c r="F277" s="11">
        <v>1540069</v>
      </c>
      <c r="G277" s="1">
        <v>4620</v>
      </c>
      <c r="H277" s="4">
        <f t="shared" si="3"/>
        <v>46202.07</v>
      </c>
      <c r="I277" s="4">
        <v>3696</v>
      </c>
      <c r="J277" s="4">
        <v>56983</v>
      </c>
      <c r="K277" s="4">
        <v>30801</v>
      </c>
      <c r="M277" s="5"/>
    </row>
    <row r="278" spans="1:13" ht="12.75" customHeight="1" x14ac:dyDescent="0.2">
      <c r="A278" s="3" t="s">
        <v>274</v>
      </c>
      <c r="B278" s="24">
        <v>1630</v>
      </c>
      <c r="C278" s="31" t="s">
        <v>861</v>
      </c>
      <c r="D278" s="5">
        <v>34632</v>
      </c>
      <c r="E278" s="5" t="s">
        <v>826</v>
      </c>
      <c r="F278" s="11">
        <v>1540069</v>
      </c>
      <c r="G278" s="1">
        <v>4620</v>
      </c>
      <c r="H278" s="4">
        <f t="shared" si="3"/>
        <v>46202.07</v>
      </c>
      <c r="I278" s="4">
        <v>3696</v>
      </c>
      <c r="J278" s="4">
        <v>56983</v>
      </c>
      <c r="K278" s="4">
        <v>30801</v>
      </c>
      <c r="M278" s="5"/>
    </row>
    <row r="279" spans="1:13" ht="12.75" customHeight="1" x14ac:dyDescent="0.2">
      <c r="A279" s="3" t="s">
        <v>435</v>
      </c>
      <c r="B279" s="24">
        <v>1715</v>
      </c>
      <c r="C279" s="31" t="s">
        <v>861</v>
      </c>
      <c r="D279" s="5">
        <v>29115</v>
      </c>
      <c r="E279" s="5" t="s">
        <v>826</v>
      </c>
      <c r="F279" s="11">
        <v>2266497.5</v>
      </c>
      <c r="G279" s="1">
        <v>7074</v>
      </c>
      <c r="H279" s="4">
        <f t="shared" si="3"/>
        <v>67994.925000000003</v>
      </c>
      <c r="I279" s="4">
        <v>5660</v>
      </c>
      <c r="J279" s="4">
        <v>87252</v>
      </c>
      <c r="K279" s="4">
        <v>47163</v>
      </c>
    </row>
    <row r="280" spans="1:13" ht="12.75" customHeight="1" x14ac:dyDescent="0.2">
      <c r="A280" s="3"/>
      <c r="B280" s="24"/>
      <c r="C280" s="31"/>
      <c r="D280" s="5"/>
      <c r="E280" s="5"/>
      <c r="F280" s="11"/>
      <c r="G280" s="37">
        <f>SUM(G273:G279)</f>
        <v>39130</v>
      </c>
      <c r="H280" s="37">
        <f>SUM(H273:H279)</f>
        <v>385308.76500000001</v>
      </c>
      <c r="I280" s="37">
        <f>SUM(I273:I279)</f>
        <v>31305</v>
      </c>
      <c r="J280" s="37">
        <f>SUM(J273:J279)</f>
        <v>482615</v>
      </c>
      <c r="K280" s="37">
        <f>SUM(K273:K279)</f>
        <v>260870</v>
      </c>
    </row>
    <row r="281" spans="1:13" ht="12.75" customHeight="1" x14ac:dyDescent="0.2">
      <c r="A281" s="3" t="s">
        <v>503</v>
      </c>
      <c r="B281" s="24">
        <v>52</v>
      </c>
      <c r="C281" s="20" t="s">
        <v>504</v>
      </c>
      <c r="D281" s="5">
        <v>27974</v>
      </c>
      <c r="E281" s="5" t="s">
        <v>799</v>
      </c>
      <c r="F281" s="11">
        <v>2801617.5</v>
      </c>
      <c r="G281" s="1">
        <v>8405</v>
      </c>
      <c r="H281" s="4">
        <f t="shared" si="3"/>
        <v>84048.524999999994</v>
      </c>
      <c r="I281" s="4">
        <v>6724</v>
      </c>
      <c r="J281" s="4">
        <v>103660</v>
      </c>
      <c r="K281" s="4">
        <v>56032</v>
      </c>
      <c r="M281" s="5"/>
    </row>
    <row r="282" spans="1:13" ht="12.75" customHeight="1" x14ac:dyDescent="0.2">
      <c r="A282" s="3" t="s">
        <v>85</v>
      </c>
      <c r="B282" s="24">
        <v>165</v>
      </c>
      <c r="C282" s="20" t="s">
        <v>658</v>
      </c>
      <c r="D282" s="5">
        <v>27920</v>
      </c>
      <c r="E282" s="5" t="s">
        <v>799</v>
      </c>
      <c r="F282" s="11">
        <v>1983522.5</v>
      </c>
      <c r="G282" s="1">
        <v>5951</v>
      </c>
      <c r="H282" s="4">
        <f t="shared" si="3"/>
        <v>59505.674999999996</v>
      </c>
      <c r="I282" s="4">
        <v>4760</v>
      </c>
      <c r="J282" s="4">
        <v>73390</v>
      </c>
      <c r="K282" s="4">
        <v>39670</v>
      </c>
      <c r="M282" s="5"/>
    </row>
    <row r="283" spans="1:13" ht="12.75" customHeight="1" x14ac:dyDescent="0.2">
      <c r="A283" s="3" t="s">
        <v>540</v>
      </c>
      <c r="B283" s="24">
        <v>278</v>
      </c>
      <c r="C283" s="20" t="s">
        <v>541</v>
      </c>
      <c r="D283" s="5">
        <v>30232</v>
      </c>
      <c r="E283" s="5" t="s">
        <v>799</v>
      </c>
      <c r="F283" s="11">
        <v>1601235</v>
      </c>
      <c r="G283" s="1">
        <v>4804</v>
      </c>
      <c r="H283" s="4">
        <f t="shared" si="3"/>
        <v>48037.049999999996</v>
      </c>
      <c r="I283" s="4">
        <v>3843</v>
      </c>
      <c r="J283" s="4">
        <v>59246</v>
      </c>
      <c r="K283" s="4">
        <v>32025</v>
      </c>
      <c r="M283" s="5"/>
    </row>
    <row r="284" spans="1:13" ht="12.75" customHeight="1" x14ac:dyDescent="0.2">
      <c r="A284" s="3" t="s">
        <v>347</v>
      </c>
      <c r="B284" s="24">
        <v>334</v>
      </c>
      <c r="C284" s="20" t="s">
        <v>348</v>
      </c>
      <c r="D284" s="5">
        <v>29785</v>
      </c>
      <c r="E284" s="5" t="s">
        <v>799</v>
      </c>
      <c r="F284" s="11">
        <v>1601235</v>
      </c>
      <c r="G284" s="1">
        <v>4804</v>
      </c>
      <c r="H284" s="4">
        <f t="shared" si="3"/>
        <v>48037.049999999996</v>
      </c>
      <c r="I284" s="4">
        <v>3843</v>
      </c>
      <c r="J284" s="4">
        <v>59246</v>
      </c>
      <c r="K284" s="4">
        <v>32025</v>
      </c>
      <c r="M284" s="5"/>
    </row>
    <row r="285" spans="1:13" ht="12.75" customHeight="1" x14ac:dyDescent="0.2">
      <c r="A285" s="3" t="s">
        <v>252</v>
      </c>
      <c r="B285" s="24">
        <v>355</v>
      </c>
      <c r="C285" s="20" t="s">
        <v>253</v>
      </c>
      <c r="D285" s="5">
        <v>31098</v>
      </c>
      <c r="E285" s="5" t="s">
        <v>799</v>
      </c>
      <c r="F285" s="11">
        <v>1601235</v>
      </c>
      <c r="G285" s="1">
        <v>4804</v>
      </c>
      <c r="H285" s="4">
        <f t="shared" si="3"/>
        <v>48037.049999999996</v>
      </c>
      <c r="I285" s="4">
        <v>3843</v>
      </c>
      <c r="J285" s="4">
        <v>59246</v>
      </c>
      <c r="K285" s="4">
        <v>32025</v>
      </c>
    </row>
    <row r="286" spans="1:13" ht="12.75" customHeight="1" x14ac:dyDescent="0.2">
      <c r="A286" s="3" t="s">
        <v>557</v>
      </c>
      <c r="B286" s="24">
        <v>408</v>
      </c>
      <c r="C286" s="20" t="s">
        <v>558</v>
      </c>
      <c r="D286" s="5">
        <v>31685</v>
      </c>
      <c r="E286" s="5" t="s">
        <v>799</v>
      </c>
      <c r="F286" s="11">
        <v>1540069</v>
      </c>
      <c r="G286" s="1">
        <v>4620</v>
      </c>
      <c r="H286" s="4">
        <f t="shared" si="3"/>
        <v>46202.07</v>
      </c>
      <c r="I286" s="4">
        <v>3696</v>
      </c>
      <c r="J286" s="4">
        <v>56983</v>
      </c>
      <c r="K286" s="4">
        <v>30801</v>
      </c>
      <c r="M286" s="5"/>
    </row>
    <row r="287" spans="1:13" ht="12.75" customHeight="1" x14ac:dyDescent="0.2">
      <c r="A287" s="3" t="s">
        <v>707</v>
      </c>
      <c r="B287" s="24">
        <v>688</v>
      </c>
      <c r="C287" s="20" t="s">
        <v>708</v>
      </c>
      <c r="D287" s="5">
        <v>30860</v>
      </c>
      <c r="E287" s="5" t="s">
        <v>799</v>
      </c>
      <c r="F287" s="11">
        <v>1540069</v>
      </c>
      <c r="G287" s="1">
        <v>4620</v>
      </c>
      <c r="H287" s="4">
        <f t="shared" si="3"/>
        <v>46202.07</v>
      </c>
      <c r="I287" s="4">
        <v>3696</v>
      </c>
      <c r="J287" s="4">
        <v>56983</v>
      </c>
      <c r="K287" s="4">
        <v>30801</v>
      </c>
    </row>
    <row r="288" spans="1:13" ht="12.75" customHeight="1" x14ac:dyDescent="0.2">
      <c r="A288" s="3" t="s">
        <v>527</v>
      </c>
      <c r="B288" s="24">
        <v>877</v>
      </c>
      <c r="C288" s="20" t="s">
        <v>528</v>
      </c>
      <c r="D288" s="5">
        <v>30158</v>
      </c>
      <c r="E288" s="5" t="s">
        <v>799</v>
      </c>
      <c r="F288" s="11">
        <v>1540069</v>
      </c>
      <c r="G288" s="1">
        <v>4620</v>
      </c>
      <c r="H288" s="4">
        <f t="shared" si="3"/>
        <v>46202.07</v>
      </c>
      <c r="I288" s="4">
        <v>3696</v>
      </c>
      <c r="J288" s="4">
        <v>56983</v>
      </c>
      <c r="K288" s="4">
        <v>30801</v>
      </c>
      <c r="M288" s="5"/>
    </row>
    <row r="289" spans="1:13" ht="12.75" customHeight="1" x14ac:dyDescent="0.2">
      <c r="A289" s="3" t="s">
        <v>442</v>
      </c>
      <c r="B289" s="24">
        <v>1095</v>
      </c>
      <c r="C289" s="27">
        <v>12014080878</v>
      </c>
      <c r="D289" s="5">
        <v>31930</v>
      </c>
      <c r="E289" s="5" t="s">
        <v>799</v>
      </c>
      <c r="F289" s="11">
        <v>1540069</v>
      </c>
      <c r="G289" s="1">
        <v>4620</v>
      </c>
      <c r="H289" s="4">
        <f t="shared" si="3"/>
        <v>46202.07</v>
      </c>
      <c r="I289" s="4">
        <v>3696</v>
      </c>
      <c r="J289" s="4">
        <v>56983</v>
      </c>
      <c r="K289" s="4">
        <v>30801</v>
      </c>
    </row>
    <row r="290" spans="1:13" ht="12.75" customHeight="1" x14ac:dyDescent="0.2">
      <c r="A290" s="3" t="s">
        <v>586</v>
      </c>
      <c r="B290" s="24">
        <v>1102</v>
      </c>
      <c r="C290" s="20" t="s">
        <v>587</v>
      </c>
      <c r="D290" s="5">
        <v>32697</v>
      </c>
      <c r="E290" s="5" t="s">
        <v>799</v>
      </c>
      <c r="F290" s="11">
        <v>1540069</v>
      </c>
      <c r="G290" s="1">
        <v>4620</v>
      </c>
      <c r="H290" s="4">
        <f t="shared" si="3"/>
        <v>46202.07</v>
      </c>
      <c r="I290" s="4">
        <v>3696</v>
      </c>
      <c r="J290" s="4">
        <v>56983</v>
      </c>
      <c r="K290" s="4">
        <v>30801</v>
      </c>
      <c r="M290" s="5"/>
    </row>
    <row r="291" spans="1:13" ht="12.75" customHeight="1" x14ac:dyDescent="0.2">
      <c r="A291" s="3" t="s">
        <v>351</v>
      </c>
      <c r="B291" s="24">
        <v>1106</v>
      </c>
      <c r="C291" s="20" t="s">
        <v>352</v>
      </c>
      <c r="D291" s="5">
        <v>30157</v>
      </c>
      <c r="E291" s="5" t="s">
        <v>799</v>
      </c>
      <c r="F291" s="11">
        <v>1540069</v>
      </c>
      <c r="G291" s="1">
        <v>4620</v>
      </c>
      <c r="H291" s="4">
        <f t="shared" si="3"/>
        <v>46202.07</v>
      </c>
      <c r="I291" s="4">
        <v>3696</v>
      </c>
      <c r="J291" s="4">
        <v>56983</v>
      </c>
      <c r="K291" s="4">
        <v>30801</v>
      </c>
      <c r="M291" s="5"/>
    </row>
    <row r="292" spans="1:13" ht="12.75" customHeight="1" x14ac:dyDescent="0.2">
      <c r="A292" s="3" t="s">
        <v>728</v>
      </c>
      <c r="B292" s="24">
        <v>1195</v>
      </c>
      <c r="C292" s="20" t="s">
        <v>729</v>
      </c>
      <c r="D292" s="5">
        <v>30902</v>
      </c>
      <c r="E292" s="5" t="s">
        <v>799</v>
      </c>
      <c r="F292" s="11">
        <v>1540069</v>
      </c>
      <c r="G292" s="1">
        <v>4620</v>
      </c>
      <c r="H292" s="4">
        <f t="shared" si="3"/>
        <v>46202.07</v>
      </c>
      <c r="I292" s="4">
        <v>3696</v>
      </c>
      <c r="J292" s="4">
        <v>56983</v>
      </c>
      <c r="K292" s="4">
        <v>30801</v>
      </c>
      <c r="M292" s="5"/>
    </row>
    <row r="293" spans="1:13" ht="12.75" customHeight="1" x14ac:dyDescent="0.2">
      <c r="A293" s="3" t="s">
        <v>297</v>
      </c>
      <c r="B293" s="24">
        <v>1416</v>
      </c>
      <c r="C293" s="21">
        <v>12037894479</v>
      </c>
      <c r="D293" s="5">
        <v>33065</v>
      </c>
      <c r="E293" s="5" t="s">
        <v>799</v>
      </c>
      <c r="F293" s="11">
        <v>1540069</v>
      </c>
      <c r="G293" s="1">
        <v>4620</v>
      </c>
      <c r="H293" s="4">
        <f t="shared" si="3"/>
        <v>46202.07</v>
      </c>
      <c r="I293" s="4">
        <v>3696</v>
      </c>
      <c r="J293" s="4">
        <v>56983</v>
      </c>
      <c r="K293" s="4">
        <v>30801</v>
      </c>
      <c r="M293" s="5"/>
    </row>
    <row r="294" spans="1:13" ht="12.75" customHeight="1" x14ac:dyDescent="0.2">
      <c r="A294" s="3" t="s">
        <v>722</v>
      </c>
      <c r="B294" s="24">
        <v>1417</v>
      </c>
      <c r="C294" s="21">
        <v>12037894487</v>
      </c>
      <c r="D294" s="5">
        <v>33971</v>
      </c>
      <c r="E294" s="5" t="s">
        <v>799</v>
      </c>
      <c r="F294" s="11">
        <v>1540069</v>
      </c>
      <c r="G294" s="1">
        <v>4620</v>
      </c>
      <c r="H294" s="4">
        <f t="shared" ref="H294:H365" si="4">IF(F294&lt;3080000,F294*3%,IF(F294&gt;=3080000,3080000*3%,0))</f>
        <v>46202.07</v>
      </c>
      <c r="I294" s="4">
        <v>3696</v>
      </c>
      <c r="J294" s="4">
        <v>56983</v>
      </c>
      <c r="K294" s="4">
        <v>30801</v>
      </c>
      <c r="M294" s="5"/>
    </row>
    <row r="295" spans="1:13" ht="12.75" customHeight="1" x14ac:dyDescent="0.2">
      <c r="A295" s="3" t="s">
        <v>706</v>
      </c>
      <c r="B295" s="24">
        <v>1481</v>
      </c>
      <c r="C295" s="21">
        <v>12037894750</v>
      </c>
      <c r="D295" s="5">
        <v>30134</v>
      </c>
      <c r="E295" s="5" t="s">
        <v>799</v>
      </c>
      <c r="F295" s="11">
        <v>1540069</v>
      </c>
      <c r="G295" s="1">
        <v>4620</v>
      </c>
      <c r="H295" s="4">
        <f t="shared" si="4"/>
        <v>46202.07</v>
      </c>
      <c r="I295" s="4">
        <v>3696</v>
      </c>
      <c r="J295" s="4">
        <v>56983</v>
      </c>
      <c r="K295" s="4">
        <v>30801</v>
      </c>
      <c r="M295" s="5"/>
    </row>
    <row r="296" spans="1:13" ht="12.75" customHeight="1" x14ac:dyDescent="0.2">
      <c r="A296" s="3" t="s">
        <v>416</v>
      </c>
      <c r="B296" s="24">
        <v>1647</v>
      </c>
      <c r="C296" s="31" t="s">
        <v>861</v>
      </c>
      <c r="D296" s="5">
        <v>32539</v>
      </c>
      <c r="E296" s="5" t="s">
        <v>799</v>
      </c>
      <c r="F296" s="11">
        <v>1540069</v>
      </c>
      <c r="G296" s="1">
        <v>4620</v>
      </c>
      <c r="H296" s="4">
        <f t="shared" si="4"/>
        <v>46202.07</v>
      </c>
      <c r="I296" s="4">
        <v>3696</v>
      </c>
      <c r="J296" s="4">
        <v>56983</v>
      </c>
      <c r="K296" s="4">
        <v>30801</v>
      </c>
      <c r="M296" s="5"/>
    </row>
    <row r="297" spans="1:13" ht="12.75" customHeight="1" x14ac:dyDescent="0.2">
      <c r="A297" s="3"/>
      <c r="B297" s="24"/>
      <c r="C297" s="31"/>
      <c r="D297" s="5"/>
      <c r="E297" s="5"/>
      <c r="F297" s="11"/>
      <c r="G297" s="37">
        <f>SUM(G281:G296)</f>
        <v>79588</v>
      </c>
      <c r="H297" s="37">
        <f>SUM(H281:H296)</f>
        <v>795888.11999999976</v>
      </c>
      <c r="I297" s="37">
        <f>SUM(I281:I296)</f>
        <v>63669</v>
      </c>
      <c r="J297" s="37">
        <f>SUM(J281:J296)</f>
        <v>981601</v>
      </c>
      <c r="K297" s="37">
        <f>SUM(K281:K296)</f>
        <v>530588</v>
      </c>
      <c r="M297" s="5"/>
    </row>
    <row r="298" spans="1:13" ht="12.75" customHeight="1" x14ac:dyDescent="0.2">
      <c r="A298" s="3" t="s">
        <v>412</v>
      </c>
      <c r="B298" s="24">
        <v>160</v>
      </c>
      <c r="C298" s="20" t="s">
        <v>413</v>
      </c>
      <c r="D298" s="5">
        <v>29282</v>
      </c>
      <c r="E298" s="5" t="s">
        <v>813</v>
      </c>
      <c r="F298" s="11">
        <v>2289352.5</v>
      </c>
      <c r="G298" s="1">
        <v>6868</v>
      </c>
      <c r="H298" s="4">
        <f t="shared" si="4"/>
        <v>68680.574999999997</v>
      </c>
      <c r="I298" s="4">
        <v>5494</v>
      </c>
      <c r="J298" s="4">
        <v>84706</v>
      </c>
      <c r="K298" s="4">
        <v>45787</v>
      </c>
    </row>
    <row r="299" spans="1:13" ht="12.75" customHeight="1" x14ac:dyDescent="0.2">
      <c r="A299" s="3" t="s">
        <v>637</v>
      </c>
      <c r="B299" s="24">
        <v>336</v>
      </c>
      <c r="C299" s="20" t="s">
        <v>638</v>
      </c>
      <c r="D299" s="5">
        <v>32383</v>
      </c>
      <c r="E299" s="5" t="s">
        <v>813</v>
      </c>
      <c r="F299" s="11">
        <v>1601235</v>
      </c>
      <c r="G299" s="1">
        <v>4804</v>
      </c>
      <c r="H299" s="4">
        <f t="shared" si="4"/>
        <v>48037.049999999996</v>
      </c>
      <c r="I299" s="4">
        <v>3843</v>
      </c>
      <c r="J299" s="4">
        <v>59246</v>
      </c>
      <c r="K299" s="4">
        <v>32025</v>
      </c>
      <c r="M299" s="5"/>
    </row>
    <row r="300" spans="1:13" ht="12.75" customHeight="1" x14ac:dyDescent="0.2">
      <c r="A300" s="3" t="s">
        <v>683</v>
      </c>
      <c r="B300" s="24">
        <v>727</v>
      </c>
      <c r="C300" s="20" t="s">
        <v>684</v>
      </c>
      <c r="D300" s="5">
        <v>30415</v>
      </c>
      <c r="E300" s="5" t="s">
        <v>813</v>
      </c>
      <c r="F300" s="11">
        <v>1540069</v>
      </c>
      <c r="G300" s="1">
        <v>4620</v>
      </c>
      <c r="H300" s="4">
        <f t="shared" si="4"/>
        <v>46202.07</v>
      </c>
      <c r="I300" s="4">
        <v>3696</v>
      </c>
      <c r="J300" s="4">
        <v>56983</v>
      </c>
      <c r="K300" s="4">
        <v>30801</v>
      </c>
    </row>
    <row r="301" spans="1:13" ht="12.75" customHeight="1" x14ac:dyDescent="0.2">
      <c r="A301" s="3" t="s">
        <v>336</v>
      </c>
      <c r="B301" s="24">
        <v>1001</v>
      </c>
      <c r="C301" s="20" t="s">
        <v>337</v>
      </c>
      <c r="D301" s="5">
        <v>31279</v>
      </c>
      <c r="E301" s="5" t="s">
        <v>813</v>
      </c>
      <c r="F301" s="11">
        <v>1601235</v>
      </c>
      <c r="G301" s="1">
        <v>4804</v>
      </c>
      <c r="H301" s="4">
        <f t="shared" si="4"/>
        <v>48037.049999999996</v>
      </c>
      <c r="I301" s="4">
        <v>3843</v>
      </c>
      <c r="J301" s="4">
        <v>59246</v>
      </c>
      <c r="K301" s="4">
        <v>32025</v>
      </c>
      <c r="M301" s="5"/>
    </row>
    <row r="302" spans="1:13" ht="12.75" customHeight="1" x14ac:dyDescent="0.2">
      <c r="A302" s="3" t="s">
        <v>617</v>
      </c>
      <c r="B302" s="24">
        <v>1228</v>
      </c>
      <c r="C302" s="27">
        <v>12026525787</v>
      </c>
      <c r="D302" s="5">
        <v>33136</v>
      </c>
      <c r="E302" s="5" t="s">
        <v>813</v>
      </c>
      <c r="F302" s="11">
        <v>1983522.5</v>
      </c>
      <c r="G302" s="1">
        <v>5951</v>
      </c>
      <c r="H302" s="4">
        <f t="shared" si="4"/>
        <v>59505.674999999996</v>
      </c>
      <c r="I302" s="4">
        <v>4760</v>
      </c>
      <c r="J302" s="4">
        <v>73390</v>
      </c>
      <c r="K302" s="4">
        <v>39670</v>
      </c>
      <c r="M302" s="5"/>
    </row>
    <row r="303" spans="1:13" ht="12.75" customHeight="1" x14ac:dyDescent="0.2">
      <c r="A303" s="3" t="s">
        <v>289</v>
      </c>
      <c r="B303" s="24">
        <v>1437</v>
      </c>
      <c r="C303" s="21">
        <v>12037894495</v>
      </c>
      <c r="D303" s="5">
        <v>33397</v>
      </c>
      <c r="E303" s="5" t="s">
        <v>813</v>
      </c>
      <c r="F303" s="11">
        <v>1540069</v>
      </c>
      <c r="G303" s="1">
        <v>4620</v>
      </c>
      <c r="H303" s="4">
        <f t="shared" si="4"/>
        <v>46202.07</v>
      </c>
      <c r="I303" s="4">
        <v>3696</v>
      </c>
      <c r="J303" s="4">
        <v>56983</v>
      </c>
      <c r="K303" s="4">
        <v>30801</v>
      </c>
      <c r="M303" s="5"/>
    </row>
    <row r="304" spans="1:13" ht="12.75" customHeight="1" x14ac:dyDescent="0.2">
      <c r="A304" s="3" t="s">
        <v>292</v>
      </c>
      <c r="B304" s="24">
        <v>1562</v>
      </c>
      <c r="C304" s="31" t="s">
        <v>861</v>
      </c>
      <c r="D304" s="5">
        <v>32922</v>
      </c>
      <c r="E304" s="5" t="s">
        <v>813</v>
      </c>
      <c r="F304" s="11">
        <v>1540069</v>
      </c>
      <c r="G304" s="1">
        <v>4620</v>
      </c>
      <c r="H304" s="4">
        <f t="shared" si="4"/>
        <v>46202.07</v>
      </c>
      <c r="I304" s="4">
        <v>3696</v>
      </c>
      <c r="J304" s="4">
        <v>56983</v>
      </c>
      <c r="K304" s="4">
        <v>30801</v>
      </c>
      <c r="M304" s="5"/>
    </row>
    <row r="305" spans="1:13" ht="12.75" customHeight="1" x14ac:dyDescent="0.2">
      <c r="A305" s="3"/>
      <c r="B305" s="24"/>
      <c r="C305" s="31"/>
      <c r="D305" s="5"/>
      <c r="E305" s="5"/>
      <c r="F305" s="11"/>
      <c r="G305" s="37">
        <f>SUM(G298:G304)</f>
        <v>36287</v>
      </c>
      <c r="H305" s="37">
        <f>SUM(H298:H304)</f>
        <v>362866.56</v>
      </c>
      <c r="I305" s="37">
        <f>SUM(I298:I304)</f>
        <v>29028</v>
      </c>
      <c r="J305" s="37">
        <f>SUM(J298:J304)</f>
        <v>447537</v>
      </c>
      <c r="K305" s="37">
        <f>SUM(K298:K304)</f>
        <v>241910</v>
      </c>
      <c r="M305" s="5"/>
    </row>
    <row r="306" spans="1:13" ht="12.75" customHeight="1" x14ac:dyDescent="0.2">
      <c r="A306" s="3" t="s">
        <v>551</v>
      </c>
      <c r="B306" s="24">
        <v>61</v>
      </c>
      <c r="C306" s="20" t="s">
        <v>552</v>
      </c>
      <c r="D306" s="5">
        <v>32225</v>
      </c>
      <c r="E306" s="5" t="s">
        <v>801</v>
      </c>
      <c r="F306" s="11">
        <v>1983522.5</v>
      </c>
      <c r="G306" s="1">
        <v>5951</v>
      </c>
      <c r="H306" s="4">
        <f t="shared" si="4"/>
        <v>59505.674999999996</v>
      </c>
      <c r="I306" s="4">
        <v>4760</v>
      </c>
      <c r="J306" s="4">
        <v>73390</v>
      </c>
      <c r="K306" s="4">
        <v>39670</v>
      </c>
      <c r="M306" s="5"/>
    </row>
    <row r="307" spans="1:13" ht="12.75" customHeight="1" x14ac:dyDescent="0.2">
      <c r="A307" s="3" t="s">
        <v>530</v>
      </c>
      <c r="B307" s="24">
        <v>103</v>
      </c>
      <c r="C307" s="20" t="s">
        <v>531</v>
      </c>
      <c r="D307" s="5">
        <v>32218</v>
      </c>
      <c r="E307" s="5" t="s">
        <v>801</v>
      </c>
      <c r="F307" s="11">
        <v>2289352.5</v>
      </c>
      <c r="G307" s="1">
        <v>6868</v>
      </c>
      <c r="H307" s="4">
        <f t="shared" si="4"/>
        <v>68680.574999999997</v>
      </c>
      <c r="I307" s="4">
        <v>5494</v>
      </c>
      <c r="J307" s="4">
        <v>84706</v>
      </c>
      <c r="K307" s="4">
        <v>45787</v>
      </c>
      <c r="M307" s="5"/>
    </row>
    <row r="308" spans="1:13" ht="12.75" customHeight="1" x14ac:dyDescent="0.2">
      <c r="A308" s="3" t="s">
        <v>496</v>
      </c>
      <c r="B308" s="24">
        <v>246</v>
      </c>
      <c r="C308" s="20" t="s">
        <v>497</v>
      </c>
      <c r="D308" s="5">
        <v>29896</v>
      </c>
      <c r="E308" s="5" t="s">
        <v>801</v>
      </c>
      <c r="F308" s="11">
        <v>1540069</v>
      </c>
      <c r="G308" s="1">
        <v>4620</v>
      </c>
      <c r="H308" s="4">
        <f t="shared" si="4"/>
        <v>46202.07</v>
      </c>
      <c r="I308" s="4">
        <v>3696</v>
      </c>
      <c r="J308" s="4">
        <v>56983</v>
      </c>
      <c r="K308" s="4">
        <v>30801</v>
      </c>
      <c r="M308" s="5"/>
    </row>
    <row r="309" spans="1:13" ht="12.75" customHeight="1" x14ac:dyDescent="0.2">
      <c r="A309" s="3" t="s">
        <v>631</v>
      </c>
      <c r="B309" s="24">
        <v>407</v>
      </c>
      <c r="C309" s="20" t="s">
        <v>632</v>
      </c>
      <c r="D309" s="5">
        <v>30918</v>
      </c>
      <c r="E309" s="5" t="s">
        <v>801</v>
      </c>
      <c r="F309" s="11">
        <v>1540069</v>
      </c>
      <c r="G309" s="1">
        <v>4620</v>
      </c>
      <c r="H309" s="4">
        <f t="shared" si="4"/>
        <v>46202.07</v>
      </c>
      <c r="I309" s="4">
        <v>3696</v>
      </c>
      <c r="J309" s="4">
        <v>56983</v>
      </c>
      <c r="K309" s="4">
        <v>30801</v>
      </c>
      <c r="M309" s="5"/>
    </row>
    <row r="310" spans="1:13" ht="12.75" customHeight="1" x14ac:dyDescent="0.2">
      <c r="A310" s="3" t="s">
        <v>167</v>
      </c>
      <c r="B310" s="24">
        <v>545</v>
      </c>
      <c r="C310" s="20" t="s">
        <v>168</v>
      </c>
      <c r="D310" s="5">
        <v>33570</v>
      </c>
      <c r="E310" s="5" t="s">
        <v>801</v>
      </c>
      <c r="F310" s="11">
        <v>1540069</v>
      </c>
      <c r="G310" s="1">
        <v>4620</v>
      </c>
      <c r="H310" s="4">
        <f t="shared" si="4"/>
        <v>46202.07</v>
      </c>
      <c r="I310" s="4">
        <v>3696</v>
      </c>
      <c r="J310" s="4">
        <v>56983</v>
      </c>
      <c r="K310" s="4">
        <v>30801</v>
      </c>
      <c r="M310" s="5"/>
    </row>
    <row r="311" spans="1:13" ht="12.75" customHeight="1" x14ac:dyDescent="0.2">
      <c r="A311" s="3" t="s">
        <v>171</v>
      </c>
      <c r="B311" s="24">
        <v>858</v>
      </c>
      <c r="C311" s="20" t="s">
        <v>172</v>
      </c>
      <c r="D311" s="5">
        <v>32783</v>
      </c>
      <c r="E311" s="5" t="s">
        <v>801</v>
      </c>
      <c r="F311" s="11">
        <v>1540069</v>
      </c>
      <c r="G311" s="1">
        <v>4620</v>
      </c>
      <c r="H311" s="4">
        <f t="shared" si="4"/>
        <v>46202.07</v>
      </c>
      <c r="I311" s="4">
        <v>3696</v>
      </c>
      <c r="J311" s="4">
        <v>56983</v>
      </c>
      <c r="K311" s="4">
        <v>30801</v>
      </c>
    </row>
    <row r="312" spans="1:13" ht="12.75" customHeight="1" x14ac:dyDescent="0.2">
      <c r="A312" s="3" t="s">
        <v>714</v>
      </c>
      <c r="B312" s="24">
        <v>997</v>
      </c>
      <c r="C312" s="20" t="s">
        <v>715</v>
      </c>
      <c r="D312" s="5">
        <v>30765</v>
      </c>
      <c r="E312" s="5" t="s">
        <v>801</v>
      </c>
      <c r="F312" s="11">
        <v>1540069</v>
      </c>
      <c r="G312" s="1">
        <v>4620</v>
      </c>
      <c r="H312" s="4">
        <f t="shared" si="4"/>
        <v>46202.07</v>
      </c>
      <c r="I312" s="4">
        <v>3696</v>
      </c>
      <c r="J312" s="4">
        <v>56983</v>
      </c>
      <c r="K312" s="4">
        <v>30801</v>
      </c>
      <c r="M312" s="5"/>
    </row>
    <row r="313" spans="1:13" ht="12.75" customHeight="1" x14ac:dyDescent="0.2">
      <c r="A313" s="3" t="s">
        <v>388</v>
      </c>
      <c r="B313" s="24">
        <v>1343</v>
      </c>
      <c r="C313" s="21">
        <v>12034863311</v>
      </c>
      <c r="D313" s="5">
        <v>31322</v>
      </c>
      <c r="E313" s="5" t="s">
        <v>801</v>
      </c>
      <c r="F313" s="11">
        <v>1540069</v>
      </c>
      <c r="G313" s="1">
        <v>4620</v>
      </c>
      <c r="H313" s="4">
        <f t="shared" si="4"/>
        <v>46202.07</v>
      </c>
      <c r="I313" s="4">
        <v>3696</v>
      </c>
      <c r="J313" s="4">
        <v>56983</v>
      </c>
      <c r="K313" s="4">
        <v>30801</v>
      </c>
    </row>
    <row r="314" spans="1:13" ht="12.75" customHeight="1" x14ac:dyDescent="0.2">
      <c r="A314" s="3" t="s">
        <v>164</v>
      </c>
      <c r="B314" s="24">
        <v>1594</v>
      </c>
      <c r="C314" s="31" t="s">
        <v>861</v>
      </c>
      <c r="D314" s="5">
        <v>31129</v>
      </c>
      <c r="E314" s="5" t="s">
        <v>801</v>
      </c>
      <c r="F314" s="11">
        <v>1540069</v>
      </c>
      <c r="G314" s="1">
        <v>4620</v>
      </c>
      <c r="H314" s="4">
        <f t="shared" si="4"/>
        <v>46202.07</v>
      </c>
      <c r="I314" s="4">
        <v>3696</v>
      </c>
      <c r="J314" s="4">
        <v>56983</v>
      </c>
      <c r="K314" s="4">
        <v>30801</v>
      </c>
      <c r="M314" s="5"/>
    </row>
    <row r="315" spans="1:13" ht="12.75" customHeight="1" x14ac:dyDescent="0.2">
      <c r="A315" s="3" t="s">
        <v>364</v>
      </c>
      <c r="B315" s="24">
        <v>1649</v>
      </c>
      <c r="C315" s="31" t="s">
        <v>861</v>
      </c>
      <c r="D315" s="5">
        <v>33048</v>
      </c>
      <c r="E315" s="5" t="s">
        <v>801</v>
      </c>
      <c r="F315" s="11">
        <v>1540069</v>
      </c>
      <c r="G315" s="1">
        <v>4620</v>
      </c>
      <c r="H315" s="4">
        <f t="shared" si="4"/>
        <v>46202.07</v>
      </c>
      <c r="I315" s="4">
        <v>3696</v>
      </c>
      <c r="J315" s="4">
        <v>56983</v>
      </c>
      <c r="K315" s="4">
        <v>30801</v>
      </c>
      <c r="M315" s="5"/>
    </row>
    <row r="316" spans="1:13" ht="12.75" customHeight="1" x14ac:dyDescent="0.2">
      <c r="A316" s="3" t="s">
        <v>392</v>
      </c>
      <c r="B316" s="24">
        <v>1701</v>
      </c>
      <c r="C316" s="31" t="s">
        <v>861</v>
      </c>
      <c r="D316" s="5">
        <v>32645</v>
      </c>
      <c r="E316" s="5" t="s">
        <v>801</v>
      </c>
      <c r="F316" s="11">
        <v>1515069</v>
      </c>
      <c r="G316" s="1">
        <v>4620</v>
      </c>
      <c r="H316" s="4">
        <f t="shared" si="4"/>
        <v>45452.07</v>
      </c>
      <c r="I316" s="4">
        <v>3696</v>
      </c>
      <c r="J316" s="4">
        <v>56983</v>
      </c>
      <c r="K316" s="4">
        <v>30801</v>
      </c>
      <c r="M316" s="5"/>
    </row>
    <row r="317" spans="1:13" ht="12.75" customHeight="1" x14ac:dyDescent="0.2">
      <c r="A317" s="3" t="s">
        <v>340</v>
      </c>
      <c r="B317" s="24">
        <v>1728</v>
      </c>
      <c r="C317" s="31" t="s">
        <v>861</v>
      </c>
      <c r="D317" s="5">
        <v>31061</v>
      </c>
      <c r="E317" s="5" t="s">
        <v>801</v>
      </c>
      <c r="F317" s="11">
        <v>1348402</v>
      </c>
      <c r="G317" s="1">
        <v>4620</v>
      </c>
      <c r="H317" s="4">
        <f t="shared" si="4"/>
        <v>40452.06</v>
      </c>
      <c r="I317" s="4">
        <v>3696</v>
      </c>
      <c r="J317" s="4">
        <v>56983</v>
      </c>
      <c r="K317" s="4">
        <v>30801</v>
      </c>
      <c r="M317" s="5"/>
    </row>
    <row r="318" spans="1:13" ht="12.75" customHeight="1" x14ac:dyDescent="0.2">
      <c r="A318" s="3" t="s">
        <v>282</v>
      </c>
      <c r="B318" s="24">
        <v>1729</v>
      </c>
      <c r="C318" s="31" t="s">
        <v>861</v>
      </c>
      <c r="D318" s="5">
        <v>34162</v>
      </c>
      <c r="E318" s="5" t="s">
        <v>801</v>
      </c>
      <c r="F318" s="11">
        <v>1373402</v>
      </c>
      <c r="G318" s="1">
        <v>4620</v>
      </c>
      <c r="H318" s="4">
        <f t="shared" si="4"/>
        <v>41202.06</v>
      </c>
      <c r="I318" s="4">
        <v>3696</v>
      </c>
      <c r="J318" s="4">
        <v>56983</v>
      </c>
      <c r="K318" s="4">
        <v>30801</v>
      </c>
      <c r="M318" s="5"/>
    </row>
    <row r="319" spans="1:13" ht="12.75" customHeight="1" x14ac:dyDescent="0.2">
      <c r="A319" s="3"/>
      <c r="B319" s="24"/>
      <c r="C319" s="31"/>
      <c r="D319" s="5"/>
      <c r="E319" s="5"/>
      <c r="F319" s="11"/>
      <c r="G319" s="37">
        <f>SUM(G306:G318)</f>
        <v>63639</v>
      </c>
      <c r="H319" s="37">
        <f>SUM(H306:H318)</f>
        <v>624909</v>
      </c>
      <c r="I319" s="37">
        <f>SUM(I306:I318)</f>
        <v>50910</v>
      </c>
      <c r="J319" s="37">
        <f>SUM(J306:J318)</f>
        <v>784909</v>
      </c>
      <c r="K319" s="37">
        <f>SUM(K306:K318)</f>
        <v>424268</v>
      </c>
      <c r="M319" s="5"/>
    </row>
    <row r="320" spans="1:13" ht="12.75" customHeight="1" x14ac:dyDescent="0.2">
      <c r="A320" s="3" t="s">
        <v>738</v>
      </c>
      <c r="B320" s="24">
        <v>6</v>
      </c>
      <c r="C320" s="20" t="s">
        <v>739</v>
      </c>
      <c r="D320" s="5">
        <v>30046</v>
      </c>
      <c r="E320" s="5" t="s">
        <v>787</v>
      </c>
      <c r="F320" s="11">
        <v>2901012.5</v>
      </c>
      <c r="G320" s="1">
        <v>8703</v>
      </c>
      <c r="H320" s="4">
        <f t="shared" si="4"/>
        <v>87030.375</v>
      </c>
      <c r="I320" s="4">
        <v>6962</v>
      </c>
      <c r="J320" s="4">
        <v>107337</v>
      </c>
      <c r="K320" s="4">
        <v>58020</v>
      </c>
      <c r="M320" s="5"/>
    </row>
    <row r="321" spans="1:13" ht="12.75" customHeight="1" x14ac:dyDescent="0.2">
      <c r="A321" s="3" t="s">
        <v>431</v>
      </c>
      <c r="B321" s="24">
        <v>122</v>
      </c>
      <c r="C321" s="20" t="s">
        <v>432</v>
      </c>
      <c r="D321" s="5">
        <v>28312</v>
      </c>
      <c r="E321" s="5" t="s">
        <v>787</v>
      </c>
      <c r="F321" s="11">
        <v>1754150</v>
      </c>
      <c r="G321" s="1">
        <v>5262</v>
      </c>
      <c r="H321" s="4">
        <f t="shared" si="4"/>
        <v>52624.5</v>
      </c>
      <c r="I321" s="4">
        <v>4210</v>
      </c>
      <c r="J321" s="4">
        <v>64904</v>
      </c>
      <c r="K321" s="4">
        <v>35083</v>
      </c>
      <c r="M321" s="5"/>
    </row>
    <row r="322" spans="1:13" ht="12.75" customHeight="1" x14ac:dyDescent="0.2">
      <c r="A322" s="3" t="s">
        <v>232</v>
      </c>
      <c r="B322" s="24">
        <v>231</v>
      </c>
      <c r="C322" s="20" t="s">
        <v>233</v>
      </c>
      <c r="D322" s="5">
        <v>31389</v>
      </c>
      <c r="E322" s="5" t="s">
        <v>787</v>
      </c>
      <c r="F322" s="11">
        <v>1540069</v>
      </c>
      <c r="G322" s="1">
        <v>4620</v>
      </c>
      <c r="H322" s="4">
        <f t="shared" si="4"/>
        <v>46202.07</v>
      </c>
      <c r="I322" s="4">
        <v>3696</v>
      </c>
      <c r="J322" s="4">
        <v>56983</v>
      </c>
      <c r="K322" s="4">
        <v>30801</v>
      </c>
      <c r="M322" s="5"/>
    </row>
    <row r="323" spans="1:13" ht="12.75" customHeight="1" x14ac:dyDescent="0.2">
      <c r="A323" s="3" t="s">
        <v>615</v>
      </c>
      <c r="B323" s="24">
        <v>729</v>
      </c>
      <c r="C323" s="20" t="s">
        <v>616</v>
      </c>
      <c r="D323" s="5">
        <v>30755</v>
      </c>
      <c r="E323" s="5" t="s">
        <v>787</v>
      </c>
      <c r="F323" s="11">
        <v>1540069</v>
      </c>
      <c r="G323" s="1">
        <v>4620</v>
      </c>
      <c r="H323" s="4">
        <f t="shared" si="4"/>
        <v>46202.07</v>
      </c>
      <c r="I323" s="4">
        <v>3696</v>
      </c>
      <c r="J323" s="4">
        <v>56983</v>
      </c>
      <c r="K323" s="4">
        <v>30801</v>
      </c>
      <c r="M323" s="5"/>
    </row>
    <row r="324" spans="1:13" ht="12.75" customHeight="1" x14ac:dyDescent="0.2">
      <c r="A324" s="3" t="s">
        <v>204</v>
      </c>
      <c r="B324" s="24">
        <v>1017</v>
      </c>
      <c r="C324" s="20" t="s">
        <v>205</v>
      </c>
      <c r="D324" s="5">
        <v>31876</v>
      </c>
      <c r="E324" s="5" t="s">
        <v>787</v>
      </c>
      <c r="F324" s="11">
        <v>2189957.5</v>
      </c>
      <c r="G324" s="1">
        <v>6570</v>
      </c>
      <c r="H324" s="4">
        <f t="shared" si="4"/>
        <v>65698.724999999991</v>
      </c>
      <c r="I324" s="4">
        <v>5256</v>
      </c>
      <c r="J324" s="4">
        <v>81028</v>
      </c>
      <c r="K324" s="4">
        <v>43799</v>
      </c>
    </row>
    <row r="325" spans="1:13" ht="12.75" customHeight="1" x14ac:dyDescent="0.2">
      <c r="A325" s="3" t="s">
        <v>626</v>
      </c>
      <c r="B325" s="24">
        <v>1119</v>
      </c>
      <c r="C325" s="20" t="s">
        <v>627</v>
      </c>
      <c r="D325" s="5">
        <v>28436</v>
      </c>
      <c r="E325" s="5" t="s">
        <v>787</v>
      </c>
      <c r="F325" s="11">
        <v>1540069</v>
      </c>
      <c r="G325" s="1">
        <v>4620</v>
      </c>
      <c r="H325" s="4">
        <f t="shared" si="4"/>
        <v>46202.07</v>
      </c>
      <c r="I325" s="4">
        <v>3696</v>
      </c>
      <c r="J325" s="4">
        <v>56983</v>
      </c>
      <c r="K325" s="4">
        <v>30801</v>
      </c>
      <c r="M325" s="5"/>
    </row>
    <row r="326" spans="1:13" ht="12.75" customHeight="1" x14ac:dyDescent="0.2">
      <c r="A326" s="3" t="s">
        <v>412</v>
      </c>
      <c r="B326" s="24">
        <v>1235</v>
      </c>
      <c r="C326" s="27">
        <v>12026525746</v>
      </c>
      <c r="D326" s="5">
        <v>34317</v>
      </c>
      <c r="E326" s="5" t="s">
        <v>787</v>
      </c>
      <c r="F326" s="11">
        <v>1540069</v>
      </c>
      <c r="G326" s="1">
        <v>4620</v>
      </c>
      <c r="H326" s="4">
        <f t="shared" si="4"/>
        <v>46202.07</v>
      </c>
      <c r="I326" s="4">
        <v>3696</v>
      </c>
      <c r="J326" s="4">
        <v>56983</v>
      </c>
      <c r="K326" s="4">
        <v>30801</v>
      </c>
      <c r="M326" s="5"/>
    </row>
    <row r="327" spans="1:13" ht="12.75" customHeight="1" x14ac:dyDescent="0.2">
      <c r="A327" s="3" t="s">
        <v>481</v>
      </c>
      <c r="B327" s="24">
        <v>1349</v>
      </c>
      <c r="C327" s="21">
        <v>12037894461</v>
      </c>
      <c r="D327" s="5">
        <v>34323</v>
      </c>
      <c r="E327" s="5" t="s">
        <v>787</v>
      </c>
      <c r="F327" s="11">
        <v>1540069</v>
      </c>
      <c r="G327" s="1">
        <v>4620</v>
      </c>
      <c r="H327" s="4">
        <f t="shared" si="4"/>
        <v>46202.07</v>
      </c>
      <c r="I327" s="4">
        <v>3696</v>
      </c>
      <c r="J327" s="4">
        <v>56983</v>
      </c>
      <c r="K327" s="4">
        <v>30801</v>
      </c>
      <c r="M327" s="5"/>
    </row>
    <row r="328" spans="1:13" ht="12.75" customHeight="1" x14ac:dyDescent="0.2">
      <c r="A328" s="3" t="s">
        <v>382</v>
      </c>
      <c r="B328" s="24">
        <v>1582</v>
      </c>
      <c r="C328" s="31" t="s">
        <v>861</v>
      </c>
      <c r="D328" s="5">
        <v>33038</v>
      </c>
      <c r="E328" s="5" t="s">
        <v>787</v>
      </c>
      <c r="F328" s="11">
        <v>1540069</v>
      </c>
      <c r="G328" s="1">
        <v>4620</v>
      </c>
      <c r="H328" s="4">
        <f t="shared" si="4"/>
        <v>46202.07</v>
      </c>
      <c r="I328" s="4">
        <v>3696</v>
      </c>
      <c r="J328" s="4">
        <v>56983</v>
      </c>
      <c r="K328" s="4">
        <v>30801</v>
      </c>
      <c r="M328" s="5"/>
    </row>
    <row r="329" spans="1:13" ht="12.75" customHeight="1" x14ac:dyDescent="0.2">
      <c r="A329" s="3" t="s">
        <v>150</v>
      </c>
      <c r="B329" s="24">
        <v>1721</v>
      </c>
      <c r="C329" s="31" t="s">
        <v>861</v>
      </c>
      <c r="D329" s="5">
        <v>33364</v>
      </c>
      <c r="E329" s="5" t="s">
        <v>787</v>
      </c>
      <c r="F329" s="11">
        <v>1381736</v>
      </c>
      <c r="G329" s="1">
        <v>4620</v>
      </c>
      <c r="H329" s="4">
        <f t="shared" si="4"/>
        <v>41452.080000000002</v>
      </c>
      <c r="I329" s="4">
        <v>3696</v>
      </c>
      <c r="J329" s="4">
        <v>56983</v>
      </c>
      <c r="K329" s="4">
        <v>30801</v>
      </c>
    </row>
    <row r="330" spans="1:13" ht="12.75" customHeight="1" x14ac:dyDescent="0.2">
      <c r="A330" s="3"/>
      <c r="B330" s="24"/>
      <c r="C330" s="31"/>
      <c r="D330" s="5"/>
      <c r="E330" s="5"/>
      <c r="F330" s="11"/>
      <c r="G330" s="37">
        <f>SUM(G320:G329)</f>
        <v>52875</v>
      </c>
      <c r="H330" s="37">
        <f>SUM(H320:H329)</f>
        <v>524018.10000000003</v>
      </c>
      <c r="I330" s="37">
        <f>SUM(I320:I329)</f>
        <v>42300</v>
      </c>
      <c r="J330" s="37">
        <f>SUM(J320:J329)</f>
        <v>652150</v>
      </c>
      <c r="K330" s="37">
        <f>SUM(K320:K329)</f>
        <v>352509</v>
      </c>
    </row>
    <row r="331" spans="1:13" ht="12.75" customHeight="1" x14ac:dyDescent="0.2">
      <c r="A331" s="3" t="s">
        <v>234</v>
      </c>
      <c r="B331" s="24">
        <v>567</v>
      </c>
      <c r="C331" s="20" t="s">
        <v>235</v>
      </c>
      <c r="D331" s="5">
        <v>32519</v>
      </c>
      <c r="E331" s="5" t="s">
        <v>825</v>
      </c>
      <c r="F331" s="11">
        <v>1540069</v>
      </c>
      <c r="G331" s="1">
        <v>4620</v>
      </c>
      <c r="H331" s="4">
        <f t="shared" si="4"/>
        <v>46202.07</v>
      </c>
      <c r="I331" s="4">
        <v>3696</v>
      </c>
      <c r="J331" s="4">
        <v>56983</v>
      </c>
      <c r="K331" s="4">
        <v>30801</v>
      </c>
    </row>
    <row r="332" spans="1:13" ht="12.75" customHeight="1" x14ac:dyDescent="0.2">
      <c r="A332" s="3" t="s">
        <v>183</v>
      </c>
      <c r="B332" s="24">
        <v>907</v>
      </c>
      <c r="C332" s="20" t="s">
        <v>184</v>
      </c>
      <c r="D332" s="5">
        <v>32018</v>
      </c>
      <c r="E332" s="5" t="s">
        <v>825</v>
      </c>
      <c r="F332" s="11">
        <v>1540069</v>
      </c>
      <c r="G332" s="1">
        <v>4620</v>
      </c>
      <c r="H332" s="4">
        <f t="shared" si="4"/>
        <v>46202.07</v>
      </c>
      <c r="I332" s="4">
        <v>3696</v>
      </c>
      <c r="J332" s="4">
        <v>56983</v>
      </c>
      <c r="K332" s="4">
        <v>30801</v>
      </c>
    </row>
    <row r="333" spans="1:13" ht="12.75" customHeight="1" x14ac:dyDescent="0.2">
      <c r="A333" s="3" t="s">
        <v>499</v>
      </c>
      <c r="B333" s="24">
        <v>1339</v>
      </c>
      <c r="C333" s="21">
        <v>12034863477</v>
      </c>
      <c r="D333" s="5">
        <v>33613</v>
      </c>
      <c r="E333" s="5" t="s">
        <v>825</v>
      </c>
      <c r="F333" s="11">
        <v>1540069</v>
      </c>
      <c r="G333" s="1">
        <v>4620</v>
      </c>
      <c r="H333" s="4">
        <f t="shared" si="4"/>
        <v>46202.07</v>
      </c>
      <c r="I333" s="4">
        <v>3696</v>
      </c>
      <c r="J333" s="4">
        <v>56983</v>
      </c>
      <c r="K333" s="4">
        <v>30801</v>
      </c>
      <c r="M333" s="5"/>
    </row>
    <row r="334" spans="1:13" ht="12.75" customHeight="1" x14ac:dyDescent="0.2">
      <c r="A334" s="3" t="s">
        <v>521</v>
      </c>
      <c r="B334" s="24">
        <v>1509</v>
      </c>
      <c r="C334" s="31" t="s">
        <v>861</v>
      </c>
      <c r="D334" s="5">
        <v>30169</v>
      </c>
      <c r="E334" s="5" t="s">
        <v>825</v>
      </c>
      <c r="F334" s="11">
        <v>2266497.5</v>
      </c>
      <c r="G334" s="1">
        <v>7074</v>
      </c>
      <c r="H334" s="4">
        <f t="shared" si="4"/>
        <v>67994.925000000003</v>
      </c>
      <c r="I334" s="4">
        <v>5660</v>
      </c>
      <c r="J334" s="4">
        <v>87252</v>
      </c>
      <c r="K334" s="4">
        <v>47163</v>
      </c>
    </row>
    <row r="335" spans="1:13" ht="12.75" customHeight="1" x14ac:dyDescent="0.2">
      <c r="A335" s="3"/>
      <c r="B335" s="24"/>
      <c r="C335" s="31"/>
      <c r="D335" s="5"/>
      <c r="E335" s="5"/>
      <c r="F335" s="11"/>
      <c r="G335" s="37">
        <f>SUM(G331:G334)</f>
        <v>20934</v>
      </c>
      <c r="H335" s="37">
        <f>SUM(H331:H334)</f>
        <v>206601.13500000001</v>
      </c>
      <c r="I335" s="37">
        <f>SUM(I331:I334)</f>
        <v>16748</v>
      </c>
      <c r="J335" s="37">
        <f>SUM(J331:J334)</f>
        <v>258201</v>
      </c>
      <c r="K335" s="37">
        <f>SUM(K331:K334)</f>
        <v>139566</v>
      </c>
    </row>
    <row r="336" spans="1:13" ht="12.75" customHeight="1" x14ac:dyDescent="0.2">
      <c r="A336" s="3" t="s">
        <v>173</v>
      </c>
      <c r="B336" s="24">
        <v>29</v>
      </c>
      <c r="C336" s="20" t="s">
        <v>174</v>
      </c>
      <c r="D336" s="5">
        <v>30398</v>
      </c>
      <c r="E336" s="5" t="s">
        <v>795</v>
      </c>
      <c r="F336" s="11">
        <v>1907065</v>
      </c>
      <c r="G336" s="1">
        <v>5721</v>
      </c>
      <c r="H336" s="4">
        <f t="shared" si="4"/>
        <v>57211.95</v>
      </c>
      <c r="I336" s="4">
        <v>4577</v>
      </c>
      <c r="J336" s="4">
        <v>70561</v>
      </c>
      <c r="K336" s="4">
        <v>38141</v>
      </c>
    </row>
    <row r="337" spans="1:13" ht="12.75" customHeight="1" x14ac:dyDescent="0.2">
      <c r="A337" s="3" t="s">
        <v>455</v>
      </c>
      <c r="B337" s="24">
        <v>90</v>
      </c>
      <c r="C337" s="20" t="s">
        <v>456</v>
      </c>
      <c r="D337" s="5">
        <v>28776</v>
      </c>
      <c r="E337" s="5" t="s">
        <v>795</v>
      </c>
      <c r="F337" s="11">
        <v>2709868.5</v>
      </c>
      <c r="G337" s="1">
        <v>8130</v>
      </c>
      <c r="H337" s="4">
        <f t="shared" si="4"/>
        <v>81296.054999999993</v>
      </c>
      <c r="I337" s="4">
        <v>6504</v>
      </c>
      <c r="J337" s="4">
        <v>100265</v>
      </c>
      <c r="K337" s="4">
        <v>54197</v>
      </c>
      <c r="M337" s="5"/>
    </row>
    <row r="338" spans="1:13" ht="12.75" customHeight="1" x14ac:dyDescent="0.2">
      <c r="A338" s="3" t="s">
        <v>308</v>
      </c>
      <c r="B338" s="24">
        <v>218</v>
      </c>
      <c r="C338" s="20" t="s">
        <v>309</v>
      </c>
      <c r="D338" s="5">
        <v>29431</v>
      </c>
      <c r="E338" s="5" t="s">
        <v>795</v>
      </c>
      <c r="F338" s="11">
        <v>1601235</v>
      </c>
      <c r="G338" s="1">
        <v>4804</v>
      </c>
      <c r="H338" s="4">
        <f t="shared" si="4"/>
        <v>48037.049999999996</v>
      </c>
      <c r="I338" s="4">
        <v>3843</v>
      </c>
      <c r="J338" s="4">
        <v>59246</v>
      </c>
      <c r="K338" s="4">
        <v>32025</v>
      </c>
      <c r="M338" s="5"/>
    </row>
    <row r="339" spans="1:13" ht="12.75" customHeight="1" x14ac:dyDescent="0.2">
      <c r="A339" s="3" t="s">
        <v>373</v>
      </c>
      <c r="B339" s="24">
        <v>296</v>
      </c>
      <c r="C339" s="20" t="s">
        <v>374</v>
      </c>
      <c r="D339" s="5">
        <v>29603</v>
      </c>
      <c r="E339" s="5" t="s">
        <v>795</v>
      </c>
      <c r="F339" s="11">
        <v>1540069</v>
      </c>
      <c r="G339" s="1">
        <v>4620</v>
      </c>
      <c r="H339" s="4">
        <f t="shared" si="4"/>
        <v>46202.07</v>
      </c>
      <c r="I339" s="4">
        <v>3696</v>
      </c>
      <c r="J339" s="4">
        <v>56983</v>
      </c>
      <c r="K339" s="4">
        <v>30801</v>
      </c>
    </row>
    <row r="340" spans="1:13" ht="12.75" customHeight="1" x14ac:dyDescent="0.2">
      <c r="A340" s="3" t="s">
        <v>685</v>
      </c>
      <c r="B340" s="24">
        <v>297</v>
      </c>
      <c r="C340" s="20" t="s">
        <v>686</v>
      </c>
      <c r="D340" s="5">
        <v>29530</v>
      </c>
      <c r="E340" s="5" t="s">
        <v>795</v>
      </c>
      <c r="F340" s="11">
        <v>1601235</v>
      </c>
      <c r="G340" s="1">
        <v>4804</v>
      </c>
      <c r="H340" s="4">
        <f t="shared" si="4"/>
        <v>48037.049999999996</v>
      </c>
      <c r="I340" s="4">
        <v>3843</v>
      </c>
      <c r="J340" s="4">
        <v>59246</v>
      </c>
      <c r="K340" s="4">
        <v>32025</v>
      </c>
    </row>
    <row r="341" spans="1:13" ht="12.75" customHeight="1" x14ac:dyDescent="0.2">
      <c r="A341" s="3" t="s">
        <v>354</v>
      </c>
      <c r="B341" s="24">
        <v>404</v>
      </c>
      <c r="C341" s="20" t="s">
        <v>355</v>
      </c>
      <c r="D341" s="5">
        <v>32791</v>
      </c>
      <c r="E341" s="5" t="s">
        <v>795</v>
      </c>
      <c r="F341" s="11">
        <v>1315069</v>
      </c>
      <c r="G341" s="1">
        <v>4620</v>
      </c>
      <c r="H341" s="4">
        <f t="shared" si="4"/>
        <v>39452.07</v>
      </c>
      <c r="I341" s="4">
        <v>3696</v>
      </c>
      <c r="J341" s="4">
        <v>56983</v>
      </c>
      <c r="K341" s="4">
        <v>30801</v>
      </c>
      <c r="M341" s="5"/>
    </row>
    <row r="342" spans="1:13" ht="12.75" customHeight="1" x14ac:dyDescent="0.2">
      <c r="A342" s="3" t="s">
        <v>260</v>
      </c>
      <c r="B342" s="24">
        <v>674</v>
      </c>
      <c r="C342" s="20" t="s">
        <v>261</v>
      </c>
      <c r="D342" s="5">
        <v>30366</v>
      </c>
      <c r="E342" s="5" t="s">
        <v>795</v>
      </c>
      <c r="F342" s="11">
        <v>1540069</v>
      </c>
      <c r="G342" s="1">
        <v>4620</v>
      </c>
      <c r="H342" s="4">
        <f t="shared" si="4"/>
        <v>46202.07</v>
      </c>
      <c r="I342" s="4">
        <v>3696</v>
      </c>
      <c r="J342" s="4">
        <v>56983</v>
      </c>
      <c r="K342" s="4">
        <v>30801</v>
      </c>
    </row>
    <row r="343" spans="1:13" ht="12.75" customHeight="1" x14ac:dyDescent="0.2">
      <c r="A343" s="3" t="s">
        <v>181</v>
      </c>
      <c r="B343" s="24">
        <v>686</v>
      </c>
      <c r="C343" s="20" t="s">
        <v>182</v>
      </c>
      <c r="D343" s="5">
        <v>34021</v>
      </c>
      <c r="E343" s="5" t="s">
        <v>795</v>
      </c>
      <c r="F343" s="11">
        <v>1540069</v>
      </c>
      <c r="G343" s="1">
        <v>4620</v>
      </c>
      <c r="H343" s="4">
        <f t="shared" si="4"/>
        <v>46202.07</v>
      </c>
      <c r="I343" s="4">
        <v>3696</v>
      </c>
      <c r="J343" s="4">
        <v>56983</v>
      </c>
      <c r="K343" s="4">
        <v>30801</v>
      </c>
      <c r="M343" s="5"/>
    </row>
    <row r="344" spans="1:13" ht="12.75" customHeight="1" x14ac:dyDescent="0.2">
      <c r="A344" s="3" t="s">
        <v>427</v>
      </c>
      <c r="B344" s="24">
        <v>786</v>
      </c>
      <c r="C344" s="20" t="s">
        <v>428</v>
      </c>
      <c r="D344" s="5">
        <v>30656</v>
      </c>
      <c r="E344" s="5" t="s">
        <v>795</v>
      </c>
      <c r="F344" s="11">
        <v>1540069</v>
      </c>
      <c r="G344" s="1">
        <v>4620</v>
      </c>
      <c r="H344" s="4">
        <f t="shared" si="4"/>
        <v>46202.07</v>
      </c>
      <c r="I344" s="4">
        <v>3696</v>
      </c>
      <c r="J344" s="4">
        <v>56983</v>
      </c>
      <c r="K344" s="4">
        <v>30801</v>
      </c>
    </row>
    <row r="345" spans="1:13" ht="12.75" customHeight="1" x14ac:dyDescent="0.2">
      <c r="A345" s="3" t="s">
        <v>433</v>
      </c>
      <c r="B345" s="24">
        <v>864</v>
      </c>
      <c r="C345" s="20" t="s">
        <v>434</v>
      </c>
      <c r="D345" s="5">
        <v>31124</v>
      </c>
      <c r="E345" s="5" t="s">
        <v>795</v>
      </c>
      <c r="F345" s="11">
        <v>1540069</v>
      </c>
      <c r="G345" s="1">
        <v>4620</v>
      </c>
      <c r="H345" s="4">
        <f t="shared" si="4"/>
        <v>46202.07</v>
      </c>
      <c r="I345" s="4">
        <v>3696</v>
      </c>
      <c r="J345" s="4">
        <v>56983</v>
      </c>
      <c r="K345" s="4">
        <v>30801</v>
      </c>
      <c r="M345" s="5"/>
    </row>
    <row r="346" spans="1:13" ht="12.75" customHeight="1" x14ac:dyDescent="0.2">
      <c r="A346" s="3" t="s">
        <v>578</v>
      </c>
      <c r="B346" s="24">
        <v>916</v>
      </c>
      <c r="C346" s="20" t="s">
        <v>579</v>
      </c>
      <c r="D346" s="5">
        <v>31135</v>
      </c>
      <c r="E346" s="5" t="s">
        <v>795</v>
      </c>
      <c r="F346" s="11">
        <v>1540069</v>
      </c>
      <c r="G346" s="1">
        <v>4620</v>
      </c>
      <c r="H346" s="4">
        <f t="shared" si="4"/>
        <v>46202.07</v>
      </c>
      <c r="I346" s="4">
        <v>3696</v>
      </c>
      <c r="J346" s="4">
        <v>56983</v>
      </c>
      <c r="K346" s="4">
        <v>30801</v>
      </c>
    </row>
    <row r="347" spans="1:13" ht="12.75" customHeight="1" x14ac:dyDescent="0.2">
      <c r="A347" s="3" t="s">
        <v>519</v>
      </c>
      <c r="B347" s="24">
        <v>1006</v>
      </c>
      <c r="C347" s="20" t="s">
        <v>520</v>
      </c>
      <c r="D347" s="5">
        <v>29250</v>
      </c>
      <c r="E347" s="5" t="s">
        <v>795</v>
      </c>
      <c r="F347" s="11">
        <v>1540069</v>
      </c>
      <c r="G347" s="1">
        <v>4620</v>
      </c>
      <c r="H347" s="4">
        <f t="shared" si="4"/>
        <v>46202.07</v>
      </c>
      <c r="I347" s="4">
        <v>3696</v>
      </c>
      <c r="J347" s="4">
        <v>56983</v>
      </c>
      <c r="K347" s="4">
        <v>30801</v>
      </c>
      <c r="M347" s="5"/>
    </row>
    <row r="348" spans="1:13" ht="12.75" customHeight="1" x14ac:dyDescent="0.2">
      <c r="A348" s="3" t="s">
        <v>338</v>
      </c>
      <c r="B348" s="24">
        <v>1352</v>
      </c>
      <c r="C348" s="21">
        <v>12034863261</v>
      </c>
      <c r="D348" s="5">
        <v>32289</v>
      </c>
      <c r="E348" s="5" t="s">
        <v>795</v>
      </c>
      <c r="F348" s="11">
        <v>1540069</v>
      </c>
      <c r="G348" s="1">
        <v>4620</v>
      </c>
      <c r="H348" s="4">
        <f t="shared" si="4"/>
        <v>46202.07</v>
      </c>
      <c r="I348" s="4">
        <v>3696</v>
      </c>
      <c r="J348" s="4">
        <v>56983</v>
      </c>
      <c r="K348" s="4">
        <v>30801</v>
      </c>
    </row>
    <row r="349" spans="1:13" ht="12.75" customHeight="1" x14ac:dyDescent="0.2">
      <c r="A349" s="3" t="s">
        <v>125</v>
      </c>
      <c r="B349" s="24">
        <v>1672</v>
      </c>
      <c r="C349" s="31" t="s">
        <v>861</v>
      </c>
      <c r="D349" s="5">
        <v>33527</v>
      </c>
      <c r="E349" s="5" t="s">
        <v>795</v>
      </c>
      <c r="F349" s="11">
        <v>1540069</v>
      </c>
      <c r="G349" s="1">
        <v>4620</v>
      </c>
      <c r="H349" s="4">
        <f t="shared" si="4"/>
        <v>46202.07</v>
      </c>
      <c r="I349" s="4">
        <v>3696</v>
      </c>
      <c r="J349" s="4">
        <v>56983</v>
      </c>
      <c r="K349" s="4">
        <v>30801</v>
      </c>
      <c r="M349" s="5"/>
    </row>
    <row r="350" spans="1:13" ht="12.75" customHeight="1" x14ac:dyDescent="0.2">
      <c r="A350" s="3"/>
      <c r="B350" s="24"/>
      <c r="C350" s="31"/>
      <c r="D350" s="5"/>
      <c r="E350" s="5"/>
      <c r="F350" s="11"/>
      <c r="G350" s="37">
        <f>SUM(G336:G349)</f>
        <v>69659</v>
      </c>
      <c r="H350" s="37">
        <f>SUM(H336:H349)</f>
        <v>689852.80499999982</v>
      </c>
      <c r="I350" s="37">
        <f>SUM(I336:I349)</f>
        <v>55727</v>
      </c>
      <c r="J350" s="37">
        <f>SUM(J336:J349)</f>
        <v>859148</v>
      </c>
      <c r="K350" s="37">
        <f>SUM(K336:K349)</f>
        <v>464398</v>
      </c>
      <c r="M350" s="5"/>
    </row>
    <row r="351" spans="1:13" ht="12.75" customHeight="1" x14ac:dyDescent="0.2">
      <c r="A351" s="3" t="s">
        <v>230</v>
      </c>
      <c r="B351" s="24">
        <v>7</v>
      </c>
      <c r="C351" s="20" t="s">
        <v>231</v>
      </c>
      <c r="D351" s="5">
        <v>31374</v>
      </c>
      <c r="E351" s="5" t="s">
        <v>788</v>
      </c>
      <c r="F351" s="11">
        <v>2289352.5</v>
      </c>
      <c r="G351" s="1">
        <v>6868</v>
      </c>
      <c r="H351" s="4">
        <f t="shared" si="4"/>
        <v>68680.574999999997</v>
      </c>
      <c r="I351" s="4">
        <v>5494</v>
      </c>
      <c r="J351" s="4">
        <v>84706</v>
      </c>
      <c r="K351" s="4">
        <v>45787</v>
      </c>
      <c r="M351" s="5"/>
    </row>
    <row r="352" spans="1:13" ht="12.75" customHeight="1" x14ac:dyDescent="0.2">
      <c r="A352" s="3" t="s">
        <v>662</v>
      </c>
      <c r="B352" s="24">
        <v>528</v>
      </c>
      <c r="C352" s="20" t="s">
        <v>663</v>
      </c>
      <c r="D352" s="5">
        <v>30476</v>
      </c>
      <c r="E352" s="5" t="s">
        <v>788</v>
      </c>
      <c r="F352" s="11">
        <v>3344466.5</v>
      </c>
      <c r="G352" s="1">
        <v>10033</v>
      </c>
      <c r="H352" s="4">
        <f t="shared" si="4"/>
        <v>92400</v>
      </c>
      <c r="I352" s="4">
        <v>8027</v>
      </c>
      <c r="J352" s="4">
        <v>123745</v>
      </c>
      <c r="K352" s="4">
        <v>66889</v>
      </c>
      <c r="M352" s="5"/>
    </row>
    <row r="353" spans="1:13" ht="12.75" customHeight="1" x14ac:dyDescent="0.2">
      <c r="A353" s="3" t="s">
        <v>736</v>
      </c>
      <c r="B353" s="24">
        <v>612</v>
      </c>
      <c r="C353" s="20" t="s">
        <v>737</v>
      </c>
      <c r="D353" s="5">
        <v>33113</v>
      </c>
      <c r="E353" s="5" t="s">
        <v>788</v>
      </c>
      <c r="F353" s="11">
        <v>1540069</v>
      </c>
      <c r="G353" s="1">
        <v>4620</v>
      </c>
      <c r="H353" s="4">
        <f t="shared" si="4"/>
        <v>46202.07</v>
      </c>
      <c r="I353" s="4">
        <v>3696</v>
      </c>
      <c r="J353" s="4">
        <v>56983</v>
      </c>
      <c r="K353" s="4">
        <v>30801</v>
      </c>
      <c r="M353" s="5"/>
    </row>
    <row r="354" spans="1:13" ht="12.75" customHeight="1" x14ac:dyDescent="0.2">
      <c r="A354" s="3" t="s">
        <v>258</v>
      </c>
      <c r="B354" s="24">
        <v>902</v>
      </c>
      <c r="C354" s="20" t="s">
        <v>259</v>
      </c>
      <c r="D354" s="5">
        <v>40770</v>
      </c>
      <c r="E354" s="5" t="s">
        <v>788</v>
      </c>
      <c r="F354" s="11">
        <v>1540069</v>
      </c>
      <c r="G354" s="1">
        <v>4620</v>
      </c>
      <c r="H354" s="4">
        <f t="shared" si="4"/>
        <v>46202.07</v>
      </c>
      <c r="I354" s="4">
        <v>3696</v>
      </c>
      <c r="J354" s="4">
        <v>56983</v>
      </c>
      <c r="K354" s="4">
        <v>30801</v>
      </c>
      <c r="M354" s="5"/>
    </row>
    <row r="355" spans="1:13" ht="12.75" customHeight="1" x14ac:dyDescent="0.2">
      <c r="A355" s="3" t="s">
        <v>648</v>
      </c>
      <c r="B355" s="24">
        <v>1203</v>
      </c>
      <c r="C355" s="20" t="s">
        <v>649</v>
      </c>
      <c r="D355" s="5">
        <v>31267</v>
      </c>
      <c r="E355" s="5" t="s">
        <v>788</v>
      </c>
      <c r="F355" s="11">
        <v>1540069</v>
      </c>
      <c r="G355" s="1">
        <v>4620</v>
      </c>
      <c r="H355" s="4">
        <f t="shared" si="4"/>
        <v>46202.07</v>
      </c>
      <c r="I355" s="4">
        <v>3696</v>
      </c>
      <c r="J355" s="4">
        <v>56983</v>
      </c>
      <c r="K355" s="4">
        <v>30801</v>
      </c>
      <c r="M355" s="5"/>
    </row>
    <row r="356" spans="1:13" ht="12.75" customHeight="1" x14ac:dyDescent="0.2">
      <c r="A356" s="3" t="s">
        <v>131</v>
      </c>
      <c r="B356" s="24">
        <v>1324</v>
      </c>
      <c r="C356" s="21">
        <v>12034863188</v>
      </c>
      <c r="D356" s="5">
        <v>33051</v>
      </c>
      <c r="E356" s="5" t="s">
        <v>788</v>
      </c>
      <c r="F356" s="11">
        <v>1540069</v>
      </c>
      <c r="G356" s="1">
        <v>4620</v>
      </c>
      <c r="H356" s="4">
        <f t="shared" si="4"/>
        <v>46202.07</v>
      </c>
      <c r="I356" s="4">
        <v>3696</v>
      </c>
      <c r="J356" s="4">
        <v>56983</v>
      </c>
      <c r="K356" s="4">
        <v>30801</v>
      </c>
      <c r="M356" s="5"/>
    </row>
    <row r="357" spans="1:13" ht="12.75" customHeight="1" x14ac:dyDescent="0.2">
      <c r="A357" s="3" t="s">
        <v>664</v>
      </c>
      <c r="B357" s="24">
        <v>1680</v>
      </c>
      <c r="C357" s="31" t="s">
        <v>861</v>
      </c>
      <c r="D357" s="5">
        <v>32403</v>
      </c>
      <c r="E357" s="5" t="s">
        <v>788</v>
      </c>
      <c r="F357" s="11">
        <v>1975189.5</v>
      </c>
      <c r="G357" s="1">
        <v>5951</v>
      </c>
      <c r="H357" s="4">
        <f t="shared" si="4"/>
        <v>59255.684999999998</v>
      </c>
      <c r="I357" s="4">
        <v>4760</v>
      </c>
      <c r="J357" s="4">
        <v>73390</v>
      </c>
      <c r="K357" s="4">
        <v>39670</v>
      </c>
      <c r="M357" s="5"/>
    </row>
    <row r="358" spans="1:13" ht="12.75" customHeight="1" x14ac:dyDescent="0.2">
      <c r="A358" s="3"/>
      <c r="B358" s="24"/>
      <c r="C358" s="31"/>
      <c r="D358" s="5"/>
      <c r="E358" s="5"/>
      <c r="F358" s="11"/>
      <c r="G358" s="37">
        <f>SUM(G351:G357)</f>
        <v>41332</v>
      </c>
      <c r="H358" s="37">
        <f>SUM(H351:H357)</f>
        <v>405144.54000000004</v>
      </c>
      <c r="I358" s="37">
        <f>SUM(I351:I357)</f>
        <v>33065</v>
      </c>
      <c r="J358" s="37">
        <f>SUM(J351:J357)</f>
        <v>509773</v>
      </c>
      <c r="K358" s="37">
        <f>SUM(K351:K357)</f>
        <v>275550</v>
      </c>
      <c r="M358" s="5"/>
    </row>
    <row r="359" spans="1:13" ht="12.75" customHeight="1" x14ac:dyDescent="0.2">
      <c r="A359" s="3" t="s">
        <v>244</v>
      </c>
      <c r="B359" s="24">
        <v>833</v>
      </c>
      <c r="C359" s="20" t="s">
        <v>245</v>
      </c>
      <c r="D359" s="5">
        <v>34182</v>
      </c>
      <c r="E359" s="5" t="s">
        <v>836</v>
      </c>
      <c r="F359" s="11">
        <v>1540069</v>
      </c>
      <c r="G359" s="1">
        <v>4620</v>
      </c>
      <c r="H359" s="4">
        <f t="shared" si="4"/>
        <v>46202.07</v>
      </c>
      <c r="I359" s="4">
        <v>3696</v>
      </c>
      <c r="J359" s="4">
        <v>56983</v>
      </c>
      <c r="K359" s="4">
        <v>30801</v>
      </c>
      <c r="M359" s="5"/>
    </row>
    <row r="360" spans="1:13" ht="12.75" customHeight="1" x14ac:dyDescent="0.2">
      <c r="A360" s="3" t="s">
        <v>538</v>
      </c>
      <c r="B360" s="24">
        <v>1114</v>
      </c>
      <c r="C360" s="20" t="s">
        <v>539</v>
      </c>
      <c r="D360" s="5">
        <v>33805</v>
      </c>
      <c r="E360" s="5" t="s">
        <v>836</v>
      </c>
      <c r="F360" s="11">
        <v>1540069</v>
      </c>
      <c r="G360" s="1">
        <v>4620</v>
      </c>
      <c r="H360" s="4">
        <f t="shared" si="4"/>
        <v>46202.07</v>
      </c>
      <c r="I360" s="4">
        <v>3696</v>
      </c>
      <c r="J360" s="4">
        <v>56983</v>
      </c>
      <c r="K360" s="4">
        <v>30801</v>
      </c>
      <c r="M360" s="5"/>
    </row>
    <row r="361" spans="1:13" ht="12.75" customHeight="1" x14ac:dyDescent="0.2">
      <c r="A361" s="3" t="s">
        <v>367</v>
      </c>
      <c r="B361" s="24">
        <v>1345</v>
      </c>
      <c r="C361" s="31" t="s">
        <v>861</v>
      </c>
      <c r="D361" s="5">
        <v>34338</v>
      </c>
      <c r="E361" s="5" t="s">
        <v>836</v>
      </c>
      <c r="F361" s="11">
        <v>1540069</v>
      </c>
      <c r="G361" s="1">
        <v>4620</v>
      </c>
      <c r="H361" s="4">
        <f t="shared" si="4"/>
        <v>46202.07</v>
      </c>
      <c r="I361" s="4">
        <v>3696</v>
      </c>
      <c r="J361" s="4">
        <v>56983</v>
      </c>
      <c r="K361" s="4">
        <v>30801</v>
      </c>
      <c r="M361" s="5"/>
    </row>
    <row r="362" spans="1:13" ht="12.75" customHeight="1" x14ac:dyDescent="0.2">
      <c r="A362" s="3" t="s">
        <v>268</v>
      </c>
      <c r="B362" s="24">
        <v>1359</v>
      </c>
      <c r="C362" s="21">
        <v>12034863238</v>
      </c>
      <c r="D362" s="5">
        <v>30816</v>
      </c>
      <c r="E362" s="5" t="s">
        <v>836</v>
      </c>
      <c r="F362" s="11">
        <v>2189957.5</v>
      </c>
      <c r="G362" s="1">
        <v>6570</v>
      </c>
      <c r="H362" s="4">
        <f t="shared" si="4"/>
        <v>65698.724999999991</v>
      </c>
      <c r="I362" s="4">
        <v>5256</v>
      </c>
      <c r="J362" s="4">
        <v>81028</v>
      </c>
      <c r="K362" s="4">
        <v>43799</v>
      </c>
      <c r="M362" s="5"/>
    </row>
    <row r="363" spans="1:13" ht="12.75" customHeight="1" x14ac:dyDescent="0.2">
      <c r="A363" s="3" t="s">
        <v>498</v>
      </c>
      <c r="B363" s="24">
        <v>1444</v>
      </c>
      <c r="C363" s="21">
        <v>12037894503</v>
      </c>
      <c r="D363" s="5">
        <v>30466</v>
      </c>
      <c r="E363" s="5" t="s">
        <v>836</v>
      </c>
      <c r="F363" s="11">
        <v>1601235</v>
      </c>
      <c r="G363" s="1">
        <v>4804</v>
      </c>
      <c r="H363" s="4">
        <f t="shared" si="4"/>
        <v>48037.049999999996</v>
      </c>
      <c r="I363" s="4">
        <v>3843</v>
      </c>
      <c r="J363" s="4">
        <v>59246</v>
      </c>
      <c r="K363" s="4">
        <v>32025</v>
      </c>
      <c r="M363" s="5"/>
    </row>
    <row r="364" spans="1:13" ht="12.75" customHeight="1" x14ac:dyDescent="0.2">
      <c r="A364" s="3"/>
      <c r="B364" s="24"/>
      <c r="C364" s="21"/>
      <c r="D364" s="5"/>
      <c r="E364" s="5"/>
      <c r="F364" s="11"/>
      <c r="G364" s="37">
        <f>SUM(G359:G363)</f>
        <v>25234</v>
      </c>
      <c r="H364" s="37">
        <f>SUM(H359:H363)</f>
        <v>252341.98499999999</v>
      </c>
      <c r="I364" s="37">
        <f>SUM(I359:I363)</f>
        <v>20187</v>
      </c>
      <c r="J364" s="37">
        <f>SUM(J359:J363)</f>
        <v>311223</v>
      </c>
      <c r="K364" s="37">
        <f>SUM(K359:K363)</f>
        <v>168227</v>
      </c>
      <c r="M364" s="5"/>
    </row>
    <row r="365" spans="1:13" ht="12.75" customHeight="1" x14ac:dyDescent="0.2">
      <c r="A365" s="3" t="s">
        <v>655</v>
      </c>
      <c r="B365" s="24">
        <v>63</v>
      </c>
      <c r="C365" s="20" t="s">
        <v>656</v>
      </c>
      <c r="D365" s="5">
        <v>30554</v>
      </c>
      <c r="E365" s="5" t="s">
        <v>803</v>
      </c>
      <c r="F365" s="11">
        <v>1601235</v>
      </c>
      <c r="G365" s="1">
        <v>4804</v>
      </c>
      <c r="H365" s="4">
        <f t="shared" si="4"/>
        <v>48037.049999999996</v>
      </c>
      <c r="I365" s="4">
        <v>3843</v>
      </c>
      <c r="J365" s="4">
        <v>59246</v>
      </c>
      <c r="K365" s="4">
        <v>32025</v>
      </c>
      <c r="M365" s="5"/>
    </row>
    <row r="366" spans="1:13" ht="12.75" customHeight="1" x14ac:dyDescent="0.2">
      <c r="A366" s="3" t="s">
        <v>748</v>
      </c>
      <c r="B366" s="24">
        <v>80</v>
      </c>
      <c r="C366" s="20" t="s">
        <v>749</v>
      </c>
      <c r="D366" s="5">
        <v>28470</v>
      </c>
      <c r="E366" s="5" t="s">
        <v>803</v>
      </c>
      <c r="F366" s="11">
        <v>1723567</v>
      </c>
      <c r="G366" s="1">
        <v>5171</v>
      </c>
      <c r="H366" s="4">
        <f t="shared" ref="H366:H437" si="5">IF(F366&lt;3080000,F366*3%,IF(F366&gt;=3080000,3080000*3%,0))</f>
        <v>51707.009999999995</v>
      </c>
      <c r="I366" s="4">
        <v>4137</v>
      </c>
      <c r="J366" s="4">
        <v>63772</v>
      </c>
      <c r="K366" s="4">
        <v>34471</v>
      </c>
    </row>
    <row r="367" spans="1:13" ht="12.75" customHeight="1" x14ac:dyDescent="0.2">
      <c r="A367" s="3" t="s">
        <v>212</v>
      </c>
      <c r="B367" s="24">
        <v>111</v>
      </c>
      <c r="C367" s="20" t="s">
        <v>213</v>
      </c>
      <c r="D367" s="5">
        <v>29111</v>
      </c>
      <c r="E367" s="5" t="s">
        <v>803</v>
      </c>
      <c r="F367" s="11">
        <v>2358164.5</v>
      </c>
      <c r="G367" s="1">
        <v>7074</v>
      </c>
      <c r="H367" s="4">
        <f t="shared" si="5"/>
        <v>70744.934999999998</v>
      </c>
      <c r="I367" s="4">
        <v>5660</v>
      </c>
      <c r="J367" s="4">
        <v>87252</v>
      </c>
      <c r="K367" s="4">
        <v>47163</v>
      </c>
      <c r="M367" s="5"/>
    </row>
    <row r="368" spans="1:13" ht="12.75" customHeight="1" x14ac:dyDescent="0.2">
      <c r="A368" s="3" t="s">
        <v>730</v>
      </c>
      <c r="B368" s="24">
        <v>517</v>
      </c>
      <c r="C368" s="20" t="s">
        <v>731</v>
      </c>
      <c r="D368" s="5">
        <v>29023</v>
      </c>
      <c r="E368" s="5" t="s">
        <v>803</v>
      </c>
      <c r="F368" s="11">
        <v>1540069</v>
      </c>
      <c r="G368" s="1">
        <v>4620</v>
      </c>
      <c r="H368" s="4">
        <f t="shared" si="5"/>
        <v>46202.07</v>
      </c>
      <c r="I368" s="4">
        <v>3696</v>
      </c>
      <c r="J368" s="4">
        <v>56983</v>
      </c>
      <c r="K368" s="4">
        <v>30801</v>
      </c>
      <c r="M368" s="5"/>
    </row>
    <row r="369" spans="1:13" ht="12.75" customHeight="1" x14ac:dyDescent="0.2">
      <c r="A369" s="3" t="s">
        <v>246</v>
      </c>
      <c r="B369" s="24">
        <v>745</v>
      </c>
      <c r="C369" s="20" t="s">
        <v>247</v>
      </c>
      <c r="D369" s="5">
        <v>31064</v>
      </c>
      <c r="E369" s="5" t="s">
        <v>803</v>
      </c>
      <c r="F369" s="11">
        <v>1540069</v>
      </c>
      <c r="G369" s="1">
        <v>4620</v>
      </c>
      <c r="H369" s="4">
        <f t="shared" si="5"/>
        <v>46202.07</v>
      </c>
      <c r="I369" s="4">
        <v>3696</v>
      </c>
      <c r="J369" s="4">
        <v>56983</v>
      </c>
      <c r="K369" s="4">
        <v>30801</v>
      </c>
      <c r="M369" s="5"/>
    </row>
    <row r="370" spans="1:13" ht="12.75" customHeight="1" x14ac:dyDescent="0.2">
      <c r="A370" s="3" t="s">
        <v>377</v>
      </c>
      <c r="B370" s="24">
        <v>1099</v>
      </c>
      <c r="C370" s="20" t="s">
        <v>378</v>
      </c>
      <c r="D370" s="5">
        <v>33303</v>
      </c>
      <c r="E370" s="5" t="s">
        <v>803</v>
      </c>
      <c r="F370" s="11">
        <v>1540069</v>
      </c>
      <c r="G370" s="1">
        <v>4620</v>
      </c>
      <c r="H370" s="4">
        <f t="shared" si="5"/>
        <v>46202.07</v>
      </c>
      <c r="I370" s="4">
        <v>3696</v>
      </c>
      <c r="J370" s="4">
        <v>56983</v>
      </c>
      <c r="K370" s="4">
        <v>30801</v>
      </c>
      <c r="M370" s="5"/>
    </row>
    <row r="371" spans="1:13" ht="12.75" customHeight="1" x14ac:dyDescent="0.2">
      <c r="A371" s="3" t="s">
        <v>135</v>
      </c>
      <c r="B371" s="24">
        <v>1161</v>
      </c>
      <c r="C371" s="20" t="s">
        <v>136</v>
      </c>
      <c r="D371" s="5">
        <v>33092</v>
      </c>
      <c r="E371" s="5" t="s">
        <v>803</v>
      </c>
      <c r="F371" s="11">
        <v>1540069</v>
      </c>
      <c r="G371" s="1">
        <v>4620</v>
      </c>
      <c r="H371" s="4">
        <f t="shared" si="5"/>
        <v>46202.07</v>
      </c>
      <c r="I371" s="4">
        <v>3696</v>
      </c>
      <c r="J371" s="4">
        <v>56983</v>
      </c>
      <c r="K371" s="4">
        <v>30801</v>
      </c>
    </row>
    <row r="372" spans="1:13" ht="12.75" customHeight="1" x14ac:dyDescent="0.2">
      <c r="A372" s="3" t="s">
        <v>687</v>
      </c>
      <c r="B372" s="24">
        <v>1162</v>
      </c>
      <c r="C372" s="20" t="s">
        <v>688</v>
      </c>
      <c r="D372" s="5">
        <v>31669</v>
      </c>
      <c r="E372" s="5" t="s">
        <v>803</v>
      </c>
      <c r="F372" s="11">
        <v>1540069</v>
      </c>
      <c r="G372" s="1">
        <v>4620</v>
      </c>
      <c r="H372" s="4">
        <f t="shared" si="5"/>
        <v>46202.07</v>
      </c>
      <c r="I372" s="4">
        <v>3696</v>
      </c>
      <c r="J372" s="4">
        <v>56983</v>
      </c>
      <c r="K372" s="4">
        <v>30801</v>
      </c>
      <c r="M372" s="5"/>
    </row>
    <row r="373" spans="1:13" ht="12.75" customHeight="1" x14ac:dyDescent="0.2">
      <c r="A373" s="3" t="s">
        <v>206</v>
      </c>
      <c r="B373" s="24">
        <v>1171</v>
      </c>
      <c r="C373" s="27">
        <v>12014325562</v>
      </c>
      <c r="D373" s="5">
        <v>33400</v>
      </c>
      <c r="E373" s="5" t="s">
        <v>803</v>
      </c>
      <c r="F373" s="11">
        <v>1531736</v>
      </c>
      <c r="G373" s="1">
        <v>4620</v>
      </c>
      <c r="H373" s="4">
        <f t="shared" si="5"/>
        <v>45952.08</v>
      </c>
      <c r="I373" s="4">
        <v>3696</v>
      </c>
      <c r="J373" s="4">
        <v>56983</v>
      </c>
      <c r="K373" s="4">
        <v>30801</v>
      </c>
      <c r="M373" s="5"/>
    </row>
    <row r="374" spans="1:13" ht="12.75" customHeight="1" x14ac:dyDescent="0.2">
      <c r="A374" s="3" t="s">
        <v>692</v>
      </c>
      <c r="B374" s="24">
        <v>1206</v>
      </c>
      <c r="C374" s="20" t="s">
        <v>693</v>
      </c>
      <c r="D374" s="5">
        <v>31243</v>
      </c>
      <c r="E374" s="5" t="s">
        <v>803</v>
      </c>
      <c r="F374" s="11">
        <v>1540069</v>
      </c>
      <c r="G374" s="1">
        <v>4620</v>
      </c>
      <c r="H374" s="4">
        <f t="shared" si="5"/>
        <v>46202.07</v>
      </c>
      <c r="I374" s="4">
        <v>3696</v>
      </c>
      <c r="J374" s="4">
        <v>56983</v>
      </c>
      <c r="K374" s="4">
        <v>30801</v>
      </c>
      <c r="M374" s="5"/>
    </row>
    <row r="375" spans="1:13" ht="12.75" customHeight="1" x14ac:dyDescent="0.2">
      <c r="A375" s="3"/>
      <c r="B375" s="24"/>
      <c r="C375" s="20"/>
      <c r="D375" s="5"/>
      <c r="E375" s="5"/>
      <c r="F375" s="11"/>
      <c r="G375" s="37">
        <f>SUM(G365:G374)</f>
        <v>49389</v>
      </c>
      <c r="H375" s="37">
        <f>SUM(H365:H374)</f>
        <v>493653.49500000005</v>
      </c>
      <c r="I375" s="37">
        <f>SUM(I365:I374)</f>
        <v>39512</v>
      </c>
      <c r="J375" s="37">
        <f>SUM(J365:J374)</f>
        <v>609151</v>
      </c>
      <c r="K375" s="37">
        <f>SUM(K365:K374)</f>
        <v>329266</v>
      </c>
      <c r="M375" s="5"/>
    </row>
    <row r="376" spans="1:13" ht="12.75" customHeight="1" x14ac:dyDescent="0.2">
      <c r="A376" s="3" t="s">
        <v>457</v>
      </c>
      <c r="B376" s="24">
        <v>260</v>
      </c>
      <c r="C376" s="20" t="s">
        <v>458</v>
      </c>
      <c r="D376" s="5">
        <v>32592</v>
      </c>
      <c r="E376" s="5" t="s">
        <v>816</v>
      </c>
      <c r="F376" s="11">
        <v>1601235</v>
      </c>
      <c r="G376" s="1">
        <v>4804</v>
      </c>
      <c r="H376" s="4">
        <f t="shared" si="5"/>
        <v>48037.049999999996</v>
      </c>
      <c r="I376" s="4">
        <v>3843</v>
      </c>
      <c r="J376" s="4">
        <v>59246</v>
      </c>
      <c r="K376" s="4">
        <v>32025</v>
      </c>
      <c r="M376" s="5"/>
    </row>
    <row r="377" spans="1:13" ht="12.75" customHeight="1" x14ac:dyDescent="0.2">
      <c r="A377" s="3" t="s">
        <v>118</v>
      </c>
      <c r="B377" s="24">
        <v>273</v>
      </c>
      <c r="C377" s="20" t="s">
        <v>119</v>
      </c>
      <c r="D377" s="5">
        <v>32038</v>
      </c>
      <c r="E377" s="5" t="s">
        <v>816</v>
      </c>
      <c r="F377" s="11">
        <v>2595182.5</v>
      </c>
      <c r="G377" s="1">
        <v>7786</v>
      </c>
      <c r="H377" s="4">
        <f t="shared" si="5"/>
        <v>77855.474999999991</v>
      </c>
      <c r="I377" s="4">
        <v>6228</v>
      </c>
      <c r="J377" s="4">
        <v>96022</v>
      </c>
      <c r="K377" s="4">
        <v>51904</v>
      </c>
      <c r="M377" s="5"/>
    </row>
    <row r="378" spans="1:13" ht="12.75" customHeight="1" x14ac:dyDescent="0.2">
      <c r="A378" s="3" t="s">
        <v>185</v>
      </c>
      <c r="B378" s="24">
        <v>493</v>
      </c>
      <c r="C378" s="20" t="s">
        <v>186</v>
      </c>
      <c r="D378" s="5">
        <v>30983</v>
      </c>
      <c r="E378" s="5" t="s">
        <v>816</v>
      </c>
      <c r="F378" s="11">
        <v>1983522.5</v>
      </c>
      <c r="G378" s="1">
        <v>5951</v>
      </c>
      <c r="H378" s="4">
        <f t="shared" si="5"/>
        <v>59505.674999999996</v>
      </c>
      <c r="I378" s="4">
        <v>4760</v>
      </c>
      <c r="J378" s="4">
        <v>73390</v>
      </c>
      <c r="K378" s="4">
        <v>39670</v>
      </c>
      <c r="M378" s="5"/>
    </row>
    <row r="379" spans="1:13" ht="12.75" customHeight="1" x14ac:dyDescent="0.2">
      <c r="A379" s="3" t="s">
        <v>702</v>
      </c>
      <c r="B379" s="24">
        <v>599</v>
      </c>
      <c r="C379" s="20" t="s">
        <v>703</v>
      </c>
      <c r="D379" s="5">
        <v>31654</v>
      </c>
      <c r="E379" s="5" t="s">
        <v>816</v>
      </c>
      <c r="F379" s="11">
        <v>1540069</v>
      </c>
      <c r="G379" s="1">
        <v>4620</v>
      </c>
      <c r="H379" s="4">
        <f t="shared" si="5"/>
        <v>46202.07</v>
      </c>
      <c r="I379" s="4">
        <v>3696</v>
      </c>
      <c r="J379" s="4">
        <v>56983</v>
      </c>
      <c r="K379" s="4">
        <v>30801</v>
      </c>
      <c r="M379" s="5"/>
    </row>
    <row r="380" spans="1:13" ht="12.75" customHeight="1" x14ac:dyDescent="0.2">
      <c r="A380" s="3" t="s">
        <v>300</v>
      </c>
      <c r="B380" s="24">
        <v>617</v>
      </c>
      <c r="C380" s="27">
        <v>11002264338</v>
      </c>
      <c r="D380" s="5">
        <v>32630</v>
      </c>
      <c r="E380" s="5" t="s">
        <v>816</v>
      </c>
      <c r="F380" s="11">
        <v>1540069</v>
      </c>
      <c r="G380" s="1">
        <v>4620</v>
      </c>
      <c r="H380" s="4">
        <f t="shared" si="5"/>
        <v>46202.07</v>
      </c>
      <c r="I380" s="4">
        <v>3696</v>
      </c>
      <c r="J380" s="4">
        <v>56983</v>
      </c>
      <c r="K380" s="4">
        <v>30801</v>
      </c>
      <c r="M380" s="5"/>
    </row>
    <row r="381" spans="1:13" ht="12.75" customHeight="1" x14ac:dyDescent="0.2">
      <c r="A381" s="3" t="s">
        <v>214</v>
      </c>
      <c r="B381" s="24">
        <v>632</v>
      </c>
      <c r="C381" s="20" t="s">
        <v>215</v>
      </c>
      <c r="D381" s="5">
        <v>32409</v>
      </c>
      <c r="E381" s="5" t="s">
        <v>816</v>
      </c>
      <c r="F381" s="11">
        <v>1540069</v>
      </c>
      <c r="G381" s="1">
        <v>4620</v>
      </c>
      <c r="H381" s="4">
        <f t="shared" si="5"/>
        <v>46202.07</v>
      </c>
      <c r="I381" s="4">
        <v>3696</v>
      </c>
      <c r="J381" s="4">
        <v>56983</v>
      </c>
      <c r="K381" s="4">
        <v>30801</v>
      </c>
      <c r="M381" s="5"/>
    </row>
    <row r="382" spans="1:13" ht="12.75" customHeight="1" x14ac:dyDescent="0.2">
      <c r="A382" s="3" t="s">
        <v>559</v>
      </c>
      <c r="B382" s="24">
        <v>865</v>
      </c>
      <c r="C382" s="20" t="s">
        <v>560</v>
      </c>
      <c r="D382" s="5">
        <v>34305</v>
      </c>
      <c r="E382" s="5" t="s">
        <v>816</v>
      </c>
      <c r="F382" s="11">
        <v>1540069</v>
      </c>
      <c r="G382" s="1">
        <v>4620</v>
      </c>
      <c r="H382" s="4">
        <f t="shared" si="5"/>
        <v>46202.07</v>
      </c>
      <c r="I382" s="4">
        <v>3696</v>
      </c>
      <c r="J382" s="4">
        <v>56983</v>
      </c>
      <c r="K382" s="4">
        <v>30801</v>
      </c>
      <c r="M382" s="5"/>
    </row>
    <row r="383" spans="1:13" ht="12.75" customHeight="1" x14ac:dyDescent="0.2">
      <c r="A383" s="3" t="s">
        <v>153</v>
      </c>
      <c r="B383" s="24">
        <v>1060</v>
      </c>
      <c r="C383" s="20" t="s">
        <v>154</v>
      </c>
      <c r="D383" s="5">
        <v>33687</v>
      </c>
      <c r="E383" s="5" t="s">
        <v>816</v>
      </c>
      <c r="F383" s="11">
        <v>1540069</v>
      </c>
      <c r="G383" s="1">
        <v>4620</v>
      </c>
      <c r="H383" s="4">
        <f t="shared" si="5"/>
        <v>46202.07</v>
      </c>
      <c r="I383" s="4">
        <v>3696</v>
      </c>
      <c r="J383" s="4">
        <v>56983</v>
      </c>
      <c r="K383" s="4">
        <v>30801</v>
      </c>
      <c r="M383" s="5"/>
    </row>
    <row r="384" spans="1:13" ht="12.75" customHeight="1" x14ac:dyDescent="0.2">
      <c r="A384" s="3"/>
      <c r="B384" s="24"/>
      <c r="C384" s="20"/>
      <c r="D384" s="5"/>
      <c r="E384" s="5"/>
      <c r="F384" s="11"/>
      <c r="G384" s="37">
        <f>SUM(G376:G383)</f>
        <v>41641</v>
      </c>
      <c r="H384" s="37">
        <f>SUM(H376:H383)</f>
        <v>416408.55</v>
      </c>
      <c r="I384" s="37">
        <f>SUM(I376:I383)</f>
        <v>33311</v>
      </c>
      <c r="J384" s="37">
        <f>SUM(J376:J383)</f>
        <v>513573</v>
      </c>
      <c r="K384" s="37">
        <f>SUM(K376:K383)</f>
        <v>277604</v>
      </c>
      <c r="M384" s="5"/>
    </row>
    <row r="385" spans="1:13" ht="12.75" customHeight="1" x14ac:dyDescent="0.2">
      <c r="A385" s="3" t="s">
        <v>256</v>
      </c>
      <c r="B385" s="24">
        <v>1108</v>
      </c>
      <c r="C385" s="20" t="s">
        <v>257</v>
      </c>
      <c r="D385" s="5">
        <v>33065</v>
      </c>
      <c r="E385" s="5" t="s">
        <v>839</v>
      </c>
      <c r="F385" s="11">
        <v>1540069</v>
      </c>
      <c r="G385" s="1">
        <v>4620</v>
      </c>
      <c r="H385" s="4">
        <f t="shared" si="5"/>
        <v>46202.07</v>
      </c>
      <c r="I385" s="4">
        <v>3696</v>
      </c>
      <c r="J385" s="4">
        <v>56983</v>
      </c>
      <c r="K385" s="4">
        <v>30801</v>
      </c>
      <c r="M385" s="5"/>
    </row>
    <row r="386" spans="1:13" ht="12.75" customHeight="1" x14ac:dyDescent="0.2">
      <c r="A386" s="3" t="s">
        <v>132</v>
      </c>
      <c r="B386" s="24">
        <v>1262</v>
      </c>
      <c r="C386" s="21">
        <v>12034862461</v>
      </c>
      <c r="D386" s="5">
        <v>31834</v>
      </c>
      <c r="E386" s="5" t="s">
        <v>839</v>
      </c>
      <c r="F386" s="11">
        <v>2358164.5</v>
      </c>
      <c r="G386" s="1">
        <v>7074</v>
      </c>
      <c r="H386" s="4">
        <f t="shared" si="5"/>
        <v>70744.934999999998</v>
      </c>
      <c r="I386" s="4">
        <v>5660</v>
      </c>
      <c r="J386" s="4">
        <v>87252</v>
      </c>
      <c r="K386" s="4">
        <v>47163</v>
      </c>
      <c r="M386" s="5"/>
    </row>
    <row r="387" spans="1:13" ht="12.75" customHeight="1" x14ac:dyDescent="0.2">
      <c r="A387" s="3" t="s">
        <v>595</v>
      </c>
      <c r="B387" s="24">
        <v>1347</v>
      </c>
      <c r="C387" s="21">
        <v>12034863501</v>
      </c>
      <c r="D387" s="5">
        <v>33558</v>
      </c>
      <c r="E387" s="5" t="s">
        <v>839</v>
      </c>
      <c r="F387" s="11">
        <v>1540069</v>
      </c>
      <c r="G387" s="1">
        <v>4620</v>
      </c>
      <c r="H387" s="4">
        <f t="shared" si="5"/>
        <v>46202.07</v>
      </c>
      <c r="I387" s="4">
        <v>3696</v>
      </c>
      <c r="J387" s="4">
        <v>56983</v>
      </c>
      <c r="K387" s="4">
        <v>30801</v>
      </c>
    </row>
    <row r="388" spans="1:13" ht="12.75" customHeight="1" x14ac:dyDescent="0.2">
      <c r="A388" s="3" t="s">
        <v>383</v>
      </c>
      <c r="B388" s="24">
        <v>1706</v>
      </c>
      <c r="C388" s="31" t="s">
        <v>861</v>
      </c>
      <c r="D388" s="5">
        <v>30449</v>
      </c>
      <c r="E388" s="5" t="s">
        <v>839</v>
      </c>
      <c r="F388" s="11">
        <v>1498402</v>
      </c>
      <c r="G388" s="1">
        <v>4620</v>
      </c>
      <c r="H388" s="4">
        <f t="shared" si="5"/>
        <v>44952.06</v>
      </c>
      <c r="I388" s="4">
        <v>3696</v>
      </c>
      <c r="J388" s="4">
        <v>56983</v>
      </c>
      <c r="K388" s="4">
        <v>30801</v>
      </c>
      <c r="M388" s="5"/>
    </row>
    <row r="389" spans="1:13" ht="12.75" customHeight="1" x14ac:dyDescent="0.2">
      <c r="A389" s="3" t="s">
        <v>492</v>
      </c>
      <c r="B389" s="24">
        <v>1711</v>
      </c>
      <c r="C389" s="31" t="s">
        <v>861</v>
      </c>
      <c r="D389" s="5">
        <v>32450</v>
      </c>
      <c r="E389" s="5" t="s">
        <v>839</v>
      </c>
      <c r="F389" s="11">
        <v>1456736</v>
      </c>
      <c r="G389" s="1">
        <v>4620</v>
      </c>
      <c r="H389" s="4">
        <f t="shared" si="5"/>
        <v>43702.080000000002</v>
      </c>
      <c r="I389" s="4">
        <v>3696</v>
      </c>
      <c r="J389" s="4">
        <v>56983</v>
      </c>
      <c r="K389" s="4">
        <v>30801</v>
      </c>
      <c r="M389" s="5"/>
    </row>
    <row r="390" spans="1:13" ht="12.75" customHeight="1" x14ac:dyDescent="0.2">
      <c r="A390" s="3"/>
      <c r="B390" s="24"/>
      <c r="C390" s="31"/>
      <c r="D390" s="5"/>
      <c r="E390" s="5"/>
      <c r="F390" s="11"/>
      <c r="G390" s="37">
        <f>SUM(G385:G389)</f>
        <v>25554</v>
      </c>
      <c r="H390" s="37">
        <f>SUM(H385:H389)</f>
        <v>251803.21500000003</v>
      </c>
      <c r="I390" s="37">
        <f>SUM(I385:I389)</f>
        <v>20444</v>
      </c>
      <c r="J390" s="37">
        <f>SUM(J385:J389)</f>
        <v>315184</v>
      </c>
      <c r="K390" s="37">
        <f>SUM(K385:K389)</f>
        <v>170367</v>
      </c>
      <c r="M390" s="5"/>
    </row>
    <row r="391" spans="1:13" ht="12.75" customHeight="1" x14ac:dyDescent="0.2">
      <c r="A391" s="3" t="s">
        <v>422</v>
      </c>
      <c r="B391" s="24">
        <v>25</v>
      </c>
      <c r="C391" s="20" t="s">
        <v>423</v>
      </c>
      <c r="D391" s="5">
        <v>29127</v>
      </c>
      <c r="E391" s="5" t="s">
        <v>794</v>
      </c>
      <c r="F391" s="11">
        <v>1983522.5</v>
      </c>
      <c r="G391" s="1">
        <v>5951</v>
      </c>
      <c r="H391" s="4">
        <f t="shared" si="5"/>
        <v>59505.674999999996</v>
      </c>
      <c r="I391" s="4">
        <v>4760</v>
      </c>
      <c r="J391" s="4">
        <v>73390</v>
      </c>
      <c r="K391" s="4">
        <v>39670</v>
      </c>
      <c r="M391" s="5"/>
    </row>
    <row r="392" spans="1:13" ht="12.75" customHeight="1" x14ac:dyDescent="0.2">
      <c r="A392" s="3" t="s">
        <v>678</v>
      </c>
      <c r="B392" s="24">
        <v>55</v>
      </c>
      <c r="C392" s="20" t="s">
        <v>679</v>
      </c>
      <c r="D392" s="5">
        <v>28284</v>
      </c>
      <c r="E392" s="5" t="s">
        <v>794</v>
      </c>
      <c r="F392" s="11">
        <v>2358164.5</v>
      </c>
      <c r="G392" s="1">
        <v>7074</v>
      </c>
      <c r="H392" s="4">
        <f t="shared" si="5"/>
        <v>70744.934999999998</v>
      </c>
      <c r="I392" s="4">
        <v>5660</v>
      </c>
      <c r="J392" s="4">
        <v>87252</v>
      </c>
      <c r="K392" s="4">
        <v>47163</v>
      </c>
      <c r="M392" s="5"/>
    </row>
    <row r="393" spans="1:13" ht="12.75" customHeight="1" x14ac:dyDescent="0.2">
      <c r="A393" s="3" t="s">
        <v>250</v>
      </c>
      <c r="B393" s="24">
        <v>554</v>
      </c>
      <c r="C393" s="20" t="s">
        <v>251</v>
      </c>
      <c r="D393" s="5">
        <v>30369</v>
      </c>
      <c r="E393" s="5" t="s">
        <v>794</v>
      </c>
      <c r="F393" s="11">
        <v>1540069</v>
      </c>
      <c r="G393" s="1">
        <v>4620</v>
      </c>
      <c r="H393" s="4">
        <f t="shared" si="5"/>
        <v>46202.07</v>
      </c>
      <c r="I393" s="4">
        <v>3696</v>
      </c>
      <c r="J393" s="4">
        <v>56983</v>
      </c>
      <c r="K393" s="4">
        <v>30801</v>
      </c>
      <c r="M393" s="5"/>
    </row>
    <row r="394" spans="1:13" ht="12.75" customHeight="1" x14ac:dyDescent="0.2">
      <c r="A394" s="3" t="s">
        <v>589</v>
      </c>
      <c r="B394" s="24">
        <v>590</v>
      </c>
      <c r="C394" s="20" t="s">
        <v>590</v>
      </c>
      <c r="D394" s="5">
        <v>30804</v>
      </c>
      <c r="E394" s="5" t="s">
        <v>794</v>
      </c>
      <c r="F394" s="11">
        <v>1540069</v>
      </c>
      <c r="G394" s="1">
        <v>4620</v>
      </c>
      <c r="H394" s="4">
        <f t="shared" si="5"/>
        <v>46202.07</v>
      </c>
      <c r="I394" s="4">
        <v>3696</v>
      </c>
      <c r="J394" s="4">
        <v>56983</v>
      </c>
      <c r="K394" s="4">
        <v>30801</v>
      </c>
    </row>
    <row r="395" spans="1:13" ht="12.75" customHeight="1" x14ac:dyDescent="0.2">
      <c r="A395" s="3" t="s">
        <v>605</v>
      </c>
      <c r="B395" s="24">
        <v>673</v>
      </c>
      <c r="C395" s="20" t="s">
        <v>606</v>
      </c>
      <c r="D395" s="5">
        <v>30004</v>
      </c>
      <c r="E395" s="5" t="s">
        <v>794</v>
      </c>
      <c r="F395" s="11">
        <v>1540069</v>
      </c>
      <c r="G395" s="1">
        <v>4620</v>
      </c>
      <c r="H395" s="4">
        <f t="shared" si="5"/>
        <v>46202.07</v>
      </c>
      <c r="I395" s="4">
        <v>3696</v>
      </c>
      <c r="J395" s="4">
        <v>56983</v>
      </c>
      <c r="K395" s="4">
        <v>30801</v>
      </c>
      <c r="M395" s="5"/>
    </row>
    <row r="396" spans="1:13" ht="12.75" customHeight="1" x14ac:dyDescent="0.2">
      <c r="A396" s="3" t="s">
        <v>732</v>
      </c>
      <c r="B396" s="24">
        <v>918</v>
      </c>
      <c r="C396" s="20" t="s">
        <v>733</v>
      </c>
      <c r="D396" s="5">
        <v>30008</v>
      </c>
      <c r="E396" s="5" t="s">
        <v>794</v>
      </c>
      <c r="F396" s="11">
        <v>1540069</v>
      </c>
      <c r="G396" s="1">
        <v>4620</v>
      </c>
      <c r="H396" s="4">
        <f t="shared" si="5"/>
        <v>46202.07</v>
      </c>
      <c r="I396" s="4">
        <v>3696</v>
      </c>
      <c r="J396" s="4">
        <v>56983</v>
      </c>
      <c r="K396" s="4">
        <v>30801</v>
      </c>
      <c r="M396" s="5"/>
    </row>
    <row r="397" spans="1:13" ht="12.75" customHeight="1" x14ac:dyDescent="0.2">
      <c r="A397" s="3" t="s">
        <v>747</v>
      </c>
      <c r="B397" s="24">
        <v>1184</v>
      </c>
      <c r="C397" s="27">
        <v>12026525803</v>
      </c>
      <c r="D397" s="5">
        <v>33083</v>
      </c>
      <c r="E397" s="5" t="s">
        <v>794</v>
      </c>
      <c r="F397" s="11">
        <v>1540069</v>
      </c>
      <c r="G397" s="1">
        <v>4620</v>
      </c>
      <c r="H397" s="4">
        <f t="shared" si="5"/>
        <v>46202.07</v>
      </c>
      <c r="I397" s="4">
        <v>3696</v>
      </c>
      <c r="J397" s="4">
        <v>56983</v>
      </c>
      <c r="K397" s="4">
        <v>30801</v>
      </c>
      <c r="M397" s="5"/>
    </row>
    <row r="398" spans="1:13" ht="12.75" customHeight="1" x14ac:dyDescent="0.2">
      <c r="A398" s="3" t="s">
        <v>225</v>
      </c>
      <c r="B398" s="24">
        <v>1214</v>
      </c>
      <c r="C398" s="27">
        <v>12026525662</v>
      </c>
      <c r="D398" s="5">
        <v>30593</v>
      </c>
      <c r="E398" s="5" t="s">
        <v>794</v>
      </c>
      <c r="F398" s="11">
        <v>1540069</v>
      </c>
      <c r="G398" s="1">
        <v>4620</v>
      </c>
      <c r="H398" s="4">
        <f t="shared" si="5"/>
        <v>46202.07</v>
      </c>
      <c r="I398" s="4">
        <v>3696</v>
      </c>
      <c r="J398" s="4">
        <v>56983</v>
      </c>
      <c r="K398" s="4">
        <v>30801</v>
      </c>
      <c r="M398" s="5"/>
    </row>
    <row r="399" spans="1:13" ht="12.75" customHeight="1" x14ac:dyDescent="0.2">
      <c r="A399" s="3" t="s">
        <v>580</v>
      </c>
      <c r="B399" s="24">
        <v>1217</v>
      </c>
      <c r="C399" s="27">
        <v>12034862537</v>
      </c>
      <c r="D399" s="5">
        <v>32144</v>
      </c>
      <c r="E399" s="5" t="s">
        <v>794</v>
      </c>
      <c r="F399" s="11">
        <v>1540069</v>
      </c>
      <c r="G399" s="1">
        <v>4620</v>
      </c>
      <c r="H399" s="4">
        <f t="shared" si="5"/>
        <v>46202.07</v>
      </c>
      <c r="I399" s="4">
        <v>3696</v>
      </c>
      <c r="J399" s="4">
        <v>56983</v>
      </c>
      <c r="K399" s="4">
        <v>30801</v>
      </c>
    </row>
    <row r="400" spans="1:13" ht="12.75" customHeight="1" x14ac:dyDescent="0.2">
      <c r="A400" s="3" t="s">
        <v>694</v>
      </c>
      <c r="B400" s="24">
        <v>1413</v>
      </c>
      <c r="C400" s="21">
        <v>12037894529</v>
      </c>
      <c r="D400" s="5">
        <v>31980</v>
      </c>
      <c r="E400" s="5" t="s">
        <v>794</v>
      </c>
      <c r="F400" s="11">
        <v>1423402</v>
      </c>
      <c r="G400" s="1">
        <v>4620</v>
      </c>
      <c r="H400" s="4">
        <f t="shared" si="5"/>
        <v>42702.06</v>
      </c>
      <c r="I400" s="4">
        <v>3696</v>
      </c>
      <c r="J400" s="4">
        <v>56983</v>
      </c>
      <c r="K400" s="4">
        <v>30801</v>
      </c>
      <c r="M400" s="5"/>
    </row>
    <row r="401" spans="1:13" ht="12.75" customHeight="1" x14ac:dyDescent="0.2">
      <c r="A401" s="3" t="s">
        <v>395</v>
      </c>
      <c r="B401" s="24">
        <v>1440</v>
      </c>
      <c r="C401" s="21">
        <v>12037894511</v>
      </c>
      <c r="D401" s="5">
        <v>29730</v>
      </c>
      <c r="E401" s="5" t="s">
        <v>794</v>
      </c>
      <c r="F401" s="11">
        <v>1331736</v>
      </c>
      <c r="G401" s="1">
        <v>4620</v>
      </c>
      <c r="H401" s="4">
        <f t="shared" si="5"/>
        <v>39952.080000000002</v>
      </c>
      <c r="I401" s="4">
        <v>3696</v>
      </c>
      <c r="J401" s="4">
        <v>56983</v>
      </c>
      <c r="K401" s="4">
        <v>30801</v>
      </c>
      <c r="M401" s="5"/>
    </row>
    <row r="402" spans="1:13" ht="12.75" customHeight="1" x14ac:dyDescent="0.2">
      <c r="A402" s="3" t="s">
        <v>286</v>
      </c>
      <c r="B402" s="24">
        <v>1461</v>
      </c>
      <c r="C402" s="21">
        <v>12037894768</v>
      </c>
      <c r="D402" s="5">
        <v>34592</v>
      </c>
      <c r="E402" s="5" t="s">
        <v>794</v>
      </c>
      <c r="F402" s="11">
        <v>1540069</v>
      </c>
      <c r="G402" s="1">
        <v>4620</v>
      </c>
      <c r="H402" s="4">
        <f t="shared" si="5"/>
        <v>46202.07</v>
      </c>
      <c r="I402" s="4">
        <v>3696</v>
      </c>
      <c r="J402" s="4">
        <v>56983</v>
      </c>
      <c r="K402" s="4">
        <v>30801</v>
      </c>
      <c r="M402" s="5"/>
    </row>
    <row r="403" spans="1:13" ht="12.75" customHeight="1" x14ac:dyDescent="0.2">
      <c r="A403" s="3" t="s">
        <v>192</v>
      </c>
      <c r="B403" s="24">
        <v>1684</v>
      </c>
      <c r="C403" s="31" t="s">
        <v>861</v>
      </c>
      <c r="D403" s="5">
        <v>32547</v>
      </c>
      <c r="E403" s="5" t="s">
        <v>794</v>
      </c>
      <c r="F403" s="11">
        <v>1523402</v>
      </c>
      <c r="G403" s="1">
        <v>4620</v>
      </c>
      <c r="H403" s="4">
        <f t="shared" si="5"/>
        <v>45702.06</v>
      </c>
      <c r="I403" s="4">
        <v>3696</v>
      </c>
      <c r="J403" s="4">
        <v>56983</v>
      </c>
      <c r="K403" s="4">
        <v>30801</v>
      </c>
      <c r="M403" s="5"/>
    </row>
    <row r="404" spans="1:13" ht="12.75" customHeight="1" x14ac:dyDescent="0.2">
      <c r="A404" s="3" t="s">
        <v>307</v>
      </c>
      <c r="B404" s="24">
        <v>1727</v>
      </c>
      <c r="C404" s="31" t="s">
        <v>861</v>
      </c>
      <c r="D404" s="5">
        <v>30509</v>
      </c>
      <c r="E404" s="5" t="s">
        <v>794</v>
      </c>
      <c r="F404" s="11">
        <v>1381736</v>
      </c>
      <c r="G404" s="1">
        <v>4620</v>
      </c>
      <c r="H404" s="4">
        <f t="shared" si="5"/>
        <v>41452.080000000002</v>
      </c>
      <c r="I404" s="4">
        <v>3696</v>
      </c>
      <c r="J404" s="4">
        <v>56983</v>
      </c>
      <c r="K404" s="4">
        <v>30801</v>
      </c>
      <c r="M404" s="5"/>
    </row>
    <row r="405" spans="1:13" ht="12.75" customHeight="1" x14ac:dyDescent="0.2">
      <c r="A405" s="3"/>
      <c r="B405" s="24"/>
      <c r="C405" s="31"/>
      <c r="D405" s="5"/>
      <c r="E405" s="5"/>
      <c r="F405" s="11"/>
      <c r="G405" s="37">
        <f>SUM(G391:G404)</f>
        <v>68465</v>
      </c>
      <c r="H405" s="37">
        <f>SUM(H391:H404)</f>
        <v>669675.44999999984</v>
      </c>
      <c r="I405" s="37">
        <f>SUM(I391:I404)</f>
        <v>54772</v>
      </c>
      <c r="J405" s="37">
        <f>SUM(J391:J404)</f>
        <v>844438</v>
      </c>
      <c r="K405" s="37">
        <f>SUM(K391:K404)</f>
        <v>456445</v>
      </c>
      <c r="M405" s="5"/>
    </row>
    <row r="406" spans="1:13" ht="12.75" customHeight="1" x14ac:dyDescent="0.2">
      <c r="A406" s="3" t="s">
        <v>16</v>
      </c>
      <c r="B406" s="24">
        <v>848</v>
      </c>
      <c r="C406" s="27">
        <v>12037894636</v>
      </c>
      <c r="D406" s="5">
        <v>28691</v>
      </c>
      <c r="E406" s="5" t="s">
        <v>837</v>
      </c>
      <c r="F406" s="11">
        <v>1620000</v>
      </c>
      <c r="G406" s="1">
        <v>4860</v>
      </c>
      <c r="H406" s="4">
        <f t="shared" si="5"/>
        <v>48600</v>
      </c>
      <c r="I406" s="4">
        <v>3888</v>
      </c>
      <c r="J406" s="4">
        <v>59940</v>
      </c>
      <c r="K406" s="4">
        <v>32400</v>
      </c>
      <c r="M406" s="5"/>
    </row>
    <row r="407" spans="1:13" ht="12.75" customHeight="1" x14ac:dyDescent="0.2">
      <c r="A407" s="3" t="s">
        <v>55</v>
      </c>
      <c r="B407" s="24">
        <v>1328</v>
      </c>
      <c r="C407" s="21">
        <v>12034863303</v>
      </c>
      <c r="D407" s="5">
        <v>30192</v>
      </c>
      <c r="E407" s="5" t="s">
        <v>837</v>
      </c>
      <c r="F407" s="11">
        <v>1620000</v>
      </c>
      <c r="G407" s="1">
        <v>4860</v>
      </c>
      <c r="H407" s="4">
        <f t="shared" si="5"/>
        <v>48600</v>
      </c>
      <c r="I407" s="4">
        <v>3888</v>
      </c>
      <c r="J407" s="4">
        <v>59940</v>
      </c>
      <c r="K407" s="4">
        <v>32400</v>
      </c>
      <c r="M407" s="5"/>
    </row>
    <row r="408" spans="1:13" ht="12.75" customHeight="1" x14ac:dyDescent="0.2">
      <c r="A408" s="3" t="s">
        <v>82</v>
      </c>
      <c r="B408" s="24">
        <v>1488</v>
      </c>
      <c r="C408" s="31" t="s">
        <v>861</v>
      </c>
      <c r="D408" s="5">
        <v>31618</v>
      </c>
      <c r="E408" s="5" t="s">
        <v>837</v>
      </c>
      <c r="F408" s="11">
        <v>1620000</v>
      </c>
      <c r="G408" s="1">
        <v>4860</v>
      </c>
      <c r="H408" s="4">
        <f t="shared" si="5"/>
        <v>48600</v>
      </c>
      <c r="I408" s="4">
        <v>3888</v>
      </c>
      <c r="J408" s="4">
        <v>59940</v>
      </c>
      <c r="K408" s="4">
        <v>32400</v>
      </c>
      <c r="M408" s="5"/>
    </row>
    <row r="409" spans="1:13" ht="12.75" customHeight="1" x14ac:dyDescent="0.2">
      <c r="A409" s="3"/>
      <c r="B409" s="24"/>
      <c r="C409" s="31"/>
      <c r="D409" s="5"/>
      <c r="E409" s="5"/>
      <c r="F409" s="11"/>
      <c r="G409" s="37">
        <f>SUM(G406:G408)</f>
        <v>14580</v>
      </c>
      <c r="H409" s="37">
        <f>SUM(H406:H408)</f>
        <v>145800</v>
      </c>
      <c r="I409" s="37">
        <f>SUM(I406:I408)</f>
        <v>11664</v>
      </c>
      <c r="J409" s="37">
        <f>SUM(J406:J408)</f>
        <v>179820</v>
      </c>
      <c r="K409" s="37">
        <f>SUM(K406:K408)</f>
        <v>97200</v>
      </c>
      <c r="M409" s="5"/>
    </row>
    <row r="410" spans="1:13" ht="12.75" customHeight="1" x14ac:dyDescent="0.2">
      <c r="A410" s="3" t="s">
        <v>220</v>
      </c>
      <c r="B410" s="24">
        <v>623</v>
      </c>
      <c r="C410" s="20" t="s">
        <v>221</v>
      </c>
      <c r="D410" s="5">
        <v>30289</v>
      </c>
      <c r="E410" s="5" t="s">
        <v>831</v>
      </c>
      <c r="F410" s="11">
        <v>1983522.5</v>
      </c>
      <c r="G410" s="1">
        <v>5951</v>
      </c>
      <c r="H410" s="4">
        <f t="shared" si="5"/>
        <v>59505.674999999996</v>
      </c>
      <c r="I410" s="4">
        <v>4760</v>
      </c>
      <c r="J410" s="4">
        <v>73390</v>
      </c>
      <c r="K410" s="4">
        <v>39670</v>
      </c>
      <c r="M410" s="5"/>
    </row>
    <row r="411" spans="1:13" ht="12.75" customHeight="1" x14ac:dyDescent="0.2">
      <c r="A411" s="3" t="s">
        <v>198</v>
      </c>
      <c r="B411" s="24">
        <v>811</v>
      </c>
      <c r="C411" s="20" t="s">
        <v>199</v>
      </c>
      <c r="D411" s="5">
        <v>32706</v>
      </c>
      <c r="E411" s="5" t="s">
        <v>831</v>
      </c>
      <c r="F411" s="11">
        <v>1540069</v>
      </c>
      <c r="G411" s="1">
        <v>4620</v>
      </c>
      <c r="H411" s="4">
        <f t="shared" si="5"/>
        <v>46202.07</v>
      </c>
      <c r="I411" s="4">
        <v>3696</v>
      </c>
      <c r="J411" s="4">
        <v>56983</v>
      </c>
      <c r="K411" s="4">
        <v>30801</v>
      </c>
      <c r="M411" s="5"/>
    </row>
    <row r="412" spans="1:13" ht="12.75" customHeight="1" x14ac:dyDescent="0.2">
      <c r="A412" s="3" t="s">
        <v>144</v>
      </c>
      <c r="B412" s="24">
        <v>1004</v>
      </c>
      <c r="C412" s="20" t="s">
        <v>145</v>
      </c>
      <c r="D412" s="5">
        <v>30790</v>
      </c>
      <c r="E412" s="5" t="s">
        <v>831</v>
      </c>
      <c r="F412" s="11">
        <v>1540069</v>
      </c>
      <c r="G412" s="1">
        <v>4620</v>
      </c>
      <c r="H412" s="4">
        <f t="shared" si="5"/>
        <v>46202.07</v>
      </c>
      <c r="I412" s="4">
        <v>3696</v>
      </c>
      <c r="J412" s="4">
        <v>56983</v>
      </c>
      <c r="K412" s="4">
        <v>30801</v>
      </c>
    </row>
    <row r="413" spans="1:13" ht="12.75" customHeight="1" x14ac:dyDescent="0.2">
      <c r="A413" s="3" t="s">
        <v>697</v>
      </c>
      <c r="B413" s="24">
        <v>1005</v>
      </c>
      <c r="C413" s="20" t="s">
        <v>698</v>
      </c>
      <c r="D413" s="5">
        <v>32617</v>
      </c>
      <c r="E413" s="5" t="s">
        <v>831</v>
      </c>
      <c r="F413" s="11">
        <v>1540069</v>
      </c>
      <c r="G413" s="1">
        <v>4620</v>
      </c>
      <c r="H413" s="4">
        <f t="shared" si="5"/>
        <v>46202.07</v>
      </c>
      <c r="I413" s="4">
        <v>3696</v>
      </c>
      <c r="J413" s="4">
        <v>56983</v>
      </c>
      <c r="K413" s="4">
        <v>30801</v>
      </c>
    </row>
    <row r="414" spans="1:13" ht="12.75" customHeight="1" x14ac:dyDescent="0.2">
      <c r="A414" s="3" t="s">
        <v>290</v>
      </c>
      <c r="B414" s="24">
        <v>1177</v>
      </c>
      <c r="C414" s="20" t="s">
        <v>291</v>
      </c>
      <c r="D414" s="5">
        <v>34234</v>
      </c>
      <c r="E414" s="5" t="s">
        <v>831</v>
      </c>
      <c r="F414" s="11">
        <v>1540069</v>
      </c>
      <c r="G414" s="1">
        <v>4620</v>
      </c>
      <c r="H414" s="4">
        <f t="shared" si="5"/>
        <v>46202.07</v>
      </c>
      <c r="I414" s="4">
        <v>3696</v>
      </c>
      <c r="J414" s="4">
        <v>56983</v>
      </c>
      <c r="K414" s="4">
        <v>30801</v>
      </c>
    </row>
    <row r="415" spans="1:13" ht="12.75" customHeight="1" x14ac:dyDescent="0.2">
      <c r="A415" s="3" t="s">
        <v>157</v>
      </c>
      <c r="B415" s="24">
        <v>1491</v>
      </c>
      <c r="C415" s="31" t="s">
        <v>861</v>
      </c>
      <c r="D415" s="5">
        <v>30312</v>
      </c>
      <c r="E415" s="5" t="s">
        <v>831</v>
      </c>
      <c r="F415" s="11">
        <v>1983522.5</v>
      </c>
      <c r="G415" s="1">
        <v>5951</v>
      </c>
      <c r="H415" s="4">
        <f t="shared" si="5"/>
        <v>59505.674999999996</v>
      </c>
      <c r="I415" s="4">
        <v>4760</v>
      </c>
      <c r="J415" s="4">
        <v>73390</v>
      </c>
      <c r="K415" s="4">
        <v>39670</v>
      </c>
      <c r="M415" s="5"/>
    </row>
    <row r="416" spans="1:13" ht="12.75" customHeight="1" x14ac:dyDescent="0.2">
      <c r="A416" s="3" t="s">
        <v>639</v>
      </c>
      <c r="B416" s="24">
        <v>1739</v>
      </c>
      <c r="C416" s="31" t="s">
        <v>861</v>
      </c>
      <c r="D416" s="5">
        <v>32997</v>
      </c>
      <c r="E416" s="5" t="s">
        <v>831</v>
      </c>
      <c r="F416" s="11">
        <v>1323402</v>
      </c>
      <c r="G416" s="1">
        <v>4620</v>
      </c>
      <c r="H416" s="4">
        <f t="shared" si="5"/>
        <v>39702.06</v>
      </c>
      <c r="I416" s="4">
        <v>3696</v>
      </c>
      <c r="J416" s="4">
        <v>56983</v>
      </c>
      <c r="K416" s="4">
        <v>30801</v>
      </c>
      <c r="M416" s="5"/>
    </row>
    <row r="417" spans="1:13" ht="12.75" customHeight="1" x14ac:dyDescent="0.2">
      <c r="A417" s="3"/>
      <c r="B417" s="24"/>
      <c r="C417" s="31"/>
      <c r="D417" s="5"/>
      <c r="E417" s="5"/>
      <c r="F417" s="11"/>
      <c r="G417" s="37">
        <f>SUM(G410:G416)</f>
        <v>35002</v>
      </c>
      <c r="H417" s="37">
        <f>SUM(H410:H416)</f>
        <v>343521.69</v>
      </c>
      <c r="I417" s="37">
        <f>SUM(I410:I416)</f>
        <v>28000</v>
      </c>
      <c r="J417" s="37">
        <f>SUM(J410:J416)</f>
        <v>431695</v>
      </c>
      <c r="K417" s="37">
        <f>SUM(K410:K416)</f>
        <v>233345</v>
      </c>
      <c r="M417" s="5"/>
    </row>
    <row r="418" spans="1:13" ht="12.75" customHeight="1" x14ac:dyDescent="0.2">
      <c r="A418" s="3" t="s">
        <v>370</v>
      </c>
      <c r="B418" s="24">
        <v>125</v>
      </c>
      <c r="C418" s="20" t="s">
        <v>371</v>
      </c>
      <c r="D418" s="5">
        <v>30757</v>
      </c>
      <c r="E418" s="5" t="s">
        <v>810</v>
      </c>
      <c r="F418" s="11">
        <v>1983522.5</v>
      </c>
      <c r="G418" s="1">
        <v>5951</v>
      </c>
      <c r="H418" s="4">
        <f t="shared" si="5"/>
        <v>59505.674999999996</v>
      </c>
      <c r="I418" s="4">
        <v>4760</v>
      </c>
      <c r="J418" s="4">
        <v>73390</v>
      </c>
      <c r="K418" s="4">
        <v>39670</v>
      </c>
      <c r="M418" s="5"/>
    </row>
    <row r="419" spans="1:13" ht="12.75" customHeight="1" x14ac:dyDescent="0.2">
      <c r="A419" s="3" t="s">
        <v>650</v>
      </c>
      <c r="B419" s="24">
        <v>1072</v>
      </c>
      <c r="C419" s="20" t="s">
        <v>651</v>
      </c>
      <c r="D419" s="5">
        <v>30229</v>
      </c>
      <c r="E419" s="5" t="s">
        <v>810</v>
      </c>
      <c r="F419" s="11">
        <v>1601235</v>
      </c>
      <c r="G419" s="1">
        <v>4804</v>
      </c>
      <c r="H419" s="4">
        <f t="shared" si="5"/>
        <v>48037.049999999996</v>
      </c>
      <c r="I419" s="4">
        <v>3843</v>
      </c>
      <c r="J419" s="4">
        <v>59246</v>
      </c>
      <c r="K419" s="4">
        <v>32025</v>
      </c>
      <c r="M419" s="5"/>
    </row>
    <row r="420" spans="1:13" ht="12.75" customHeight="1" x14ac:dyDescent="0.2">
      <c r="A420" s="3" t="s">
        <v>600</v>
      </c>
      <c r="B420" s="24">
        <v>1112</v>
      </c>
      <c r="C420" s="20" t="s">
        <v>601</v>
      </c>
      <c r="D420" s="5">
        <v>33011</v>
      </c>
      <c r="E420" s="5" t="s">
        <v>810</v>
      </c>
      <c r="F420" s="11">
        <v>1540069</v>
      </c>
      <c r="G420" s="1">
        <v>4620</v>
      </c>
      <c r="H420" s="4">
        <f t="shared" si="5"/>
        <v>46202.07</v>
      </c>
      <c r="I420" s="4">
        <v>3696</v>
      </c>
      <c r="J420" s="4">
        <v>56983</v>
      </c>
      <c r="K420" s="4">
        <v>30801</v>
      </c>
    </row>
    <row r="421" spans="1:13" ht="12.75" customHeight="1" x14ac:dyDescent="0.2">
      <c r="A421" s="3" t="s">
        <v>674</v>
      </c>
      <c r="B421" s="24">
        <v>1118</v>
      </c>
      <c r="C421" s="20" t="s">
        <v>675</v>
      </c>
      <c r="D421" s="5">
        <v>30605</v>
      </c>
      <c r="E421" s="5" t="s">
        <v>810</v>
      </c>
      <c r="F421" s="11">
        <v>2595182.5</v>
      </c>
      <c r="G421" s="1">
        <v>7786</v>
      </c>
      <c r="H421" s="4">
        <f t="shared" si="5"/>
        <v>77855.474999999991</v>
      </c>
      <c r="I421" s="4">
        <v>6228</v>
      </c>
      <c r="J421" s="4">
        <v>96022</v>
      </c>
      <c r="K421" s="4">
        <v>51904</v>
      </c>
      <c r="M421" s="5"/>
    </row>
    <row r="422" spans="1:13" ht="12.75" customHeight="1" x14ac:dyDescent="0.2">
      <c r="A422" s="3" t="s">
        <v>162</v>
      </c>
      <c r="B422" s="24">
        <v>1130</v>
      </c>
      <c r="C422" s="20" t="s">
        <v>163</v>
      </c>
      <c r="D422" s="5">
        <v>30312</v>
      </c>
      <c r="E422" s="5" t="s">
        <v>810</v>
      </c>
      <c r="F422" s="11">
        <v>1540069</v>
      </c>
      <c r="G422" s="1">
        <v>4620</v>
      </c>
      <c r="H422" s="4">
        <f t="shared" si="5"/>
        <v>46202.07</v>
      </c>
      <c r="I422" s="4">
        <v>3696</v>
      </c>
      <c r="J422" s="4">
        <v>56983</v>
      </c>
      <c r="K422" s="4">
        <v>30801</v>
      </c>
      <c r="M422" s="5"/>
    </row>
    <row r="423" spans="1:13" ht="12.75" customHeight="1" x14ac:dyDescent="0.2">
      <c r="A423" s="3" t="s">
        <v>283</v>
      </c>
      <c r="B423" s="24">
        <v>1142</v>
      </c>
      <c r="C423" s="20" t="s">
        <v>284</v>
      </c>
      <c r="D423" s="5">
        <v>30921</v>
      </c>
      <c r="E423" s="5" t="s">
        <v>810</v>
      </c>
      <c r="F423" s="11">
        <v>1540069</v>
      </c>
      <c r="G423" s="1">
        <v>4620</v>
      </c>
      <c r="H423" s="4">
        <f t="shared" si="5"/>
        <v>46202.07</v>
      </c>
      <c r="I423" s="4">
        <v>3696</v>
      </c>
      <c r="J423" s="4">
        <v>56983</v>
      </c>
      <c r="K423" s="4">
        <v>30801</v>
      </c>
    </row>
    <row r="424" spans="1:13" ht="12.75" customHeight="1" x14ac:dyDescent="0.2">
      <c r="A424" s="3" t="s">
        <v>699</v>
      </c>
      <c r="B424" s="24">
        <v>1145</v>
      </c>
      <c r="C424" s="20" t="s">
        <v>700</v>
      </c>
      <c r="D424" s="5">
        <v>29483</v>
      </c>
      <c r="E424" s="5" t="s">
        <v>810</v>
      </c>
      <c r="F424" s="11">
        <v>1540069</v>
      </c>
      <c r="G424" s="1">
        <v>4620</v>
      </c>
      <c r="H424" s="4">
        <f t="shared" si="5"/>
        <v>46202.07</v>
      </c>
      <c r="I424" s="4">
        <v>3696</v>
      </c>
      <c r="J424" s="4">
        <v>56983</v>
      </c>
      <c r="K424" s="4">
        <v>30801</v>
      </c>
    </row>
    <row r="425" spans="1:13" ht="12.75" customHeight="1" x14ac:dyDescent="0.2">
      <c r="A425" s="3" t="s">
        <v>584</v>
      </c>
      <c r="B425" s="24">
        <v>1165</v>
      </c>
      <c r="C425" s="20" t="s">
        <v>585</v>
      </c>
      <c r="D425" s="5">
        <v>31911</v>
      </c>
      <c r="E425" s="5" t="s">
        <v>810</v>
      </c>
      <c r="F425" s="11">
        <v>1540069</v>
      </c>
      <c r="G425" s="1">
        <v>4620</v>
      </c>
      <c r="H425" s="4">
        <f t="shared" si="5"/>
        <v>46202.07</v>
      </c>
      <c r="I425" s="4">
        <v>3696</v>
      </c>
      <c r="J425" s="4">
        <v>56983</v>
      </c>
      <c r="K425" s="4">
        <v>30801</v>
      </c>
    </row>
    <row r="426" spans="1:13" ht="12.75" customHeight="1" x14ac:dyDescent="0.2">
      <c r="A426" s="3" t="s">
        <v>515</v>
      </c>
      <c r="B426" s="24">
        <v>1170</v>
      </c>
      <c r="C426" s="20" t="s">
        <v>516</v>
      </c>
      <c r="D426" s="5">
        <v>30032</v>
      </c>
      <c r="E426" s="5" t="s">
        <v>810</v>
      </c>
      <c r="F426" s="11">
        <v>1540069</v>
      </c>
      <c r="G426" s="1">
        <v>4620</v>
      </c>
      <c r="H426" s="4">
        <f t="shared" si="5"/>
        <v>46202.07</v>
      </c>
      <c r="I426" s="4">
        <v>3696</v>
      </c>
      <c r="J426" s="4">
        <v>56983</v>
      </c>
      <c r="K426" s="4">
        <v>30801</v>
      </c>
      <c r="M426" s="5"/>
    </row>
    <row r="427" spans="1:13" ht="12.75" customHeight="1" x14ac:dyDescent="0.2">
      <c r="A427" s="3" t="s">
        <v>315</v>
      </c>
      <c r="B427" s="24">
        <v>1173</v>
      </c>
      <c r="C427" s="20" t="s">
        <v>316</v>
      </c>
      <c r="D427" s="5">
        <v>30383</v>
      </c>
      <c r="E427" s="5" t="s">
        <v>810</v>
      </c>
      <c r="F427" s="11">
        <v>1540069</v>
      </c>
      <c r="G427" s="1">
        <v>4620</v>
      </c>
      <c r="H427" s="4">
        <f t="shared" si="5"/>
        <v>46202.07</v>
      </c>
      <c r="I427" s="4">
        <v>3696</v>
      </c>
      <c r="J427" s="4">
        <v>56983</v>
      </c>
      <c r="K427" s="4">
        <v>30801</v>
      </c>
      <c r="M427" s="5"/>
    </row>
    <row r="428" spans="1:13" ht="12.75" customHeight="1" x14ac:dyDescent="0.2">
      <c r="A428" s="3" t="s">
        <v>406</v>
      </c>
      <c r="B428" s="24">
        <v>1181</v>
      </c>
      <c r="C428" s="20" t="s">
        <v>407</v>
      </c>
      <c r="D428" s="5">
        <v>34968</v>
      </c>
      <c r="E428" s="5" t="s">
        <v>810</v>
      </c>
      <c r="F428" s="11">
        <v>1540069</v>
      </c>
      <c r="G428" s="1">
        <v>4620</v>
      </c>
      <c r="H428" s="4">
        <f t="shared" si="5"/>
        <v>46202.07</v>
      </c>
      <c r="I428" s="4">
        <v>3696</v>
      </c>
      <c r="J428" s="4">
        <v>56983</v>
      </c>
      <c r="K428" s="4">
        <v>30801</v>
      </c>
      <c r="M428" s="5"/>
    </row>
    <row r="429" spans="1:13" ht="12.75" customHeight="1" x14ac:dyDescent="0.2">
      <c r="A429" s="3"/>
      <c r="B429" s="24"/>
      <c r="C429" s="20"/>
      <c r="D429" s="5"/>
      <c r="E429" s="5"/>
      <c r="F429" s="11"/>
      <c r="G429" s="37">
        <f>SUM(G418:G428)</f>
        <v>55501</v>
      </c>
      <c r="H429" s="37">
        <f>SUM(H418:H428)</f>
        <v>555014.76</v>
      </c>
      <c r="I429" s="37">
        <f>SUM(I418:I428)</f>
        <v>44399</v>
      </c>
      <c r="J429" s="37">
        <f>SUM(J418:J428)</f>
        <v>684522</v>
      </c>
      <c r="K429" s="37">
        <f>SUM(K418:K428)</f>
        <v>370007</v>
      </c>
      <c r="M429" s="5"/>
    </row>
    <row r="430" spans="1:13" ht="12.75" customHeight="1" x14ac:dyDescent="0.2">
      <c r="A430" s="3" t="s">
        <v>603</v>
      </c>
      <c r="B430" s="24">
        <v>514</v>
      </c>
      <c r="C430" s="20" t="s">
        <v>604</v>
      </c>
      <c r="D430" s="5">
        <v>31660</v>
      </c>
      <c r="E430" s="5" t="s">
        <v>824</v>
      </c>
      <c r="F430" s="11">
        <v>2289352.5</v>
      </c>
      <c r="G430" s="1">
        <v>6868</v>
      </c>
      <c r="H430" s="4">
        <f t="shared" si="5"/>
        <v>68680.574999999997</v>
      </c>
      <c r="I430" s="4">
        <v>5494</v>
      </c>
      <c r="J430" s="4">
        <v>84706</v>
      </c>
      <c r="K430" s="4">
        <v>45787</v>
      </c>
      <c r="M430" s="5"/>
    </row>
    <row r="431" spans="1:13" ht="12.75" customHeight="1" x14ac:dyDescent="0.2">
      <c r="A431" s="3" t="s">
        <v>190</v>
      </c>
      <c r="B431" s="24">
        <v>1047</v>
      </c>
      <c r="C431" s="20" t="s">
        <v>191</v>
      </c>
      <c r="D431" s="5">
        <v>32929</v>
      </c>
      <c r="E431" s="5" t="s">
        <v>824</v>
      </c>
      <c r="F431" s="11">
        <v>1983522.5</v>
      </c>
      <c r="G431" s="1">
        <v>5951</v>
      </c>
      <c r="H431" s="4">
        <f t="shared" si="5"/>
        <v>59505.674999999996</v>
      </c>
      <c r="I431" s="4">
        <v>4760</v>
      </c>
      <c r="J431" s="4">
        <v>73390</v>
      </c>
      <c r="K431" s="4">
        <v>39670</v>
      </c>
      <c r="M431" s="5"/>
    </row>
    <row r="432" spans="1:13" ht="12.75" customHeight="1" x14ac:dyDescent="0.2">
      <c r="A432" s="3" t="s">
        <v>511</v>
      </c>
      <c r="B432" s="24">
        <v>1153</v>
      </c>
      <c r="C432" s="20" t="s">
        <v>512</v>
      </c>
      <c r="D432" s="5">
        <v>33051</v>
      </c>
      <c r="E432" s="5" t="s">
        <v>824</v>
      </c>
      <c r="F432" s="11">
        <v>1540069</v>
      </c>
      <c r="G432" s="1">
        <v>4620</v>
      </c>
      <c r="H432" s="4">
        <f t="shared" si="5"/>
        <v>46202.07</v>
      </c>
      <c r="I432" s="4">
        <v>3696</v>
      </c>
      <c r="J432" s="4">
        <v>56983</v>
      </c>
      <c r="K432" s="4">
        <v>30801</v>
      </c>
    </row>
    <row r="433" spans="1:13" ht="12.75" customHeight="1" x14ac:dyDescent="0.2">
      <c r="A433" s="3" t="s">
        <v>349</v>
      </c>
      <c r="B433" s="24">
        <v>1154</v>
      </c>
      <c r="C433" s="20" t="s">
        <v>350</v>
      </c>
      <c r="D433" s="5">
        <v>33351</v>
      </c>
      <c r="E433" s="5" t="s">
        <v>824</v>
      </c>
      <c r="F433" s="11">
        <v>1540069</v>
      </c>
      <c r="G433" s="1">
        <v>4620</v>
      </c>
      <c r="H433" s="4">
        <f t="shared" si="5"/>
        <v>46202.07</v>
      </c>
      <c r="I433" s="4">
        <v>3696</v>
      </c>
      <c r="J433" s="4">
        <v>56983</v>
      </c>
      <c r="K433" s="4">
        <v>30801</v>
      </c>
      <c r="M433" s="5"/>
    </row>
    <row r="434" spans="1:13" ht="12.75" customHeight="1" x14ac:dyDescent="0.2">
      <c r="A434" s="3" t="s">
        <v>672</v>
      </c>
      <c r="B434" s="24">
        <v>1196</v>
      </c>
      <c r="C434" s="20" t="s">
        <v>673</v>
      </c>
      <c r="D434" s="5">
        <v>31138</v>
      </c>
      <c r="E434" s="5" t="s">
        <v>824</v>
      </c>
      <c r="F434" s="11">
        <v>1540069</v>
      </c>
      <c r="G434" s="1">
        <v>4620</v>
      </c>
      <c r="H434" s="4">
        <f t="shared" si="5"/>
        <v>46202.07</v>
      </c>
      <c r="I434" s="4">
        <v>3696</v>
      </c>
      <c r="J434" s="4">
        <v>56983</v>
      </c>
      <c r="K434" s="4">
        <v>30801</v>
      </c>
      <c r="M434" s="5"/>
    </row>
    <row r="435" spans="1:13" ht="12.75" customHeight="1" x14ac:dyDescent="0.2">
      <c r="A435" s="3" t="s">
        <v>207</v>
      </c>
      <c r="B435" s="24">
        <v>1301</v>
      </c>
      <c r="C435" s="21">
        <v>12034862479</v>
      </c>
      <c r="D435" s="5">
        <v>33493</v>
      </c>
      <c r="E435" s="5" t="s">
        <v>824</v>
      </c>
      <c r="F435" s="11">
        <v>1540069</v>
      </c>
      <c r="G435" s="1">
        <v>4620</v>
      </c>
      <c r="H435" s="4">
        <f t="shared" si="5"/>
        <v>46202.07</v>
      </c>
      <c r="I435" s="4">
        <v>3696</v>
      </c>
      <c r="J435" s="4">
        <v>56983</v>
      </c>
      <c r="K435" s="4">
        <v>30801</v>
      </c>
      <c r="M435" s="5"/>
    </row>
    <row r="436" spans="1:13" ht="12.75" customHeight="1" x14ac:dyDescent="0.2">
      <c r="A436" s="3"/>
      <c r="B436" s="24"/>
      <c r="C436" s="21"/>
      <c r="D436" s="5"/>
      <c r="E436" s="5"/>
      <c r="F436" s="11"/>
      <c r="G436" s="37">
        <f>SUM(G430:G435)</f>
        <v>31299</v>
      </c>
      <c r="H436" s="37">
        <f>SUM(H430:H435)</f>
        <v>312994.53000000003</v>
      </c>
      <c r="I436" s="37">
        <f>SUM(I430:I435)</f>
        <v>25038</v>
      </c>
      <c r="J436" s="37">
        <f>SUM(J430:J435)</f>
        <v>386028</v>
      </c>
      <c r="K436" s="37">
        <f>SUM(K430:K435)</f>
        <v>208661</v>
      </c>
      <c r="M436" s="5"/>
    </row>
    <row r="437" spans="1:13" ht="12.75" customHeight="1" x14ac:dyDescent="0.2">
      <c r="A437" s="3" t="s">
        <v>175</v>
      </c>
      <c r="B437" s="24">
        <v>1573</v>
      </c>
      <c r="C437" s="31" t="s">
        <v>861</v>
      </c>
      <c r="D437" s="5">
        <v>30308</v>
      </c>
      <c r="E437" s="5" t="s">
        <v>845</v>
      </c>
      <c r="F437" s="11">
        <v>1601235</v>
      </c>
      <c r="G437" s="1">
        <v>4804</v>
      </c>
      <c r="H437" s="4">
        <f t="shared" si="5"/>
        <v>48037.049999999996</v>
      </c>
      <c r="I437" s="4">
        <v>3843</v>
      </c>
      <c r="J437" s="4">
        <v>59246</v>
      </c>
      <c r="K437" s="4">
        <v>32025</v>
      </c>
      <c r="M437" s="5"/>
    </row>
    <row r="438" spans="1:13" ht="12.75" customHeight="1" x14ac:dyDescent="0.2">
      <c r="A438" s="3"/>
      <c r="B438" s="24"/>
      <c r="C438" s="31"/>
      <c r="D438" s="5"/>
      <c r="E438" s="5"/>
      <c r="F438" s="11"/>
      <c r="G438" s="37">
        <f>SUM(G437)</f>
        <v>4804</v>
      </c>
      <c r="H438" s="37">
        <f>SUM(H437)</f>
        <v>48037.049999999996</v>
      </c>
      <c r="I438" s="37">
        <f>SUM(I437)</f>
        <v>3843</v>
      </c>
      <c r="J438" s="37">
        <f>SUM(J437)</f>
        <v>59246</v>
      </c>
      <c r="K438" s="37">
        <f>SUM(K437)</f>
        <v>32025</v>
      </c>
      <c r="M438" s="5"/>
    </row>
    <row r="439" spans="1:13" ht="12.75" customHeight="1" x14ac:dyDescent="0.2">
      <c r="A439" s="3" t="s">
        <v>753</v>
      </c>
      <c r="B439" s="24">
        <v>76</v>
      </c>
      <c r="C439" s="20" t="s">
        <v>754</v>
      </c>
      <c r="D439" s="5">
        <v>29973</v>
      </c>
      <c r="E439" s="5" t="s">
        <v>807</v>
      </c>
      <c r="F439" s="11">
        <v>2075271.5</v>
      </c>
      <c r="G439" s="1">
        <v>6226</v>
      </c>
      <c r="H439" s="4">
        <f t="shared" ref="H439:H512" si="6">IF(F439&lt;3080000,F439*3%,IF(F439&gt;=3080000,3080000*3%,0))</f>
        <v>62258.144999999997</v>
      </c>
      <c r="I439" s="4">
        <v>4981</v>
      </c>
      <c r="J439" s="4">
        <v>76785</v>
      </c>
      <c r="K439" s="4">
        <v>41505</v>
      </c>
      <c r="M439" s="5"/>
    </row>
    <row r="440" spans="1:13" ht="12.75" customHeight="1" x14ac:dyDescent="0.2">
      <c r="A440" s="3" t="s">
        <v>248</v>
      </c>
      <c r="B440" s="24">
        <v>418</v>
      </c>
      <c r="C440" s="20" t="s">
        <v>249</v>
      </c>
      <c r="D440" s="5">
        <v>31853</v>
      </c>
      <c r="E440" s="5" t="s">
        <v>807</v>
      </c>
      <c r="F440" s="11">
        <v>1723567</v>
      </c>
      <c r="G440" s="1">
        <v>5171</v>
      </c>
      <c r="H440" s="4">
        <f t="shared" si="6"/>
        <v>51707.009999999995</v>
      </c>
      <c r="I440" s="4">
        <v>4137</v>
      </c>
      <c r="J440" s="4">
        <v>63772</v>
      </c>
      <c r="K440" s="4">
        <v>34471</v>
      </c>
      <c r="M440" s="5"/>
    </row>
    <row r="441" spans="1:13" ht="12.75" customHeight="1" x14ac:dyDescent="0.2">
      <c r="A441" s="3" t="s">
        <v>611</v>
      </c>
      <c r="B441" s="24">
        <v>463</v>
      </c>
      <c r="C441" s="20" t="s">
        <v>612</v>
      </c>
      <c r="D441" s="5">
        <v>32956</v>
      </c>
      <c r="E441" s="5" t="s">
        <v>807</v>
      </c>
      <c r="F441" s="11">
        <v>1540069</v>
      </c>
      <c r="G441" s="1">
        <v>4620</v>
      </c>
      <c r="H441" s="4">
        <f t="shared" si="6"/>
        <v>46202.07</v>
      </c>
      <c r="I441" s="4">
        <v>3696</v>
      </c>
      <c r="J441" s="4">
        <v>56983</v>
      </c>
      <c r="K441" s="4">
        <v>30801</v>
      </c>
      <c r="M441" s="5"/>
    </row>
    <row r="442" spans="1:13" ht="12.75" customHeight="1" x14ac:dyDescent="0.2">
      <c r="A442" s="3" t="s">
        <v>534</v>
      </c>
      <c r="B442" s="24">
        <v>497</v>
      </c>
      <c r="C442" s="20" t="s">
        <v>535</v>
      </c>
      <c r="D442" s="5">
        <v>32216</v>
      </c>
      <c r="E442" s="5" t="s">
        <v>807</v>
      </c>
      <c r="F442" s="11">
        <v>1540069</v>
      </c>
      <c r="G442" s="1">
        <v>4620</v>
      </c>
      <c r="H442" s="4">
        <f t="shared" si="6"/>
        <v>46202.07</v>
      </c>
      <c r="I442" s="4">
        <v>3696</v>
      </c>
      <c r="J442" s="4">
        <v>56983</v>
      </c>
      <c r="K442" s="4">
        <v>30801</v>
      </c>
      <c r="M442" s="5"/>
    </row>
    <row r="443" spans="1:13" ht="12.75" customHeight="1" x14ac:dyDescent="0.2">
      <c r="A443" s="3" t="s">
        <v>403</v>
      </c>
      <c r="B443" s="24">
        <v>732</v>
      </c>
      <c r="C443" s="20" t="s">
        <v>404</v>
      </c>
      <c r="D443" s="5">
        <v>34071</v>
      </c>
      <c r="E443" s="5" t="s">
        <v>807</v>
      </c>
      <c r="F443" s="11">
        <v>1540069</v>
      </c>
      <c r="G443" s="1">
        <v>4620</v>
      </c>
      <c r="H443" s="4">
        <f t="shared" si="6"/>
        <v>46202.07</v>
      </c>
      <c r="I443" s="4">
        <v>3696</v>
      </c>
      <c r="J443" s="4">
        <v>56983</v>
      </c>
      <c r="K443" s="4">
        <v>30801</v>
      </c>
      <c r="M443" s="5"/>
    </row>
    <row r="444" spans="1:13" ht="12.75" customHeight="1" x14ac:dyDescent="0.2">
      <c r="A444" s="3" t="s">
        <v>607</v>
      </c>
      <c r="B444" s="24">
        <v>1123</v>
      </c>
      <c r="C444" s="20" t="s">
        <v>608</v>
      </c>
      <c r="D444" s="5">
        <v>31855</v>
      </c>
      <c r="E444" s="5" t="s">
        <v>807</v>
      </c>
      <c r="F444" s="11">
        <v>1540069</v>
      </c>
      <c r="G444" s="1">
        <v>4620</v>
      </c>
      <c r="H444" s="4">
        <f t="shared" si="6"/>
        <v>46202.07</v>
      </c>
      <c r="I444" s="4">
        <v>3696</v>
      </c>
      <c r="J444" s="4">
        <v>56983</v>
      </c>
      <c r="K444" s="4">
        <v>30801</v>
      </c>
      <c r="M444" s="5"/>
    </row>
    <row r="445" spans="1:13" ht="12.75" customHeight="1" x14ac:dyDescent="0.2">
      <c r="A445" s="3" t="s">
        <v>642</v>
      </c>
      <c r="B445" s="24">
        <v>1124</v>
      </c>
      <c r="C445" s="20" t="s">
        <v>643</v>
      </c>
      <c r="D445" s="5">
        <v>32702</v>
      </c>
      <c r="E445" s="5" t="s">
        <v>807</v>
      </c>
      <c r="F445" s="11">
        <v>1540069</v>
      </c>
      <c r="G445" s="1">
        <v>4620</v>
      </c>
      <c r="H445" s="4">
        <f t="shared" si="6"/>
        <v>46202.07</v>
      </c>
      <c r="I445" s="4">
        <v>3696</v>
      </c>
      <c r="J445" s="4">
        <v>56983</v>
      </c>
      <c r="K445" s="4">
        <v>30801</v>
      </c>
      <c r="M445" s="5"/>
    </row>
    <row r="446" spans="1:13" ht="12.75" customHeight="1" x14ac:dyDescent="0.2">
      <c r="A446" s="3" t="s">
        <v>445</v>
      </c>
      <c r="B446" s="24">
        <v>1131</v>
      </c>
      <c r="C446" s="20" t="s">
        <v>446</v>
      </c>
      <c r="D446" s="5">
        <v>33366</v>
      </c>
      <c r="E446" s="5" t="s">
        <v>807</v>
      </c>
      <c r="F446" s="11">
        <v>1540069</v>
      </c>
      <c r="G446" s="1">
        <v>4620</v>
      </c>
      <c r="H446" s="4">
        <f t="shared" si="6"/>
        <v>46202.07</v>
      </c>
      <c r="I446" s="4">
        <v>3696</v>
      </c>
      <c r="J446" s="4">
        <v>56983</v>
      </c>
      <c r="K446" s="4">
        <v>30801</v>
      </c>
      <c r="M446" s="5"/>
    </row>
    <row r="447" spans="1:13" ht="12.75" customHeight="1" x14ac:dyDescent="0.2">
      <c r="A447" s="3" t="s">
        <v>262</v>
      </c>
      <c r="B447" s="24">
        <v>1231</v>
      </c>
      <c r="C447" s="27">
        <v>12026525670</v>
      </c>
      <c r="D447" s="5">
        <v>31419</v>
      </c>
      <c r="E447" s="5" t="s">
        <v>807</v>
      </c>
      <c r="F447" s="11">
        <v>1540069</v>
      </c>
      <c r="G447" s="1">
        <v>4620</v>
      </c>
      <c r="H447" s="4">
        <f t="shared" si="6"/>
        <v>46202.07</v>
      </c>
      <c r="I447" s="4">
        <v>3696</v>
      </c>
      <c r="J447" s="4">
        <v>56983</v>
      </c>
      <c r="K447" s="4">
        <v>30801</v>
      </c>
      <c r="M447" s="5"/>
    </row>
    <row r="448" spans="1:13" ht="12.75" customHeight="1" x14ac:dyDescent="0.2">
      <c r="A448" s="3"/>
      <c r="B448" s="24"/>
      <c r="C448" s="27"/>
      <c r="D448" s="5"/>
      <c r="E448" s="5"/>
      <c r="F448" s="11"/>
      <c r="G448" s="37">
        <f>SUM(G439:G447)</f>
        <v>43737</v>
      </c>
      <c r="H448" s="37">
        <f>SUM(H439:H447)</f>
        <v>437379.64500000002</v>
      </c>
      <c r="I448" s="37">
        <f>SUM(I439:I447)</f>
        <v>34990</v>
      </c>
      <c r="J448" s="37">
        <f>SUM(J439:J447)</f>
        <v>539438</v>
      </c>
      <c r="K448" s="37">
        <f>SUM(K439:K447)</f>
        <v>291583</v>
      </c>
      <c r="M448" s="5"/>
    </row>
    <row r="449" spans="1:13" ht="12.75" customHeight="1" x14ac:dyDescent="0.2">
      <c r="A449" s="3" t="s">
        <v>653</v>
      </c>
      <c r="B449" s="24">
        <v>113</v>
      </c>
      <c r="C449" s="20" t="s">
        <v>654</v>
      </c>
      <c r="D449" s="5">
        <v>29470</v>
      </c>
      <c r="E449" s="5" t="s">
        <v>808</v>
      </c>
      <c r="F449" s="11">
        <v>1983522.5</v>
      </c>
      <c r="G449" s="1">
        <v>5951</v>
      </c>
      <c r="H449" s="4">
        <f t="shared" si="6"/>
        <v>59505.674999999996</v>
      </c>
      <c r="I449" s="4">
        <v>4760</v>
      </c>
      <c r="J449" s="4">
        <v>73390</v>
      </c>
      <c r="K449" s="4">
        <v>39670</v>
      </c>
    </row>
    <row r="450" spans="1:13" ht="12.75" customHeight="1" x14ac:dyDescent="0.2">
      <c r="A450" s="3" t="s">
        <v>566</v>
      </c>
      <c r="B450" s="24">
        <v>636</v>
      </c>
      <c r="C450" s="20" t="s">
        <v>567</v>
      </c>
      <c r="D450" s="5">
        <v>31347</v>
      </c>
      <c r="E450" s="5" t="s">
        <v>808</v>
      </c>
      <c r="F450" s="11">
        <v>2289352.5</v>
      </c>
      <c r="G450" s="1">
        <v>6868</v>
      </c>
      <c r="H450" s="4">
        <f t="shared" si="6"/>
        <v>68680.574999999997</v>
      </c>
      <c r="I450" s="4">
        <v>5494</v>
      </c>
      <c r="J450" s="4">
        <v>84706</v>
      </c>
      <c r="K450" s="4">
        <v>45787</v>
      </c>
    </row>
    <row r="451" spans="1:13" ht="12.75" customHeight="1" x14ac:dyDescent="0.2">
      <c r="A451" s="3" t="s">
        <v>222</v>
      </c>
      <c r="B451" s="24">
        <v>683</v>
      </c>
      <c r="C451" s="20" t="s">
        <v>223</v>
      </c>
      <c r="D451" s="5">
        <v>29895</v>
      </c>
      <c r="E451" s="5" t="s">
        <v>808</v>
      </c>
      <c r="F451" s="11">
        <v>1540069</v>
      </c>
      <c r="G451" s="1">
        <v>4620</v>
      </c>
      <c r="H451" s="4">
        <f t="shared" si="6"/>
        <v>46202.07</v>
      </c>
      <c r="I451" s="4">
        <v>3696</v>
      </c>
      <c r="J451" s="4">
        <v>56983</v>
      </c>
      <c r="K451" s="4">
        <v>30801</v>
      </c>
    </row>
    <row r="452" spans="1:13" ht="12.75" customHeight="1" x14ac:dyDescent="0.2">
      <c r="A452" s="3" t="s">
        <v>681</v>
      </c>
      <c r="B452" s="24">
        <v>716</v>
      </c>
      <c r="C452" s="20" t="s">
        <v>682</v>
      </c>
      <c r="D452" s="5">
        <v>33516</v>
      </c>
      <c r="E452" s="5" t="s">
        <v>808</v>
      </c>
      <c r="F452" s="11">
        <v>1540069</v>
      </c>
      <c r="G452" s="1">
        <v>4620</v>
      </c>
      <c r="H452" s="4">
        <f t="shared" si="6"/>
        <v>46202.07</v>
      </c>
      <c r="I452" s="4">
        <v>3696</v>
      </c>
      <c r="J452" s="4">
        <v>56983</v>
      </c>
      <c r="K452" s="4">
        <v>30801</v>
      </c>
      <c r="M452" s="5"/>
    </row>
    <row r="453" spans="1:13" ht="12.75" customHeight="1" x14ac:dyDescent="0.2">
      <c r="A453" s="3" t="s">
        <v>122</v>
      </c>
      <c r="B453" s="24">
        <v>830</v>
      </c>
      <c r="C453" s="20" t="s">
        <v>123</v>
      </c>
      <c r="D453" s="5">
        <v>33106</v>
      </c>
      <c r="E453" s="5" t="s">
        <v>808</v>
      </c>
      <c r="F453" s="11">
        <v>1540069</v>
      </c>
      <c r="G453" s="1">
        <v>4620</v>
      </c>
      <c r="H453" s="4">
        <f t="shared" si="6"/>
        <v>46202.07</v>
      </c>
      <c r="I453" s="4">
        <v>3696</v>
      </c>
      <c r="J453" s="4">
        <v>56983</v>
      </c>
      <c r="K453" s="4">
        <v>30801</v>
      </c>
      <c r="M453" s="5"/>
    </row>
    <row r="454" spans="1:13" ht="12.75" customHeight="1" x14ac:dyDescent="0.2">
      <c r="A454" s="3" t="s">
        <v>691</v>
      </c>
      <c r="B454" s="24">
        <v>1261</v>
      </c>
      <c r="C454" s="21">
        <v>12037894800</v>
      </c>
      <c r="D454" s="5">
        <v>33539</v>
      </c>
      <c r="E454" s="5" t="s">
        <v>808</v>
      </c>
      <c r="F454" s="11">
        <v>1540069</v>
      </c>
      <c r="G454" s="1">
        <v>4620</v>
      </c>
      <c r="H454" s="4">
        <f t="shared" si="6"/>
        <v>46202.07</v>
      </c>
      <c r="I454" s="4">
        <v>3696</v>
      </c>
      <c r="J454" s="4">
        <v>56983</v>
      </c>
      <c r="K454" s="4">
        <v>30801</v>
      </c>
      <c r="M454" s="5"/>
    </row>
    <row r="455" spans="1:13" ht="12.75" customHeight="1" x14ac:dyDescent="0.2">
      <c r="A455" s="3" t="s">
        <v>302</v>
      </c>
      <c r="B455" s="24">
        <v>1660</v>
      </c>
      <c r="C455" s="31" t="s">
        <v>861</v>
      </c>
      <c r="D455" s="5">
        <v>31927</v>
      </c>
      <c r="E455" s="5" t="s">
        <v>808</v>
      </c>
      <c r="F455" s="11">
        <v>1540069</v>
      </c>
      <c r="G455" s="1">
        <v>4620</v>
      </c>
      <c r="H455" s="4">
        <f t="shared" si="6"/>
        <v>46202.07</v>
      </c>
      <c r="I455" s="4">
        <v>3696</v>
      </c>
      <c r="J455" s="4">
        <v>56983</v>
      </c>
      <c r="K455" s="4">
        <v>30801</v>
      </c>
      <c r="M455" s="5"/>
    </row>
    <row r="456" spans="1:13" ht="12.75" customHeight="1" x14ac:dyDescent="0.2">
      <c r="A456" s="3"/>
      <c r="B456" s="24"/>
      <c r="C456" s="31"/>
      <c r="D456" s="5"/>
      <c r="E456" s="5"/>
      <c r="F456" s="11"/>
      <c r="G456" s="37">
        <f>SUM(G449:G455)</f>
        <v>35919</v>
      </c>
      <c r="H456" s="37">
        <f>SUM(H449:H455)</f>
        <v>359196.60000000003</v>
      </c>
      <c r="I456" s="37">
        <f>SUM(I449:I455)</f>
        <v>28734</v>
      </c>
      <c r="J456" s="37">
        <f>SUM(J449:J455)</f>
        <v>443011</v>
      </c>
      <c r="K456" s="37">
        <f>SUM(K449:K455)</f>
        <v>239462</v>
      </c>
      <c r="M456" s="5"/>
    </row>
    <row r="457" spans="1:13" ht="12.75" customHeight="1" x14ac:dyDescent="0.2">
      <c r="A457" s="3" t="s">
        <v>275</v>
      </c>
      <c r="B457" s="24">
        <v>54</v>
      </c>
      <c r="C457" s="20" t="s">
        <v>276</v>
      </c>
      <c r="D457" s="5">
        <v>30014</v>
      </c>
      <c r="E457" s="5" t="s">
        <v>800</v>
      </c>
      <c r="F457" s="11">
        <v>2289352.5</v>
      </c>
      <c r="G457" s="1">
        <v>6868</v>
      </c>
      <c r="H457" s="4">
        <f t="shared" si="6"/>
        <v>68680.574999999997</v>
      </c>
      <c r="I457" s="4">
        <v>5494</v>
      </c>
      <c r="J457" s="4">
        <v>84706</v>
      </c>
      <c r="K457" s="4">
        <v>45787</v>
      </c>
      <c r="M457" s="5"/>
    </row>
    <row r="458" spans="1:13" ht="12.75" customHeight="1" x14ac:dyDescent="0.2">
      <c r="A458" s="3" t="s">
        <v>133</v>
      </c>
      <c r="B458" s="24">
        <v>167</v>
      </c>
      <c r="C458" s="20" t="s">
        <v>134</v>
      </c>
      <c r="D458" s="5">
        <v>26763</v>
      </c>
      <c r="E458" s="5" t="s">
        <v>800</v>
      </c>
      <c r="F458" s="11">
        <v>1601235</v>
      </c>
      <c r="G458" s="1">
        <v>4804</v>
      </c>
      <c r="H458" s="4">
        <f t="shared" si="6"/>
        <v>48037.049999999996</v>
      </c>
      <c r="I458" s="4">
        <v>3843</v>
      </c>
      <c r="J458" s="4">
        <v>59246</v>
      </c>
      <c r="K458" s="4">
        <v>32025</v>
      </c>
      <c r="M458" s="5"/>
    </row>
    <row r="459" spans="1:13" ht="12.75" customHeight="1" x14ac:dyDescent="0.2">
      <c r="A459" s="3" t="s">
        <v>298</v>
      </c>
      <c r="B459" s="24">
        <v>311</v>
      </c>
      <c r="C459" s="20" t="s">
        <v>299</v>
      </c>
      <c r="D459" s="5">
        <v>30520</v>
      </c>
      <c r="E459" s="5" t="s">
        <v>800</v>
      </c>
      <c r="F459" s="11">
        <v>1983522.5</v>
      </c>
      <c r="G459" s="1">
        <v>5951</v>
      </c>
      <c r="H459" s="4">
        <f t="shared" si="6"/>
        <v>59505.674999999996</v>
      </c>
      <c r="I459" s="4">
        <v>4760</v>
      </c>
      <c r="J459" s="4">
        <v>73390</v>
      </c>
      <c r="K459" s="4">
        <v>39670</v>
      </c>
      <c r="M459" s="5"/>
    </row>
    <row r="460" spans="1:13" ht="12.75" customHeight="1" x14ac:dyDescent="0.2">
      <c r="A460" s="3" t="s">
        <v>317</v>
      </c>
      <c r="B460" s="24">
        <v>507</v>
      </c>
      <c r="C460" s="20" t="s">
        <v>318</v>
      </c>
      <c r="D460" s="5">
        <v>30469</v>
      </c>
      <c r="E460" s="5" t="s">
        <v>800</v>
      </c>
      <c r="F460" s="11">
        <v>1540069</v>
      </c>
      <c r="G460" s="1">
        <v>4620</v>
      </c>
      <c r="H460" s="4">
        <f t="shared" si="6"/>
        <v>46202.07</v>
      </c>
      <c r="I460" s="4">
        <v>3696</v>
      </c>
      <c r="J460" s="4">
        <v>56983</v>
      </c>
      <c r="K460" s="4">
        <v>30801</v>
      </c>
      <c r="M460" s="5"/>
    </row>
    <row r="461" spans="1:13" ht="12.75" customHeight="1" x14ac:dyDescent="0.2">
      <c r="A461" s="3" t="s">
        <v>555</v>
      </c>
      <c r="B461" s="24">
        <v>677</v>
      </c>
      <c r="C461" s="20" t="s">
        <v>556</v>
      </c>
      <c r="D461" s="5">
        <v>34001</v>
      </c>
      <c r="E461" s="5" t="s">
        <v>800</v>
      </c>
      <c r="F461" s="11">
        <v>1601235</v>
      </c>
      <c r="G461" s="1">
        <v>4804</v>
      </c>
      <c r="H461" s="4">
        <f t="shared" si="6"/>
        <v>48037.049999999996</v>
      </c>
      <c r="I461" s="4">
        <v>3843</v>
      </c>
      <c r="J461" s="4">
        <v>59246</v>
      </c>
      <c r="K461" s="4">
        <v>32025</v>
      </c>
      <c r="M461" s="5"/>
    </row>
    <row r="462" spans="1:13" ht="12.75" customHeight="1" x14ac:dyDescent="0.2">
      <c r="A462" s="3" t="s">
        <v>417</v>
      </c>
      <c r="B462" s="24">
        <v>680</v>
      </c>
      <c r="C462" s="20" t="s">
        <v>418</v>
      </c>
      <c r="D462" s="5">
        <v>29448</v>
      </c>
      <c r="E462" s="5" t="s">
        <v>800</v>
      </c>
      <c r="F462" s="11">
        <v>1540069</v>
      </c>
      <c r="G462" s="1">
        <v>4620</v>
      </c>
      <c r="H462" s="4">
        <f t="shared" si="6"/>
        <v>46202.07</v>
      </c>
      <c r="I462" s="4">
        <v>3696</v>
      </c>
      <c r="J462" s="4">
        <v>56983</v>
      </c>
      <c r="K462" s="4">
        <v>30801</v>
      </c>
    </row>
    <row r="463" spans="1:13" ht="12.75" customHeight="1" x14ac:dyDescent="0.2">
      <c r="A463" s="3" t="s">
        <v>487</v>
      </c>
      <c r="B463" s="24">
        <v>1159</v>
      </c>
      <c r="C463" s="20" t="s">
        <v>488</v>
      </c>
      <c r="D463" s="5">
        <v>30378</v>
      </c>
      <c r="E463" s="5" t="s">
        <v>800</v>
      </c>
      <c r="F463" s="11">
        <v>1540069</v>
      </c>
      <c r="G463" s="1">
        <v>4620</v>
      </c>
      <c r="H463" s="4">
        <f t="shared" si="6"/>
        <v>46202.07</v>
      </c>
      <c r="I463" s="4">
        <v>3696</v>
      </c>
      <c r="J463" s="4">
        <v>56983</v>
      </c>
      <c r="K463" s="4">
        <v>30801</v>
      </c>
      <c r="M463" s="5"/>
    </row>
    <row r="464" spans="1:13" ht="12.75" customHeight="1" x14ac:dyDescent="0.2">
      <c r="A464" s="3" t="s">
        <v>405</v>
      </c>
      <c r="B464" s="24">
        <v>1280</v>
      </c>
      <c r="C464" s="21">
        <v>12034862503</v>
      </c>
      <c r="D464" s="5">
        <v>33716</v>
      </c>
      <c r="E464" s="5" t="s">
        <v>800</v>
      </c>
      <c r="F464" s="11">
        <v>1540069</v>
      </c>
      <c r="G464" s="1">
        <v>4620</v>
      </c>
      <c r="H464" s="4">
        <f t="shared" si="6"/>
        <v>46202.07</v>
      </c>
      <c r="I464" s="4">
        <v>3696</v>
      </c>
      <c r="J464" s="4">
        <v>56983</v>
      </c>
      <c r="K464" s="4">
        <v>30801</v>
      </c>
      <c r="M464" s="5"/>
    </row>
    <row r="465" spans="1:13" ht="12.75" customHeight="1" x14ac:dyDescent="0.2">
      <c r="A465" s="3" t="s">
        <v>385</v>
      </c>
      <c r="B465" s="24">
        <v>1419</v>
      </c>
      <c r="C465" s="21">
        <v>12037894537</v>
      </c>
      <c r="D465" s="5">
        <v>29936</v>
      </c>
      <c r="E465" s="5" t="s">
        <v>800</v>
      </c>
      <c r="F465" s="11">
        <v>1540069</v>
      </c>
      <c r="G465" s="1">
        <v>4620</v>
      </c>
      <c r="H465" s="4">
        <f t="shared" si="6"/>
        <v>46202.07</v>
      </c>
      <c r="I465" s="4">
        <v>3696</v>
      </c>
      <c r="J465" s="4">
        <v>56983</v>
      </c>
      <c r="K465" s="4">
        <v>30801</v>
      </c>
      <c r="M465" s="5"/>
    </row>
    <row r="466" spans="1:13" ht="12.75" customHeight="1" x14ac:dyDescent="0.2">
      <c r="A466" s="3" t="s">
        <v>117</v>
      </c>
      <c r="B466" s="24">
        <v>1682</v>
      </c>
      <c r="C466" s="31" t="s">
        <v>861</v>
      </c>
      <c r="D466" s="5">
        <v>34321</v>
      </c>
      <c r="E466" s="5" t="s">
        <v>800</v>
      </c>
      <c r="F466" s="11">
        <v>1540069</v>
      </c>
      <c r="G466" s="1">
        <v>4620</v>
      </c>
      <c r="H466" s="4">
        <f t="shared" si="6"/>
        <v>46202.07</v>
      </c>
      <c r="I466" s="4">
        <v>3696</v>
      </c>
      <c r="J466" s="4">
        <v>56983</v>
      </c>
      <c r="K466" s="4">
        <v>30801</v>
      </c>
      <c r="M466" s="5"/>
    </row>
    <row r="467" spans="1:13" ht="12.75" customHeight="1" x14ac:dyDescent="0.2">
      <c r="A467" s="3"/>
      <c r="B467" s="24"/>
      <c r="C467" s="31"/>
      <c r="D467" s="5"/>
      <c r="E467" s="5"/>
      <c r="F467" s="11"/>
      <c r="G467" s="37">
        <f>SUM(G457:G466)</f>
        <v>50147</v>
      </c>
      <c r="H467" s="37">
        <f>SUM(H457:H466)</f>
        <v>501472.77</v>
      </c>
      <c r="I467" s="37">
        <f>SUM(I457:I466)</f>
        <v>40116</v>
      </c>
      <c r="J467" s="37">
        <f>SUM(J457:J466)</f>
        <v>618486</v>
      </c>
      <c r="K467" s="37">
        <f>SUM(K457:K466)</f>
        <v>334313</v>
      </c>
      <c r="M467" s="5"/>
    </row>
    <row r="468" spans="1:13" ht="12.75" customHeight="1" x14ac:dyDescent="0.2">
      <c r="A468" s="3" t="s">
        <v>356</v>
      </c>
      <c r="B468" s="24">
        <v>619</v>
      </c>
      <c r="C468" s="20" t="s">
        <v>357</v>
      </c>
      <c r="D468" s="5">
        <v>32057</v>
      </c>
      <c r="E468" s="5" t="s">
        <v>829</v>
      </c>
      <c r="F468" s="11">
        <v>1983522.5</v>
      </c>
      <c r="G468" s="1">
        <v>5951</v>
      </c>
      <c r="H468" s="4">
        <f t="shared" si="6"/>
        <v>59505.674999999996</v>
      </c>
      <c r="I468" s="4">
        <v>4760</v>
      </c>
      <c r="J468" s="4">
        <v>73390</v>
      </c>
      <c r="K468" s="4">
        <v>39670</v>
      </c>
    </row>
    <row r="469" spans="1:13" ht="12.75" customHeight="1" x14ac:dyDescent="0.2">
      <c r="A469" s="3" t="s">
        <v>372</v>
      </c>
      <c r="B469" s="24">
        <v>1479</v>
      </c>
      <c r="C469" s="21">
        <v>12037894685</v>
      </c>
      <c r="D469" s="5">
        <v>31746</v>
      </c>
      <c r="E469" s="5" t="s">
        <v>829</v>
      </c>
      <c r="F469" s="11">
        <v>1723567</v>
      </c>
      <c r="G469" s="1">
        <v>5171</v>
      </c>
      <c r="H469" s="4">
        <f t="shared" si="6"/>
        <v>51707.009999999995</v>
      </c>
      <c r="I469" s="4">
        <v>4137</v>
      </c>
      <c r="J469" s="4">
        <v>63772</v>
      </c>
      <c r="K469" s="4">
        <v>34471</v>
      </c>
      <c r="M469" s="5"/>
    </row>
    <row r="470" spans="1:13" ht="12.75" customHeight="1" x14ac:dyDescent="0.2">
      <c r="A470" s="3" t="s">
        <v>502</v>
      </c>
      <c r="B470" s="24">
        <v>1501</v>
      </c>
      <c r="C470" s="31" t="s">
        <v>861</v>
      </c>
      <c r="D470" s="5">
        <v>33274</v>
      </c>
      <c r="E470" s="5" t="s">
        <v>829</v>
      </c>
      <c r="F470" s="11">
        <v>1540069</v>
      </c>
      <c r="G470" s="1">
        <v>4620</v>
      </c>
      <c r="H470" s="4">
        <f t="shared" si="6"/>
        <v>46202.07</v>
      </c>
      <c r="I470" s="4">
        <v>3696</v>
      </c>
      <c r="J470" s="4">
        <v>56983</v>
      </c>
      <c r="K470" s="4">
        <v>30801</v>
      </c>
      <c r="M470" s="5"/>
    </row>
    <row r="471" spans="1:13" ht="12.75" customHeight="1" x14ac:dyDescent="0.2">
      <c r="A471" s="3" t="s">
        <v>361</v>
      </c>
      <c r="B471" s="24">
        <v>1720</v>
      </c>
      <c r="C471" s="31" t="s">
        <v>861</v>
      </c>
      <c r="D471" s="5">
        <v>32379</v>
      </c>
      <c r="E471" s="5" t="s">
        <v>829</v>
      </c>
      <c r="F471" s="11">
        <v>1473402</v>
      </c>
      <c r="G471" s="1">
        <v>4620</v>
      </c>
      <c r="H471" s="4">
        <f t="shared" si="6"/>
        <v>44202.06</v>
      </c>
      <c r="I471" s="4">
        <v>3696</v>
      </c>
      <c r="J471" s="4">
        <v>56983</v>
      </c>
      <c r="K471" s="4">
        <v>30801</v>
      </c>
    </row>
    <row r="472" spans="1:13" ht="12.75" customHeight="1" x14ac:dyDescent="0.2">
      <c r="A472" s="3"/>
      <c r="B472" s="24"/>
      <c r="C472" s="31"/>
      <c r="D472" s="5"/>
      <c r="E472" s="5"/>
      <c r="F472" s="11"/>
      <c r="G472" s="37">
        <f>SUM(G468:G471)</f>
        <v>20362</v>
      </c>
      <c r="H472" s="37">
        <f>SUM(H468:H471)</f>
        <v>201616.815</v>
      </c>
      <c r="I472" s="37">
        <f>SUM(I468:I471)</f>
        <v>16289</v>
      </c>
      <c r="J472" s="37">
        <f>SUM(J468:J471)</f>
        <v>251128</v>
      </c>
      <c r="K472" s="37">
        <f>SUM(K468:K471)</f>
        <v>135743</v>
      </c>
    </row>
    <row r="473" spans="1:13" ht="12.75" customHeight="1" x14ac:dyDescent="0.2">
      <c r="A473" s="3" t="s">
        <v>368</v>
      </c>
      <c r="B473" s="24">
        <v>578</v>
      </c>
      <c r="C473" s="20" t="s">
        <v>369</v>
      </c>
      <c r="D473" s="5">
        <v>30331</v>
      </c>
      <c r="E473" s="5" t="s">
        <v>827</v>
      </c>
      <c r="F473" s="11">
        <v>1723567</v>
      </c>
      <c r="G473" s="1">
        <v>5171</v>
      </c>
      <c r="H473" s="4">
        <f t="shared" si="6"/>
        <v>51707.009999999995</v>
      </c>
      <c r="I473" s="4">
        <v>4137</v>
      </c>
      <c r="J473" s="4">
        <v>63772</v>
      </c>
      <c r="K473" s="4">
        <v>34471</v>
      </c>
    </row>
    <row r="474" spans="1:13" ht="12.75" customHeight="1" x14ac:dyDescent="0.2">
      <c r="A474" s="3" t="s">
        <v>513</v>
      </c>
      <c r="B474" s="24">
        <v>580</v>
      </c>
      <c r="C474" s="20" t="s">
        <v>514</v>
      </c>
      <c r="D474" s="5">
        <v>29101</v>
      </c>
      <c r="E474" s="5" t="s">
        <v>827</v>
      </c>
      <c r="F474" s="11">
        <v>1983522.5</v>
      </c>
      <c r="G474" s="1">
        <v>5951</v>
      </c>
      <c r="H474" s="4">
        <f t="shared" si="6"/>
        <v>59505.674999999996</v>
      </c>
      <c r="I474" s="4">
        <v>4760</v>
      </c>
      <c r="J474" s="4">
        <v>73390</v>
      </c>
      <c r="K474" s="4">
        <v>39670</v>
      </c>
      <c r="M474" s="5"/>
    </row>
    <row r="475" spans="1:13" ht="12.75" customHeight="1" x14ac:dyDescent="0.2">
      <c r="A475" s="3" t="s">
        <v>115</v>
      </c>
      <c r="B475" s="24">
        <v>791</v>
      </c>
      <c r="C475" s="20" t="s">
        <v>116</v>
      </c>
      <c r="D475" s="5">
        <v>34128</v>
      </c>
      <c r="E475" s="5" t="s">
        <v>827</v>
      </c>
      <c r="F475" s="11">
        <v>1540069</v>
      </c>
      <c r="G475" s="1">
        <v>4620</v>
      </c>
      <c r="H475" s="4">
        <f t="shared" si="6"/>
        <v>46202.07</v>
      </c>
      <c r="I475" s="4">
        <v>3696</v>
      </c>
      <c r="J475" s="4">
        <v>56983</v>
      </c>
      <c r="K475" s="4">
        <v>30801</v>
      </c>
      <c r="M475" s="5"/>
    </row>
    <row r="476" spans="1:13" ht="12.75" customHeight="1" x14ac:dyDescent="0.2">
      <c r="A476" s="3" t="s">
        <v>436</v>
      </c>
      <c r="B476" s="24">
        <v>1120</v>
      </c>
      <c r="C476" s="20" t="s">
        <v>437</v>
      </c>
      <c r="D476" s="5">
        <v>33657</v>
      </c>
      <c r="E476" s="5" t="s">
        <v>827</v>
      </c>
      <c r="F476" s="11">
        <v>1540069</v>
      </c>
      <c r="G476" s="1">
        <v>4620</v>
      </c>
      <c r="H476" s="4">
        <f t="shared" si="6"/>
        <v>46202.07</v>
      </c>
      <c r="I476" s="4">
        <v>3696</v>
      </c>
      <c r="J476" s="4">
        <v>56983</v>
      </c>
      <c r="K476" s="4">
        <v>30801</v>
      </c>
      <c r="M476" s="5"/>
    </row>
    <row r="477" spans="1:13" ht="12.75" customHeight="1" x14ac:dyDescent="0.2">
      <c r="A477" s="3" t="s">
        <v>570</v>
      </c>
      <c r="B477" s="24">
        <v>1220</v>
      </c>
      <c r="C477" s="20" t="s">
        <v>571</v>
      </c>
      <c r="D477" s="5">
        <v>32215</v>
      </c>
      <c r="E477" s="5" t="s">
        <v>827</v>
      </c>
      <c r="F477" s="11">
        <v>1540069</v>
      </c>
      <c r="G477" s="1">
        <v>4620</v>
      </c>
      <c r="H477" s="4">
        <f t="shared" si="6"/>
        <v>46202.07</v>
      </c>
      <c r="I477" s="4">
        <v>3696</v>
      </c>
      <c r="J477" s="4">
        <v>56983</v>
      </c>
      <c r="K477" s="4">
        <v>30801</v>
      </c>
      <c r="M477" s="5"/>
    </row>
    <row r="478" spans="1:13" ht="12.75" customHeight="1" x14ac:dyDescent="0.2">
      <c r="A478" s="3" t="s">
        <v>312</v>
      </c>
      <c r="B478" s="24">
        <v>1563</v>
      </c>
      <c r="C478" s="31" t="s">
        <v>861</v>
      </c>
      <c r="D478" s="5">
        <v>33698</v>
      </c>
      <c r="E478" s="5" t="s">
        <v>827</v>
      </c>
      <c r="F478" s="11">
        <v>1540069</v>
      </c>
      <c r="G478" s="1">
        <v>4620</v>
      </c>
      <c r="H478" s="4">
        <f t="shared" si="6"/>
        <v>46202.07</v>
      </c>
      <c r="I478" s="4">
        <v>3696</v>
      </c>
      <c r="J478" s="4">
        <v>56983</v>
      </c>
      <c r="K478" s="4">
        <v>30801</v>
      </c>
      <c r="M478" s="5"/>
    </row>
    <row r="479" spans="1:13" ht="12.75" customHeight="1" x14ac:dyDescent="0.2">
      <c r="A479" s="3" t="s">
        <v>111</v>
      </c>
      <c r="B479" s="24">
        <v>1566</v>
      </c>
      <c r="C479" s="31" t="s">
        <v>861</v>
      </c>
      <c r="D479" s="5">
        <v>32415</v>
      </c>
      <c r="E479" s="5" t="s">
        <v>827</v>
      </c>
      <c r="F479" s="11">
        <v>1540069</v>
      </c>
      <c r="G479" s="1">
        <v>4620</v>
      </c>
      <c r="H479" s="4">
        <f t="shared" si="6"/>
        <v>46202.07</v>
      </c>
      <c r="I479" s="4">
        <v>3696</v>
      </c>
      <c r="J479" s="4">
        <v>56983</v>
      </c>
      <c r="K479" s="4">
        <v>30801</v>
      </c>
      <c r="M479" s="5"/>
    </row>
    <row r="480" spans="1:13" ht="12.75" customHeight="1" x14ac:dyDescent="0.2">
      <c r="A480" s="3" t="s">
        <v>353</v>
      </c>
      <c r="B480" s="24">
        <v>1713</v>
      </c>
      <c r="C480" s="31" t="s">
        <v>861</v>
      </c>
      <c r="D480" s="5">
        <v>33075</v>
      </c>
      <c r="E480" s="5" t="s">
        <v>827</v>
      </c>
      <c r="F480" s="11">
        <v>1540069</v>
      </c>
      <c r="G480" s="1">
        <v>4620</v>
      </c>
      <c r="H480" s="4">
        <f t="shared" si="6"/>
        <v>46202.07</v>
      </c>
      <c r="I480" s="4">
        <v>3696</v>
      </c>
      <c r="J480" s="4">
        <v>56983</v>
      </c>
      <c r="K480" s="4">
        <v>30801</v>
      </c>
      <c r="M480" s="5"/>
    </row>
    <row r="481" spans="1:13" ht="12.75" customHeight="1" x14ac:dyDescent="0.2">
      <c r="A481" s="3"/>
      <c r="B481" s="24"/>
      <c r="C481" s="31"/>
      <c r="D481" s="5"/>
      <c r="E481" s="5"/>
      <c r="F481" s="11"/>
      <c r="G481" s="37">
        <f>SUM(G473:G480)</f>
        <v>38842</v>
      </c>
      <c r="H481" s="37">
        <f>SUM(H473:H480)</f>
        <v>388425.10500000004</v>
      </c>
      <c r="I481" s="37">
        <f>SUM(I473:I480)</f>
        <v>31073</v>
      </c>
      <c r="J481" s="37">
        <f>SUM(J473:J480)</f>
        <v>479060</v>
      </c>
      <c r="K481" s="37">
        <f>SUM(K473:K480)</f>
        <v>258947</v>
      </c>
      <c r="M481" s="5"/>
    </row>
    <row r="482" spans="1:13" ht="12.75" customHeight="1" x14ac:dyDescent="0.2">
      <c r="A482" s="3" t="s">
        <v>341</v>
      </c>
      <c r="B482" s="24">
        <v>666</v>
      </c>
      <c r="C482" s="20" t="s">
        <v>342</v>
      </c>
      <c r="D482" s="5">
        <v>33972</v>
      </c>
      <c r="E482" s="5" t="s">
        <v>833</v>
      </c>
      <c r="F482" s="11">
        <v>1540069</v>
      </c>
      <c r="G482" s="1">
        <v>4620</v>
      </c>
      <c r="H482" s="4">
        <f t="shared" si="6"/>
        <v>46202.07</v>
      </c>
      <c r="I482" s="4">
        <v>3696</v>
      </c>
      <c r="J482" s="4">
        <v>56983</v>
      </c>
      <c r="K482" s="4">
        <v>30801</v>
      </c>
      <c r="M482" s="5"/>
    </row>
    <row r="483" spans="1:13" ht="12.75" customHeight="1" x14ac:dyDescent="0.2">
      <c r="A483" s="3" t="s">
        <v>169</v>
      </c>
      <c r="B483" s="24">
        <v>737</v>
      </c>
      <c r="C483" s="20" t="s">
        <v>170</v>
      </c>
      <c r="D483" s="5">
        <v>32235</v>
      </c>
      <c r="E483" s="5" t="s">
        <v>833</v>
      </c>
      <c r="F483" s="11">
        <v>1540069</v>
      </c>
      <c r="G483" s="1">
        <v>4620</v>
      </c>
      <c r="H483" s="4">
        <f t="shared" si="6"/>
        <v>46202.07</v>
      </c>
      <c r="I483" s="4">
        <v>3696</v>
      </c>
      <c r="J483" s="4">
        <v>56983</v>
      </c>
      <c r="K483" s="4">
        <v>30801</v>
      </c>
    </row>
    <row r="484" spans="1:13" ht="12.75" customHeight="1" x14ac:dyDescent="0.2">
      <c r="A484" s="3" t="s">
        <v>410</v>
      </c>
      <c r="B484" s="24">
        <v>1010</v>
      </c>
      <c r="C484" s="20" t="s">
        <v>411</v>
      </c>
      <c r="D484" s="5">
        <v>30632</v>
      </c>
      <c r="E484" s="5" t="s">
        <v>833</v>
      </c>
      <c r="F484" s="11">
        <v>1983522.5</v>
      </c>
      <c r="G484" s="1">
        <v>5951</v>
      </c>
      <c r="H484" s="4">
        <f t="shared" si="6"/>
        <v>59505.674999999996</v>
      </c>
      <c r="I484" s="4">
        <v>4760</v>
      </c>
      <c r="J484" s="4">
        <v>73390</v>
      </c>
      <c r="K484" s="4">
        <v>39670</v>
      </c>
      <c r="M484" s="5"/>
    </row>
    <row r="485" spans="1:13" ht="12.75" customHeight="1" x14ac:dyDescent="0.2">
      <c r="A485" s="3" t="s">
        <v>593</v>
      </c>
      <c r="B485" s="24">
        <v>1049</v>
      </c>
      <c r="C485" s="20" t="s">
        <v>594</v>
      </c>
      <c r="D485" s="5">
        <v>34224</v>
      </c>
      <c r="E485" s="5" t="s">
        <v>833</v>
      </c>
      <c r="F485" s="11">
        <v>1540069</v>
      </c>
      <c r="G485" s="1">
        <v>4620</v>
      </c>
      <c r="H485" s="4">
        <f t="shared" si="6"/>
        <v>46202.07</v>
      </c>
      <c r="I485" s="4">
        <v>3696</v>
      </c>
      <c r="J485" s="4">
        <v>56983</v>
      </c>
      <c r="K485" s="4">
        <v>30801</v>
      </c>
      <c r="M485" s="5"/>
    </row>
    <row r="486" spans="1:13" ht="12.75" customHeight="1" x14ac:dyDescent="0.2">
      <c r="A486" s="3" t="s">
        <v>160</v>
      </c>
      <c r="B486" s="24">
        <v>1155</v>
      </c>
      <c r="C486" s="20" t="s">
        <v>161</v>
      </c>
      <c r="D486" s="5">
        <v>33352</v>
      </c>
      <c r="E486" s="5" t="s">
        <v>833</v>
      </c>
      <c r="F486" s="11">
        <v>1540069</v>
      </c>
      <c r="G486" s="1">
        <v>4620</v>
      </c>
      <c r="H486" s="4">
        <f t="shared" si="6"/>
        <v>46202.07</v>
      </c>
      <c r="I486" s="4">
        <v>3696</v>
      </c>
      <c r="J486" s="4">
        <v>56983</v>
      </c>
      <c r="K486" s="4">
        <v>30801</v>
      </c>
      <c r="M486" s="5"/>
    </row>
    <row r="487" spans="1:13" ht="12.75" customHeight="1" x14ac:dyDescent="0.2">
      <c r="A487" s="3" t="s">
        <v>112</v>
      </c>
      <c r="B487" s="24">
        <v>1188</v>
      </c>
      <c r="C487" s="20" t="s">
        <v>113</v>
      </c>
      <c r="D487" s="5">
        <v>32801</v>
      </c>
      <c r="E487" s="5" t="s">
        <v>833</v>
      </c>
      <c r="F487" s="11">
        <v>1540069</v>
      </c>
      <c r="G487" s="1">
        <v>4620</v>
      </c>
      <c r="H487" s="4">
        <f t="shared" si="6"/>
        <v>46202.07</v>
      </c>
      <c r="I487" s="4">
        <v>3696</v>
      </c>
      <c r="J487" s="4">
        <v>56983</v>
      </c>
      <c r="K487" s="4">
        <v>30801</v>
      </c>
      <c r="M487" s="5"/>
    </row>
    <row r="488" spans="1:13" ht="12.75" customHeight="1" x14ac:dyDescent="0.2">
      <c r="A488" s="3" t="s">
        <v>390</v>
      </c>
      <c r="B488" s="24">
        <v>1197</v>
      </c>
      <c r="C488" s="20" t="s">
        <v>391</v>
      </c>
      <c r="D488" s="5">
        <v>32710</v>
      </c>
      <c r="E488" s="5" t="s">
        <v>833</v>
      </c>
      <c r="F488" s="11">
        <v>1540069</v>
      </c>
      <c r="G488" s="1">
        <v>4620</v>
      </c>
      <c r="H488" s="4">
        <f t="shared" si="6"/>
        <v>46202.07</v>
      </c>
      <c r="I488" s="4">
        <v>3696</v>
      </c>
      <c r="J488" s="4">
        <v>56983</v>
      </c>
      <c r="K488" s="4">
        <v>30801</v>
      </c>
      <c r="M488" s="5"/>
    </row>
    <row r="489" spans="1:13" ht="12.75" customHeight="1" x14ac:dyDescent="0.2">
      <c r="A489" s="3" t="s">
        <v>330</v>
      </c>
      <c r="B489" s="24">
        <v>1213</v>
      </c>
      <c r="C489" s="20" t="s">
        <v>331</v>
      </c>
      <c r="D489" s="5">
        <v>31971</v>
      </c>
      <c r="E489" s="5" t="s">
        <v>833</v>
      </c>
      <c r="F489" s="11">
        <v>1983522.5</v>
      </c>
      <c r="G489" s="1">
        <v>5951</v>
      </c>
      <c r="H489" s="4">
        <f t="shared" si="6"/>
        <v>59505.674999999996</v>
      </c>
      <c r="I489" s="4">
        <v>4760</v>
      </c>
      <c r="J489" s="4">
        <v>73390</v>
      </c>
      <c r="K489" s="4">
        <v>39670</v>
      </c>
      <c r="M489" s="5"/>
    </row>
    <row r="490" spans="1:13" ht="12.75" customHeight="1" x14ac:dyDescent="0.2">
      <c r="A490" s="3" t="s">
        <v>176</v>
      </c>
      <c r="B490" s="24">
        <v>1497</v>
      </c>
      <c r="C490" s="31" t="s">
        <v>861</v>
      </c>
      <c r="D490" s="5">
        <v>33088</v>
      </c>
      <c r="E490" s="5" t="s">
        <v>833</v>
      </c>
      <c r="F490" s="11">
        <v>1540069</v>
      </c>
      <c r="G490" s="1">
        <v>4620</v>
      </c>
      <c r="H490" s="4">
        <f t="shared" si="6"/>
        <v>46202.07</v>
      </c>
      <c r="I490" s="4">
        <v>3696</v>
      </c>
      <c r="J490" s="4">
        <v>56983</v>
      </c>
      <c r="K490" s="4">
        <v>30801</v>
      </c>
      <c r="M490" s="5"/>
    </row>
    <row r="491" spans="1:13" ht="12.75" customHeight="1" x14ac:dyDescent="0.2">
      <c r="A491" s="3"/>
      <c r="B491" s="24"/>
      <c r="C491" s="31"/>
      <c r="D491" s="5"/>
      <c r="E491" s="5"/>
      <c r="F491" s="11"/>
      <c r="G491" s="37">
        <f>SUM(G482:G490)</f>
        <v>44242</v>
      </c>
      <c r="H491" s="37">
        <f>SUM(H482:H490)</f>
        <v>442425.84</v>
      </c>
      <c r="I491" s="37">
        <f>SUM(I482:I490)</f>
        <v>35392</v>
      </c>
      <c r="J491" s="37">
        <f>SUM(J482:J490)</f>
        <v>545661</v>
      </c>
      <c r="K491" s="37">
        <f>SUM(K482:K490)</f>
        <v>294947</v>
      </c>
      <c r="M491" s="5"/>
    </row>
    <row r="492" spans="1:13" ht="12.75" customHeight="1" x14ac:dyDescent="0.2">
      <c r="A492" s="3" t="s">
        <v>332</v>
      </c>
      <c r="B492" s="24">
        <v>73</v>
      </c>
      <c r="C492" s="20" t="s">
        <v>333</v>
      </c>
      <c r="D492" s="5">
        <v>29683</v>
      </c>
      <c r="E492" s="5" t="s">
        <v>806</v>
      </c>
      <c r="F492" s="11">
        <v>2075271.5</v>
      </c>
      <c r="G492" s="1">
        <v>6226</v>
      </c>
      <c r="H492" s="4">
        <f t="shared" si="6"/>
        <v>62258.144999999997</v>
      </c>
      <c r="I492" s="4">
        <v>4981</v>
      </c>
      <c r="J492" s="4">
        <v>76785</v>
      </c>
      <c r="K492" s="4">
        <v>41505</v>
      </c>
      <c r="M492" s="5"/>
    </row>
    <row r="493" spans="1:13" ht="12.75" customHeight="1" x14ac:dyDescent="0.2">
      <c r="A493" s="3" t="s">
        <v>188</v>
      </c>
      <c r="B493" s="24">
        <v>460</v>
      </c>
      <c r="C493" s="20" t="s">
        <v>189</v>
      </c>
      <c r="D493" s="5">
        <v>31489</v>
      </c>
      <c r="E493" s="5" t="s">
        <v>806</v>
      </c>
      <c r="F493" s="11">
        <v>1540069</v>
      </c>
      <c r="G493" s="1">
        <v>4620</v>
      </c>
      <c r="H493" s="4">
        <f t="shared" si="6"/>
        <v>46202.07</v>
      </c>
      <c r="I493" s="4">
        <v>3696</v>
      </c>
      <c r="J493" s="4">
        <v>56983</v>
      </c>
      <c r="K493" s="4">
        <v>30801</v>
      </c>
    </row>
    <row r="494" spans="1:13" ht="12.75" customHeight="1" x14ac:dyDescent="0.2">
      <c r="A494" s="3" t="s">
        <v>542</v>
      </c>
      <c r="B494" s="24">
        <v>481</v>
      </c>
      <c r="C494" s="20" t="s">
        <v>543</v>
      </c>
      <c r="D494" s="5">
        <v>30744</v>
      </c>
      <c r="E494" s="5" t="s">
        <v>806</v>
      </c>
      <c r="F494" s="11">
        <v>1983522.5</v>
      </c>
      <c r="G494" s="1">
        <v>5951</v>
      </c>
      <c r="H494" s="4">
        <f t="shared" si="6"/>
        <v>59505.674999999996</v>
      </c>
      <c r="I494" s="4">
        <v>4760</v>
      </c>
      <c r="J494" s="4">
        <v>73390</v>
      </c>
      <c r="K494" s="4">
        <v>39670</v>
      </c>
      <c r="M494" s="5"/>
    </row>
    <row r="495" spans="1:13" ht="12.75" customHeight="1" x14ac:dyDescent="0.2">
      <c r="A495" s="3" t="s">
        <v>624</v>
      </c>
      <c r="B495" s="24">
        <v>1035</v>
      </c>
      <c r="C495" s="20" t="s">
        <v>625</v>
      </c>
      <c r="D495" s="5">
        <v>33025</v>
      </c>
      <c r="E495" s="5" t="s">
        <v>806</v>
      </c>
      <c r="F495" s="11">
        <v>1540069</v>
      </c>
      <c r="G495" s="1">
        <v>4620</v>
      </c>
      <c r="H495" s="4">
        <f t="shared" si="6"/>
        <v>46202.07</v>
      </c>
      <c r="I495" s="4">
        <v>3696</v>
      </c>
      <c r="J495" s="4">
        <v>56983</v>
      </c>
      <c r="K495" s="4">
        <v>30801</v>
      </c>
      <c r="M495" s="5"/>
    </row>
    <row r="496" spans="1:13" ht="12.75" customHeight="1" x14ac:dyDescent="0.2">
      <c r="A496" s="3" t="s">
        <v>633</v>
      </c>
      <c r="B496" s="24">
        <v>1036</v>
      </c>
      <c r="C496" s="20" t="s">
        <v>634</v>
      </c>
      <c r="D496" s="5">
        <v>32040</v>
      </c>
      <c r="E496" s="5" t="s">
        <v>806</v>
      </c>
      <c r="F496" s="11">
        <v>1540069</v>
      </c>
      <c r="G496" s="1">
        <v>4620</v>
      </c>
      <c r="H496" s="4">
        <f t="shared" si="6"/>
        <v>46202.07</v>
      </c>
      <c r="I496" s="4">
        <v>3696</v>
      </c>
      <c r="J496" s="4">
        <v>56983</v>
      </c>
      <c r="K496" s="4">
        <v>30801</v>
      </c>
    </row>
    <row r="497" spans="1:13" ht="12.75" customHeight="1" x14ac:dyDescent="0.2">
      <c r="A497" s="3" t="s">
        <v>712</v>
      </c>
      <c r="B497" s="24">
        <v>1128</v>
      </c>
      <c r="C497" s="20" t="s">
        <v>713</v>
      </c>
      <c r="D497" s="5">
        <v>34097</v>
      </c>
      <c r="E497" s="5" t="s">
        <v>806</v>
      </c>
      <c r="F497" s="11">
        <v>1540069</v>
      </c>
      <c r="G497" s="1">
        <v>4620</v>
      </c>
      <c r="H497" s="4">
        <f t="shared" si="6"/>
        <v>46202.07</v>
      </c>
      <c r="I497" s="4">
        <v>3696</v>
      </c>
      <c r="J497" s="4">
        <v>56983</v>
      </c>
      <c r="K497" s="4">
        <v>30801</v>
      </c>
      <c r="M497" s="5"/>
    </row>
    <row r="498" spans="1:13" ht="12.75" customHeight="1" x14ac:dyDescent="0.2">
      <c r="A498" s="3" t="s">
        <v>151</v>
      </c>
      <c r="B498" s="24">
        <v>1190</v>
      </c>
      <c r="C498" s="20" t="s">
        <v>152</v>
      </c>
      <c r="D498" s="5">
        <v>32342</v>
      </c>
      <c r="E498" s="5" t="s">
        <v>806</v>
      </c>
      <c r="F498" s="11">
        <v>1540069</v>
      </c>
      <c r="G498" s="1">
        <v>4620</v>
      </c>
      <c r="H498" s="4">
        <f t="shared" si="6"/>
        <v>46202.07</v>
      </c>
      <c r="I498" s="4">
        <v>3696</v>
      </c>
      <c r="J498" s="4">
        <v>56983</v>
      </c>
      <c r="K498" s="4">
        <v>30801</v>
      </c>
      <c r="M498" s="5"/>
    </row>
    <row r="499" spans="1:13" ht="12.75" customHeight="1" x14ac:dyDescent="0.2">
      <c r="A499" s="3" t="s">
        <v>628</v>
      </c>
      <c r="B499" s="24">
        <v>1191</v>
      </c>
      <c r="C499" s="20" t="s">
        <v>629</v>
      </c>
      <c r="D499" s="5">
        <v>32284</v>
      </c>
      <c r="E499" s="5" t="s">
        <v>806</v>
      </c>
      <c r="F499" s="11">
        <v>1540069</v>
      </c>
      <c r="G499" s="1">
        <v>4620</v>
      </c>
      <c r="H499" s="4">
        <f t="shared" si="6"/>
        <v>46202.07</v>
      </c>
      <c r="I499" s="4">
        <v>3696</v>
      </c>
      <c r="J499" s="4">
        <v>56983</v>
      </c>
      <c r="K499" s="4">
        <v>30801</v>
      </c>
      <c r="M499" s="5"/>
    </row>
    <row r="500" spans="1:13" ht="12.75" customHeight="1" x14ac:dyDescent="0.2">
      <c r="A500" s="3" t="s">
        <v>279</v>
      </c>
      <c r="B500" s="24">
        <v>1232</v>
      </c>
      <c r="C500" s="27">
        <v>12026525696</v>
      </c>
      <c r="D500" s="5">
        <v>30828</v>
      </c>
      <c r="E500" s="5" t="s">
        <v>806</v>
      </c>
      <c r="F500" s="11">
        <v>1540069</v>
      </c>
      <c r="G500" s="1">
        <v>4620</v>
      </c>
      <c r="H500" s="4">
        <f t="shared" si="6"/>
        <v>46202.07</v>
      </c>
      <c r="I500" s="4">
        <v>3696</v>
      </c>
      <c r="J500" s="4">
        <v>56983</v>
      </c>
      <c r="K500" s="4">
        <v>30801</v>
      </c>
      <c r="M500" s="5"/>
    </row>
    <row r="501" spans="1:13" ht="12.75" customHeight="1" x14ac:dyDescent="0.2">
      <c r="A501" s="3" t="s">
        <v>438</v>
      </c>
      <c r="B501" s="24">
        <v>1233</v>
      </c>
      <c r="C501" s="27">
        <v>12026525753</v>
      </c>
      <c r="D501" s="5">
        <v>31125</v>
      </c>
      <c r="E501" s="5" t="s">
        <v>806</v>
      </c>
      <c r="F501" s="11">
        <v>1540069</v>
      </c>
      <c r="G501" s="1">
        <v>4620</v>
      </c>
      <c r="H501" s="4">
        <f t="shared" si="6"/>
        <v>46202.07</v>
      </c>
      <c r="I501" s="4">
        <v>3696</v>
      </c>
      <c r="J501" s="4">
        <v>56983</v>
      </c>
      <c r="K501" s="4">
        <v>30801</v>
      </c>
      <c r="M501" s="5"/>
    </row>
    <row r="502" spans="1:13" ht="12.75" customHeight="1" x14ac:dyDescent="0.2">
      <c r="A502" s="3" t="s">
        <v>236</v>
      </c>
      <c r="B502" s="24">
        <v>1737</v>
      </c>
      <c r="C502" s="31" t="s">
        <v>861</v>
      </c>
      <c r="D502" s="5">
        <v>30816</v>
      </c>
      <c r="E502" s="5" t="s">
        <v>806</v>
      </c>
      <c r="F502" s="11">
        <v>1398402</v>
      </c>
      <c r="G502" s="1">
        <v>4620</v>
      </c>
      <c r="H502" s="4">
        <f t="shared" si="6"/>
        <v>41952.06</v>
      </c>
      <c r="I502" s="4">
        <v>3696</v>
      </c>
      <c r="J502" s="4">
        <v>56983</v>
      </c>
      <c r="K502" s="4">
        <v>30801</v>
      </c>
      <c r="M502" s="5"/>
    </row>
    <row r="503" spans="1:13" ht="12.75" customHeight="1" x14ac:dyDescent="0.2">
      <c r="A503" s="3"/>
      <c r="B503" s="24"/>
      <c r="C503" s="31"/>
      <c r="D503" s="5"/>
      <c r="E503" s="5"/>
      <c r="F503" s="11"/>
      <c r="G503" s="37">
        <f>SUM(G492:G502)</f>
        <v>53757</v>
      </c>
      <c r="H503" s="37">
        <f>SUM(H492:H502)</f>
        <v>533332.43999999994</v>
      </c>
      <c r="I503" s="37">
        <f>SUM(I492:I502)</f>
        <v>43005</v>
      </c>
      <c r="J503" s="37">
        <f>SUM(J492:J502)</f>
        <v>663022</v>
      </c>
      <c r="K503" s="37">
        <f>SUM(K492:K502)</f>
        <v>358384</v>
      </c>
      <c r="M503" s="5"/>
    </row>
    <row r="504" spans="1:13" ht="12.75" customHeight="1" x14ac:dyDescent="0.2">
      <c r="A504" s="3" t="s">
        <v>87</v>
      </c>
      <c r="B504" s="24">
        <v>69</v>
      </c>
      <c r="C504" s="20" t="s">
        <v>88</v>
      </c>
      <c r="D504" s="5">
        <v>31503</v>
      </c>
      <c r="E504" s="5" t="s">
        <v>805</v>
      </c>
      <c r="F504" s="11">
        <v>1540069</v>
      </c>
      <c r="G504" s="1">
        <v>4620</v>
      </c>
      <c r="H504" s="4">
        <f t="shared" si="6"/>
        <v>46202.07</v>
      </c>
      <c r="I504" s="4">
        <v>3696</v>
      </c>
      <c r="J504" s="4">
        <v>56983</v>
      </c>
      <c r="K504" s="4">
        <v>30801</v>
      </c>
      <c r="M504" s="5"/>
    </row>
    <row r="505" spans="1:13" ht="12.75" customHeight="1" x14ac:dyDescent="0.2">
      <c r="A505" s="3" t="s">
        <v>83</v>
      </c>
      <c r="B505" s="24">
        <v>179</v>
      </c>
      <c r="C505" s="20" t="s">
        <v>84</v>
      </c>
      <c r="D505" s="5">
        <v>30469</v>
      </c>
      <c r="E505" s="5" t="s">
        <v>805</v>
      </c>
      <c r="F505" s="11">
        <v>1540069</v>
      </c>
      <c r="G505" s="1">
        <v>4620</v>
      </c>
      <c r="H505" s="4">
        <f t="shared" si="6"/>
        <v>46202.07</v>
      </c>
      <c r="I505" s="4">
        <v>3696</v>
      </c>
      <c r="J505" s="4">
        <v>56983</v>
      </c>
      <c r="K505" s="4">
        <v>30801</v>
      </c>
      <c r="M505" s="5"/>
    </row>
    <row r="506" spans="1:13" ht="12.75" customHeight="1" x14ac:dyDescent="0.2">
      <c r="A506" s="3" t="s">
        <v>57</v>
      </c>
      <c r="B506" s="24">
        <v>219</v>
      </c>
      <c r="C506" s="20" t="s">
        <v>58</v>
      </c>
      <c r="D506" s="5">
        <v>32292</v>
      </c>
      <c r="E506" s="5" t="s">
        <v>805</v>
      </c>
      <c r="F506" s="11">
        <v>1540069</v>
      </c>
      <c r="G506" s="1">
        <v>4620</v>
      </c>
      <c r="H506" s="4">
        <f t="shared" si="6"/>
        <v>46202.07</v>
      </c>
      <c r="I506" s="4">
        <v>3696</v>
      </c>
      <c r="J506" s="4">
        <v>56983</v>
      </c>
      <c r="K506" s="4">
        <v>30801</v>
      </c>
      <c r="M506" s="5"/>
    </row>
    <row r="507" spans="1:13" ht="12.75" customHeight="1" x14ac:dyDescent="0.2">
      <c r="A507" s="3" t="s">
        <v>65</v>
      </c>
      <c r="B507" s="24">
        <v>245</v>
      </c>
      <c r="C507" s="20" t="s">
        <v>66</v>
      </c>
      <c r="D507" s="5">
        <v>32771</v>
      </c>
      <c r="E507" s="5" t="s">
        <v>805</v>
      </c>
      <c r="F507" s="11">
        <v>1540069</v>
      </c>
      <c r="G507" s="1">
        <v>4620</v>
      </c>
      <c r="H507" s="4">
        <f t="shared" si="6"/>
        <v>46202.07</v>
      </c>
      <c r="I507" s="4">
        <v>3696</v>
      </c>
      <c r="J507" s="4">
        <v>56983</v>
      </c>
      <c r="K507" s="4">
        <v>30801</v>
      </c>
      <c r="M507" s="5"/>
    </row>
    <row r="508" spans="1:13" ht="12.75" customHeight="1" x14ac:dyDescent="0.2">
      <c r="A508" s="3" t="s">
        <v>95</v>
      </c>
      <c r="B508" s="24">
        <v>304</v>
      </c>
      <c r="C508" s="20" t="s">
        <v>96</v>
      </c>
      <c r="D508" s="5">
        <v>29852</v>
      </c>
      <c r="E508" s="5" t="s">
        <v>805</v>
      </c>
      <c r="F508" s="11">
        <v>1540069</v>
      </c>
      <c r="G508" s="1">
        <v>4620</v>
      </c>
      <c r="H508" s="4">
        <f t="shared" si="6"/>
        <v>46202.07</v>
      </c>
      <c r="I508" s="4">
        <v>3696</v>
      </c>
      <c r="J508" s="4">
        <v>56983</v>
      </c>
      <c r="K508" s="4">
        <v>30801</v>
      </c>
      <c r="M508" s="5"/>
    </row>
    <row r="509" spans="1:13" ht="12.75" customHeight="1" x14ac:dyDescent="0.2">
      <c r="A509" s="3" t="s">
        <v>24</v>
      </c>
      <c r="B509" s="24">
        <v>319</v>
      </c>
      <c r="C509" s="28" t="s">
        <v>853</v>
      </c>
      <c r="D509" s="5">
        <v>29900</v>
      </c>
      <c r="E509" s="5" t="s">
        <v>805</v>
      </c>
      <c r="F509" s="11">
        <v>1540069</v>
      </c>
      <c r="G509" s="1">
        <v>4620</v>
      </c>
      <c r="H509" s="4">
        <f t="shared" si="6"/>
        <v>46202.07</v>
      </c>
      <c r="I509" s="4">
        <v>3696</v>
      </c>
      <c r="J509" s="4">
        <v>56983</v>
      </c>
      <c r="K509" s="4">
        <v>30801</v>
      </c>
      <c r="M509" s="5"/>
    </row>
    <row r="510" spans="1:13" ht="12.75" customHeight="1" x14ac:dyDescent="0.2">
      <c r="A510" s="3" t="s">
        <v>80</v>
      </c>
      <c r="B510" s="24">
        <v>443</v>
      </c>
      <c r="C510" s="20" t="s">
        <v>81</v>
      </c>
      <c r="D510" s="5">
        <v>31428</v>
      </c>
      <c r="E510" s="5" t="s">
        <v>805</v>
      </c>
      <c r="F510" s="11">
        <v>1540069</v>
      </c>
      <c r="G510" s="1">
        <v>4620</v>
      </c>
      <c r="H510" s="4">
        <f t="shared" si="6"/>
        <v>46202.07</v>
      </c>
      <c r="I510" s="4">
        <v>3696</v>
      </c>
      <c r="J510" s="4">
        <v>56983</v>
      </c>
      <c r="K510" s="4">
        <v>30801</v>
      </c>
    </row>
    <row r="511" spans="1:13" ht="12.75" customHeight="1" x14ac:dyDescent="0.2">
      <c r="A511" s="3" t="s">
        <v>70</v>
      </c>
      <c r="B511" s="24">
        <v>486</v>
      </c>
      <c r="C511" s="27">
        <v>10021623086</v>
      </c>
      <c r="D511" s="5">
        <v>31295</v>
      </c>
      <c r="E511" s="5" t="s">
        <v>805</v>
      </c>
      <c r="F511" s="11">
        <v>1540069</v>
      </c>
      <c r="G511" s="1">
        <v>4620</v>
      </c>
      <c r="H511" s="4">
        <f t="shared" si="6"/>
        <v>46202.07</v>
      </c>
      <c r="I511" s="4">
        <v>3696</v>
      </c>
      <c r="J511" s="4">
        <v>56983</v>
      </c>
      <c r="K511" s="4">
        <v>30801</v>
      </c>
      <c r="M511" s="5"/>
    </row>
    <row r="512" spans="1:13" ht="12.75" customHeight="1" x14ac:dyDescent="0.2">
      <c r="A512" s="3" t="s">
        <v>22</v>
      </c>
      <c r="B512" s="24">
        <v>535</v>
      </c>
      <c r="C512" s="20" t="s">
        <v>23</v>
      </c>
      <c r="D512" s="5">
        <v>32866</v>
      </c>
      <c r="E512" s="5" t="s">
        <v>805</v>
      </c>
      <c r="F512" s="11">
        <v>1540069</v>
      </c>
      <c r="G512" s="1">
        <v>4620</v>
      </c>
      <c r="H512" s="4">
        <f t="shared" si="6"/>
        <v>46202.07</v>
      </c>
      <c r="I512" s="4">
        <v>3696</v>
      </c>
      <c r="J512" s="4">
        <v>56983</v>
      </c>
      <c r="K512" s="4">
        <v>30801</v>
      </c>
      <c r="M512" s="5"/>
    </row>
    <row r="513" spans="1:11" ht="12.75" customHeight="1" x14ac:dyDescent="0.2">
      <c r="G513" s="37">
        <f>SUM(G504:G512)</f>
        <v>41580</v>
      </c>
      <c r="H513" s="37">
        <f>SUM(H504:H512)</f>
        <v>415818.63</v>
      </c>
      <c r="I513" s="37">
        <f>SUM(I504:I512)</f>
        <v>33264</v>
      </c>
      <c r="J513" s="37">
        <f>SUM(J504:J512)</f>
        <v>512847</v>
      </c>
      <c r="K513" s="37">
        <f>SUM(K504:K512)</f>
        <v>277209</v>
      </c>
    </row>
    <row r="514" spans="1:11" ht="12.75" customHeight="1" x14ac:dyDescent="0.2">
      <c r="G514" s="38"/>
      <c r="H514" s="39"/>
      <c r="I514" s="39"/>
      <c r="J514" s="39"/>
      <c r="K514" s="39"/>
    </row>
    <row r="515" spans="1:11" ht="12.75" customHeight="1" x14ac:dyDescent="0.2">
      <c r="A515" s="72" t="s">
        <v>864</v>
      </c>
      <c r="B515" s="72"/>
      <c r="C515" s="72"/>
      <c r="D515" s="72"/>
      <c r="E515" s="72"/>
      <c r="F515" s="72"/>
      <c r="G515" s="36">
        <f>G15+G23+G28+G37+G45+G58+G63+G73+G80+G91+G98+G105+G116+G125+G132+G144+G153+G166+G171+G177+G182+G190+G192+G196+G202+G212+G222+G236+G244+G251+G263+G272+G280+G297+G305+G319+G330+G335+G350+G358+G364+G375+G384+G390+G405+G409+G417+G429+G436+G438+G448+G456+G467+G472+G481+G491+G503+G513</f>
        <v>2390128</v>
      </c>
      <c r="H515" s="36">
        <f>H15+H23+H28+H37+H45+H58+H63+H73+H80+H91+H98+H105+H116+H125+H132+H144+H153+H166+H171+H177+H182+H190+H192+H196+H202+H212+H222+H236+H244+H251+H263+H272+H280+H297+H305+H319+H330+H335+H350+H358+H364+H375+H384+H390+H405+H409+H417+H429+H436+H438+H448+H456+H467+H472+H481+H491+H503+H513</f>
        <v>23249998.020000007</v>
      </c>
      <c r="I515" s="36">
        <f>I15+I23+I28+I37+I45+I58+I63+I73+I80+I91+I98+I105+I116+I125+I132+I144+I153+I166+I171+I177+I182+I190+I192+I196+I202+I212+I222+I236+I244+I251+I263+I272+I280+I297+I305+I319+I330+I335+I350+I358+I364+I375+I384+I390+I405+I409+I417+I429+I436+I438+I448+I456+I467+I472+I481+I491+I503+I513</f>
        <v>1912067</v>
      </c>
      <c r="J515" s="36">
        <f>J15+J23+J28+J37+J45+J58+J63+J73+J80+J91+J98+J105+J116+J125+J132+J144+J153+J166+J171+J177+J182+J190+J192+J196+J202+J212+J222+J236+J244+J251+J263+J272+J280+J297+J305+J319+J330+J335+J350+J358+J364+J375+J384+J390+J405+J409+J417+J429+J436+J438+J448+J456+J467+J472+J481+J491+J503+J513</f>
        <v>29478734</v>
      </c>
      <c r="K515" s="36">
        <f>K15+K23+K28+K37+K45+K58+K63+K73+K80+K91+K98+K105+K116+K125+K132+K144+K153+K166+K171+K177+K182+K190+K192+K196+K202+K212+K222+K236+K244+K251+K263+K272+K280+K297+K305+K319+K330+K335+K350+K358+K364+K375+K384+K390+K405+K409+K417+K429+K436+K438+K448+K456+K467+K472+K481+K491+K503+K513</f>
        <v>15934254</v>
      </c>
    </row>
    <row r="517" spans="1:11" s="6" customFormat="1" ht="12.75" customHeight="1" x14ac:dyDescent="0.2">
      <c r="A517" s="7" t="s">
        <v>0</v>
      </c>
      <c r="B517" s="7" t="s">
        <v>5</v>
      </c>
      <c r="C517" s="19" t="s">
        <v>3</v>
      </c>
      <c r="D517" s="7" t="s">
        <v>4</v>
      </c>
      <c r="E517" s="7" t="s">
        <v>755</v>
      </c>
      <c r="F517" s="7" t="s">
        <v>756</v>
      </c>
      <c r="G517" s="7" t="s">
        <v>6</v>
      </c>
      <c r="H517" s="7" t="s">
        <v>847</v>
      </c>
      <c r="I517" s="7" t="s">
        <v>7</v>
      </c>
      <c r="J517" s="7" t="s">
        <v>1</v>
      </c>
      <c r="K517" s="7" t="s">
        <v>2</v>
      </c>
    </row>
    <row r="518" spans="1:11" s="6" customFormat="1" ht="12.75" customHeight="1" x14ac:dyDescent="0.2">
      <c r="A518" s="26" t="s">
        <v>757</v>
      </c>
      <c r="B518" s="25"/>
      <c r="C518" s="21">
        <v>12034863634</v>
      </c>
      <c r="E518" s="18" t="s">
        <v>854</v>
      </c>
      <c r="F518" s="12">
        <v>1250000</v>
      </c>
      <c r="G518" s="11">
        <f>0.3%*F518</f>
        <v>3750</v>
      </c>
      <c r="H518" s="4">
        <f>IF(F518&lt;3080000,F518*3%,IF(F518&gt;=3080000,3080000*3%,0))</f>
        <v>37500</v>
      </c>
      <c r="I518" s="11">
        <f>F518*0.24%</f>
        <v>2999.9999999999995</v>
      </c>
      <c r="J518" s="13">
        <f>3.7%*F518</f>
        <v>46250.000000000007</v>
      </c>
      <c r="K518" s="13">
        <f>2%*F518</f>
        <v>25000</v>
      </c>
    </row>
    <row r="519" spans="1:11" s="6" customFormat="1" ht="12.75" customHeight="1" x14ac:dyDescent="0.2">
      <c r="A519" s="26" t="s">
        <v>759</v>
      </c>
      <c r="B519" s="25"/>
      <c r="C519" s="21">
        <v>12034863584</v>
      </c>
      <c r="E519" s="18" t="s">
        <v>854</v>
      </c>
      <c r="F519" s="12">
        <v>1250000</v>
      </c>
      <c r="G519" s="11">
        <f t="shared" ref="G519:G547" si="7">0.3%*F519</f>
        <v>3750</v>
      </c>
      <c r="H519" s="4">
        <f t="shared" ref="H519:H547" si="8">IF(F519&lt;3080000,F519*3%,IF(F519&gt;=3080000,3080000*3%,0))</f>
        <v>37500</v>
      </c>
      <c r="I519" s="11">
        <f t="shared" ref="I519:I547" si="9">F519*0.24%</f>
        <v>2999.9999999999995</v>
      </c>
      <c r="J519" s="13">
        <f t="shared" ref="J519:J547" si="10">3.7%*F519</f>
        <v>46250.000000000007</v>
      </c>
      <c r="K519" s="13">
        <f t="shared" ref="K519:K547" si="11">2%*F519</f>
        <v>25000</v>
      </c>
    </row>
    <row r="520" spans="1:11" s="6" customFormat="1" ht="12.75" customHeight="1" x14ac:dyDescent="0.2">
      <c r="A520" s="26" t="s">
        <v>760</v>
      </c>
      <c r="B520" s="25"/>
      <c r="C520" s="21">
        <v>12034863618</v>
      </c>
      <c r="E520" s="18" t="s">
        <v>854</v>
      </c>
      <c r="F520" s="12">
        <v>1500000</v>
      </c>
      <c r="G520" s="11">
        <f t="shared" si="7"/>
        <v>4500</v>
      </c>
      <c r="H520" s="4">
        <f t="shared" si="8"/>
        <v>45000</v>
      </c>
      <c r="I520" s="11">
        <f t="shared" si="9"/>
        <v>3599.9999999999995</v>
      </c>
      <c r="J520" s="13">
        <f t="shared" si="10"/>
        <v>55500.000000000007</v>
      </c>
      <c r="K520" s="13">
        <f t="shared" si="11"/>
        <v>30000</v>
      </c>
    </row>
    <row r="521" spans="1:11" s="6" customFormat="1" ht="12.75" customHeight="1" x14ac:dyDescent="0.2">
      <c r="A521" s="14" t="s">
        <v>761</v>
      </c>
      <c r="B521" s="29">
        <v>943</v>
      </c>
      <c r="C521" s="21">
        <v>12010795032</v>
      </c>
      <c r="D521" s="16"/>
      <c r="E521" s="18" t="s">
        <v>854</v>
      </c>
      <c r="F521" s="16">
        <v>2002833.3333344199</v>
      </c>
      <c r="G521" s="11">
        <f t="shared" si="7"/>
        <v>6008.5000000032596</v>
      </c>
      <c r="H521" s="4">
        <f t="shared" si="8"/>
        <v>60085.000000032596</v>
      </c>
      <c r="I521" s="11">
        <f t="shared" si="9"/>
        <v>4806.8000000026077</v>
      </c>
      <c r="J521" s="13">
        <f t="shared" si="10"/>
        <v>74104.83333337355</v>
      </c>
      <c r="K521" s="13">
        <f t="shared" si="11"/>
        <v>40056.666666688398</v>
      </c>
    </row>
    <row r="522" spans="1:11" s="6" customFormat="1" ht="12.75" customHeight="1" x14ac:dyDescent="0.2">
      <c r="A522" s="14" t="s">
        <v>762</v>
      </c>
      <c r="B522" s="29">
        <v>944</v>
      </c>
      <c r="C522" s="21">
        <v>12010795040</v>
      </c>
      <c r="D522" s="16"/>
      <c r="E522" s="18" t="s">
        <v>854</v>
      </c>
      <c r="F522" s="16">
        <v>1871916.6666679666</v>
      </c>
      <c r="G522" s="11">
        <f t="shared" si="7"/>
        <v>5615.7500000038999</v>
      </c>
      <c r="H522" s="4">
        <f t="shared" si="8"/>
        <v>56157.500000038999</v>
      </c>
      <c r="I522" s="11">
        <f t="shared" si="9"/>
        <v>4492.6000000031199</v>
      </c>
      <c r="J522" s="13">
        <f t="shared" si="10"/>
        <v>69260.91666671478</v>
      </c>
      <c r="K522" s="13">
        <f t="shared" si="11"/>
        <v>37438.333333359333</v>
      </c>
    </row>
    <row r="523" spans="1:11" s="6" customFormat="1" ht="12.75" customHeight="1" x14ac:dyDescent="0.2">
      <c r="A523" s="14" t="s">
        <v>763</v>
      </c>
      <c r="B523" s="29">
        <v>195</v>
      </c>
      <c r="C523" s="21">
        <v>12010795057</v>
      </c>
      <c r="D523" s="16"/>
      <c r="E523" s="18" t="s">
        <v>854</v>
      </c>
      <c r="F523" s="16">
        <v>1539416.6666668025</v>
      </c>
      <c r="G523" s="11">
        <f t="shared" si="7"/>
        <v>4618.2500000004075</v>
      </c>
      <c r="H523" s="4">
        <f t="shared" si="8"/>
        <v>46182.500000004075</v>
      </c>
      <c r="I523" s="11">
        <f t="shared" si="9"/>
        <v>3694.6000000003255</v>
      </c>
      <c r="J523" s="13">
        <f t="shared" si="10"/>
        <v>56958.416666671699</v>
      </c>
      <c r="K523" s="13">
        <f t="shared" si="11"/>
        <v>30788.33333333605</v>
      </c>
    </row>
    <row r="524" spans="1:11" s="6" customFormat="1" ht="12.75" customHeight="1" x14ac:dyDescent="0.2">
      <c r="A524" s="14" t="s">
        <v>764</v>
      </c>
      <c r="B524" s="29">
        <v>928</v>
      </c>
      <c r="C524" s="21">
        <v>12034862594</v>
      </c>
      <c r="D524" s="16"/>
      <c r="E524" s="18" t="s">
        <v>854</v>
      </c>
      <c r="F524" s="16">
        <v>2096750</v>
      </c>
      <c r="G524" s="11">
        <f t="shared" si="7"/>
        <v>6290.25</v>
      </c>
      <c r="H524" s="4">
        <f t="shared" si="8"/>
        <v>62902.5</v>
      </c>
      <c r="I524" s="11">
        <f t="shared" si="9"/>
        <v>5032.2</v>
      </c>
      <c r="J524" s="13">
        <f t="shared" si="10"/>
        <v>77579.750000000015</v>
      </c>
      <c r="K524" s="13">
        <f t="shared" si="11"/>
        <v>41935</v>
      </c>
    </row>
    <row r="525" spans="1:11" s="6" customFormat="1" ht="12.75" customHeight="1" x14ac:dyDescent="0.2">
      <c r="A525" s="14" t="s">
        <v>765</v>
      </c>
      <c r="B525" s="29">
        <v>1414</v>
      </c>
      <c r="C525" s="21">
        <v>12037894776</v>
      </c>
      <c r="D525" s="16"/>
      <c r="E525" s="18" t="s">
        <v>854</v>
      </c>
      <c r="F525" s="16">
        <v>1606999.9999989523</v>
      </c>
      <c r="G525" s="11">
        <f t="shared" si="7"/>
        <v>4820.9999999968568</v>
      </c>
      <c r="H525" s="4">
        <f t="shared" si="8"/>
        <v>48209.999999968568</v>
      </c>
      <c r="I525" s="11">
        <f t="shared" si="9"/>
        <v>3856.799999997485</v>
      </c>
      <c r="J525" s="13">
        <f t="shared" si="10"/>
        <v>59458.999999961241</v>
      </c>
      <c r="K525" s="13">
        <f t="shared" si="11"/>
        <v>32139.999999979045</v>
      </c>
    </row>
    <row r="526" spans="1:11" s="6" customFormat="1" ht="12.75" customHeight="1" x14ac:dyDescent="0.2">
      <c r="A526" s="14" t="s">
        <v>766</v>
      </c>
      <c r="B526" s="29">
        <v>942</v>
      </c>
      <c r="C526" s="21">
        <v>12037894552</v>
      </c>
      <c r="D526" s="16"/>
      <c r="E526" s="18" t="s">
        <v>854</v>
      </c>
      <c r="F526" s="16">
        <v>2499999.9999999995</v>
      </c>
      <c r="G526" s="11">
        <f t="shared" si="7"/>
        <v>7499.9999999999991</v>
      </c>
      <c r="H526" s="4">
        <f t="shared" si="8"/>
        <v>74999.999999999985</v>
      </c>
      <c r="I526" s="11">
        <f t="shared" si="9"/>
        <v>5999.9999999999982</v>
      </c>
      <c r="J526" s="13">
        <f t="shared" si="10"/>
        <v>92500</v>
      </c>
      <c r="K526" s="13">
        <f t="shared" si="11"/>
        <v>49999.999999999993</v>
      </c>
    </row>
    <row r="527" spans="1:11" s="6" customFormat="1" ht="12.75" customHeight="1" x14ac:dyDescent="0.2">
      <c r="A527" s="14" t="s">
        <v>767</v>
      </c>
      <c r="B527" s="29">
        <v>946</v>
      </c>
      <c r="C527" s="21">
        <v>12010795099</v>
      </c>
      <c r="D527" s="16"/>
      <c r="E527" s="18" t="s">
        <v>854</v>
      </c>
      <c r="F527" s="16">
        <v>1530000</v>
      </c>
      <c r="G527" s="11">
        <f t="shared" si="7"/>
        <v>4590</v>
      </c>
      <c r="H527" s="4">
        <f t="shared" si="8"/>
        <v>45900</v>
      </c>
      <c r="I527" s="11">
        <f t="shared" si="9"/>
        <v>3671.9999999999995</v>
      </c>
      <c r="J527" s="13">
        <f t="shared" si="10"/>
        <v>56610.000000000007</v>
      </c>
      <c r="K527" s="13">
        <f t="shared" si="11"/>
        <v>30600</v>
      </c>
    </row>
    <row r="528" spans="1:11" s="6" customFormat="1" ht="12.75" customHeight="1" x14ac:dyDescent="0.2">
      <c r="A528" s="14" t="s">
        <v>768</v>
      </c>
      <c r="B528" s="29">
        <v>1211</v>
      </c>
      <c r="C528" s="21">
        <v>12034863592</v>
      </c>
      <c r="D528" s="16"/>
      <c r="E528" s="18" t="s">
        <v>854</v>
      </c>
      <c r="F528" s="16">
        <v>1669749.99</v>
      </c>
      <c r="G528" s="11">
        <f t="shared" si="7"/>
        <v>5009.2499699999998</v>
      </c>
      <c r="H528" s="4">
        <f t="shared" si="8"/>
        <v>50092.4997</v>
      </c>
      <c r="I528" s="11">
        <f t="shared" si="9"/>
        <v>4007.3999759999997</v>
      </c>
      <c r="J528" s="13">
        <f t="shared" si="10"/>
        <v>61780.749630000006</v>
      </c>
      <c r="K528" s="13">
        <f t="shared" si="11"/>
        <v>33394.999799999998</v>
      </c>
    </row>
    <row r="529" spans="1:11" s="6" customFormat="1" ht="12.75" customHeight="1" x14ac:dyDescent="0.2">
      <c r="A529" s="14" t="s">
        <v>769</v>
      </c>
      <c r="B529" s="29">
        <v>1146</v>
      </c>
      <c r="C529" s="21">
        <v>12034863600</v>
      </c>
      <c r="D529" s="16"/>
      <c r="E529" s="18" t="s">
        <v>854</v>
      </c>
      <c r="F529" s="16">
        <v>1925166.67</v>
      </c>
      <c r="G529" s="11">
        <f t="shared" si="7"/>
        <v>5775.5000099999997</v>
      </c>
      <c r="H529" s="4">
        <f t="shared" si="8"/>
        <v>57755.000099999997</v>
      </c>
      <c r="I529" s="11">
        <f t="shared" si="9"/>
        <v>4620.4000079999996</v>
      </c>
      <c r="J529" s="13">
        <f t="shared" si="10"/>
        <v>71231.166790000003</v>
      </c>
      <c r="K529" s="13">
        <f t="shared" si="11"/>
        <v>38503.333399999996</v>
      </c>
    </row>
    <row r="530" spans="1:11" s="6" customFormat="1" ht="12.75" customHeight="1" x14ac:dyDescent="0.2">
      <c r="A530" s="40" t="s">
        <v>848</v>
      </c>
      <c r="B530" s="29">
        <v>1657</v>
      </c>
      <c r="C530" s="31" t="s">
        <v>861</v>
      </c>
      <c r="D530" s="16"/>
      <c r="E530" s="18" t="s">
        <v>854</v>
      </c>
      <c r="F530" s="16">
        <v>1637500</v>
      </c>
      <c r="G530" s="11">
        <f t="shared" si="7"/>
        <v>4912.5</v>
      </c>
      <c r="H530" s="4">
        <f t="shared" si="8"/>
        <v>49125</v>
      </c>
      <c r="I530" s="11">
        <f t="shared" si="9"/>
        <v>3929.9999999999995</v>
      </c>
      <c r="J530" s="13">
        <f t="shared" si="10"/>
        <v>60587.500000000007</v>
      </c>
      <c r="K530" s="13">
        <f t="shared" si="11"/>
        <v>32750</v>
      </c>
    </row>
    <row r="531" spans="1:11" s="6" customFormat="1" ht="12.75" customHeight="1" x14ac:dyDescent="0.2">
      <c r="A531" s="14" t="s">
        <v>770</v>
      </c>
      <c r="B531" s="30">
        <v>483</v>
      </c>
      <c r="C531" s="21">
        <v>10017646760</v>
      </c>
      <c r="D531" s="16"/>
      <c r="E531" s="18" t="s">
        <v>854</v>
      </c>
      <c r="F531" s="16">
        <v>1950000</v>
      </c>
      <c r="G531" s="11">
        <f t="shared" si="7"/>
        <v>5850</v>
      </c>
      <c r="H531" s="4">
        <f t="shared" si="8"/>
        <v>58500</v>
      </c>
      <c r="I531" s="11">
        <f t="shared" si="9"/>
        <v>4680</v>
      </c>
      <c r="J531" s="13">
        <f t="shared" si="10"/>
        <v>72150.000000000015</v>
      </c>
      <c r="K531" s="13">
        <f t="shared" si="11"/>
        <v>39000</v>
      </c>
    </row>
    <row r="532" spans="1:11" s="6" customFormat="1" ht="12.75" customHeight="1" x14ac:dyDescent="0.2">
      <c r="A532" s="17" t="s">
        <v>771</v>
      </c>
      <c r="B532" s="30">
        <v>192</v>
      </c>
      <c r="C532" s="21" t="s">
        <v>855</v>
      </c>
      <c r="D532" s="16"/>
      <c r="E532" s="18" t="s">
        <v>854</v>
      </c>
      <c r="F532" s="16">
        <v>1680000</v>
      </c>
      <c r="G532" s="11">
        <f t="shared" si="7"/>
        <v>5040</v>
      </c>
      <c r="H532" s="4">
        <f t="shared" si="8"/>
        <v>50400</v>
      </c>
      <c r="I532" s="11">
        <f t="shared" si="9"/>
        <v>4031.9999999999995</v>
      </c>
      <c r="J532" s="13">
        <f t="shared" si="10"/>
        <v>62160.000000000007</v>
      </c>
      <c r="K532" s="13">
        <f t="shared" si="11"/>
        <v>33600</v>
      </c>
    </row>
    <row r="533" spans="1:11" s="6" customFormat="1" ht="12.75" customHeight="1" x14ac:dyDescent="0.2">
      <c r="A533" s="17" t="s">
        <v>772</v>
      </c>
      <c r="B533" s="30">
        <v>194</v>
      </c>
      <c r="C533" s="21" t="s">
        <v>856</v>
      </c>
      <c r="D533" s="16"/>
      <c r="E533" s="18" t="s">
        <v>854</v>
      </c>
      <c r="F533" s="16">
        <v>1570000</v>
      </c>
      <c r="G533" s="11">
        <f t="shared" si="7"/>
        <v>4710</v>
      </c>
      <c r="H533" s="4">
        <f t="shared" si="8"/>
        <v>47100</v>
      </c>
      <c r="I533" s="11">
        <f t="shared" si="9"/>
        <v>3767.9999999999995</v>
      </c>
      <c r="J533" s="13">
        <f t="shared" si="10"/>
        <v>58090.000000000007</v>
      </c>
      <c r="K533" s="13">
        <f t="shared" si="11"/>
        <v>31400</v>
      </c>
    </row>
    <row r="534" spans="1:11" s="6" customFormat="1" ht="12.75" customHeight="1" x14ac:dyDescent="0.2">
      <c r="A534" s="14" t="s">
        <v>773</v>
      </c>
      <c r="B534" s="29">
        <v>1054</v>
      </c>
      <c r="C534" s="21">
        <v>12034862602</v>
      </c>
      <c r="D534" s="16"/>
      <c r="E534" s="18" t="s">
        <v>854</v>
      </c>
      <c r="F534" s="16">
        <v>1760000.0000008731</v>
      </c>
      <c r="G534" s="11">
        <f t="shared" si="7"/>
        <v>5280.0000000026193</v>
      </c>
      <c r="H534" s="4">
        <f t="shared" si="8"/>
        <v>52800.000000026193</v>
      </c>
      <c r="I534" s="11">
        <f t="shared" si="9"/>
        <v>4224.0000000020955</v>
      </c>
      <c r="J534" s="13">
        <f t="shared" si="10"/>
        <v>65120.000000032313</v>
      </c>
      <c r="K534" s="13">
        <f t="shared" si="11"/>
        <v>35200.000000017462</v>
      </c>
    </row>
    <row r="535" spans="1:11" s="6" customFormat="1" ht="12.75" customHeight="1" x14ac:dyDescent="0.2">
      <c r="A535" s="14" t="s">
        <v>774</v>
      </c>
      <c r="B535" s="29">
        <v>281</v>
      </c>
      <c r="C535" s="21">
        <v>12010795123</v>
      </c>
      <c r="D535" s="16"/>
      <c r="E535" s="18" t="s">
        <v>854</v>
      </c>
      <c r="F535" s="16">
        <v>2241583.333335293</v>
      </c>
      <c r="G535" s="11">
        <f t="shared" si="7"/>
        <v>6724.750000005879</v>
      </c>
      <c r="H535" s="4">
        <f t="shared" si="8"/>
        <v>67247.50000005879</v>
      </c>
      <c r="I535" s="11">
        <f t="shared" si="9"/>
        <v>5379.8000000047023</v>
      </c>
      <c r="J535" s="13">
        <f t="shared" si="10"/>
        <v>82938.583333405855</v>
      </c>
      <c r="K535" s="13">
        <f t="shared" si="11"/>
        <v>44831.66666670586</v>
      </c>
    </row>
    <row r="536" spans="1:11" s="6" customFormat="1" ht="12.75" customHeight="1" x14ac:dyDescent="0.2">
      <c r="A536" s="17" t="s">
        <v>775</v>
      </c>
      <c r="B536" s="30">
        <v>46</v>
      </c>
      <c r="C536" s="21" t="s">
        <v>857</v>
      </c>
      <c r="D536" s="16"/>
      <c r="E536" s="18" t="s">
        <v>854</v>
      </c>
      <c r="F536" s="16">
        <v>2572583.3199999998</v>
      </c>
      <c r="G536" s="11">
        <f t="shared" si="7"/>
        <v>7717.7499600000001</v>
      </c>
      <c r="H536" s="4">
        <f t="shared" si="8"/>
        <v>77177.499599999996</v>
      </c>
      <c r="I536" s="11">
        <f t="shared" si="9"/>
        <v>6174.199967999999</v>
      </c>
      <c r="J536" s="13">
        <f t="shared" si="10"/>
        <v>95185.582840000003</v>
      </c>
      <c r="K536" s="13">
        <f t="shared" si="11"/>
        <v>51451.666399999995</v>
      </c>
    </row>
    <row r="537" spans="1:11" s="6" customFormat="1" ht="12.75" customHeight="1" x14ac:dyDescent="0.2">
      <c r="A537" s="14" t="s">
        <v>776</v>
      </c>
      <c r="B537" s="29">
        <v>1198</v>
      </c>
      <c r="C537" s="21">
        <v>12010795149</v>
      </c>
      <c r="D537" s="16"/>
      <c r="E537" s="18" t="s">
        <v>854</v>
      </c>
      <c r="F537" s="16">
        <v>2399250.0000016298</v>
      </c>
      <c r="G537" s="11">
        <f t="shared" si="7"/>
        <v>7197.7500000048894</v>
      </c>
      <c r="H537" s="4">
        <f t="shared" si="8"/>
        <v>71977.500000048894</v>
      </c>
      <c r="I537" s="11">
        <f t="shared" si="9"/>
        <v>5758.2000000039106</v>
      </c>
      <c r="J537" s="13">
        <f t="shared" si="10"/>
        <v>88772.250000060318</v>
      </c>
      <c r="K537" s="13">
        <f t="shared" si="11"/>
        <v>47985.000000032596</v>
      </c>
    </row>
    <row r="538" spans="1:11" s="6" customFormat="1" ht="12.75" customHeight="1" x14ac:dyDescent="0.2">
      <c r="A538" s="17" t="s">
        <v>777</v>
      </c>
      <c r="B538" s="30">
        <v>591</v>
      </c>
      <c r="C538" s="21">
        <v>10014599079</v>
      </c>
      <c r="D538" s="16"/>
      <c r="E538" s="18" t="s">
        <v>854</v>
      </c>
      <c r="F538" s="16">
        <v>2197000.0099999998</v>
      </c>
      <c r="G538" s="11">
        <f t="shared" si="7"/>
        <v>6591.0000299999992</v>
      </c>
      <c r="H538" s="4">
        <f t="shared" si="8"/>
        <v>65910.000299999985</v>
      </c>
      <c r="I538" s="11">
        <f t="shared" si="9"/>
        <v>5272.8000239999992</v>
      </c>
      <c r="J538" s="13">
        <f t="shared" si="10"/>
        <v>81289.000370000009</v>
      </c>
      <c r="K538" s="13">
        <f t="shared" si="11"/>
        <v>43940.000199999995</v>
      </c>
    </row>
    <row r="539" spans="1:11" s="6" customFormat="1" ht="12.75" customHeight="1" x14ac:dyDescent="0.2">
      <c r="A539" s="17" t="s">
        <v>778</v>
      </c>
      <c r="B539" s="30">
        <v>287</v>
      </c>
      <c r="C539" s="21" t="s">
        <v>858</v>
      </c>
      <c r="D539" s="16"/>
      <c r="E539" s="18" t="s">
        <v>854</v>
      </c>
      <c r="F539" s="16">
        <v>2378166.69</v>
      </c>
      <c r="G539" s="11">
        <f t="shared" si="7"/>
        <v>7134.5000700000001</v>
      </c>
      <c r="H539" s="4">
        <f t="shared" si="8"/>
        <v>71345.00069999999</v>
      </c>
      <c r="I539" s="11">
        <f t="shared" si="9"/>
        <v>5707.6000559999993</v>
      </c>
      <c r="J539" s="13">
        <f t="shared" si="10"/>
        <v>87992.167530000006</v>
      </c>
      <c r="K539" s="13">
        <f t="shared" si="11"/>
        <v>47563.3338</v>
      </c>
    </row>
    <row r="540" spans="1:11" s="6" customFormat="1" ht="12.75" customHeight="1" x14ac:dyDescent="0.2">
      <c r="A540" s="40" t="s">
        <v>849</v>
      </c>
      <c r="B540" s="29">
        <v>1539</v>
      </c>
      <c r="C540" s="31" t="s">
        <v>861</v>
      </c>
      <c r="D540" s="16"/>
      <c r="E540" s="18" t="s">
        <v>854</v>
      </c>
      <c r="F540" s="16">
        <v>1807500</v>
      </c>
      <c r="G540" s="11">
        <f t="shared" si="7"/>
        <v>5422.5</v>
      </c>
      <c r="H540" s="4">
        <f t="shared" si="8"/>
        <v>54225</v>
      </c>
      <c r="I540" s="11">
        <f t="shared" si="9"/>
        <v>4338</v>
      </c>
      <c r="J540" s="13">
        <f t="shared" si="10"/>
        <v>66877.500000000015</v>
      </c>
      <c r="K540" s="13">
        <f t="shared" si="11"/>
        <v>36150</v>
      </c>
    </row>
    <row r="541" spans="1:11" s="6" customFormat="1" ht="12.75" customHeight="1" x14ac:dyDescent="0.2">
      <c r="A541" s="17" t="s">
        <v>779</v>
      </c>
      <c r="B541" s="30">
        <v>58</v>
      </c>
      <c r="C541" s="21">
        <v>12014325687</v>
      </c>
      <c r="D541" s="16"/>
      <c r="E541" s="18" t="s">
        <v>854</v>
      </c>
      <c r="F541" s="16">
        <v>1688250</v>
      </c>
      <c r="G541" s="11">
        <f t="shared" si="7"/>
        <v>5064.75</v>
      </c>
      <c r="H541" s="4">
        <f t="shared" si="8"/>
        <v>50647.5</v>
      </c>
      <c r="I541" s="11">
        <f t="shared" si="9"/>
        <v>4051.7999999999997</v>
      </c>
      <c r="J541" s="13">
        <f t="shared" si="10"/>
        <v>62465.250000000007</v>
      </c>
      <c r="K541" s="13">
        <f t="shared" si="11"/>
        <v>33765</v>
      </c>
    </row>
    <row r="542" spans="1:11" s="6" customFormat="1" ht="12.75" customHeight="1" x14ac:dyDescent="0.2">
      <c r="A542" s="14" t="s">
        <v>780</v>
      </c>
      <c r="B542" s="29">
        <v>1013</v>
      </c>
      <c r="C542" s="21">
        <v>12034862628</v>
      </c>
      <c r="D542" s="16"/>
      <c r="E542" s="18" t="s">
        <v>854</v>
      </c>
      <c r="F542" s="16">
        <v>1630000</v>
      </c>
      <c r="G542" s="11">
        <f t="shared" si="7"/>
        <v>4890</v>
      </c>
      <c r="H542" s="4">
        <f t="shared" si="8"/>
        <v>48900</v>
      </c>
      <c r="I542" s="11">
        <f t="shared" si="9"/>
        <v>3911.9999999999995</v>
      </c>
      <c r="J542" s="13">
        <f t="shared" si="10"/>
        <v>60310.000000000007</v>
      </c>
      <c r="K542" s="13">
        <f t="shared" si="11"/>
        <v>32600</v>
      </c>
    </row>
    <row r="543" spans="1:11" s="6" customFormat="1" ht="12.75" customHeight="1" x14ac:dyDescent="0.2">
      <c r="A543" s="40" t="s">
        <v>850</v>
      </c>
      <c r="B543" s="29">
        <v>838</v>
      </c>
      <c r="C543" s="31" t="s">
        <v>861</v>
      </c>
      <c r="D543" s="16"/>
      <c r="E543" s="18" t="s">
        <v>854</v>
      </c>
      <c r="F543" s="16">
        <v>1600000</v>
      </c>
      <c r="G543" s="11">
        <f t="shared" si="7"/>
        <v>4800</v>
      </c>
      <c r="H543" s="4">
        <f t="shared" si="8"/>
        <v>48000</v>
      </c>
      <c r="I543" s="11">
        <f t="shared" si="9"/>
        <v>3839.9999999999995</v>
      </c>
      <c r="J543" s="13">
        <f t="shared" si="10"/>
        <v>59200.000000000007</v>
      </c>
      <c r="K543" s="13">
        <f t="shared" si="11"/>
        <v>32000</v>
      </c>
    </row>
    <row r="544" spans="1:11" s="6" customFormat="1" ht="12.75" customHeight="1" x14ac:dyDescent="0.2">
      <c r="A544" s="40" t="s">
        <v>851</v>
      </c>
      <c r="B544" s="29">
        <v>1695</v>
      </c>
      <c r="C544" s="31" t="s">
        <v>861</v>
      </c>
      <c r="D544" s="16"/>
      <c r="E544" s="18" t="s">
        <v>854</v>
      </c>
      <c r="F544" s="16">
        <v>1988350</v>
      </c>
      <c r="G544" s="11">
        <f t="shared" si="7"/>
        <v>5965.05</v>
      </c>
      <c r="H544" s="4">
        <f t="shared" si="8"/>
        <v>59650.5</v>
      </c>
      <c r="I544" s="11">
        <f t="shared" si="9"/>
        <v>4772.04</v>
      </c>
      <c r="J544" s="13">
        <f t="shared" si="10"/>
        <v>73568.950000000012</v>
      </c>
      <c r="K544" s="13">
        <f t="shared" si="11"/>
        <v>39767</v>
      </c>
    </row>
    <row r="545" spans="1:11" s="6" customFormat="1" ht="12.75" customHeight="1" x14ac:dyDescent="0.2">
      <c r="A545" s="17" t="s">
        <v>781</v>
      </c>
      <c r="B545" s="30">
        <v>87</v>
      </c>
      <c r="C545" s="21" t="s">
        <v>859</v>
      </c>
      <c r="D545" s="16"/>
      <c r="E545" s="18" t="s">
        <v>854</v>
      </c>
      <c r="F545" s="16">
        <v>2045000</v>
      </c>
      <c r="G545" s="11">
        <f t="shared" si="7"/>
        <v>6135</v>
      </c>
      <c r="H545" s="4">
        <f t="shared" si="8"/>
        <v>61350</v>
      </c>
      <c r="I545" s="11">
        <f t="shared" si="9"/>
        <v>4908</v>
      </c>
      <c r="J545" s="13">
        <f t="shared" si="10"/>
        <v>75665.000000000015</v>
      </c>
      <c r="K545" s="13">
        <f t="shared" si="11"/>
        <v>40900</v>
      </c>
    </row>
    <row r="546" spans="1:11" s="6" customFormat="1" ht="12.75" customHeight="1" x14ac:dyDescent="0.2">
      <c r="A546" s="14" t="s">
        <v>782</v>
      </c>
      <c r="B546" s="29">
        <v>950</v>
      </c>
      <c r="C546" s="21">
        <v>12010795164</v>
      </c>
      <c r="D546" s="16"/>
      <c r="E546" s="18" t="s">
        <v>854</v>
      </c>
      <c r="F546" s="16">
        <v>1966166.6666669771</v>
      </c>
      <c r="G546" s="11">
        <f t="shared" si="7"/>
        <v>5898.5000000009313</v>
      </c>
      <c r="H546" s="4">
        <f t="shared" si="8"/>
        <v>58985.000000009313</v>
      </c>
      <c r="I546" s="11">
        <f t="shared" si="9"/>
        <v>4718.8000000007451</v>
      </c>
      <c r="J546" s="13">
        <f t="shared" si="10"/>
        <v>72748.166666678168</v>
      </c>
      <c r="K546" s="13">
        <f t="shared" si="11"/>
        <v>39323.333333339542</v>
      </c>
    </row>
    <row r="547" spans="1:11" s="6" customFormat="1" ht="12.75" customHeight="1" x14ac:dyDescent="0.2">
      <c r="A547" s="14" t="s">
        <v>783</v>
      </c>
      <c r="B547" s="29">
        <v>951</v>
      </c>
      <c r="C547" s="21">
        <v>12010795214</v>
      </c>
      <c r="D547" s="16"/>
      <c r="E547" s="18" t="s">
        <v>854</v>
      </c>
      <c r="F547" s="16">
        <v>1487666.6666666279</v>
      </c>
      <c r="G547" s="11">
        <f t="shared" si="7"/>
        <v>4462.9999999998836</v>
      </c>
      <c r="H547" s="4">
        <f t="shared" si="8"/>
        <v>44629.999999998836</v>
      </c>
      <c r="I547" s="11">
        <f t="shared" si="9"/>
        <v>3570.3999999999064</v>
      </c>
      <c r="J547" s="13">
        <f t="shared" si="10"/>
        <v>55043.666666665238</v>
      </c>
      <c r="K547" s="13">
        <f t="shared" si="11"/>
        <v>29753.333333332557</v>
      </c>
    </row>
    <row r="548" spans="1:11" s="6" customFormat="1" ht="12.75" customHeight="1" x14ac:dyDescent="0.2">
      <c r="A548" s="14" t="s">
        <v>784</v>
      </c>
      <c r="B548" s="29">
        <v>987</v>
      </c>
      <c r="C548" s="21">
        <v>12037894784</v>
      </c>
      <c r="D548" s="16"/>
      <c r="E548" s="18" t="s">
        <v>854</v>
      </c>
      <c r="F548" s="16">
        <v>1528416.6666670353</v>
      </c>
      <c r="G548" s="11">
        <f>0.3%*F548</f>
        <v>4585.2500000011059</v>
      </c>
      <c r="H548" s="4">
        <f>IF(F548&lt;3080000,F548*3%,IF(F548&gt;=3080000,3080000*3%,0))</f>
        <v>45852.500000011059</v>
      </c>
      <c r="I548" s="11">
        <f>F548*0.24%</f>
        <v>3668.2000000008843</v>
      </c>
      <c r="J548" s="13">
        <f>3.7%*F548</f>
        <v>56551.416666680314</v>
      </c>
      <c r="K548" s="13">
        <f>2%*F548</f>
        <v>30568.333333340706</v>
      </c>
    </row>
    <row r="549" spans="1:11" s="6" customFormat="1" ht="12.75" customHeight="1" x14ac:dyDescent="0.2">
      <c r="A549" s="14" t="s">
        <v>785</v>
      </c>
      <c r="B549" s="29">
        <v>1160</v>
      </c>
      <c r="C549" s="21">
        <v>12034863626</v>
      </c>
      <c r="D549" s="16"/>
      <c r="E549" s="18" t="s">
        <v>854</v>
      </c>
      <c r="F549" s="16">
        <v>2055000.02</v>
      </c>
      <c r="G549" s="11">
        <f>0.3%*F549</f>
        <v>6165.0000600000003</v>
      </c>
      <c r="H549" s="4">
        <f>IF(F549&lt;3080000,F549*3%,IF(F549&gt;=3080000,3080000*3%,0))</f>
        <v>61650.000599999999</v>
      </c>
      <c r="I549" s="11">
        <f>F549*0.24%</f>
        <v>4932.0000479999999</v>
      </c>
      <c r="J549" s="13">
        <f>3.7%*F549</f>
        <v>76035.000740000018</v>
      </c>
      <c r="K549" s="13">
        <f>2%*F549</f>
        <v>41100.000400000004</v>
      </c>
    </row>
    <row r="550" spans="1:11" s="6" customFormat="1" ht="12.75" customHeight="1" x14ac:dyDescent="0.2">
      <c r="A550" s="17" t="s">
        <v>786</v>
      </c>
      <c r="B550" s="29">
        <v>952</v>
      </c>
      <c r="C550" s="21">
        <v>12010795222</v>
      </c>
      <c r="D550" s="16"/>
      <c r="E550" s="18" t="s">
        <v>854</v>
      </c>
      <c r="F550" s="16">
        <v>1430000</v>
      </c>
      <c r="G550" s="11">
        <f>0.3%*F550</f>
        <v>4290</v>
      </c>
      <c r="H550" s="4">
        <f>IF(F550&lt;3080000,F550*3%,IF(F550&gt;=3080000,3080000*3%,0))</f>
        <v>42900</v>
      </c>
      <c r="I550" s="11">
        <f>F550*0.24%</f>
        <v>3431.9999999999995</v>
      </c>
      <c r="J550" s="13">
        <f>3.7%*F550</f>
        <v>52910.000000000007</v>
      </c>
      <c r="K550" s="13">
        <f>2%*F550</f>
        <v>28600</v>
      </c>
    </row>
    <row r="551" spans="1:11" s="6" customFormat="1" ht="12.75" customHeight="1" x14ac:dyDescent="0.2">
      <c r="A551" s="17"/>
      <c r="B551" s="15"/>
      <c r="C551" s="18"/>
      <c r="D551" s="15"/>
      <c r="F551" s="16"/>
      <c r="G551" s="11"/>
      <c r="H551" s="11"/>
      <c r="I551" s="13"/>
      <c r="J551" s="13"/>
    </row>
    <row r="552" spans="1:11" ht="12.75" customHeight="1" x14ac:dyDescent="0.2">
      <c r="A552" s="72" t="s">
        <v>864</v>
      </c>
      <c r="B552" s="72"/>
      <c r="C552" s="72"/>
      <c r="D552" s="72"/>
      <c r="E552" s="72"/>
      <c r="F552" s="72"/>
      <c r="G552" s="36">
        <f>SUM(G518:G551)</f>
        <v>181065.8001000197</v>
      </c>
      <c r="H552" s="36">
        <f>SUM(H518:H551)</f>
        <v>1810658.0010001971</v>
      </c>
      <c r="I552" s="36">
        <f>SUM(I518:I551)</f>
        <v>144852.64008001576</v>
      </c>
      <c r="J552" s="36">
        <f>SUM(J518:J551)</f>
        <v>2233144.8679002435</v>
      </c>
      <c r="K552" s="36">
        <f>SUM(K518:K551)</f>
        <v>1207105.3340001316</v>
      </c>
    </row>
    <row r="556" spans="1:11" ht="12.75" customHeight="1" x14ac:dyDescent="0.2">
      <c r="A556" s="42" t="s">
        <v>0</v>
      </c>
      <c r="B556" s="32"/>
      <c r="C556" s="33"/>
    </row>
    <row r="557" spans="1:11" ht="12.75" customHeight="1" x14ac:dyDescent="0.2">
      <c r="A557" s="34" t="s">
        <v>862</v>
      </c>
      <c r="B557" s="74">
        <f>K515</f>
        <v>15934254</v>
      </c>
      <c r="C557" s="75"/>
    </row>
    <row r="558" spans="1:11" ht="12.75" customHeight="1" x14ac:dyDescent="0.2">
      <c r="A558" s="34" t="s">
        <v>758</v>
      </c>
      <c r="B558" s="76">
        <f>K552</f>
        <v>1207105.3340001316</v>
      </c>
      <c r="C558" s="77"/>
    </row>
    <row r="559" spans="1:11" ht="12.75" customHeight="1" x14ac:dyDescent="0.2">
      <c r="A559" s="42" t="s">
        <v>863</v>
      </c>
      <c r="B559" s="32"/>
      <c r="C559" s="33"/>
    </row>
    <row r="560" spans="1:11" ht="12.75" customHeight="1" x14ac:dyDescent="0.2">
      <c r="A560" s="34" t="s">
        <v>862</v>
      </c>
      <c r="B560" s="74">
        <f>G515+H515+I515+J515</f>
        <v>57030927.020000011</v>
      </c>
      <c r="C560" s="75"/>
    </row>
    <row r="561" spans="1:3" ht="12.75" customHeight="1" x14ac:dyDescent="0.2">
      <c r="A561" s="34" t="s">
        <v>758</v>
      </c>
      <c r="B561" s="76">
        <f>G552+H552+I552+J552</f>
        <v>4369721.3090804759</v>
      </c>
      <c r="C561" s="77"/>
    </row>
    <row r="562" spans="1:3" ht="12.75" customHeight="1" x14ac:dyDescent="0.2">
      <c r="A562" s="35" t="s">
        <v>864</v>
      </c>
      <c r="B562" s="70">
        <f>B557+B558+B560+B561</f>
        <v>78542007.663080633</v>
      </c>
      <c r="C562" s="71"/>
    </row>
    <row r="580" spans="1:1" ht="12.75" customHeight="1" x14ac:dyDescent="0.2">
      <c r="A580" s="41" t="s">
        <v>860</v>
      </c>
    </row>
  </sheetData>
  <autoFilter ref="A4:K4" xr:uid="{00000000-0009-0000-0000-000000000000}">
    <sortState xmlns:xlrd2="http://schemas.microsoft.com/office/spreadsheetml/2017/richdata2" ref="A5:K455">
      <sortCondition ref="E4"/>
    </sortState>
  </autoFilter>
  <mergeCells count="8">
    <mergeCell ref="B562:C562"/>
    <mergeCell ref="A552:F552"/>
    <mergeCell ref="A515:F515"/>
    <mergeCell ref="A1:K1"/>
    <mergeCell ref="B557:C557"/>
    <mergeCell ref="B558:C558"/>
    <mergeCell ref="B560:C560"/>
    <mergeCell ref="B561:C561"/>
  </mergeCells>
  <pageMargins left="0" right="0" top="0" bottom="0" header="0" footer="0"/>
  <pageSetup fitToWidth="0" fitToHeight="0"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2:J35"/>
  <sheetViews>
    <sheetView tabSelected="1" zoomScale="85" zoomScaleNormal="85" workbookViewId="0">
      <selection activeCell="J7" sqref="J7"/>
    </sheetView>
  </sheetViews>
  <sheetFormatPr defaultColWidth="13.85546875" defaultRowHeight="17.25" x14ac:dyDescent="0.2"/>
  <cols>
    <col min="1" max="1" width="3.5703125" style="44" customWidth="1"/>
    <col min="2" max="2" width="8.5703125" style="63" bestFit="1" customWidth="1"/>
    <col min="3" max="3" width="31.5703125" style="49" bestFit="1" customWidth="1"/>
    <col min="4" max="4" width="27.28515625" style="63" customWidth="1"/>
    <col min="5" max="5" width="16.85546875" style="44" customWidth="1"/>
    <col min="6" max="6" width="17.42578125" style="44" customWidth="1"/>
    <col min="7" max="8" width="13.85546875" style="44"/>
    <col min="9" max="9" width="15.140625" style="44" customWidth="1"/>
    <col min="10" max="10" width="23" style="44" customWidth="1"/>
    <col min="11" max="16384" width="13.85546875" style="44"/>
  </cols>
  <sheetData>
    <row r="2" spans="2:10" x14ac:dyDescent="0.2">
      <c r="B2" s="51" t="s">
        <v>875</v>
      </c>
      <c r="C2" s="51" t="s">
        <v>876</v>
      </c>
      <c r="D2" s="61" t="s">
        <v>3</v>
      </c>
      <c r="E2" s="51" t="s">
        <v>877</v>
      </c>
      <c r="F2" s="51" t="s">
        <v>878</v>
      </c>
      <c r="H2" s="51" t="s">
        <v>875</v>
      </c>
      <c r="I2" s="51" t="s">
        <v>878</v>
      </c>
      <c r="J2" s="51" t="s">
        <v>879</v>
      </c>
    </row>
    <row r="3" spans="2:10" x14ac:dyDescent="0.2">
      <c r="B3" s="62">
        <v>1</v>
      </c>
      <c r="C3" s="45" t="s">
        <v>883</v>
      </c>
      <c r="D3" s="64">
        <v>123456789</v>
      </c>
      <c r="E3" s="46" t="s">
        <v>916</v>
      </c>
      <c r="F3" s="46" t="s">
        <v>920</v>
      </c>
      <c r="H3" s="50">
        <v>1</v>
      </c>
      <c r="I3" s="46" t="s">
        <v>873</v>
      </c>
      <c r="J3" s="47">
        <v>3500000</v>
      </c>
    </row>
    <row r="4" spans="2:10" x14ac:dyDescent="0.2">
      <c r="B4" s="62">
        <v>2</v>
      </c>
      <c r="C4" s="45" t="s">
        <v>884</v>
      </c>
      <c r="D4" s="64">
        <v>123456790</v>
      </c>
      <c r="E4" s="46" t="s">
        <v>917</v>
      </c>
      <c r="F4" s="46" t="s">
        <v>882</v>
      </c>
      <c r="H4" s="50">
        <v>2</v>
      </c>
      <c r="I4" s="46" t="s">
        <v>874</v>
      </c>
      <c r="J4" s="47">
        <v>5000000</v>
      </c>
    </row>
    <row r="5" spans="2:10" x14ac:dyDescent="0.2">
      <c r="B5" s="62">
        <v>3</v>
      </c>
      <c r="C5" s="45" t="s">
        <v>885</v>
      </c>
      <c r="D5" s="64">
        <v>123456791</v>
      </c>
      <c r="E5" s="46" t="s">
        <v>918</v>
      </c>
      <c r="F5" s="46" t="s">
        <v>920</v>
      </c>
      <c r="H5" s="50">
        <v>3</v>
      </c>
      <c r="I5" s="46" t="s">
        <v>881</v>
      </c>
      <c r="J5" s="47">
        <v>6000000</v>
      </c>
    </row>
    <row r="6" spans="2:10" x14ac:dyDescent="0.2">
      <c r="B6" s="62">
        <v>4</v>
      </c>
      <c r="C6" s="45" t="s">
        <v>886</v>
      </c>
      <c r="D6" s="64">
        <v>123456792</v>
      </c>
      <c r="E6" s="46" t="s">
        <v>917</v>
      </c>
      <c r="F6" s="46" t="s">
        <v>881</v>
      </c>
      <c r="H6" s="50">
        <v>4</v>
      </c>
      <c r="I6" s="46" t="s">
        <v>882</v>
      </c>
      <c r="J6" s="47">
        <v>7000000</v>
      </c>
    </row>
    <row r="7" spans="2:10" x14ac:dyDescent="0.2">
      <c r="B7" s="62">
        <v>5</v>
      </c>
      <c r="C7" s="45" t="s">
        <v>887</v>
      </c>
      <c r="D7" s="64">
        <v>123456793</v>
      </c>
      <c r="E7" s="46" t="s">
        <v>916</v>
      </c>
      <c r="F7" s="46" t="s">
        <v>921</v>
      </c>
    </row>
    <row r="8" spans="2:10" x14ac:dyDescent="0.2">
      <c r="B8" s="62">
        <v>6</v>
      </c>
      <c r="C8" s="48" t="s">
        <v>888</v>
      </c>
      <c r="D8" s="64">
        <v>123456794</v>
      </c>
      <c r="E8" s="46" t="s">
        <v>917</v>
      </c>
      <c r="F8" s="46" t="s">
        <v>920</v>
      </c>
    </row>
    <row r="9" spans="2:10" x14ac:dyDescent="0.2">
      <c r="B9" s="62">
        <v>7</v>
      </c>
      <c r="C9" s="45" t="s">
        <v>889</v>
      </c>
      <c r="D9" s="64">
        <v>123456795</v>
      </c>
      <c r="E9" s="46" t="s">
        <v>918</v>
      </c>
      <c r="F9" s="46" t="s">
        <v>920</v>
      </c>
    </row>
    <row r="10" spans="2:10" x14ac:dyDescent="0.2">
      <c r="B10" s="62">
        <v>8</v>
      </c>
      <c r="C10" s="45" t="s">
        <v>890</v>
      </c>
      <c r="D10" s="64">
        <v>123456796</v>
      </c>
      <c r="E10" s="46" t="s">
        <v>918</v>
      </c>
      <c r="F10" s="46" t="s">
        <v>920</v>
      </c>
    </row>
    <row r="11" spans="2:10" x14ac:dyDescent="0.2">
      <c r="B11" s="62">
        <v>9</v>
      </c>
      <c r="C11" s="45" t="s">
        <v>891</v>
      </c>
      <c r="D11" s="64">
        <v>123456797</v>
      </c>
      <c r="E11" s="46" t="s">
        <v>918</v>
      </c>
      <c r="F11" s="46" t="s">
        <v>920</v>
      </c>
    </row>
    <row r="12" spans="2:10" x14ac:dyDescent="0.2">
      <c r="B12" s="62">
        <v>10</v>
      </c>
      <c r="C12" s="45" t="s">
        <v>892</v>
      </c>
      <c r="D12" s="64">
        <v>123456798</v>
      </c>
      <c r="E12" s="46" t="s">
        <v>916</v>
      </c>
      <c r="F12" s="46" t="s">
        <v>920</v>
      </c>
    </row>
    <row r="13" spans="2:10" x14ac:dyDescent="0.2">
      <c r="B13" s="62">
        <v>11</v>
      </c>
      <c r="C13" s="45" t="s">
        <v>893</v>
      </c>
      <c r="D13" s="64">
        <v>123456799</v>
      </c>
      <c r="E13" s="46" t="s">
        <v>919</v>
      </c>
      <c r="F13" s="46" t="s">
        <v>920</v>
      </c>
    </row>
    <row r="14" spans="2:10" x14ac:dyDescent="0.2">
      <c r="B14" s="62">
        <v>12</v>
      </c>
      <c r="C14" s="45" t="s">
        <v>894</v>
      </c>
      <c r="D14" s="64">
        <v>123456800</v>
      </c>
      <c r="E14" s="46" t="s">
        <v>919</v>
      </c>
      <c r="F14" s="46" t="s">
        <v>920</v>
      </c>
    </row>
    <row r="15" spans="2:10" x14ac:dyDescent="0.2">
      <c r="B15" s="62">
        <v>13</v>
      </c>
      <c r="C15" s="48" t="s">
        <v>895</v>
      </c>
      <c r="D15" s="64">
        <v>123456801</v>
      </c>
      <c r="E15" s="46" t="s">
        <v>916</v>
      </c>
      <c r="F15" s="46" t="s">
        <v>920</v>
      </c>
    </row>
    <row r="16" spans="2:10" x14ac:dyDescent="0.2">
      <c r="B16" s="62">
        <v>14</v>
      </c>
      <c r="C16" s="48" t="s">
        <v>896</v>
      </c>
      <c r="D16" s="64">
        <v>123456802</v>
      </c>
      <c r="E16" s="46" t="s">
        <v>919</v>
      </c>
      <c r="F16" s="46" t="s">
        <v>920</v>
      </c>
    </row>
    <row r="17" spans="2:6" x14ac:dyDescent="0.2">
      <c r="B17" s="62">
        <v>15</v>
      </c>
      <c r="C17" s="45" t="s">
        <v>897</v>
      </c>
      <c r="D17" s="64">
        <v>123456803</v>
      </c>
      <c r="E17" s="46" t="s">
        <v>916</v>
      </c>
      <c r="F17" s="46" t="s">
        <v>920</v>
      </c>
    </row>
    <row r="18" spans="2:6" x14ac:dyDescent="0.2">
      <c r="B18" s="62">
        <v>16</v>
      </c>
      <c r="C18" s="45" t="s">
        <v>898</v>
      </c>
      <c r="D18" s="64">
        <v>123456804</v>
      </c>
      <c r="E18" s="46" t="s">
        <v>916</v>
      </c>
      <c r="F18" s="46" t="s">
        <v>920</v>
      </c>
    </row>
    <row r="19" spans="2:6" x14ac:dyDescent="0.2">
      <c r="B19" s="62">
        <v>17</v>
      </c>
      <c r="C19" s="48" t="s">
        <v>899</v>
      </c>
      <c r="D19" s="64">
        <v>123456805</v>
      </c>
      <c r="E19" s="46" t="s">
        <v>919</v>
      </c>
      <c r="F19" s="46" t="s">
        <v>921</v>
      </c>
    </row>
    <row r="20" spans="2:6" x14ac:dyDescent="0.2">
      <c r="B20" s="62">
        <v>18</v>
      </c>
      <c r="C20" s="45" t="s">
        <v>900</v>
      </c>
      <c r="D20" s="64">
        <v>123456806</v>
      </c>
      <c r="E20" s="46" t="s">
        <v>919</v>
      </c>
      <c r="F20" s="46" t="s">
        <v>920</v>
      </c>
    </row>
    <row r="21" spans="2:6" x14ac:dyDescent="0.2">
      <c r="B21" s="62">
        <v>19</v>
      </c>
      <c r="C21" s="48" t="s">
        <v>901</v>
      </c>
      <c r="D21" s="64">
        <v>123456807</v>
      </c>
      <c r="E21" s="46" t="s">
        <v>917</v>
      </c>
      <c r="F21" s="46" t="s">
        <v>920</v>
      </c>
    </row>
    <row r="22" spans="2:6" x14ac:dyDescent="0.2">
      <c r="B22" s="62">
        <v>20</v>
      </c>
      <c r="C22" s="48" t="s">
        <v>902</v>
      </c>
      <c r="D22" s="64">
        <v>123456808</v>
      </c>
      <c r="E22" s="46" t="s">
        <v>918</v>
      </c>
      <c r="F22" s="46" t="s">
        <v>921</v>
      </c>
    </row>
    <row r="23" spans="2:6" x14ac:dyDescent="0.2">
      <c r="B23" s="62">
        <v>21</v>
      </c>
      <c r="C23" s="45" t="s">
        <v>903</v>
      </c>
      <c r="D23" s="64">
        <v>123456809</v>
      </c>
      <c r="E23" s="46" t="s">
        <v>918</v>
      </c>
      <c r="F23" s="46" t="s">
        <v>920</v>
      </c>
    </row>
    <row r="24" spans="2:6" x14ac:dyDescent="0.2">
      <c r="B24" s="62">
        <v>22</v>
      </c>
      <c r="C24" s="48" t="s">
        <v>904</v>
      </c>
      <c r="D24" s="64">
        <v>123456810</v>
      </c>
      <c r="E24" s="46" t="s">
        <v>918</v>
      </c>
      <c r="F24" s="46" t="s">
        <v>920</v>
      </c>
    </row>
    <row r="25" spans="2:6" x14ac:dyDescent="0.2">
      <c r="B25" s="62">
        <v>23</v>
      </c>
      <c r="C25" s="45" t="s">
        <v>905</v>
      </c>
      <c r="D25" s="64">
        <v>123456811</v>
      </c>
      <c r="E25" s="46" t="s">
        <v>916</v>
      </c>
      <c r="F25" s="46" t="s">
        <v>882</v>
      </c>
    </row>
    <row r="26" spans="2:6" x14ac:dyDescent="0.2">
      <c r="B26" s="62">
        <v>24</v>
      </c>
      <c r="C26" s="45" t="s">
        <v>906</v>
      </c>
      <c r="D26" s="64">
        <v>123456812</v>
      </c>
      <c r="E26" s="46" t="s">
        <v>916</v>
      </c>
      <c r="F26" s="46" t="s">
        <v>881</v>
      </c>
    </row>
    <row r="27" spans="2:6" x14ac:dyDescent="0.2">
      <c r="B27" s="62">
        <v>25</v>
      </c>
      <c r="C27" s="45" t="s">
        <v>907</v>
      </c>
      <c r="D27" s="64">
        <v>123456813</v>
      </c>
      <c r="E27" s="46" t="s">
        <v>918</v>
      </c>
      <c r="F27" s="46" t="s">
        <v>882</v>
      </c>
    </row>
    <row r="28" spans="2:6" x14ac:dyDescent="0.2">
      <c r="B28" s="62">
        <v>26</v>
      </c>
      <c r="C28" s="48" t="s">
        <v>908</v>
      </c>
      <c r="D28" s="64">
        <v>123456814</v>
      </c>
      <c r="E28" s="46" t="s">
        <v>918</v>
      </c>
      <c r="F28" s="46" t="s">
        <v>881</v>
      </c>
    </row>
    <row r="29" spans="2:6" x14ac:dyDescent="0.2">
      <c r="B29" s="62">
        <v>27</v>
      </c>
      <c r="C29" s="48" t="s">
        <v>909</v>
      </c>
      <c r="D29" s="64">
        <v>123456815</v>
      </c>
      <c r="E29" s="46" t="s">
        <v>918</v>
      </c>
      <c r="F29" s="46" t="s">
        <v>921</v>
      </c>
    </row>
    <row r="30" spans="2:6" x14ac:dyDescent="0.2">
      <c r="B30" s="62">
        <v>28</v>
      </c>
      <c r="C30" s="45" t="s">
        <v>910</v>
      </c>
      <c r="D30" s="64">
        <v>123456816</v>
      </c>
      <c r="E30" s="46" t="s">
        <v>917</v>
      </c>
      <c r="F30" s="46" t="s">
        <v>921</v>
      </c>
    </row>
    <row r="31" spans="2:6" x14ac:dyDescent="0.2">
      <c r="B31" s="62">
        <v>29</v>
      </c>
      <c r="C31" s="45" t="s">
        <v>911</v>
      </c>
      <c r="D31" s="64">
        <v>123456817</v>
      </c>
      <c r="E31" s="46" t="s">
        <v>918</v>
      </c>
      <c r="F31" s="46" t="s">
        <v>920</v>
      </c>
    </row>
    <row r="32" spans="2:6" x14ac:dyDescent="0.2">
      <c r="B32" s="62">
        <v>30</v>
      </c>
      <c r="C32" s="45" t="s">
        <v>912</v>
      </c>
      <c r="D32" s="64">
        <v>123456818</v>
      </c>
      <c r="E32" s="46" t="s">
        <v>919</v>
      </c>
      <c r="F32" s="46" t="s">
        <v>882</v>
      </c>
    </row>
    <row r="33" spans="2:6" x14ac:dyDescent="0.2">
      <c r="B33" s="62">
        <v>31</v>
      </c>
      <c r="C33" s="45" t="s">
        <v>913</v>
      </c>
      <c r="D33" s="64">
        <v>123456819</v>
      </c>
      <c r="E33" s="46" t="s">
        <v>918</v>
      </c>
      <c r="F33" s="46" t="s">
        <v>920</v>
      </c>
    </row>
    <row r="34" spans="2:6" x14ac:dyDescent="0.2">
      <c r="B34" s="62">
        <v>32</v>
      </c>
      <c r="C34" s="48" t="s">
        <v>914</v>
      </c>
      <c r="D34" s="64">
        <v>123456820</v>
      </c>
      <c r="E34" s="46" t="s">
        <v>919</v>
      </c>
      <c r="F34" s="46" t="s">
        <v>881</v>
      </c>
    </row>
    <row r="35" spans="2:6" x14ac:dyDescent="0.2">
      <c r="B35" s="62">
        <v>33</v>
      </c>
      <c r="C35" s="48" t="s">
        <v>915</v>
      </c>
      <c r="D35" s="64">
        <v>123456821</v>
      </c>
      <c r="E35" s="46" t="s">
        <v>918</v>
      </c>
      <c r="F35" s="46" t="s">
        <v>921</v>
      </c>
    </row>
  </sheetData>
  <autoFilter ref="B2:F35" xr:uid="{00000000-0009-0000-0000-000002000000}"/>
  <sortState xmlns:xlrd2="http://schemas.microsoft.com/office/spreadsheetml/2017/richdata2" ref="B2:F34">
    <sortCondition ref="B2:B34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18EEE-3064-4D0C-B98B-BCEFD40E1E03}">
  <sheetPr>
    <tabColor rgb="FF0000FF"/>
  </sheetPr>
  <dimension ref="B1:N54"/>
  <sheetViews>
    <sheetView zoomScale="115" zoomScaleNormal="115" workbookViewId="0">
      <selection activeCell="D14" sqref="D14"/>
    </sheetView>
  </sheetViews>
  <sheetFormatPr defaultRowHeight="10.5" x14ac:dyDescent="0.2"/>
  <cols>
    <col min="1" max="1" width="2" style="43" customWidth="1"/>
    <col min="2" max="2" width="3.85546875" style="43" customWidth="1"/>
    <col min="3" max="3" width="17.85546875" style="43" customWidth="1"/>
    <col min="4" max="5" width="10" style="43" customWidth="1"/>
    <col min="6" max="6" width="9.28515625" style="43" customWidth="1"/>
    <col min="7" max="7" width="10" style="43" customWidth="1"/>
    <col min="8" max="8" width="13.42578125" style="43" customWidth="1"/>
    <col min="9" max="9" width="11.42578125" style="43" customWidth="1"/>
    <col min="10" max="12" width="11.42578125" style="53" customWidth="1"/>
    <col min="13" max="13" width="15.7109375" style="53" customWidth="1"/>
    <col min="14" max="14" width="11.42578125" style="53" customWidth="1"/>
    <col min="15" max="16384" width="9.140625" style="43"/>
  </cols>
  <sheetData>
    <row r="1" spans="2:14" ht="14.25" customHeight="1" x14ac:dyDescent="0.2">
      <c r="B1" s="43" t="s">
        <v>880</v>
      </c>
    </row>
    <row r="2" spans="2:14" s="52" customFormat="1" ht="21" x14ac:dyDescent="0.2">
      <c r="B2" s="57" t="s">
        <v>875</v>
      </c>
      <c r="C2" s="58" t="s">
        <v>0</v>
      </c>
      <c r="D2" s="58" t="s">
        <v>868</v>
      </c>
      <c r="E2" s="58" t="s">
        <v>5</v>
      </c>
      <c r="F2" s="58" t="s">
        <v>3</v>
      </c>
      <c r="G2" s="58" t="s">
        <v>869</v>
      </c>
      <c r="H2" s="58" t="s">
        <v>877</v>
      </c>
      <c r="I2" s="58" t="s">
        <v>878</v>
      </c>
      <c r="J2" s="59" t="s">
        <v>879</v>
      </c>
      <c r="K2" s="59" t="s">
        <v>6</v>
      </c>
      <c r="L2" s="60" t="s">
        <v>928</v>
      </c>
      <c r="M2" s="60" t="s">
        <v>929</v>
      </c>
    </row>
    <row r="3" spans="2:14" x14ac:dyDescent="0.15">
      <c r="B3" s="55">
        <v>1</v>
      </c>
      <c r="C3" s="55" t="s">
        <v>883</v>
      </c>
      <c r="D3" s="67"/>
      <c r="E3" s="68"/>
      <c r="F3" s="55"/>
      <c r="G3" s="67"/>
      <c r="H3" s="67"/>
      <c r="I3" s="67"/>
      <c r="J3" s="66"/>
      <c r="K3" s="66"/>
      <c r="L3" s="69"/>
      <c r="M3" s="69"/>
      <c r="N3" s="43"/>
    </row>
    <row r="4" spans="2:14" x14ac:dyDescent="0.15">
      <c r="B4" s="55">
        <v>2</v>
      </c>
      <c r="C4" s="55" t="s">
        <v>884</v>
      </c>
      <c r="D4" s="67"/>
      <c r="E4" s="68"/>
      <c r="F4" s="55"/>
      <c r="G4" s="67"/>
      <c r="H4" s="67"/>
      <c r="I4" s="67"/>
      <c r="J4" s="66"/>
      <c r="K4" s="66"/>
      <c r="L4" s="69"/>
      <c r="M4" s="69"/>
      <c r="N4" s="43"/>
    </row>
    <row r="5" spans="2:14" x14ac:dyDescent="0.15">
      <c r="B5" s="55">
        <v>3</v>
      </c>
      <c r="C5" s="55" t="s">
        <v>885</v>
      </c>
      <c r="D5" s="67"/>
      <c r="E5" s="68"/>
      <c r="F5" s="55"/>
      <c r="G5" s="67"/>
      <c r="H5" s="67"/>
      <c r="I5" s="67"/>
      <c r="J5" s="66"/>
      <c r="K5" s="66"/>
      <c r="L5" s="69"/>
      <c r="M5" s="69"/>
      <c r="N5" s="43"/>
    </row>
    <row r="6" spans="2:14" x14ac:dyDescent="0.15">
      <c r="B6" s="55">
        <v>4</v>
      </c>
      <c r="C6" s="55" t="s">
        <v>886</v>
      </c>
      <c r="D6" s="67"/>
      <c r="E6" s="68"/>
      <c r="F6" s="55"/>
      <c r="G6" s="67"/>
      <c r="H6" s="67"/>
      <c r="I6" s="67"/>
      <c r="J6" s="66"/>
      <c r="K6" s="66"/>
      <c r="L6" s="69"/>
      <c r="M6" s="69"/>
      <c r="N6" s="43"/>
    </row>
    <row r="7" spans="2:14" x14ac:dyDescent="0.15">
      <c r="B7" s="55">
        <v>5</v>
      </c>
      <c r="C7" s="55" t="s">
        <v>887</v>
      </c>
      <c r="D7" s="67"/>
      <c r="E7" s="68"/>
      <c r="F7" s="55"/>
      <c r="G7" s="67"/>
      <c r="H7" s="67"/>
      <c r="I7" s="67"/>
      <c r="J7" s="66"/>
      <c r="K7" s="66"/>
      <c r="L7" s="69"/>
      <c r="M7" s="69"/>
      <c r="N7" s="43"/>
    </row>
    <row r="8" spans="2:14" x14ac:dyDescent="0.15">
      <c r="B8" s="55">
        <v>6</v>
      </c>
      <c r="C8" s="56" t="s">
        <v>888</v>
      </c>
      <c r="D8" s="67"/>
      <c r="E8" s="68"/>
      <c r="F8" s="55"/>
      <c r="G8" s="67"/>
      <c r="H8" s="67"/>
      <c r="I8" s="67"/>
      <c r="J8" s="66"/>
      <c r="K8" s="66"/>
      <c r="L8" s="69"/>
      <c r="M8" s="69"/>
      <c r="N8" s="43"/>
    </row>
    <row r="9" spans="2:14" x14ac:dyDescent="0.15">
      <c r="B9" s="55">
        <v>7</v>
      </c>
      <c r="C9" s="55" t="s">
        <v>889</v>
      </c>
      <c r="D9" s="67"/>
      <c r="E9" s="68"/>
      <c r="F9" s="55"/>
      <c r="G9" s="67"/>
      <c r="H9" s="67"/>
      <c r="I9" s="67"/>
      <c r="J9" s="66"/>
      <c r="K9" s="66"/>
      <c r="L9" s="69"/>
      <c r="M9" s="69"/>
      <c r="N9" s="43"/>
    </row>
    <row r="10" spans="2:14" x14ac:dyDescent="0.15">
      <c r="B10" s="55">
        <v>8</v>
      </c>
      <c r="C10" s="55" t="s">
        <v>890</v>
      </c>
      <c r="D10" s="67"/>
      <c r="E10" s="68"/>
      <c r="F10" s="55"/>
      <c r="G10" s="67"/>
      <c r="H10" s="67"/>
      <c r="I10" s="67"/>
      <c r="J10" s="66"/>
      <c r="K10" s="66"/>
      <c r="L10" s="69"/>
      <c r="M10" s="69"/>
      <c r="N10" s="43"/>
    </row>
    <row r="11" spans="2:14" x14ac:dyDescent="0.15">
      <c r="B11" s="55">
        <v>9</v>
      </c>
      <c r="C11" s="55" t="s">
        <v>891</v>
      </c>
      <c r="D11" s="67"/>
      <c r="E11" s="68"/>
      <c r="F11" s="55"/>
      <c r="G11" s="67"/>
      <c r="H11" s="67"/>
      <c r="I11" s="67"/>
      <c r="J11" s="66"/>
      <c r="K11" s="66"/>
      <c r="L11" s="69"/>
      <c r="M11" s="69"/>
      <c r="N11" s="43"/>
    </row>
    <row r="12" spans="2:14" x14ac:dyDescent="0.15">
      <c r="B12" s="55">
        <v>10</v>
      </c>
      <c r="C12" s="55" t="s">
        <v>892</v>
      </c>
      <c r="D12" s="67"/>
      <c r="E12" s="68"/>
      <c r="F12" s="55"/>
      <c r="G12" s="67"/>
      <c r="H12" s="67"/>
      <c r="I12" s="67"/>
      <c r="J12" s="66"/>
      <c r="K12" s="66"/>
      <c r="L12" s="69"/>
      <c r="M12" s="69"/>
      <c r="N12" s="43"/>
    </row>
    <row r="13" spans="2:14" x14ac:dyDescent="0.15">
      <c r="B13" s="55">
        <v>11</v>
      </c>
      <c r="C13" s="55" t="s">
        <v>893</v>
      </c>
      <c r="D13" s="67"/>
      <c r="E13" s="68"/>
      <c r="F13" s="55"/>
      <c r="G13" s="67"/>
      <c r="H13" s="67"/>
      <c r="I13" s="67"/>
      <c r="J13" s="66"/>
      <c r="K13" s="66"/>
      <c r="L13" s="69"/>
      <c r="M13" s="69"/>
      <c r="N13" s="43"/>
    </row>
    <row r="14" spans="2:14" x14ac:dyDescent="0.15">
      <c r="B14" s="55">
        <v>12</v>
      </c>
      <c r="C14" s="55" t="s">
        <v>894</v>
      </c>
      <c r="D14" s="67"/>
      <c r="E14" s="68"/>
      <c r="F14" s="55"/>
      <c r="G14" s="67"/>
      <c r="H14" s="67"/>
      <c r="I14" s="67"/>
      <c r="J14" s="66"/>
      <c r="K14" s="66"/>
      <c r="L14" s="69"/>
      <c r="M14" s="69"/>
      <c r="N14" s="43"/>
    </row>
    <row r="15" spans="2:14" x14ac:dyDescent="0.15">
      <c r="B15" s="55">
        <v>13</v>
      </c>
      <c r="C15" s="56" t="s">
        <v>895</v>
      </c>
      <c r="D15" s="67"/>
      <c r="E15" s="68"/>
      <c r="F15" s="55"/>
      <c r="G15" s="67"/>
      <c r="H15" s="67"/>
      <c r="I15" s="67"/>
      <c r="J15" s="66"/>
      <c r="K15" s="66"/>
      <c r="L15" s="69"/>
      <c r="M15" s="69"/>
      <c r="N15" s="43"/>
    </row>
    <row r="16" spans="2:14" x14ac:dyDescent="0.15">
      <c r="B16" s="55">
        <v>14</v>
      </c>
      <c r="C16" s="56" t="s">
        <v>896</v>
      </c>
      <c r="D16" s="67"/>
      <c r="E16" s="68"/>
      <c r="F16" s="55"/>
      <c r="G16" s="67"/>
      <c r="H16" s="67"/>
      <c r="I16" s="67"/>
      <c r="J16" s="66"/>
      <c r="K16" s="66"/>
      <c r="L16" s="69"/>
      <c r="M16" s="69"/>
      <c r="N16" s="43"/>
    </row>
    <row r="17" spans="2:14" x14ac:dyDescent="0.15">
      <c r="B17" s="55">
        <v>15</v>
      </c>
      <c r="C17" s="55" t="s">
        <v>897</v>
      </c>
      <c r="D17" s="67"/>
      <c r="E17" s="68"/>
      <c r="F17" s="55"/>
      <c r="G17" s="67"/>
      <c r="H17" s="67"/>
      <c r="I17" s="67"/>
      <c r="J17" s="66"/>
      <c r="K17" s="66"/>
      <c r="L17" s="69"/>
      <c r="M17" s="69"/>
      <c r="N17" s="43"/>
    </row>
    <row r="18" spans="2:14" x14ac:dyDescent="0.15">
      <c r="B18" s="55">
        <v>16</v>
      </c>
      <c r="C18" s="55" t="s">
        <v>898</v>
      </c>
      <c r="D18" s="67"/>
      <c r="E18" s="68"/>
      <c r="F18" s="55"/>
      <c r="G18" s="67"/>
      <c r="H18" s="67"/>
      <c r="I18" s="67"/>
      <c r="J18" s="66"/>
      <c r="K18" s="66"/>
      <c r="L18" s="69"/>
      <c r="M18" s="69"/>
      <c r="N18" s="43"/>
    </row>
    <row r="19" spans="2:14" x14ac:dyDescent="0.15">
      <c r="B19" s="55">
        <v>17</v>
      </c>
      <c r="C19" s="56" t="s">
        <v>899</v>
      </c>
      <c r="D19" s="67"/>
      <c r="E19" s="68"/>
      <c r="F19" s="55"/>
      <c r="G19" s="67"/>
      <c r="H19" s="67"/>
      <c r="I19" s="67"/>
      <c r="J19" s="66"/>
      <c r="K19" s="66"/>
      <c r="L19" s="69"/>
      <c r="M19" s="69"/>
      <c r="N19" s="43"/>
    </row>
    <row r="20" spans="2:14" x14ac:dyDescent="0.15">
      <c r="B20" s="55">
        <v>18</v>
      </c>
      <c r="C20" s="55" t="s">
        <v>900</v>
      </c>
      <c r="D20" s="67"/>
      <c r="E20" s="68"/>
      <c r="F20" s="55"/>
      <c r="G20" s="67"/>
      <c r="H20" s="67"/>
      <c r="I20" s="67"/>
      <c r="J20" s="66"/>
      <c r="K20" s="66"/>
      <c r="L20" s="69"/>
      <c r="M20" s="69"/>
      <c r="N20" s="43"/>
    </row>
    <row r="21" spans="2:14" x14ac:dyDescent="0.15">
      <c r="B21" s="55">
        <v>19</v>
      </c>
      <c r="C21" s="56" t="s">
        <v>901</v>
      </c>
      <c r="D21" s="67"/>
      <c r="E21" s="68"/>
      <c r="F21" s="55"/>
      <c r="G21" s="67"/>
      <c r="H21" s="67"/>
      <c r="I21" s="67"/>
      <c r="J21" s="66"/>
      <c r="K21" s="66"/>
      <c r="L21" s="69"/>
      <c r="M21" s="69"/>
      <c r="N21" s="43"/>
    </row>
    <row r="22" spans="2:14" x14ac:dyDescent="0.15">
      <c r="B22" s="55">
        <v>20</v>
      </c>
      <c r="C22" s="56" t="s">
        <v>902</v>
      </c>
      <c r="D22" s="67"/>
      <c r="E22" s="68"/>
      <c r="F22" s="55"/>
      <c r="G22" s="67"/>
      <c r="H22" s="67"/>
      <c r="I22" s="67"/>
      <c r="J22" s="66"/>
      <c r="K22" s="66"/>
      <c r="L22" s="69"/>
      <c r="M22" s="69"/>
      <c r="N22" s="43"/>
    </row>
    <row r="23" spans="2:14" x14ac:dyDescent="0.15">
      <c r="B23" s="55">
        <v>21</v>
      </c>
      <c r="C23" s="55" t="s">
        <v>903</v>
      </c>
      <c r="D23" s="67"/>
      <c r="E23" s="68"/>
      <c r="F23" s="55"/>
      <c r="G23" s="67"/>
      <c r="H23" s="67"/>
      <c r="I23" s="67"/>
      <c r="J23" s="66"/>
      <c r="K23" s="66"/>
      <c r="L23" s="69"/>
      <c r="M23" s="69"/>
      <c r="N23" s="43"/>
    </row>
    <row r="24" spans="2:14" x14ac:dyDescent="0.15">
      <c r="B24" s="55">
        <v>22</v>
      </c>
      <c r="C24" s="56" t="s">
        <v>904</v>
      </c>
      <c r="D24" s="67"/>
      <c r="E24" s="68"/>
      <c r="F24" s="55"/>
      <c r="G24" s="67"/>
      <c r="H24" s="67"/>
      <c r="I24" s="67"/>
      <c r="J24" s="66"/>
      <c r="K24" s="66"/>
      <c r="L24" s="69"/>
      <c r="M24" s="69"/>
      <c r="N24" s="43"/>
    </row>
    <row r="25" spans="2:14" x14ac:dyDescent="0.15">
      <c r="B25" s="55">
        <v>23</v>
      </c>
      <c r="C25" s="55" t="s">
        <v>905</v>
      </c>
      <c r="D25" s="67"/>
      <c r="E25" s="68"/>
      <c r="F25" s="55"/>
      <c r="G25" s="67"/>
      <c r="H25" s="67"/>
      <c r="I25" s="67"/>
      <c r="J25" s="66"/>
      <c r="K25" s="66"/>
      <c r="L25" s="69"/>
      <c r="M25" s="69"/>
      <c r="N25" s="43"/>
    </row>
    <row r="26" spans="2:14" x14ac:dyDescent="0.15">
      <c r="B26" s="55">
        <v>24</v>
      </c>
      <c r="C26" s="55" t="s">
        <v>906</v>
      </c>
      <c r="D26" s="67"/>
      <c r="E26" s="68"/>
      <c r="F26" s="55"/>
      <c r="G26" s="67"/>
      <c r="H26" s="67"/>
      <c r="I26" s="67"/>
      <c r="J26" s="66"/>
      <c r="K26" s="66"/>
      <c r="L26" s="69"/>
      <c r="M26" s="69"/>
      <c r="N26" s="43"/>
    </row>
    <row r="27" spans="2:14" x14ac:dyDescent="0.15">
      <c r="B27" s="55">
        <v>25</v>
      </c>
      <c r="C27" s="55" t="s">
        <v>907</v>
      </c>
      <c r="D27" s="67"/>
      <c r="E27" s="68"/>
      <c r="F27" s="55"/>
      <c r="G27" s="67"/>
      <c r="H27" s="67"/>
      <c r="I27" s="67"/>
      <c r="J27" s="66"/>
      <c r="K27" s="66"/>
      <c r="L27" s="69"/>
      <c r="M27" s="69"/>
      <c r="N27" s="43"/>
    </row>
    <row r="28" spans="2:14" x14ac:dyDescent="0.15">
      <c r="B28" s="55">
        <v>26</v>
      </c>
      <c r="C28" s="56" t="s">
        <v>908</v>
      </c>
      <c r="D28" s="67"/>
      <c r="E28" s="68"/>
      <c r="F28" s="55"/>
      <c r="G28" s="67"/>
      <c r="H28" s="67"/>
      <c r="I28" s="67"/>
      <c r="J28" s="66"/>
      <c r="K28" s="66"/>
      <c r="L28" s="69"/>
      <c r="M28" s="69"/>
      <c r="N28" s="43"/>
    </row>
    <row r="29" spans="2:14" x14ac:dyDescent="0.15">
      <c r="B29" s="55">
        <v>27</v>
      </c>
      <c r="C29" s="56" t="s">
        <v>909</v>
      </c>
      <c r="D29" s="67"/>
      <c r="E29" s="68"/>
      <c r="F29" s="55"/>
      <c r="G29" s="67"/>
      <c r="H29" s="67"/>
      <c r="I29" s="67"/>
      <c r="J29" s="66"/>
      <c r="K29" s="66"/>
      <c r="L29" s="69"/>
      <c r="M29" s="69"/>
      <c r="N29" s="43"/>
    </row>
    <row r="30" spans="2:14" x14ac:dyDescent="0.15">
      <c r="B30" s="55">
        <v>28</v>
      </c>
      <c r="C30" s="55" t="s">
        <v>910</v>
      </c>
      <c r="D30" s="67"/>
      <c r="E30" s="68"/>
      <c r="F30" s="55"/>
      <c r="G30" s="67"/>
      <c r="H30" s="67"/>
      <c r="I30" s="67"/>
      <c r="J30" s="66"/>
      <c r="K30" s="66"/>
      <c r="L30" s="69"/>
      <c r="M30" s="69"/>
      <c r="N30" s="43"/>
    </row>
    <row r="31" spans="2:14" x14ac:dyDescent="0.15">
      <c r="B31" s="55">
        <v>29</v>
      </c>
      <c r="C31" s="55" t="s">
        <v>911</v>
      </c>
      <c r="D31" s="67"/>
      <c r="E31" s="68"/>
      <c r="F31" s="55"/>
      <c r="G31" s="67"/>
      <c r="H31" s="67"/>
      <c r="I31" s="67"/>
      <c r="J31" s="66"/>
      <c r="K31" s="66"/>
      <c r="L31" s="69"/>
      <c r="M31" s="69"/>
      <c r="N31" s="43"/>
    </row>
    <row r="32" spans="2:14" x14ac:dyDescent="0.15">
      <c r="B32" s="55">
        <v>30</v>
      </c>
      <c r="C32" s="55" t="s">
        <v>912</v>
      </c>
      <c r="D32" s="67"/>
      <c r="E32" s="68"/>
      <c r="F32" s="55"/>
      <c r="G32" s="67"/>
      <c r="H32" s="67"/>
      <c r="I32" s="67"/>
      <c r="J32" s="66"/>
      <c r="K32" s="66"/>
      <c r="L32" s="69"/>
      <c r="M32" s="69"/>
      <c r="N32" s="43"/>
    </row>
    <row r="33" spans="2:14" x14ac:dyDescent="0.15">
      <c r="B33" s="55">
        <v>31</v>
      </c>
      <c r="C33" s="55" t="s">
        <v>913</v>
      </c>
      <c r="D33" s="67"/>
      <c r="E33" s="68"/>
      <c r="F33" s="55"/>
      <c r="G33" s="67"/>
      <c r="H33" s="67"/>
      <c r="I33" s="67"/>
      <c r="J33" s="66"/>
      <c r="K33" s="66"/>
      <c r="L33" s="69"/>
      <c r="M33" s="69"/>
      <c r="N33" s="43"/>
    </row>
    <row r="34" spans="2:14" x14ac:dyDescent="0.15">
      <c r="B34" s="55">
        <v>32</v>
      </c>
      <c r="C34" s="56" t="s">
        <v>914</v>
      </c>
      <c r="D34" s="67"/>
      <c r="E34" s="68"/>
      <c r="F34" s="55"/>
      <c r="G34" s="67"/>
      <c r="H34" s="67"/>
      <c r="I34" s="67"/>
      <c r="J34" s="66"/>
      <c r="K34" s="66"/>
      <c r="L34" s="69"/>
      <c r="M34" s="69"/>
      <c r="N34" s="43"/>
    </row>
    <row r="35" spans="2:14" x14ac:dyDescent="0.15">
      <c r="B35" s="55">
        <v>33</v>
      </c>
      <c r="C35" s="56" t="s">
        <v>915</v>
      </c>
      <c r="D35" s="67"/>
      <c r="E35" s="68"/>
      <c r="F35" s="55"/>
      <c r="G35" s="67"/>
      <c r="H35" s="67"/>
      <c r="I35" s="67"/>
      <c r="J35" s="66"/>
      <c r="K35" s="66"/>
      <c r="L35" s="69"/>
      <c r="M35" s="69"/>
      <c r="N35" s="43"/>
    </row>
    <row r="36" spans="2:14" x14ac:dyDescent="0.2">
      <c r="B36" s="56"/>
      <c r="C36" s="79" t="s">
        <v>864</v>
      </c>
      <c r="D36" s="79"/>
      <c r="E36" s="79"/>
      <c r="F36" s="79"/>
      <c r="G36" s="79"/>
      <c r="H36" s="79"/>
      <c r="I36" s="79"/>
      <c r="J36" s="79"/>
      <c r="K36" s="66"/>
      <c r="L36" s="66"/>
      <c r="M36" s="66"/>
      <c r="N36" s="43"/>
    </row>
    <row r="37" spans="2:14" ht="14.25" customHeight="1" x14ac:dyDescent="0.2">
      <c r="C37" s="54" t="s">
        <v>931</v>
      </c>
      <c r="D37" s="54"/>
      <c r="E37" s="54"/>
      <c r="F37" s="54"/>
      <c r="G37" s="54"/>
    </row>
    <row r="38" spans="2:14" ht="14.25" customHeight="1" x14ac:dyDescent="0.2">
      <c r="B38" s="43">
        <v>1</v>
      </c>
      <c r="C38" s="54" t="s">
        <v>868</v>
      </c>
      <c r="D38" s="78" t="s">
        <v>870</v>
      </c>
      <c r="E38" s="78"/>
      <c r="F38" s="78"/>
      <c r="J38" s="43"/>
      <c r="K38" s="43"/>
      <c r="L38" s="54"/>
      <c r="M38" s="54"/>
      <c r="N38" s="43"/>
    </row>
    <row r="39" spans="2:14" ht="14.25" customHeight="1" x14ac:dyDescent="0.2">
      <c r="B39" s="43">
        <v>2</v>
      </c>
      <c r="C39" s="54" t="s">
        <v>5</v>
      </c>
      <c r="D39" s="78" t="s">
        <v>872</v>
      </c>
      <c r="E39" s="78"/>
      <c r="J39" s="43"/>
      <c r="K39" s="43"/>
      <c r="L39" s="54"/>
      <c r="M39" s="54"/>
      <c r="N39" s="43"/>
    </row>
    <row r="40" spans="2:14" ht="14.25" customHeight="1" x14ac:dyDescent="0.2">
      <c r="B40" s="43">
        <v>3</v>
      </c>
      <c r="C40" s="54" t="s">
        <v>922</v>
      </c>
      <c r="D40" s="78" t="s">
        <v>867</v>
      </c>
      <c r="E40" s="78"/>
      <c r="F40" s="78"/>
      <c r="G40" s="78"/>
      <c r="H40" s="78"/>
      <c r="J40" s="43"/>
      <c r="K40" s="43"/>
      <c r="L40" s="54"/>
      <c r="M40" s="54"/>
      <c r="N40" s="43"/>
    </row>
    <row r="41" spans="2:14" ht="14.25" customHeight="1" x14ac:dyDescent="0.2">
      <c r="B41" s="43">
        <v>4</v>
      </c>
      <c r="C41" s="54" t="s">
        <v>869</v>
      </c>
      <c r="D41" s="78" t="s">
        <v>871</v>
      </c>
      <c r="E41" s="78"/>
      <c r="F41" s="78"/>
      <c r="J41" s="43"/>
      <c r="K41" s="43"/>
      <c r="L41" s="54"/>
      <c r="M41" s="54"/>
      <c r="N41" s="43"/>
    </row>
    <row r="42" spans="2:14" ht="14.25" customHeight="1" x14ac:dyDescent="0.2">
      <c r="B42" s="43">
        <v>5</v>
      </c>
      <c r="C42" s="54" t="s">
        <v>877</v>
      </c>
      <c r="D42" s="78" t="s">
        <v>867</v>
      </c>
      <c r="E42" s="78"/>
      <c r="F42" s="78"/>
      <c r="G42" s="78"/>
      <c r="H42" s="78"/>
      <c r="J42" s="43"/>
      <c r="K42" s="43"/>
      <c r="L42" s="54"/>
      <c r="M42" s="54"/>
      <c r="N42" s="43"/>
    </row>
    <row r="43" spans="2:14" ht="14.25" customHeight="1" x14ac:dyDescent="0.2">
      <c r="B43" s="43">
        <v>6</v>
      </c>
      <c r="C43" s="54" t="s">
        <v>878</v>
      </c>
      <c r="D43" s="78" t="s">
        <v>867</v>
      </c>
      <c r="E43" s="78"/>
      <c r="F43" s="78"/>
      <c r="G43" s="78"/>
      <c r="H43" s="78"/>
    </row>
    <row r="44" spans="2:14" ht="14.25" customHeight="1" x14ac:dyDescent="0.2">
      <c r="B44" s="43">
        <v>7</v>
      </c>
      <c r="C44" s="54" t="s">
        <v>923</v>
      </c>
      <c r="D44" s="78" t="s">
        <v>867</v>
      </c>
      <c r="E44" s="78"/>
      <c r="F44" s="78"/>
      <c r="G44" s="78"/>
      <c r="H44" s="78"/>
    </row>
    <row r="45" spans="2:14" ht="14.25" customHeight="1" x14ac:dyDescent="0.2">
      <c r="B45" s="43">
        <v>8</v>
      </c>
      <c r="C45" s="54" t="s">
        <v>925</v>
      </c>
      <c r="D45" s="78" t="s">
        <v>926</v>
      </c>
      <c r="E45" s="78"/>
    </row>
    <row r="46" spans="2:14" ht="14.25" customHeight="1" x14ac:dyDescent="0.2">
      <c r="B46" s="43">
        <v>9</v>
      </c>
      <c r="C46" s="54" t="s">
        <v>924</v>
      </c>
      <c r="D46" s="78" t="s">
        <v>927</v>
      </c>
      <c r="E46" s="78"/>
    </row>
    <row r="47" spans="2:14" ht="14.25" customHeight="1" x14ac:dyDescent="0.2">
      <c r="B47" s="43">
        <v>10</v>
      </c>
      <c r="C47" s="54" t="s">
        <v>929</v>
      </c>
      <c r="D47" s="78" t="s">
        <v>930</v>
      </c>
      <c r="E47" s="78"/>
    </row>
    <row r="48" spans="2:14" ht="14.25" customHeight="1" x14ac:dyDescent="0.2">
      <c r="B48" s="43">
        <v>11</v>
      </c>
      <c r="C48" s="54" t="s">
        <v>865</v>
      </c>
      <c r="D48" s="78" t="s">
        <v>866</v>
      </c>
      <c r="E48" s="78"/>
      <c r="F48" s="78"/>
      <c r="G48" s="78"/>
    </row>
    <row r="49" spans="6:7" ht="14.25" customHeight="1" x14ac:dyDescent="0.2">
      <c r="F49" s="65"/>
      <c r="G49" s="65"/>
    </row>
    <row r="50" spans="6:7" ht="14.25" customHeight="1" x14ac:dyDescent="0.2"/>
    <row r="51" spans="6:7" ht="14.25" customHeight="1" x14ac:dyDescent="0.2"/>
    <row r="52" spans="6:7" ht="14.25" customHeight="1" x14ac:dyDescent="0.2"/>
    <row r="53" spans="6:7" ht="14.25" customHeight="1" x14ac:dyDescent="0.2"/>
    <row r="54" spans="6:7" ht="14.25" customHeight="1" x14ac:dyDescent="0.2"/>
  </sheetData>
  <mergeCells count="12">
    <mergeCell ref="C36:J36"/>
    <mergeCell ref="D38:F38"/>
    <mergeCell ref="D39:E39"/>
    <mergeCell ref="D40:H40"/>
    <mergeCell ref="D46:E46"/>
    <mergeCell ref="D47:E47"/>
    <mergeCell ref="D48:G48"/>
    <mergeCell ref="D41:F41"/>
    <mergeCell ref="D42:H42"/>
    <mergeCell ref="D43:H43"/>
    <mergeCell ref="D44:H44"/>
    <mergeCell ref="D45:E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LAP DEC 12</vt:lpstr>
      <vt:lpstr>Data Staff</vt:lpstr>
      <vt:lpstr>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Tessar Harfin</dc:creator>
  <cp:lastModifiedBy>admin</cp:lastModifiedBy>
  <cp:lastPrinted>2013-01-15T05:07:08Z</cp:lastPrinted>
  <dcterms:created xsi:type="dcterms:W3CDTF">2014-12-10T07:58:01Z</dcterms:created>
  <dcterms:modified xsi:type="dcterms:W3CDTF">2023-07-06T14:40:28Z</dcterms:modified>
</cp:coreProperties>
</file>