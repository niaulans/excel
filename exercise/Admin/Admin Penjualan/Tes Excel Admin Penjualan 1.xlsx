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Penjualan\"/>
    </mc:Choice>
  </mc:AlternateContent>
  <bookViews>
    <workbookView xWindow="-120" yWindow="-120" windowWidth="20730" windowHeight="11310"/>
  </bookViews>
  <sheets>
    <sheet name="Tes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<sst xmlns="http://schemas.openxmlformats.org/spreadsheetml/2006/main" count="34" uniqueCount="24">
  <si>
    <t>Faktur Pembelian Toko Elektronik Sejahtera</t>
  </si>
  <si>
    <t>No</t>
  </si>
  <si>
    <t>Nama Barang</t>
  </si>
  <si>
    <t>Harga Satuan</t>
  </si>
  <si>
    <t>Jumlah Beli</t>
  </si>
  <si>
    <t>Total</t>
  </si>
  <si>
    <t>Total Pembelian</t>
  </si>
  <si>
    <t>Tabel Data Barang</t>
  </si>
  <si>
    <t>Laptop</t>
  </si>
  <si>
    <t>Notebook</t>
  </si>
  <si>
    <t>Handphone</t>
  </si>
  <si>
    <t>Headset</t>
  </si>
  <si>
    <t>Charger</t>
  </si>
  <si>
    <t>USB</t>
  </si>
  <si>
    <t>Mouse</t>
  </si>
  <si>
    <t>Keyboard</t>
  </si>
  <si>
    <t>CPU</t>
  </si>
  <si>
    <t>Printer</t>
  </si>
  <si>
    <t>Barang</t>
  </si>
  <si>
    <t>Harga</t>
  </si>
  <si>
    <t>Tanggal</t>
  </si>
  <si>
    <t>PPN 5%</t>
  </si>
  <si>
    <t>Video Pemabahasan</t>
  </si>
  <si>
    <t>https://youtu.be/Wrmrt22mtrY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</si>
</sst>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Rp&quot;* #,##0_-;\-&quot;Rp&quot;* #,##0_-;_-&quot;Rp&quot;* &quot;-&quot;_-;_-@_-"/>
    <numFmt numFmtId="41" formatCode="_-* #,##0_-;\-* #,##0_-;_-* &quot;-&quot;_-;_-@_-"/>
    <numFmt numFmtId="164" formatCode="[$-13809]dd/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1" fontId="6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2" fontId="3" fillId="0" borderId="0" xfId="0" applyNumberFormat="1" applyFont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4" xfId="0" applyFont="1" applyBorder="1"/>
    <xf numFmtId="42" fontId="3" fillId="0" borderId="17" xfId="0" applyNumberFormat="1" applyFont="1" applyBorder="1"/>
    <xf numFmtId="42" fontId="3" fillId="0" borderId="12" xfId="0" applyNumberFormat="1" applyFont="1" applyBorder="1"/>
    <xf numFmtId="42" fontId="3" fillId="0" borderId="16" xfId="0" applyNumberFormat="1" applyFont="1" applyBorder="1"/>
    <xf numFmtId="0" fontId="3" fillId="2" borderId="1" xfId="0" applyFont="1" applyFill="1" applyBorder="1" applyAlignment="1">
      <alignment horizontal="center"/>
    </xf>
    <xf numFmtId="42" fontId="3" fillId="2" borderId="15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41" fontId="3" fillId="0" borderId="9" xfId="0" applyNumberFormat="1" applyFont="1" applyBorder="1"/>
    <xf numFmtId="41" fontId="3" fillId="0" borderId="16" xfId="0" applyNumberFormat="1" applyFont="1" applyBorder="1"/>
    <xf numFmtId="42" fontId="2" fillId="0" borderId="9" xfId="2" applyNumberFormat="1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Alignment="1">
      <alignment horizontal="center"/>
    </xf>
  </cellXfs>
  <cellStyles count="3">
    <cellStyle name="Comma [0]" xfId="2" builtinId="6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Wrmrt22m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1:K15"/>
  <sheetViews>
    <sheetView tabSelected="1" zoomScale="115" zoomScaleNormal="115" workbookViewId="0">
      <selection activeCell="I8" sqref="I8"/>
    </sheetView>
  </sheetViews>
  <sheetFormatPr defaultRowHeight="16.5" x14ac:dyDescent="0.3"/>
  <cols>
    <col min="1" max="1" width="3.5703125" style="1" customWidth="1"/>
    <col min="2" max="2" width="4.28515625" style="19" bestFit="1" customWidth="1"/>
    <col min="3" max="3" width="10.140625" style="1" customWidth="1"/>
    <col min="4" max="4" width="14.5703125" style="1" customWidth="1"/>
    <col min="5" max="5" width="14.85546875" style="1" bestFit="1" customWidth="1"/>
    <col min="6" max="6" width="11.7109375" style="2" customWidth="1"/>
    <col min="7" max="7" width="14.5703125" style="1" bestFit="1" customWidth="1"/>
    <col min="8" max="8" width="15.42578125" style="1" customWidth="1"/>
    <col min="9" max="9" width="5.5703125" style="1" customWidth="1"/>
    <col min="10" max="10" width="12.28515625" style="1" customWidth="1"/>
    <col min="11" max="11" width="15.42578125" style="3" customWidth="1"/>
    <col min="12" max="16384" width="9.140625" style="1"/>
  </cols>
  <sheetData>
    <row r="1" spans="2:11" ht="25.5" customHeight="1" thickBot="1" x14ac:dyDescent="0.35">
      <c r="B1" s="30" t="s">
        <v>0</v>
      </c>
      <c r="C1" s="30"/>
      <c r="D1" s="30"/>
      <c r="E1" s="30"/>
      <c r="F1" s="30"/>
      <c r="G1" s="30"/>
      <c r="H1" s="30"/>
    </row>
    <row r="2" spans="2:11" ht="17.25" thickBot="1" x14ac:dyDescent="0.35">
      <c r="B2" s="21" t="s">
        <v>1</v>
      </c>
      <c r="C2" s="22" t="s">
        <v>20</v>
      </c>
      <c r="D2" s="23" t="s">
        <v>2</v>
      </c>
      <c r="E2" s="23" t="s">
        <v>3</v>
      </c>
      <c r="F2" s="23" t="s">
        <v>4</v>
      </c>
      <c r="G2" s="23" t="s">
        <v>21</v>
      </c>
      <c r="H2" s="24" t="s">
        <v>5</v>
      </c>
      <c r="J2" s="29" t="s">
        <v>7</v>
      </c>
      <c r="K2" s="29"/>
    </row>
    <row r="3" spans="2:11" ht="17.25" thickBot="1" x14ac:dyDescent="0.35">
      <c r="B3" s="16">
        <v>1</v>
      </c>
      <c r="C3" s="25">
        <v>44228</v>
      </c>
      <c r="D3" s="4" t="s">
        <v>8</v>
      </c>
      <c r="E3" s="28">
        <f>VLOOKUP(D3,$J$3:$K$13,2,FALSE)</f>
        <v>5000000</v>
      </c>
      <c r="F3" s="13">
        <v>2</v>
      </c>
      <c r="G3" s="26">
        <f>(E3*F3)*0.05</f>
        <v>500000</v>
      </c>
      <c r="H3" s="27">
        <f>(E3*F3)+G3</f>
        <v>10500000</v>
      </c>
      <c r="J3" s="11" t="s">
        <v>18</v>
      </c>
      <c r="K3" s="12" t="s">
        <v>19</v>
      </c>
    </row>
    <row r="4" spans="2:11" x14ac:dyDescent="0.3">
      <c r="B4" s="17">
        <v>2</v>
      </c>
      <c r="C4" s="25">
        <v>44229</v>
      </c>
      <c r="D4" s="5" t="s">
        <v>13</v>
      </c>
      <c r="E4" s="28">
        <f t="shared" ref="E4:E12" si="0">VLOOKUP(D4,$J$3:$K$13,2,FALSE)</f>
        <v>30000</v>
      </c>
      <c r="F4" s="14">
        <v>20</v>
      </c>
      <c r="G4" s="26">
        <f t="shared" ref="G4:G12" si="1">(E4*F4)*0.05</f>
        <v>30000</v>
      </c>
      <c r="H4" s="27">
        <f t="shared" ref="H4:H12" si="2">(E4*F4)+G4</f>
        <v>630000</v>
      </c>
      <c r="J4" s="4" t="s">
        <v>8</v>
      </c>
      <c r="K4" s="10">
        <v>5000000</v>
      </c>
    </row>
    <row r="5" spans="2:11" x14ac:dyDescent="0.3">
      <c r="B5" s="17">
        <v>3</v>
      </c>
      <c r="C5" s="25">
        <v>44230</v>
      </c>
      <c r="D5" s="5" t="s">
        <v>16</v>
      </c>
      <c r="E5" s="28">
        <f t="shared" si="0"/>
        <v>1500000</v>
      </c>
      <c r="F5" s="14">
        <v>3</v>
      </c>
      <c r="G5" s="26">
        <f t="shared" si="1"/>
        <v>225000</v>
      </c>
      <c r="H5" s="27">
        <f t="shared" si="2"/>
        <v>4725000</v>
      </c>
      <c r="J5" s="5" t="s">
        <v>9</v>
      </c>
      <c r="K5" s="8">
        <v>3000000</v>
      </c>
    </row>
    <row r="6" spans="2:11" x14ac:dyDescent="0.3">
      <c r="B6" s="17">
        <v>4</v>
      </c>
      <c r="C6" s="25">
        <v>44231</v>
      </c>
      <c r="D6" s="5" t="s">
        <v>17</v>
      </c>
      <c r="E6" s="28">
        <f t="shared" si="0"/>
        <v>300000</v>
      </c>
      <c r="F6" s="14">
        <v>5</v>
      </c>
      <c r="G6" s="26">
        <f t="shared" si="1"/>
        <v>75000</v>
      </c>
      <c r="H6" s="27">
        <f t="shared" si="2"/>
        <v>1575000</v>
      </c>
      <c r="J6" s="5" t="s">
        <v>10</v>
      </c>
      <c r="K6" s="8">
        <v>2500000</v>
      </c>
    </row>
    <row r="7" spans="2:11" x14ac:dyDescent="0.3">
      <c r="B7" s="17">
        <v>5</v>
      </c>
      <c r="C7" s="25">
        <v>44232</v>
      </c>
      <c r="D7" s="5" t="s">
        <v>15</v>
      </c>
      <c r="E7" s="28">
        <f t="shared" si="0"/>
        <v>150000</v>
      </c>
      <c r="F7" s="14">
        <v>10</v>
      </c>
      <c r="G7" s="26">
        <f t="shared" si="1"/>
        <v>75000</v>
      </c>
      <c r="H7" s="27">
        <f t="shared" si="2"/>
        <v>1575000</v>
      </c>
      <c r="J7" s="5" t="s">
        <v>11</v>
      </c>
      <c r="K7" s="8">
        <v>50000</v>
      </c>
    </row>
    <row r="8" spans="2:11" x14ac:dyDescent="0.3">
      <c r="B8" s="17">
        <v>6</v>
      </c>
      <c r="C8" s="25">
        <v>44233</v>
      </c>
      <c r="D8" s="5" t="s">
        <v>13</v>
      </c>
      <c r="E8" s="28">
        <f t="shared" si="0"/>
        <v>30000</v>
      </c>
      <c r="F8" s="14">
        <v>33</v>
      </c>
      <c r="G8" s="26">
        <f t="shared" si="1"/>
        <v>49500</v>
      </c>
      <c r="H8" s="27">
        <f t="shared" si="2"/>
        <v>1039500</v>
      </c>
      <c r="J8" s="5" t="s">
        <v>12</v>
      </c>
      <c r="K8" s="8">
        <v>50000</v>
      </c>
    </row>
    <row r="9" spans="2:11" x14ac:dyDescent="0.3">
      <c r="B9" s="17">
        <v>7</v>
      </c>
      <c r="C9" s="25">
        <v>44234</v>
      </c>
      <c r="D9" s="5" t="s">
        <v>8</v>
      </c>
      <c r="E9" s="28">
        <f t="shared" si="0"/>
        <v>5000000</v>
      </c>
      <c r="F9" s="14">
        <v>1</v>
      </c>
      <c r="G9" s="26">
        <f t="shared" si="1"/>
        <v>250000</v>
      </c>
      <c r="H9" s="27">
        <f t="shared" si="2"/>
        <v>5250000</v>
      </c>
      <c r="J9" s="5" t="s">
        <v>13</v>
      </c>
      <c r="K9" s="8">
        <v>30000</v>
      </c>
    </row>
    <row r="10" spans="2:11" x14ac:dyDescent="0.3">
      <c r="B10" s="17">
        <v>8</v>
      </c>
      <c r="C10" s="25">
        <v>44235</v>
      </c>
      <c r="D10" s="5" t="s">
        <v>16</v>
      </c>
      <c r="E10" s="28">
        <f t="shared" si="0"/>
        <v>1500000</v>
      </c>
      <c r="F10" s="14">
        <v>2</v>
      </c>
      <c r="G10" s="26">
        <f t="shared" si="1"/>
        <v>150000</v>
      </c>
      <c r="H10" s="27">
        <f t="shared" si="2"/>
        <v>3150000</v>
      </c>
      <c r="J10" s="5" t="s">
        <v>14</v>
      </c>
      <c r="K10" s="8">
        <v>50000</v>
      </c>
    </row>
    <row r="11" spans="2:11" x14ac:dyDescent="0.3">
      <c r="B11" s="17">
        <v>9</v>
      </c>
      <c r="C11" s="25">
        <v>44236</v>
      </c>
      <c r="D11" s="5" t="s">
        <v>10</v>
      </c>
      <c r="E11" s="28">
        <f t="shared" si="0"/>
        <v>2500000</v>
      </c>
      <c r="F11" s="14">
        <v>3</v>
      </c>
      <c r="G11" s="26">
        <f t="shared" si="1"/>
        <v>375000</v>
      </c>
      <c r="H11" s="27">
        <f t="shared" si="2"/>
        <v>7875000</v>
      </c>
      <c r="J11" s="5" t="s">
        <v>15</v>
      </c>
      <c r="K11" s="8">
        <v>150000</v>
      </c>
    </row>
    <row r="12" spans="2:11" ht="17.25" thickBot="1" x14ac:dyDescent="0.35">
      <c r="B12" s="18">
        <v>10</v>
      </c>
      <c r="C12" s="25">
        <v>44237</v>
      </c>
      <c r="D12" s="7" t="s">
        <v>11</v>
      </c>
      <c r="E12" s="28">
        <f t="shared" si="0"/>
        <v>50000</v>
      </c>
      <c r="F12" s="15">
        <v>23</v>
      </c>
      <c r="G12" s="26">
        <f t="shared" si="1"/>
        <v>57500</v>
      </c>
      <c r="H12" s="27">
        <f t="shared" si="2"/>
        <v>1207500</v>
      </c>
      <c r="J12" s="5" t="s">
        <v>16</v>
      </c>
      <c r="K12" s="8">
        <v>1500000</v>
      </c>
    </row>
    <row r="13" spans="2:11" ht="17.25" thickBot="1" x14ac:dyDescent="0.35">
      <c r="B13" s="31" t="s">
        <v>6</v>
      </c>
      <c r="C13" s="32"/>
      <c r="D13" s="33"/>
      <c r="E13" s="33"/>
      <c r="F13" s="33"/>
      <c r="G13" s="34"/>
      <c r="H13" s="27">
        <f>SUM(H3:H12)</f>
        <v>37527000</v>
      </c>
      <c r="J13" s="6" t="s">
        <v>17</v>
      </c>
      <c r="K13" s="9">
        <v>300000</v>
      </c>
    </row>
    <row r="14" spans="2:11" x14ac:dyDescent="0.3">
      <c r="C14" s="20"/>
    </row>
    <row r="15" spans="2:11" x14ac:dyDescent="0.3">
      <c r="B15" s="35" t="s">
        <v>22</v>
      </c>
      <c r="C15" s="35"/>
      <c r="D15" s="35"/>
      <c r="E15" s="36" t="s">
        <v>23</v>
      </c>
      <c r="F15" s="29"/>
      <c r="G15" s="29"/>
    </row>
  </sheetData>
  <mergeCells count="5">
    <mergeCell ref="J2:K2"/>
    <mergeCell ref="B1:H1"/>
    <mergeCell ref="B13:G13"/>
    <mergeCell ref="B15:D15"/>
    <mergeCell ref="E15:G15"/>
  </mergeCells>
  <hyperlinks>
    <hyperlink ref="E15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niaulans</cp:lastModifiedBy>
  <dcterms:created xsi:type="dcterms:W3CDTF">2021-06-04T06:57:56Z</dcterms:created>
  <dcterms:modified xsi:type="dcterms:W3CDTF">2025-03-23T10:13:07Z</dcterms:modified>
</cp:coreProperties>
</file>