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Soal" sheetId="1" r:id="rId1"/>
  </sheets>
  <calcPr calcId="152511"/>
</workbook>
</file>

<file path=xl/calcChain.xml><?xml version="1.0" encoding="utf-8"?>
<calcChain xmlns="http://schemas.openxmlformats.org/spreadsheetml/2006/main">
  <c r="L24" i="1" l="1"/>
  <c r="L25" i="1"/>
  <c r="L26" i="1"/>
  <c r="L23" i="1"/>
  <c r="I24" i="1"/>
  <c r="I25" i="1"/>
  <c r="I23" i="1"/>
  <c r="K20" i="1"/>
  <c r="G20" i="1"/>
  <c r="K19" i="1"/>
  <c r="G19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4" i="1"/>
</calcChain>
</file>

<file path=xl/sharedStrings.xml><?xml version="1.0" encoding="utf-8"?>
<sst xmlns="http://schemas.openxmlformats.org/spreadsheetml/2006/main" count="85" uniqueCount="42">
  <si>
    <t>No</t>
  </si>
  <si>
    <t>Total</t>
  </si>
  <si>
    <t>Kode Produk</t>
  </si>
  <si>
    <t>Nama Produk</t>
  </si>
  <si>
    <t>Harga Satuan</t>
  </si>
  <si>
    <t>Diskon</t>
  </si>
  <si>
    <t>Kode Pelanggan</t>
  </si>
  <si>
    <t>Nama Pelanggan</t>
  </si>
  <si>
    <t>Tanggal</t>
  </si>
  <si>
    <t>Total Penjualan</t>
  </si>
  <si>
    <t>Penjualan Bersih</t>
  </si>
  <si>
    <t>Rata Rata Penjualan Harian</t>
  </si>
  <si>
    <t>NF-01</t>
  </si>
  <si>
    <t>CT-03</t>
  </si>
  <si>
    <t>Kode</t>
  </si>
  <si>
    <t>Nama</t>
  </si>
  <si>
    <t>AN-02</t>
  </si>
  <si>
    <t>Toko Central</t>
  </si>
  <si>
    <t>P-5</t>
  </si>
  <si>
    <t>P-10</t>
  </si>
  <si>
    <t>Qty</t>
  </si>
  <si>
    <t>Soal</t>
  </si>
  <si>
    <t>Isi Nama Pelanggan, Nama Produk, Harga Satuan</t>
  </si>
  <si>
    <t>Isi Total Penjualan</t>
  </si>
  <si>
    <t>Jika qty pembelian diatas 200, maka diskon 10%, jika diatas 500, maka 20%</t>
  </si>
  <si>
    <t>Isi Penjualan Bersih</t>
  </si>
  <si>
    <t>Totalkan semua Qty dan Penjualan Bersih dan Rata Rata</t>
  </si>
  <si>
    <t>Buku Tulis isi 50</t>
  </si>
  <si>
    <t>Pensil Box Isi 5</t>
  </si>
  <si>
    <t>Pensil Box Isi 10</t>
  </si>
  <si>
    <t>Bulu Tulis Isi 100</t>
  </si>
  <si>
    <t>Daftar Penjualan 3 Hari Terakhir
Toko Buku Ganesha</t>
  </si>
  <si>
    <t>B-50</t>
  </si>
  <si>
    <t>B-100</t>
  </si>
  <si>
    <t>Toko Nafa</t>
  </si>
  <si>
    <t>Toko Andi</t>
  </si>
  <si>
    <t>Lengkapi tabel berikut</t>
  </si>
  <si>
    <t>Total Invoice</t>
  </si>
  <si>
    <t>Nama Toko</t>
  </si>
  <si>
    <t>Jumlah Qty Terjual</t>
  </si>
  <si>
    <t>Video Pembahasan</t>
  </si>
  <si>
    <t>https://youtu.be/ND01Xvwy7iE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</si>
</sst>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2">
    <xf numFmtId="0" fontId="0" fillId="0" borderId="0" xfId="0"/>
    <xf numFmtId="0" fontId="4" fillId="2" borderId="1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7" fillId="0" borderId="0" xfId="2" applyFont="1" applyFill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165" fontId="6" fillId="0" borderId="1" xfId="1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1" applyNumberFormat="1" applyFont="1" applyFill="1" applyBorder="1" applyAlignment="1">
      <alignment horizontal="left"/>
    </xf>
    <xf numFmtId="0" fontId="5" fillId="0" borderId="1" xfId="1" applyNumberFormat="1" applyFont="1" applyFill="1" applyBorder="1" applyAlignment="1">
      <alignment horizontal="left"/>
    </xf>
    <xf numFmtId="0" fontId="6" fillId="0" borderId="1" xfId="4" applyNumberFormat="1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0" borderId="4" xfId="2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9" fontId="6" fillId="0" borderId="1" xfId="3" applyNumberFormat="1" applyFont="1" applyFill="1" applyBorder="1" applyAlignment="1">
      <alignment horizontal="left"/>
    </xf>
  </cellXfs>
  <cellStyles count="5">
    <cellStyle name="Comma" xfId="1" builtinId="3"/>
    <cellStyle name="Comma [0]" xfId="4" builtinId="6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outu.be/ND01Xvwy7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O27"/>
  <sheetViews>
    <sheetView tabSelected="1" topLeftCell="A2" zoomScale="85" zoomScaleNormal="85" workbookViewId="0">
      <selection activeCell="N23" sqref="N23"/>
    </sheetView>
  </sheetViews>
  <sheetFormatPr defaultRowHeight="15" x14ac:dyDescent="0.25"/>
  <cols>
    <col min="1" max="1" width="6.42578125" style="2" customWidth="1"/>
    <col min="2" max="2" width="13.140625" style="2" customWidth="1"/>
    <col min="3" max="3" width="16.85546875" style="2" customWidth="1"/>
    <col min="4" max="4" width="17.85546875" style="2" customWidth="1"/>
    <col min="5" max="5" width="12.28515625" style="2" bestFit="1" customWidth="1"/>
    <col min="6" max="6" width="18.7109375" style="2" customWidth="1"/>
    <col min="7" max="7" width="7.28515625" style="2" bestFit="1" customWidth="1"/>
    <col min="8" max="9" width="17.7109375" style="2" customWidth="1"/>
    <col min="10" max="10" width="9.28515625" style="2" customWidth="1"/>
    <col min="11" max="11" width="20.140625" style="2" customWidth="1"/>
    <col min="12" max="12" width="9.140625" style="2"/>
    <col min="13" max="13" width="11.5703125" style="2" customWidth="1"/>
    <col min="14" max="14" width="21.85546875" style="2" customWidth="1"/>
    <col min="15" max="15" width="15.140625" style="2" customWidth="1"/>
    <col min="16" max="16384" width="9.140625" style="2"/>
  </cols>
  <sheetData>
    <row r="1" spans="1:15" x14ac:dyDescent="0.25">
      <c r="A1" s="29" t="s">
        <v>31</v>
      </c>
      <c r="B1" s="30"/>
      <c r="C1" s="30"/>
      <c r="D1" s="30"/>
      <c r="E1" s="30"/>
      <c r="F1" s="30"/>
      <c r="G1" s="30"/>
      <c r="H1" s="30"/>
      <c r="I1" s="30"/>
      <c r="J1" s="30"/>
      <c r="K1" s="30"/>
      <c r="M1" s="3"/>
    </row>
    <row r="2" spans="1:15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M2" s="4"/>
    </row>
    <row r="3" spans="1:15" s="5" customFormat="1" x14ac:dyDescent="0.25">
      <c r="A3" s="10" t="s">
        <v>0</v>
      </c>
      <c r="B3" s="10" t="s">
        <v>8</v>
      </c>
      <c r="C3" s="10" t="s">
        <v>6</v>
      </c>
      <c r="D3" s="10" t="s">
        <v>7</v>
      </c>
      <c r="E3" s="10" t="s">
        <v>2</v>
      </c>
      <c r="F3" s="10" t="s">
        <v>3</v>
      </c>
      <c r="G3" s="10" t="s">
        <v>20</v>
      </c>
      <c r="H3" s="10" t="s">
        <v>4</v>
      </c>
      <c r="I3" s="10" t="s">
        <v>9</v>
      </c>
      <c r="J3" s="10" t="s">
        <v>5</v>
      </c>
      <c r="K3" s="10" t="s">
        <v>10</v>
      </c>
      <c r="M3" s="18" t="s">
        <v>6</v>
      </c>
      <c r="N3" s="18"/>
    </row>
    <row r="4" spans="1:15" x14ac:dyDescent="0.25">
      <c r="A4" s="6">
        <v>1</v>
      </c>
      <c r="B4" s="7">
        <v>45200</v>
      </c>
      <c r="C4" s="6" t="s">
        <v>12</v>
      </c>
      <c r="D4" s="11" t="str">
        <f>VLOOKUP(C4,$M$4:$N$7,2,FALSE)</f>
        <v>Toko Nafa</v>
      </c>
      <c r="E4" s="6" t="s">
        <v>32</v>
      </c>
      <c r="F4" s="11" t="str">
        <f>VLOOKUP(E4,$M$10:$O$14,2,FALSE)</f>
        <v>Buku Tulis isi 50</v>
      </c>
      <c r="G4" s="6">
        <v>332</v>
      </c>
      <c r="H4" s="13">
        <f>VLOOKUP(E4,$M$10:$O$14,3,FALSE)</f>
        <v>200000</v>
      </c>
      <c r="I4" s="13">
        <f>G4*H4</f>
        <v>66400000</v>
      </c>
      <c r="J4" s="31">
        <f>IF(G4&lt;200,0%,IF(G4&gt;500,20%,10%))</f>
        <v>0.1</v>
      </c>
      <c r="K4" s="13">
        <f>I4-(I4*J4)</f>
        <v>59760000</v>
      </c>
      <c r="M4" s="9" t="s">
        <v>14</v>
      </c>
      <c r="N4" s="9" t="s">
        <v>15</v>
      </c>
    </row>
    <row r="5" spans="1:15" x14ac:dyDescent="0.25">
      <c r="A5" s="6">
        <v>2</v>
      </c>
      <c r="B5" s="7">
        <v>45200</v>
      </c>
      <c r="C5" s="6" t="s">
        <v>16</v>
      </c>
      <c r="D5" s="16" t="str">
        <f t="shared" ref="D5:D18" si="0">VLOOKUP(C5,$M$4:$N$7,2,FALSE)</f>
        <v>Toko Andi</v>
      </c>
      <c r="E5" s="6" t="s">
        <v>33</v>
      </c>
      <c r="F5" s="16" t="str">
        <f t="shared" ref="F5:F18" si="1">VLOOKUP(E5,$M$10:$O$14,2,FALSE)</f>
        <v>Bulu Tulis Isi 100</v>
      </c>
      <c r="G5" s="6">
        <v>203</v>
      </c>
      <c r="H5" s="13">
        <f t="shared" ref="H5:H18" si="2">VLOOKUP(E5,$M$10:$O$14,3,FALSE)</f>
        <v>375000</v>
      </c>
      <c r="I5" s="13">
        <f t="shared" ref="I5:I18" si="3">G5*H5</f>
        <v>76125000</v>
      </c>
      <c r="J5" s="31">
        <f t="shared" ref="J5:J18" si="4">IF(G5&lt;200,0%,IF(G5&gt;500,20%,10%))</f>
        <v>0.1</v>
      </c>
      <c r="K5" s="13">
        <f t="shared" ref="K5:K18" si="5">I5-(I5*J5)</f>
        <v>68512500</v>
      </c>
      <c r="M5" s="6" t="s">
        <v>12</v>
      </c>
      <c r="N5" s="6" t="s">
        <v>34</v>
      </c>
    </row>
    <row r="6" spans="1:15" x14ac:dyDescent="0.25">
      <c r="A6" s="6">
        <v>3</v>
      </c>
      <c r="B6" s="7">
        <v>45200</v>
      </c>
      <c r="C6" s="6" t="s">
        <v>13</v>
      </c>
      <c r="D6" s="16" t="str">
        <f t="shared" si="0"/>
        <v>Toko Central</v>
      </c>
      <c r="E6" s="6" t="s">
        <v>18</v>
      </c>
      <c r="F6" s="16" t="str">
        <f t="shared" si="1"/>
        <v>Pensil Box Isi 5</v>
      </c>
      <c r="G6" s="6">
        <v>176</v>
      </c>
      <c r="H6" s="13">
        <f t="shared" si="2"/>
        <v>100000</v>
      </c>
      <c r="I6" s="13">
        <f t="shared" si="3"/>
        <v>17600000</v>
      </c>
      <c r="J6" s="31">
        <f t="shared" si="4"/>
        <v>0</v>
      </c>
      <c r="K6" s="13">
        <f t="shared" si="5"/>
        <v>17600000</v>
      </c>
      <c r="M6" s="6" t="s">
        <v>16</v>
      </c>
      <c r="N6" s="6" t="s">
        <v>35</v>
      </c>
    </row>
    <row r="7" spans="1:15" x14ac:dyDescent="0.25">
      <c r="A7" s="6">
        <v>4</v>
      </c>
      <c r="B7" s="7">
        <v>45201</v>
      </c>
      <c r="C7" s="6" t="s">
        <v>13</v>
      </c>
      <c r="D7" s="16" t="str">
        <f t="shared" si="0"/>
        <v>Toko Central</v>
      </c>
      <c r="E7" s="6" t="s">
        <v>19</v>
      </c>
      <c r="F7" s="16" t="str">
        <f t="shared" si="1"/>
        <v>Pensil Box Isi 10</v>
      </c>
      <c r="G7" s="6">
        <v>248</v>
      </c>
      <c r="H7" s="13">
        <f t="shared" si="2"/>
        <v>185000</v>
      </c>
      <c r="I7" s="13">
        <f t="shared" si="3"/>
        <v>45880000</v>
      </c>
      <c r="J7" s="31">
        <f t="shared" si="4"/>
        <v>0.1</v>
      </c>
      <c r="K7" s="13">
        <f t="shared" si="5"/>
        <v>41292000</v>
      </c>
      <c r="M7" s="6" t="s">
        <v>13</v>
      </c>
      <c r="N7" s="6" t="s">
        <v>17</v>
      </c>
    </row>
    <row r="8" spans="1:15" x14ac:dyDescent="0.25">
      <c r="A8" s="6">
        <v>5</v>
      </c>
      <c r="B8" s="7">
        <v>45201</v>
      </c>
      <c r="C8" s="6" t="s">
        <v>16</v>
      </c>
      <c r="D8" s="16" t="str">
        <f t="shared" si="0"/>
        <v>Toko Andi</v>
      </c>
      <c r="E8" s="6" t="s">
        <v>32</v>
      </c>
      <c r="F8" s="16" t="str">
        <f t="shared" si="1"/>
        <v>Buku Tulis isi 50</v>
      </c>
      <c r="G8" s="6">
        <v>362</v>
      </c>
      <c r="H8" s="13">
        <f t="shared" si="2"/>
        <v>200000</v>
      </c>
      <c r="I8" s="13">
        <f t="shared" si="3"/>
        <v>72400000</v>
      </c>
      <c r="J8" s="31">
        <f t="shared" si="4"/>
        <v>0.1</v>
      </c>
      <c r="K8" s="13">
        <f t="shared" si="5"/>
        <v>65160000</v>
      </c>
    </row>
    <row r="9" spans="1:15" x14ac:dyDescent="0.25">
      <c r="A9" s="6">
        <v>6</v>
      </c>
      <c r="B9" s="7">
        <v>45201</v>
      </c>
      <c r="C9" s="6" t="s">
        <v>12</v>
      </c>
      <c r="D9" s="16" t="str">
        <f t="shared" si="0"/>
        <v>Toko Nafa</v>
      </c>
      <c r="E9" s="6" t="s">
        <v>33</v>
      </c>
      <c r="F9" s="16" t="str">
        <f t="shared" si="1"/>
        <v>Bulu Tulis Isi 100</v>
      </c>
      <c r="G9" s="6">
        <v>354</v>
      </c>
      <c r="H9" s="13">
        <f t="shared" si="2"/>
        <v>375000</v>
      </c>
      <c r="I9" s="13">
        <f t="shared" si="3"/>
        <v>132750000</v>
      </c>
      <c r="J9" s="31">
        <f t="shared" si="4"/>
        <v>0.1</v>
      </c>
      <c r="K9" s="13">
        <f t="shared" si="5"/>
        <v>119475000</v>
      </c>
      <c r="M9" s="18" t="s">
        <v>2</v>
      </c>
      <c r="N9" s="18"/>
      <c r="O9" s="18"/>
    </row>
    <row r="10" spans="1:15" x14ac:dyDescent="0.25">
      <c r="A10" s="6">
        <v>7</v>
      </c>
      <c r="B10" s="7">
        <v>45201</v>
      </c>
      <c r="C10" s="6" t="s">
        <v>16</v>
      </c>
      <c r="D10" s="16" t="str">
        <f t="shared" si="0"/>
        <v>Toko Andi</v>
      </c>
      <c r="E10" s="6" t="s">
        <v>18</v>
      </c>
      <c r="F10" s="16" t="str">
        <f t="shared" si="1"/>
        <v>Pensil Box Isi 5</v>
      </c>
      <c r="G10" s="6">
        <v>50</v>
      </c>
      <c r="H10" s="13">
        <f t="shared" si="2"/>
        <v>100000</v>
      </c>
      <c r="I10" s="13">
        <f t="shared" si="3"/>
        <v>5000000</v>
      </c>
      <c r="J10" s="31">
        <f t="shared" si="4"/>
        <v>0</v>
      </c>
      <c r="K10" s="13">
        <f t="shared" si="5"/>
        <v>5000000</v>
      </c>
      <c r="M10" s="9" t="s">
        <v>14</v>
      </c>
      <c r="N10" s="9" t="s">
        <v>15</v>
      </c>
      <c r="O10" s="9" t="s">
        <v>4</v>
      </c>
    </row>
    <row r="11" spans="1:15" x14ac:dyDescent="0.25">
      <c r="A11" s="6">
        <v>8</v>
      </c>
      <c r="B11" s="7">
        <v>45201</v>
      </c>
      <c r="C11" s="6" t="s">
        <v>12</v>
      </c>
      <c r="D11" s="16" t="str">
        <f t="shared" si="0"/>
        <v>Toko Nafa</v>
      </c>
      <c r="E11" s="6" t="s">
        <v>19</v>
      </c>
      <c r="F11" s="16" t="str">
        <f t="shared" si="1"/>
        <v>Pensil Box Isi 10</v>
      </c>
      <c r="G11" s="6">
        <v>406</v>
      </c>
      <c r="H11" s="13">
        <f t="shared" si="2"/>
        <v>185000</v>
      </c>
      <c r="I11" s="13">
        <f t="shared" si="3"/>
        <v>75110000</v>
      </c>
      <c r="J11" s="31">
        <f t="shared" si="4"/>
        <v>0.1</v>
      </c>
      <c r="K11" s="13">
        <f t="shared" si="5"/>
        <v>67599000</v>
      </c>
      <c r="M11" s="6" t="s">
        <v>32</v>
      </c>
      <c r="N11" s="6" t="s">
        <v>27</v>
      </c>
      <c r="O11" s="8">
        <v>200000</v>
      </c>
    </row>
    <row r="12" spans="1:15" x14ac:dyDescent="0.25">
      <c r="A12" s="6">
        <v>9</v>
      </c>
      <c r="B12" s="7">
        <v>45201</v>
      </c>
      <c r="C12" s="6" t="s">
        <v>13</v>
      </c>
      <c r="D12" s="16" t="str">
        <f t="shared" si="0"/>
        <v>Toko Central</v>
      </c>
      <c r="E12" s="6" t="s">
        <v>32</v>
      </c>
      <c r="F12" s="16" t="str">
        <f t="shared" si="1"/>
        <v>Buku Tulis isi 50</v>
      </c>
      <c r="G12" s="6">
        <v>202</v>
      </c>
      <c r="H12" s="13">
        <f t="shared" si="2"/>
        <v>200000</v>
      </c>
      <c r="I12" s="13">
        <f t="shared" si="3"/>
        <v>40400000</v>
      </c>
      <c r="J12" s="31">
        <f t="shared" si="4"/>
        <v>0.1</v>
      </c>
      <c r="K12" s="13">
        <f t="shared" si="5"/>
        <v>36360000</v>
      </c>
      <c r="M12" s="6" t="s">
        <v>33</v>
      </c>
      <c r="N12" s="6" t="s">
        <v>30</v>
      </c>
      <c r="O12" s="8">
        <v>375000</v>
      </c>
    </row>
    <row r="13" spans="1:15" x14ac:dyDescent="0.25">
      <c r="A13" s="6">
        <v>10</v>
      </c>
      <c r="B13" s="7">
        <v>45201</v>
      </c>
      <c r="C13" s="6" t="s">
        <v>16</v>
      </c>
      <c r="D13" s="16" t="str">
        <f t="shared" si="0"/>
        <v>Toko Andi</v>
      </c>
      <c r="E13" s="6" t="s">
        <v>33</v>
      </c>
      <c r="F13" s="16" t="str">
        <f t="shared" si="1"/>
        <v>Bulu Tulis Isi 100</v>
      </c>
      <c r="G13" s="6">
        <v>423</v>
      </c>
      <c r="H13" s="13">
        <f t="shared" si="2"/>
        <v>375000</v>
      </c>
      <c r="I13" s="13">
        <f t="shared" si="3"/>
        <v>158625000</v>
      </c>
      <c r="J13" s="31">
        <f t="shared" si="4"/>
        <v>0.1</v>
      </c>
      <c r="K13" s="13">
        <f t="shared" si="5"/>
        <v>142762500</v>
      </c>
      <c r="M13" s="6" t="s">
        <v>18</v>
      </c>
      <c r="N13" s="6" t="s">
        <v>28</v>
      </c>
      <c r="O13" s="8">
        <v>100000</v>
      </c>
    </row>
    <row r="14" spans="1:15" x14ac:dyDescent="0.25">
      <c r="A14" s="6">
        <v>11</v>
      </c>
      <c r="B14" s="7">
        <v>45202</v>
      </c>
      <c r="C14" s="6" t="s">
        <v>12</v>
      </c>
      <c r="D14" s="16" t="str">
        <f t="shared" si="0"/>
        <v>Toko Nafa</v>
      </c>
      <c r="E14" s="6" t="s">
        <v>18</v>
      </c>
      <c r="F14" s="16" t="str">
        <f t="shared" si="1"/>
        <v>Pensil Box Isi 5</v>
      </c>
      <c r="G14" s="6">
        <v>156</v>
      </c>
      <c r="H14" s="13">
        <f t="shared" si="2"/>
        <v>100000</v>
      </c>
      <c r="I14" s="13">
        <f t="shared" si="3"/>
        <v>15600000</v>
      </c>
      <c r="J14" s="31">
        <f t="shared" si="4"/>
        <v>0</v>
      </c>
      <c r="K14" s="13">
        <f t="shared" si="5"/>
        <v>15600000</v>
      </c>
      <c r="M14" s="6" t="s">
        <v>19</v>
      </c>
      <c r="N14" s="6" t="s">
        <v>29</v>
      </c>
      <c r="O14" s="8">
        <v>185000</v>
      </c>
    </row>
    <row r="15" spans="1:15" x14ac:dyDescent="0.25">
      <c r="A15" s="6">
        <v>12</v>
      </c>
      <c r="B15" s="7">
        <v>45202</v>
      </c>
      <c r="C15" s="6" t="s">
        <v>12</v>
      </c>
      <c r="D15" s="16" t="str">
        <f t="shared" si="0"/>
        <v>Toko Nafa</v>
      </c>
      <c r="E15" s="6" t="s">
        <v>19</v>
      </c>
      <c r="F15" s="16" t="str">
        <f t="shared" si="1"/>
        <v>Pensil Box Isi 10</v>
      </c>
      <c r="G15" s="6">
        <v>600</v>
      </c>
      <c r="H15" s="13">
        <f t="shared" si="2"/>
        <v>185000</v>
      </c>
      <c r="I15" s="13">
        <f t="shared" si="3"/>
        <v>111000000</v>
      </c>
      <c r="J15" s="31">
        <f t="shared" si="4"/>
        <v>0.2</v>
      </c>
      <c r="K15" s="13">
        <f t="shared" si="5"/>
        <v>88800000</v>
      </c>
    </row>
    <row r="16" spans="1:15" x14ac:dyDescent="0.25">
      <c r="A16" s="6">
        <v>13</v>
      </c>
      <c r="B16" s="7">
        <v>45202</v>
      </c>
      <c r="C16" s="6" t="s">
        <v>16</v>
      </c>
      <c r="D16" s="16" t="str">
        <f t="shared" si="0"/>
        <v>Toko Andi</v>
      </c>
      <c r="E16" s="6" t="s">
        <v>18</v>
      </c>
      <c r="F16" s="16" t="str">
        <f t="shared" si="1"/>
        <v>Pensil Box Isi 5</v>
      </c>
      <c r="G16" s="6">
        <v>454</v>
      </c>
      <c r="H16" s="13">
        <f t="shared" si="2"/>
        <v>100000</v>
      </c>
      <c r="I16" s="13">
        <f t="shared" si="3"/>
        <v>45400000</v>
      </c>
      <c r="J16" s="31">
        <f t="shared" si="4"/>
        <v>0.1</v>
      </c>
      <c r="K16" s="13">
        <f t="shared" si="5"/>
        <v>40860000</v>
      </c>
    </row>
    <row r="17" spans="1:13" x14ac:dyDescent="0.25">
      <c r="A17" s="6">
        <v>14</v>
      </c>
      <c r="B17" s="7">
        <v>45202</v>
      </c>
      <c r="C17" s="6" t="s">
        <v>12</v>
      </c>
      <c r="D17" s="16" t="str">
        <f t="shared" si="0"/>
        <v>Toko Nafa</v>
      </c>
      <c r="E17" s="6" t="s">
        <v>19</v>
      </c>
      <c r="F17" s="16" t="str">
        <f t="shared" si="1"/>
        <v>Pensil Box Isi 10</v>
      </c>
      <c r="G17" s="6">
        <v>361</v>
      </c>
      <c r="H17" s="13">
        <f t="shared" si="2"/>
        <v>185000</v>
      </c>
      <c r="I17" s="13">
        <f t="shared" si="3"/>
        <v>66785000</v>
      </c>
      <c r="J17" s="31">
        <f t="shared" si="4"/>
        <v>0.1</v>
      </c>
      <c r="K17" s="13">
        <f t="shared" si="5"/>
        <v>60106500</v>
      </c>
    </row>
    <row r="18" spans="1:13" x14ac:dyDescent="0.25">
      <c r="A18" s="6">
        <v>15</v>
      </c>
      <c r="B18" s="7">
        <v>45202</v>
      </c>
      <c r="C18" s="6" t="s">
        <v>13</v>
      </c>
      <c r="D18" s="16" t="str">
        <f t="shared" si="0"/>
        <v>Toko Central</v>
      </c>
      <c r="E18" s="6" t="s">
        <v>19</v>
      </c>
      <c r="F18" s="16" t="str">
        <f t="shared" si="1"/>
        <v>Pensil Box Isi 10</v>
      </c>
      <c r="G18" s="6">
        <v>555</v>
      </c>
      <c r="H18" s="13">
        <f t="shared" si="2"/>
        <v>185000</v>
      </c>
      <c r="I18" s="13">
        <f t="shared" si="3"/>
        <v>102675000</v>
      </c>
      <c r="J18" s="31">
        <f t="shared" si="4"/>
        <v>0.2</v>
      </c>
      <c r="K18" s="13">
        <f t="shared" si="5"/>
        <v>82140000</v>
      </c>
    </row>
    <row r="19" spans="1:13" x14ac:dyDescent="0.25">
      <c r="A19" s="28" t="s">
        <v>1</v>
      </c>
      <c r="B19" s="28"/>
      <c r="C19" s="28"/>
      <c r="D19" s="28"/>
      <c r="E19" s="28"/>
      <c r="F19" s="28"/>
      <c r="G19" s="12">
        <f>SUM(G4:G18)</f>
        <v>4882</v>
      </c>
      <c r="H19" s="19"/>
      <c r="I19" s="20"/>
      <c r="J19" s="21"/>
      <c r="K19" s="12">
        <f>SUM(K4:K18)</f>
        <v>911027500</v>
      </c>
    </row>
    <row r="20" spans="1:13" x14ac:dyDescent="0.25">
      <c r="A20" s="28" t="s">
        <v>11</v>
      </c>
      <c r="B20" s="28"/>
      <c r="C20" s="28"/>
      <c r="D20" s="28"/>
      <c r="E20" s="28"/>
      <c r="F20" s="28"/>
      <c r="G20" s="12">
        <f>AVERAGE(G4:G18)</f>
        <v>325.46666666666664</v>
      </c>
      <c r="H20" s="22"/>
      <c r="I20" s="23"/>
      <c r="J20" s="24"/>
      <c r="K20" s="14">
        <f>AVERAGE(K4:K18)</f>
        <v>60735166.666666664</v>
      </c>
    </row>
    <row r="21" spans="1:13" x14ac:dyDescent="0.25">
      <c r="A21" s="3" t="s">
        <v>21</v>
      </c>
      <c r="B21" s="26" t="s">
        <v>40</v>
      </c>
      <c r="C21" s="26"/>
      <c r="D21" s="27" t="s">
        <v>41</v>
      </c>
      <c r="E21" s="26"/>
      <c r="F21" s="26"/>
    </row>
    <row r="22" spans="1:13" x14ac:dyDescent="0.25">
      <c r="A22" s="2">
        <v>1</v>
      </c>
      <c r="B22" s="2" t="s">
        <v>22</v>
      </c>
      <c r="H22" s="1" t="s">
        <v>38</v>
      </c>
      <c r="I22" s="1" t="s">
        <v>37</v>
      </c>
      <c r="K22" s="1" t="s">
        <v>3</v>
      </c>
      <c r="L22" s="25" t="s">
        <v>39</v>
      </c>
      <c r="M22" s="25"/>
    </row>
    <row r="23" spans="1:13" x14ac:dyDescent="0.25">
      <c r="A23" s="2">
        <v>2</v>
      </c>
      <c r="B23" s="2" t="s">
        <v>23</v>
      </c>
      <c r="H23" s="11" t="s">
        <v>34</v>
      </c>
      <c r="I23" s="15">
        <f>SUMIF($D$4:$D$18,H23,$K$4:$K$18)</f>
        <v>411340500</v>
      </c>
      <c r="K23" s="11" t="s">
        <v>27</v>
      </c>
      <c r="L23" s="17">
        <f>SUMIF($F$4:$F$18,K23,$G$4:$G$18)</f>
        <v>896</v>
      </c>
      <c r="M23" s="17"/>
    </row>
    <row r="24" spans="1:13" x14ac:dyDescent="0.25">
      <c r="A24" s="2">
        <v>3</v>
      </c>
      <c r="B24" s="2" t="s">
        <v>24</v>
      </c>
      <c r="H24" s="11" t="s">
        <v>35</v>
      </c>
      <c r="I24" s="15">
        <f t="shared" ref="I24:I25" si="6">SUMIF($D$4:$D$18,H24,$K$4:$K$18)</f>
        <v>322295000</v>
      </c>
      <c r="K24" s="11" t="s">
        <v>30</v>
      </c>
      <c r="L24" s="17">
        <f t="shared" ref="L24:L26" si="7">SUMIF($F$4:$F$18,K24,$G$4:$G$18)</f>
        <v>980</v>
      </c>
      <c r="M24" s="17"/>
    </row>
    <row r="25" spans="1:13" x14ac:dyDescent="0.25">
      <c r="A25" s="2">
        <v>4</v>
      </c>
      <c r="B25" s="2" t="s">
        <v>25</v>
      </c>
      <c r="H25" s="11" t="s">
        <v>17</v>
      </c>
      <c r="I25" s="15">
        <f t="shared" si="6"/>
        <v>177392000</v>
      </c>
      <c r="K25" s="11" t="s">
        <v>28</v>
      </c>
      <c r="L25" s="17">
        <f t="shared" si="7"/>
        <v>836</v>
      </c>
      <c r="M25" s="17"/>
    </row>
    <row r="26" spans="1:13" x14ac:dyDescent="0.25">
      <c r="A26" s="2">
        <v>5</v>
      </c>
      <c r="B26" s="2" t="s">
        <v>26</v>
      </c>
      <c r="K26" s="11" t="s">
        <v>29</v>
      </c>
      <c r="L26" s="17">
        <f t="shared" si="7"/>
        <v>2170</v>
      </c>
      <c r="M26" s="17"/>
    </row>
    <row r="27" spans="1:13" x14ac:dyDescent="0.25">
      <c r="A27" s="2">
        <v>6</v>
      </c>
      <c r="B27" s="2" t="s">
        <v>36</v>
      </c>
    </row>
  </sheetData>
  <mergeCells count="13">
    <mergeCell ref="A1:K2"/>
    <mergeCell ref="H19:J20"/>
    <mergeCell ref="L22:M22"/>
    <mergeCell ref="L23:M23"/>
    <mergeCell ref="B21:C21"/>
    <mergeCell ref="D21:F21"/>
    <mergeCell ref="A19:F19"/>
    <mergeCell ref="A20:F20"/>
    <mergeCell ref="L24:M24"/>
    <mergeCell ref="L25:M25"/>
    <mergeCell ref="L26:M26"/>
    <mergeCell ref="M3:N3"/>
    <mergeCell ref="M9:O9"/>
  </mergeCells>
  <hyperlinks>
    <hyperlink ref="D21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2025-03-23T10:29:29Z</dcterms:modified>
</cp:coreProperties>
</file>