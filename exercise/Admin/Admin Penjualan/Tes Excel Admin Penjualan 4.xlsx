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Penjualan\"/>
    </mc:Choice>
  </mc:AlternateContent>
  <bookViews>
    <workbookView xWindow="0" yWindow="0" windowWidth="20490" windowHeight="110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5" i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<sst xmlns="http://schemas.openxmlformats.org/spreadsheetml/2006/main" count="38" uniqueCount="33">
  <si>
    <t>MENGHITUNG HARGA JUAL SEPATU</t>
  </si>
  <si>
    <t>NO</t>
  </si>
  <si>
    <t>JENIS SEPATU</t>
  </si>
  <si>
    <t>KATEGORI</t>
  </si>
  <si>
    <t xml:space="preserve">HARGA </t>
  </si>
  <si>
    <t>DISKON</t>
  </si>
  <si>
    <t>HARGA JUAL</t>
  </si>
  <si>
    <t>A</t>
  </si>
  <si>
    <t>C</t>
  </si>
  <si>
    <t>AIRWALK MORGAN DK</t>
  </si>
  <si>
    <t>B</t>
  </si>
  <si>
    <t>VANS UA CLASSIC</t>
  </si>
  <si>
    <t>NIKE ZOOM PEGASUS</t>
  </si>
  <si>
    <t>LEEDO MR110</t>
  </si>
  <si>
    <t>ADIDAS MEN DURAMO</t>
  </si>
  <si>
    <t>REEBOX MEN TRAINING HIT</t>
  </si>
  <si>
    <t>JUMLAH JENIS SEPATU KATEGORI A</t>
  </si>
  <si>
    <t>JUMLAH JENIS SEPATU KATEGORI B</t>
  </si>
  <si>
    <t>JUMLAH JENIS SEPATU KATEGORI C</t>
  </si>
  <si>
    <t>2. Harga jual adalah harga - diskon</t>
  </si>
  <si>
    <t>1.Isi kolom DISKON dengan ketentuan sebagai berikut :</t>
  </si>
  <si>
    <t xml:space="preserve">ONITSUKA TIGER MEXICO </t>
  </si>
  <si>
    <t>ONITSUKA TIGER CALIFORNIA</t>
  </si>
  <si>
    <t>3. Isi harga termahal, harga termurah, harga rata-rata dan jumlah kategori masing masing sepatu</t>
  </si>
  <si>
    <t>=&gt;&gt; Kategori B memperoleh diskon 5%</t>
  </si>
  <si>
    <t>=&gt;&gt; Kategori C memperoleh diskon 15%</t>
  </si>
  <si>
    <t>=&gt;&gt; Kategori A memperoleh diskon 10%</t>
  </si>
  <si>
    <t>HARGA JUAL TERMAHAL</t>
  </si>
  <si>
    <t>HARGA JUAL TERMURAH</t>
  </si>
  <si>
    <t>HARGA JUAL RATA-RATA</t>
  </si>
  <si>
    <t>Instruksi :</t>
  </si>
  <si>
    <t>Video Pembahasan</t>
  </si>
  <si>
    <t>https://youtu.be/kn1KrKp4sCg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</si>
</sst>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Yu Gothic UI Semibold"/>
      <family val="2"/>
    </font>
    <font>
      <u/>
      <sz val="11"/>
      <color theme="1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1" fontId="3" fillId="0" borderId="0" xfId="1" applyFont="1"/>
    <xf numFmtId="41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1" fontId="3" fillId="0" borderId="1" xfId="1" applyFont="1" applyBorder="1"/>
    <xf numFmtId="0" fontId="3" fillId="0" borderId="1" xfId="0" applyNumberFormat="1" applyFont="1" applyBorder="1"/>
    <xf numFmtId="41" fontId="3" fillId="0" borderId="1" xfId="0" applyNumberFormat="1" applyFont="1" applyBorder="1"/>
    <xf numFmtId="41" fontId="3" fillId="0" borderId="3" xfId="0" applyNumberFormat="1" applyFont="1" applyBorder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3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2" applyNumberFormat="1" applyFont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kn1KrKp4s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tabSelected="1" zoomScale="130" zoomScaleNormal="130" workbookViewId="0">
      <selection activeCell="G10" sqref="G10"/>
    </sheetView>
  </sheetViews>
  <sheetFormatPr defaultRowHeight="16.5" x14ac:dyDescent="0.3"/>
  <cols>
    <col min="1" max="1" width="1" style="2" customWidth="1"/>
    <col min="2" max="2" width="6" style="1" customWidth="1"/>
    <col min="3" max="3" width="30.85546875" style="2" customWidth="1"/>
    <col min="4" max="4" width="11.7109375" style="1" customWidth="1"/>
    <col min="5" max="5" width="12" style="3" customWidth="1"/>
    <col min="6" max="6" width="12.42578125" style="4" customWidth="1"/>
    <col min="7" max="7" width="18.7109375" style="2" customWidth="1"/>
    <col min="8" max="8" width="1.140625" style="2" customWidth="1"/>
    <col min="9" max="9" width="10.140625" style="2" bestFit="1" customWidth="1"/>
    <col min="10" max="12" width="9.140625" style="2"/>
    <col min="13" max="13" width="6.42578125" style="2" customWidth="1"/>
    <col min="14" max="14" width="5.42578125" style="2" customWidth="1"/>
    <col min="15" max="16384" width="9.140625" style="2"/>
  </cols>
  <sheetData>
    <row r="1" spans="2:14" x14ac:dyDescent="0.3">
      <c r="B1" s="26" t="s">
        <v>0</v>
      </c>
      <c r="C1" s="26"/>
      <c r="D1" s="26"/>
      <c r="E1" s="26"/>
      <c r="F1" s="26"/>
      <c r="G1" s="26"/>
    </row>
    <row r="2" spans="2:14" ht="20.25" customHeight="1" x14ac:dyDescent="0.3">
      <c r="B2" s="27"/>
      <c r="C2" s="27"/>
      <c r="D2" s="27"/>
      <c r="E2" s="27"/>
      <c r="F2" s="27"/>
      <c r="G2" s="27"/>
    </row>
    <row r="3" spans="2:14" s="8" customFormat="1" ht="24.75" customHeight="1" x14ac:dyDescent="0.3">
      <c r="B3" s="5" t="s">
        <v>1</v>
      </c>
      <c r="C3" s="5" t="s">
        <v>2</v>
      </c>
      <c r="D3" s="5" t="s">
        <v>3</v>
      </c>
      <c r="E3" s="6" t="s">
        <v>4</v>
      </c>
      <c r="F3" s="7" t="s">
        <v>5</v>
      </c>
      <c r="G3" s="5" t="s">
        <v>6</v>
      </c>
      <c r="I3" s="2"/>
      <c r="J3" s="2"/>
      <c r="K3" s="2"/>
      <c r="L3" s="2"/>
      <c r="M3" s="2"/>
      <c r="N3" s="2"/>
    </row>
    <row r="4" spans="2:14" x14ac:dyDescent="0.3">
      <c r="B4" s="9">
        <v>1</v>
      </c>
      <c r="C4" s="10" t="s">
        <v>21</v>
      </c>
      <c r="D4" s="9" t="s">
        <v>7</v>
      </c>
      <c r="E4" s="11">
        <v>1799000</v>
      </c>
      <c r="F4" s="31">
        <f>IF(D4="A",10%,IF(D4="B",5%,IF(D4="C",15%)))</f>
        <v>0.1</v>
      </c>
      <c r="G4" s="13">
        <f>E4-(E4*F4)</f>
        <v>1619100</v>
      </c>
      <c r="H4" s="4"/>
      <c r="I4" s="15" t="s">
        <v>30</v>
      </c>
    </row>
    <row r="5" spans="2:14" x14ac:dyDescent="0.3">
      <c r="B5" s="9">
        <v>2</v>
      </c>
      <c r="C5" s="10" t="s">
        <v>22</v>
      </c>
      <c r="D5" s="9" t="s">
        <v>8</v>
      </c>
      <c r="E5" s="11">
        <v>1499000</v>
      </c>
      <c r="F5" s="31">
        <f t="shared" ref="F5:F11" si="0">IF(D5="A",10%,IF(D5="B",5%,IF(D5="C",15%)))</f>
        <v>0.15</v>
      </c>
      <c r="G5" s="13">
        <f t="shared" ref="G5:G11" si="1">E5-(E5*F5)</f>
        <v>1274150</v>
      </c>
      <c r="I5" s="17" t="s">
        <v>20</v>
      </c>
      <c r="J5" s="17"/>
      <c r="K5" s="17"/>
      <c r="L5" s="17"/>
      <c r="M5" s="17"/>
      <c r="N5" s="17"/>
    </row>
    <row r="6" spans="2:14" x14ac:dyDescent="0.3">
      <c r="B6" s="9">
        <v>3</v>
      </c>
      <c r="C6" s="10" t="s">
        <v>9</v>
      </c>
      <c r="D6" s="9" t="s">
        <v>10</v>
      </c>
      <c r="E6" s="11">
        <v>429000</v>
      </c>
      <c r="F6" s="31">
        <f t="shared" si="0"/>
        <v>0.05</v>
      </c>
      <c r="G6" s="13">
        <f t="shared" si="1"/>
        <v>407550</v>
      </c>
      <c r="I6" s="17"/>
      <c r="J6" s="17"/>
      <c r="K6" s="17"/>
      <c r="L6" s="17"/>
      <c r="M6" s="17"/>
      <c r="N6" s="17"/>
    </row>
    <row r="7" spans="2:14" x14ac:dyDescent="0.3">
      <c r="B7" s="9">
        <v>4</v>
      </c>
      <c r="C7" s="10" t="s">
        <v>11</v>
      </c>
      <c r="D7" s="9" t="s">
        <v>10</v>
      </c>
      <c r="E7" s="11">
        <v>699000</v>
      </c>
      <c r="F7" s="31">
        <f t="shared" si="0"/>
        <v>0.05</v>
      </c>
      <c r="G7" s="13">
        <f t="shared" si="1"/>
        <v>664050</v>
      </c>
      <c r="I7" s="21" t="s">
        <v>26</v>
      </c>
      <c r="J7" s="22"/>
      <c r="K7" s="22"/>
      <c r="L7" s="22"/>
      <c r="M7" s="22"/>
      <c r="N7" s="22"/>
    </row>
    <row r="8" spans="2:14" x14ac:dyDescent="0.3">
      <c r="B8" s="9">
        <v>5</v>
      </c>
      <c r="C8" s="10" t="s">
        <v>12</v>
      </c>
      <c r="D8" s="9" t="s">
        <v>10</v>
      </c>
      <c r="E8" s="11">
        <v>699000</v>
      </c>
      <c r="F8" s="31">
        <f t="shared" si="0"/>
        <v>0.05</v>
      </c>
      <c r="G8" s="13">
        <f t="shared" si="1"/>
        <v>664050</v>
      </c>
      <c r="I8" s="21" t="s">
        <v>24</v>
      </c>
      <c r="J8" s="22"/>
      <c r="K8" s="22"/>
      <c r="L8" s="22"/>
      <c r="M8" s="22"/>
      <c r="N8" s="22"/>
    </row>
    <row r="9" spans="2:14" ht="16.5" customHeight="1" x14ac:dyDescent="0.3">
      <c r="B9" s="9">
        <v>6</v>
      </c>
      <c r="C9" s="10" t="s">
        <v>13</v>
      </c>
      <c r="D9" s="9" t="s">
        <v>7</v>
      </c>
      <c r="E9" s="11">
        <v>278000</v>
      </c>
      <c r="F9" s="31">
        <f t="shared" si="0"/>
        <v>0.1</v>
      </c>
      <c r="G9" s="13">
        <f t="shared" si="1"/>
        <v>250200</v>
      </c>
      <c r="I9" s="21" t="s">
        <v>25</v>
      </c>
      <c r="J9" s="22"/>
      <c r="K9" s="22"/>
      <c r="L9" s="22"/>
      <c r="M9" s="22"/>
      <c r="N9" s="22"/>
    </row>
    <row r="10" spans="2:14" x14ac:dyDescent="0.3">
      <c r="B10" s="9">
        <v>7</v>
      </c>
      <c r="C10" s="10" t="s">
        <v>14</v>
      </c>
      <c r="D10" s="9" t="s">
        <v>8</v>
      </c>
      <c r="E10" s="11">
        <v>700000</v>
      </c>
      <c r="F10" s="31">
        <f t="shared" si="0"/>
        <v>0.15</v>
      </c>
      <c r="G10" s="13">
        <f t="shared" si="1"/>
        <v>595000</v>
      </c>
      <c r="I10" s="23" t="s">
        <v>19</v>
      </c>
      <c r="J10" s="23"/>
      <c r="K10" s="23"/>
      <c r="L10" s="23"/>
      <c r="M10" s="23"/>
      <c r="N10" s="23"/>
    </row>
    <row r="11" spans="2:14" x14ac:dyDescent="0.3">
      <c r="B11" s="9">
        <v>8</v>
      </c>
      <c r="C11" s="10" t="s">
        <v>15</v>
      </c>
      <c r="D11" s="9" t="s">
        <v>7</v>
      </c>
      <c r="E11" s="11">
        <v>1299000</v>
      </c>
      <c r="F11" s="31">
        <f t="shared" si="0"/>
        <v>0.1</v>
      </c>
      <c r="G11" s="13">
        <f t="shared" si="1"/>
        <v>1169100</v>
      </c>
      <c r="I11" s="18" t="s">
        <v>23</v>
      </c>
      <c r="J11" s="19"/>
      <c r="K11" s="19"/>
      <c r="L11" s="19"/>
      <c r="M11" s="19"/>
      <c r="N11" s="19"/>
    </row>
    <row r="12" spans="2:14" x14ac:dyDescent="0.3">
      <c r="B12" s="28" t="s">
        <v>27</v>
      </c>
      <c r="C12" s="29"/>
      <c r="D12" s="29"/>
      <c r="E12" s="29"/>
      <c r="F12" s="29"/>
      <c r="G12" s="14">
        <f>MAX(G4:G11)</f>
        <v>1619100</v>
      </c>
      <c r="I12" s="19"/>
      <c r="J12" s="19"/>
      <c r="K12" s="19"/>
      <c r="L12" s="19"/>
      <c r="M12" s="19"/>
      <c r="N12" s="19"/>
    </row>
    <row r="13" spans="2:14" x14ac:dyDescent="0.3">
      <c r="B13" s="30" t="s">
        <v>28</v>
      </c>
      <c r="C13" s="20"/>
      <c r="D13" s="20"/>
      <c r="E13" s="20"/>
      <c r="F13" s="20"/>
      <c r="G13" s="13">
        <f>MIN(G4:G11)</f>
        <v>250200</v>
      </c>
      <c r="I13" s="19"/>
      <c r="J13" s="19"/>
      <c r="K13" s="19"/>
      <c r="L13" s="19"/>
      <c r="M13" s="19"/>
      <c r="N13" s="19"/>
    </row>
    <row r="14" spans="2:14" x14ac:dyDescent="0.3">
      <c r="B14" s="30" t="s">
        <v>29</v>
      </c>
      <c r="C14" s="20"/>
      <c r="D14" s="20"/>
      <c r="E14" s="20"/>
      <c r="F14" s="20"/>
      <c r="G14" s="13">
        <f>AVERAGE(G4:G11)</f>
        <v>830400</v>
      </c>
    </row>
    <row r="15" spans="2:14" x14ac:dyDescent="0.3">
      <c r="B15" s="20" t="s">
        <v>16</v>
      </c>
      <c r="C15" s="20"/>
      <c r="D15" s="20"/>
      <c r="E15" s="20"/>
      <c r="F15" s="20"/>
      <c r="G15" s="12">
        <f>COUNTIF(D4:D11,"A")</f>
        <v>3</v>
      </c>
      <c r="I15" s="16" t="s">
        <v>31</v>
      </c>
    </row>
    <row r="16" spans="2:14" x14ac:dyDescent="0.3">
      <c r="B16" s="20" t="s">
        <v>17</v>
      </c>
      <c r="C16" s="20"/>
      <c r="D16" s="20"/>
      <c r="E16" s="20"/>
      <c r="F16" s="20"/>
      <c r="G16" s="12">
        <f>COUNTIF(D4:D11,"B")</f>
        <v>3</v>
      </c>
      <c r="I16" s="24" t="s">
        <v>32</v>
      </c>
      <c r="J16" s="25"/>
      <c r="K16" s="25"/>
      <c r="L16" s="25"/>
      <c r="M16" s="25"/>
      <c r="N16" s="25"/>
    </row>
    <row r="17" spans="2:7" x14ac:dyDescent="0.3">
      <c r="B17" s="20" t="s">
        <v>18</v>
      </c>
      <c r="C17" s="20"/>
      <c r="D17" s="20"/>
      <c r="E17" s="20"/>
      <c r="F17" s="20"/>
      <c r="G17" s="12">
        <f>COUNTIF(D4:D11,"C")</f>
        <v>2</v>
      </c>
    </row>
    <row r="19" spans="2:7" x14ac:dyDescent="0.3">
      <c r="B19" s="2"/>
      <c r="D19" s="2"/>
      <c r="E19" s="2"/>
      <c r="F19" s="2"/>
    </row>
    <row r="20" spans="2:7" x14ac:dyDescent="0.3">
      <c r="B20" s="2"/>
      <c r="D20" s="2"/>
      <c r="E20" s="2"/>
      <c r="F20" s="2"/>
    </row>
    <row r="21" spans="2:7" x14ac:dyDescent="0.3">
      <c r="B21" s="2"/>
      <c r="D21" s="2"/>
      <c r="E21" s="2"/>
      <c r="F21" s="2"/>
    </row>
    <row r="22" spans="2:7" x14ac:dyDescent="0.3">
      <c r="B22" s="2"/>
      <c r="D22" s="2"/>
      <c r="E22" s="2"/>
      <c r="F22" s="2"/>
    </row>
    <row r="23" spans="2:7" x14ac:dyDescent="0.3">
      <c r="B23" s="2"/>
      <c r="D23" s="2"/>
      <c r="E23" s="2"/>
      <c r="F23" s="2"/>
    </row>
    <row r="24" spans="2:7" ht="33.75" customHeight="1" x14ac:dyDescent="0.3">
      <c r="B24" s="2"/>
      <c r="D24" s="2"/>
      <c r="E24" s="2"/>
      <c r="F24" s="2"/>
    </row>
  </sheetData>
  <mergeCells count="14">
    <mergeCell ref="B1:G2"/>
    <mergeCell ref="B12:F12"/>
    <mergeCell ref="B13:F13"/>
    <mergeCell ref="B14:F14"/>
    <mergeCell ref="B15:F15"/>
    <mergeCell ref="I5:N6"/>
    <mergeCell ref="I11:N13"/>
    <mergeCell ref="B16:F16"/>
    <mergeCell ref="B17:F17"/>
    <mergeCell ref="I7:N7"/>
    <mergeCell ref="I8:N8"/>
    <mergeCell ref="I9:N9"/>
    <mergeCell ref="I10:N10"/>
    <mergeCell ref="I16:N16"/>
  </mergeCells>
  <hyperlinks>
    <hyperlink ref="I1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niaulans</cp:lastModifiedBy>
  <dcterms:created xsi:type="dcterms:W3CDTF">2020-10-30T05:09:01Z</dcterms:created>
  <dcterms:modified xsi:type="dcterms:W3CDTF">2025-03-23T10:21:00Z</dcterms:modified>
</cp:coreProperties>
</file>