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11070"/>
  </bookViews>
  <sheets>
    <sheet name="Soal" sheetId="1" r:id="rId1"/>
    <sheet name="Jawaban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L4" i="1" s="1"/>
  <c r="K5" i="1"/>
  <c r="L5" i="1" s="1"/>
  <c r="K6" i="1"/>
  <c r="K7" i="1"/>
  <c r="K8" i="1"/>
  <c r="L8" i="1" s="1"/>
  <c r="K9" i="1"/>
  <c r="L9" i="1" s="1"/>
  <c r="K10" i="1"/>
  <c r="K11" i="1"/>
  <c r="K12" i="1"/>
  <c r="L12" i="1" s="1"/>
  <c r="K13" i="1"/>
  <c r="L13" i="1" s="1"/>
  <c r="K14" i="1"/>
  <c r="K15" i="1"/>
  <c r="K16" i="1"/>
  <c r="L16" i="1" s="1"/>
  <c r="K17" i="1"/>
  <c r="L17" i="1" s="1"/>
  <c r="K3" i="1"/>
  <c r="H20" i="1"/>
  <c r="H19" i="1"/>
  <c r="L6" i="1"/>
  <c r="L7" i="1"/>
  <c r="L10" i="1"/>
  <c r="L11" i="1"/>
  <c r="L14" i="1"/>
  <c r="L15" i="1"/>
  <c r="L18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L19" i="1" l="1"/>
  <c r="L20" i="1"/>
  <c r="G20" i="2"/>
  <c r="G21" i="2" s="1"/>
  <c r="J19" i="2"/>
  <c r="H19" i="2"/>
  <c r="I19" i="2" s="1"/>
  <c r="K19" i="2" s="1"/>
  <c r="F19" i="2"/>
  <c r="D19" i="2"/>
  <c r="J18" i="2"/>
  <c r="H18" i="2"/>
  <c r="I18" i="2" s="1"/>
  <c r="K18" i="2" s="1"/>
  <c r="F18" i="2"/>
  <c r="D18" i="2"/>
  <c r="J17" i="2"/>
  <c r="H17" i="2"/>
  <c r="I17" i="2" s="1"/>
  <c r="K17" i="2" s="1"/>
  <c r="F17" i="2"/>
  <c r="D17" i="2"/>
  <c r="J16" i="2"/>
  <c r="H16" i="2"/>
  <c r="I16" i="2" s="1"/>
  <c r="K16" i="2" s="1"/>
  <c r="F16" i="2"/>
  <c r="D16" i="2"/>
  <c r="J15" i="2"/>
  <c r="H15" i="2"/>
  <c r="I15" i="2" s="1"/>
  <c r="K15" i="2" s="1"/>
  <c r="F15" i="2"/>
  <c r="D15" i="2"/>
  <c r="J14" i="2"/>
  <c r="H14" i="2"/>
  <c r="I14" i="2" s="1"/>
  <c r="K14" i="2" s="1"/>
  <c r="F14" i="2"/>
  <c r="D14" i="2"/>
  <c r="J13" i="2"/>
  <c r="H13" i="2"/>
  <c r="I13" i="2" s="1"/>
  <c r="K13" i="2" s="1"/>
  <c r="F13" i="2"/>
  <c r="D13" i="2"/>
  <c r="J12" i="2"/>
  <c r="H12" i="2"/>
  <c r="I12" i="2" s="1"/>
  <c r="K12" i="2" s="1"/>
  <c r="F12" i="2"/>
  <c r="D12" i="2"/>
  <c r="J11" i="2"/>
  <c r="H11" i="2"/>
  <c r="I11" i="2" s="1"/>
  <c r="K11" i="2" s="1"/>
  <c r="F11" i="2"/>
  <c r="D11" i="2"/>
  <c r="J10" i="2"/>
  <c r="H10" i="2"/>
  <c r="I10" i="2" s="1"/>
  <c r="K10" i="2" s="1"/>
  <c r="F10" i="2"/>
  <c r="D10" i="2"/>
  <c r="J9" i="2"/>
  <c r="H9" i="2"/>
  <c r="I9" i="2" s="1"/>
  <c r="K9" i="2" s="1"/>
  <c r="F9" i="2"/>
  <c r="D9" i="2"/>
  <c r="J8" i="2"/>
  <c r="H8" i="2"/>
  <c r="I8" i="2" s="1"/>
  <c r="K8" i="2" s="1"/>
  <c r="F8" i="2"/>
  <c r="D8" i="2"/>
  <c r="J7" i="2"/>
  <c r="H7" i="2"/>
  <c r="I7" i="2" s="1"/>
  <c r="K7" i="2" s="1"/>
  <c r="F7" i="2"/>
  <c r="D7" i="2"/>
  <c r="J6" i="2"/>
  <c r="H6" i="2"/>
  <c r="I6" i="2" s="1"/>
  <c r="K6" i="2" s="1"/>
  <c r="F6" i="2"/>
  <c r="D6" i="2"/>
  <c r="J5" i="2"/>
  <c r="H5" i="2"/>
  <c r="I5" i="2" s="1"/>
  <c r="K5" i="2" s="1"/>
  <c r="K20" i="2" s="1"/>
  <c r="K21" i="2" s="1"/>
  <c r="F5" i="2"/>
  <c r="D5" i="2"/>
</calcChain>
</file>

<file path=xl/sharedStrings.xml><?xml version="1.0" encoding="utf-8"?>
<sst xmlns="http://schemas.openxmlformats.org/spreadsheetml/2006/main" count="146" uniqueCount="43">
  <si>
    <t>No</t>
  </si>
  <si>
    <t>Total</t>
  </si>
  <si>
    <t>Kode Produk</t>
  </si>
  <si>
    <t>Nama Produk</t>
  </si>
  <si>
    <t>Harga Satuan</t>
  </si>
  <si>
    <t>Diskon</t>
  </si>
  <si>
    <t>Kode Pelanggan</t>
  </si>
  <si>
    <t>Nama Pelanggan</t>
  </si>
  <si>
    <t>Tanggal</t>
  </si>
  <si>
    <t>Total Penjualan</t>
  </si>
  <si>
    <t>Penjualan Bersih</t>
  </si>
  <si>
    <t>Rata Rata Penjualan Harian</t>
  </si>
  <si>
    <t>NF-01</t>
  </si>
  <si>
    <t>CT-03</t>
  </si>
  <si>
    <t>Kode</t>
  </si>
  <si>
    <t>Nama</t>
  </si>
  <si>
    <t>AN-02</t>
  </si>
  <si>
    <t>Toko Anton</t>
  </si>
  <si>
    <t>Toko Nofri</t>
  </si>
  <si>
    <t>Toko Central</t>
  </si>
  <si>
    <t>B-05</t>
  </si>
  <si>
    <t>B-10</t>
  </si>
  <si>
    <t>P-5</t>
  </si>
  <si>
    <t>P-10</t>
  </si>
  <si>
    <t>Besi 5 Meter</t>
  </si>
  <si>
    <t>Besi 10 Meter</t>
  </si>
  <si>
    <t>Pipa 5 Meter</t>
  </si>
  <si>
    <t>Pipa 10 Meter</t>
  </si>
  <si>
    <t>Isi Nama Pelanggan, Nama Produk, Harga Satuan (Gunakan kode VLOOKUP)</t>
  </si>
  <si>
    <t>Isi Total Penjualan (Rumus Perkalian)</t>
  </si>
  <si>
    <t>Jika qty pembelian diatas 200, maka diskon 10%, jika diatas 500, maka 20% (Gunakan Rumus IF)</t>
  </si>
  <si>
    <t>Isi Penjualan Bersih (Rumus Perkalian)</t>
  </si>
  <si>
    <t>Daftar Penjualan 3 Hari Terakhir
Toko Bangunan Sukses Bersama
By: MasterExceLiD</t>
  </si>
  <si>
    <t>MasterExceLiD</t>
  </si>
  <si>
    <t>www.MasterExceLiD.com</t>
  </si>
  <si>
    <t>Totalkan semua Qty dan Penjualan Bersih (, dan Rata Rata kan (Rumus Pembagian).</t>
  </si>
  <si>
    <t>Qty</t>
  </si>
  <si>
    <t>Soal</t>
  </si>
  <si>
    <t xml:space="preserve">Daftar Penjualan 3 Hari Terakhir
Toko Bangunan Jaya Abadi
</t>
  </si>
  <si>
    <t>Pelanggan</t>
  </si>
  <si>
    <t>Produk</t>
  </si>
  <si>
    <t>Video Pembahasan</t>
  </si>
  <si>
    <t>https://youtu.be/PUTanRDVQq0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</si>
</sst>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Yu Gothic UI Semibold"/>
      <family val="2"/>
    </font>
    <font>
      <i/>
      <sz val="11"/>
      <color rgb="FFFF0000"/>
      <name val="Yu Gothic UI Semibold"/>
      <family val="2"/>
    </font>
    <font>
      <sz val="10"/>
      <color theme="1"/>
      <name val="Yu Gothic UI Semibold"/>
      <family val="2"/>
    </font>
    <font>
      <b/>
      <sz val="10"/>
      <color theme="0"/>
      <name val="Yu Gothic UI Semibold"/>
      <family val="2"/>
    </font>
    <font>
      <b/>
      <sz val="10"/>
      <color theme="1"/>
      <name val="Yu Gothic UI Semibold"/>
      <family val="2"/>
    </font>
    <font>
      <b/>
      <sz val="10"/>
      <name val="Yu Gothic UI Semibol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0" fontId="5" fillId="0" borderId="0" xfId="2"/>
    <xf numFmtId="0" fontId="6" fillId="0" borderId="0" xfId="0" applyFont="1"/>
    <xf numFmtId="10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164" fontId="9" fillId="0" borderId="1" xfId="3" applyFont="1" applyBorder="1" applyAlignment="1">
      <alignment horizontal="center"/>
    </xf>
    <xf numFmtId="166" fontId="9" fillId="0" borderId="1" xfId="1" applyNumberFormat="1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166" fontId="11" fillId="0" borderId="1" xfId="1" applyNumberFormat="1" applyFont="1" applyBorder="1" applyAlignment="1">
      <alignment horizontal="center"/>
    </xf>
    <xf numFmtId="0" fontId="11" fillId="0" borderId="0" xfId="0" applyFont="1"/>
    <xf numFmtId="0" fontId="11" fillId="2" borderId="1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64" fontId="9" fillId="0" borderId="12" xfId="3" applyFont="1" applyBorder="1" applyAlignment="1">
      <alignment horizontal="center"/>
    </xf>
    <xf numFmtId="9" fontId="9" fillId="0" borderId="12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6" fontId="9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5" fillId="0" borderId="0" xfId="2" applyAlignment="1">
      <alignment horizontal="center"/>
    </xf>
    <xf numFmtId="0" fontId="9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6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1" fillId="0" borderId="11" xfId="0" applyNumberFormat="1" applyFont="1" applyFill="1" applyBorder="1" applyAlignment="1">
      <alignment horizontal="center"/>
    </xf>
    <xf numFmtId="166" fontId="11" fillId="0" borderId="11" xfId="0" applyNumberFormat="1" applyFont="1" applyFill="1" applyBorder="1" applyAlignment="1">
      <alignment horizontal="center"/>
    </xf>
  </cellXfs>
  <cellStyles count="4">
    <cellStyle name="Comma" xfId="1" builtinId="3"/>
    <cellStyle name="Comma [0]" xfId="3" builtinId="6"/>
    <cellStyle name="Hyperlink" xfId="2" builtinId="8"/>
    <cellStyle name="Normal" xfId="0" builtinId="0"/>
  </cellStyles>
  <dxfs count="0"/>
  <tableStyles count="0" defaultTableStyle="TableStyleMedium2" defaultPivotStyle="PivotStyleMedium9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PUTanRDVQq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asterexceli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showGridLines="0" tabSelected="1" workbookViewId="0">
      <selection activeCell="K9" sqref="K9"/>
    </sheetView>
  </sheetViews>
  <sheetFormatPr defaultRowHeight="14.25" x14ac:dyDescent="0.25"/>
  <cols>
    <col min="1" max="1" width="1.7109375" style="17" customWidth="1"/>
    <col min="2" max="2" width="5.42578125" style="17" bestFit="1" customWidth="1"/>
    <col min="3" max="3" width="12.42578125" style="17" customWidth="1"/>
    <col min="4" max="4" width="15.28515625" style="17" bestFit="1" customWidth="1"/>
    <col min="5" max="5" width="15.85546875" style="17" bestFit="1" customWidth="1"/>
    <col min="6" max="6" width="12.28515625" style="17" bestFit="1" customWidth="1"/>
    <col min="7" max="7" width="13.85546875" style="17" customWidth="1"/>
    <col min="8" max="8" width="7.28515625" style="17" bestFit="1" customWidth="1"/>
    <col min="9" max="9" width="12.42578125" style="17" bestFit="1" customWidth="1"/>
    <col min="10" max="10" width="14.85546875" style="17" bestFit="1" customWidth="1"/>
    <col min="11" max="11" width="8.140625" style="17" bestFit="1" customWidth="1"/>
    <col min="12" max="12" width="16" style="17" bestFit="1" customWidth="1"/>
    <col min="13" max="13" width="2.5703125" style="17" customWidth="1"/>
    <col min="14" max="14" width="11.5703125" style="17" customWidth="1"/>
    <col min="15" max="15" width="21.85546875" style="17" customWidth="1"/>
    <col min="16" max="16" width="15.140625" style="17" customWidth="1"/>
    <col min="17" max="16384" width="9.140625" style="17"/>
  </cols>
  <sheetData>
    <row r="1" spans="2:16" ht="40.5" customHeight="1" x14ac:dyDescent="0.25">
      <c r="B1" s="47" t="s">
        <v>38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16" s="18" customFormat="1" x14ac:dyDescent="0.25">
      <c r="B2" s="27" t="s">
        <v>0</v>
      </c>
      <c r="C2" s="27" t="s">
        <v>8</v>
      </c>
      <c r="D2" s="27" t="s">
        <v>6</v>
      </c>
      <c r="E2" s="27" t="s">
        <v>7</v>
      </c>
      <c r="F2" s="27" t="s">
        <v>2</v>
      </c>
      <c r="G2" s="27" t="s">
        <v>3</v>
      </c>
      <c r="H2" s="27" t="s">
        <v>36</v>
      </c>
      <c r="I2" s="27" t="s">
        <v>4</v>
      </c>
      <c r="J2" s="27" t="s">
        <v>9</v>
      </c>
      <c r="K2" s="27" t="s">
        <v>5</v>
      </c>
      <c r="L2" s="27" t="s">
        <v>10</v>
      </c>
      <c r="N2" s="45" t="s">
        <v>39</v>
      </c>
      <c r="O2" s="45"/>
    </row>
    <row r="3" spans="2:16" x14ac:dyDescent="0.25">
      <c r="B3" s="19">
        <v>1</v>
      </c>
      <c r="C3" s="20">
        <v>43313</v>
      </c>
      <c r="D3" s="19" t="s">
        <v>12</v>
      </c>
      <c r="E3" s="19" t="str">
        <f>VLOOKUP(D3,$N$3:$O$6,2,FALSE)</f>
        <v>Toko Nofri</v>
      </c>
      <c r="F3" s="19" t="s">
        <v>20</v>
      </c>
      <c r="G3" s="19" t="str">
        <f>VLOOKUP(F3,$N$9:$P$13,2,FALSE)</f>
        <v>Besi 5 Meter</v>
      </c>
      <c r="H3" s="19">
        <v>340</v>
      </c>
      <c r="I3" s="21">
        <f>VLOOKUP(F3,$N$9:$P$13,3,FALSE)</f>
        <v>200000</v>
      </c>
      <c r="J3" s="22">
        <f>H3*I3</f>
        <v>68000000</v>
      </c>
      <c r="K3" s="23">
        <f>IF(H3&lt;200,0%,IF(H3&gt;500,20%,10%))</f>
        <v>0.1</v>
      </c>
      <c r="L3" s="22">
        <f>J3-(J3*K3)</f>
        <v>61200000</v>
      </c>
      <c r="N3" s="29" t="s">
        <v>14</v>
      </c>
      <c r="O3" s="29" t="s">
        <v>15</v>
      </c>
    </row>
    <row r="4" spans="2:16" x14ac:dyDescent="0.25">
      <c r="B4" s="19">
        <v>2</v>
      </c>
      <c r="C4" s="20">
        <v>43313</v>
      </c>
      <c r="D4" s="19" t="s">
        <v>16</v>
      </c>
      <c r="E4" s="19" t="str">
        <f t="shared" ref="E4:E17" si="0">VLOOKUP(D4,$N$3:$O$6,2,FALSE)</f>
        <v>Toko Anton</v>
      </c>
      <c r="F4" s="19" t="s">
        <v>21</v>
      </c>
      <c r="G4" s="19" t="str">
        <f t="shared" ref="G4:G17" si="1">VLOOKUP(F4,$N$9:$P$13,2,FALSE)</f>
        <v>Besi 10 Meter</v>
      </c>
      <c r="H4" s="19">
        <v>140</v>
      </c>
      <c r="I4" s="21">
        <f t="shared" ref="I4:I17" si="2">VLOOKUP(F4,$N$9:$P$13,3,FALSE)</f>
        <v>375000</v>
      </c>
      <c r="J4" s="22">
        <f t="shared" ref="J4:J18" si="3">H4*I4</f>
        <v>52500000</v>
      </c>
      <c r="K4" s="23">
        <f t="shared" ref="K4:K17" si="4">IF(H4&lt;200,0%,IF(H4&gt;500,20%,10%))</f>
        <v>0</v>
      </c>
      <c r="L4" s="22">
        <f t="shared" ref="L4:L19" si="5">J4-(J4*K4)</f>
        <v>52500000</v>
      </c>
      <c r="N4" s="19" t="s">
        <v>12</v>
      </c>
      <c r="O4" s="19" t="s">
        <v>18</v>
      </c>
    </row>
    <row r="5" spans="2:16" x14ac:dyDescent="0.25">
      <c r="B5" s="19">
        <v>3</v>
      </c>
      <c r="C5" s="20">
        <v>43313</v>
      </c>
      <c r="D5" s="19" t="s">
        <v>13</v>
      </c>
      <c r="E5" s="19" t="str">
        <f t="shared" si="0"/>
        <v>Toko Central</v>
      </c>
      <c r="F5" s="19" t="s">
        <v>22</v>
      </c>
      <c r="G5" s="19" t="str">
        <f t="shared" si="1"/>
        <v>Pipa 5 Meter</v>
      </c>
      <c r="H5" s="19">
        <v>560</v>
      </c>
      <c r="I5" s="21">
        <f t="shared" si="2"/>
        <v>100000</v>
      </c>
      <c r="J5" s="22">
        <f t="shared" si="3"/>
        <v>56000000</v>
      </c>
      <c r="K5" s="23">
        <f t="shared" si="4"/>
        <v>0.2</v>
      </c>
      <c r="L5" s="22">
        <f t="shared" si="5"/>
        <v>44800000</v>
      </c>
      <c r="N5" s="19" t="s">
        <v>16</v>
      </c>
      <c r="O5" s="19" t="s">
        <v>17</v>
      </c>
    </row>
    <row r="6" spans="2:16" x14ac:dyDescent="0.25">
      <c r="B6" s="19">
        <v>4</v>
      </c>
      <c r="C6" s="20">
        <v>43314</v>
      </c>
      <c r="D6" s="19" t="s">
        <v>13</v>
      </c>
      <c r="E6" s="19" t="str">
        <f t="shared" si="0"/>
        <v>Toko Central</v>
      </c>
      <c r="F6" s="19" t="s">
        <v>23</v>
      </c>
      <c r="G6" s="19" t="str">
        <f t="shared" si="1"/>
        <v>Pipa 10 Meter</v>
      </c>
      <c r="H6" s="19">
        <v>230</v>
      </c>
      <c r="I6" s="21">
        <f t="shared" si="2"/>
        <v>185000</v>
      </c>
      <c r="J6" s="22">
        <f t="shared" si="3"/>
        <v>42550000</v>
      </c>
      <c r="K6" s="23">
        <f t="shared" si="4"/>
        <v>0.1</v>
      </c>
      <c r="L6" s="22">
        <f t="shared" si="5"/>
        <v>38295000</v>
      </c>
      <c r="N6" s="19" t="s">
        <v>13</v>
      </c>
      <c r="O6" s="19" t="s">
        <v>19</v>
      </c>
    </row>
    <row r="7" spans="2:16" x14ac:dyDescent="0.25">
      <c r="B7" s="19">
        <v>5</v>
      </c>
      <c r="C7" s="20">
        <v>43314</v>
      </c>
      <c r="D7" s="19" t="s">
        <v>16</v>
      </c>
      <c r="E7" s="19" t="str">
        <f t="shared" si="0"/>
        <v>Toko Anton</v>
      </c>
      <c r="F7" s="19" t="s">
        <v>20</v>
      </c>
      <c r="G7" s="19" t="str">
        <f t="shared" si="1"/>
        <v>Besi 5 Meter</v>
      </c>
      <c r="H7" s="19">
        <v>770</v>
      </c>
      <c r="I7" s="21">
        <f t="shared" si="2"/>
        <v>200000</v>
      </c>
      <c r="J7" s="22">
        <f t="shared" si="3"/>
        <v>154000000</v>
      </c>
      <c r="K7" s="23">
        <f t="shared" si="4"/>
        <v>0.2</v>
      </c>
      <c r="L7" s="22">
        <f t="shared" si="5"/>
        <v>123200000</v>
      </c>
    </row>
    <row r="8" spans="2:16" x14ac:dyDescent="0.25">
      <c r="B8" s="19">
        <v>6</v>
      </c>
      <c r="C8" s="20">
        <v>43314</v>
      </c>
      <c r="D8" s="19" t="s">
        <v>12</v>
      </c>
      <c r="E8" s="19" t="str">
        <f t="shared" si="0"/>
        <v>Toko Nofri</v>
      </c>
      <c r="F8" s="19" t="s">
        <v>21</v>
      </c>
      <c r="G8" s="19" t="str">
        <f t="shared" si="1"/>
        <v>Besi 10 Meter</v>
      </c>
      <c r="H8" s="19">
        <v>780</v>
      </c>
      <c r="I8" s="21">
        <f t="shared" si="2"/>
        <v>375000</v>
      </c>
      <c r="J8" s="22">
        <f t="shared" si="3"/>
        <v>292500000</v>
      </c>
      <c r="K8" s="23">
        <f t="shared" si="4"/>
        <v>0.2</v>
      </c>
      <c r="L8" s="22">
        <f t="shared" si="5"/>
        <v>234000000</v>
      </c>
      <c r="N8" s="46" t="s">
        <v>40</v>
      </c>
      <c r="O8" s="46"/>
      <c r="P8" s="46"/>
    </row>
    <row r="9" spans="2:16" x14ac:dyDescent="0.25">
      <c r="B9" s="19">
        <v>7</v>
      </c>
      <c r="C9" s="20">
        <v>43314</v>
      </c>
      <c r="D9" s="19" t="s">
        <v>16</v>
      </c>
      <c r="E9" s="19" t="str">
        <f t="shared" si="0"/>
        <v>Toko Anton</v>
      </c>
      <c r="F9" s="19" t="s">
        <v>22</v>
      </c>
      <c r="G9" s="19" t="str">
        <f t="shared" si="1"/>
        <v>Pipa 5 Meter</v>
      </c>
      <c r="H9" s="19">
        <v>300</v>
      </c>
      <c r="I9" s="21">
        <f t="shared" si="2"/>
        <v>100000</v>
      </c>
      <c r="J9" s="22">
        <f t="shared" si="3"/>
        <v>30000000</v>
      </c>
      <c r="K9" s="23">
        <f t="shared" si="4"/>
        <v>0.1</v>
      </c>
      <c r="L9" s="22">
        <f t="shared" si="5"/>
        <v>27000000</v>
      </c>
      <c r="N9" s="29" t="s">
        <v>14</v>
      </c>
      <c r="O9" s="29" t="s">
        <v>15</v>
      </c>
      <c r="P9" s="29" t="s">
        <v>4</v>
      </c>
    </row>
    <row r="10" spans="2:16" x14ac:dyDescent="0.25">
      <c r="B10" s="19">
        <v>8</v>
      </c>
      <c r="C10" s="20">
        <v>43314</v>
      </c>
      <c r="D10" s="19" t="s">
        <v>12</v>
      </c>
      <c r="E10" s="19" t="str">
        <f t="shared" si="0"/>
        <v>Toko Nofri</v>
      </c>
      <c r="F10" s="19" t="s">
        <v>23</v>
      </c>
      <c r="G10" s="19" t="str">
        <f t="shared" si="1"/>
        <v>Pipa 10 Meter</v>
      </c>
      <c r="H10" s="19">
        <v>790</v>
      </c>
      <c r="I10" s="21">
        <f t="shared" si="2"/>
        <v>185000</v>
      </c>
      <c r="J10" s="22">
        <f t="shared" si="3"/>
        <v>146150000</v>
      </c>
      <c r="K10" s="23">
        <f t="shared" si="4"/>
        <v>0.2</v>
      </c>
      <c r="L10" s="22">
        <f t="shared" si="5"/>
        <v>116920000</v>
      </c>
      <c r="N10" s="19" t="s">
        <v>20</v>
      </c>
      <c r="O10" s="19" t="s">
        <v>24</v>
      </c>
      <c r="P10" s="22">
        <v>200000</v>
      </c>
    </row>
    <row r="11" spans="2:16" x14ac:dyDescent="0.25">
      <c r="B11" s="19">
        <v>9</v>
      </c>
      <c r="C11" s="20">
        <v>43314</v>
      </c>
      <c r="D11" s="19" t="s">
        <v>13</v>
      </c>
      <c r="E11" s="19" t="str">
        <f t="shared" si="0"/>
        <v>Toko Central</v>
      </c>
      <c r="F11" s="19" t="s">
        <v>20</v>
      </c>
      <c r="G11" s="19" t="str">
        <f t="shared" si="1"/>
        <v>Besi 5 Meter</v>
      </c>
      <c r="H11" s="19">
        <v>440</v>
      </c>
      <c r="I11" s="21">
        <f t="shared" si="2"/>
        <v>200000</v>
      </c>
      <c r="J11" s="22">
        <f t="shared" si="3"/>
        <v>88000000</v>
      </c>
      <c r="K11" s="23">
        <f t="shared" si="4"/>
        <v>0.1</v>
      </c>
      <c r="L11" s="22">
        <f t="shared" si="5"/>
        <v>79200000</v>
      </c>
      <c r="N11" s="19" t="s">
        <v>21</v>
      </c>
      <c r="O11" s="19" t="s">
        <v>25</v>
      </c>
      <c r="P11" s="22">
        <v>375000</v>
      </c>
    </row>
    <row r="12" spans="2:16" x14ac:dyDescent="0.25">
      <c r="B12" s="19">
        <v>10</v>
      </c>
      <c r="C12" s="20">
        <v>43314</v>
      </c>
      <c r="D12" s="19" t="s">
        <v>16</v>
      </c>
      <c r="E12" s="19" t="str">
        <f t="shared" si="0"/>
        <v>Toko Anton</v>
      </c>
      <c r="F12" s="19" t="s">
        <v>21</v>
      </c>
      <c r="G12" s="19" t="str">
        <f t="shared" si="1"/>
        <v>Besi 10 Meter</v>
      </c>
      <c r="H12" s="19">
        <v>130</v>
      </c>
      <c r="I12" s="21">
        <f t="shared" si="2"/>
        <v>375000</v>
      </c>
      <c r="J12" s="22">
        <f t="shared" si="3"/>
        <v>48750000</v>
      </c>
      <c r="K12" s="23">
        <f t="shared" si="4"/>
        <v>0</v>
      </c>
      <c r="L12" s="22">
        <f t="shared" si="5"/>
        <v>48750000</v>
      </c>
      <c r="N12" s="19" t="s">
        <v>22</v>
      </c>
      <c r="O12" s="19" t="s">
        <v>26</v>
      </c>
      <c r="P12" s="22">
        <v>100000</v>
      </c>
    </row>
    <row r="13" spans="2:16" x14ac:dyDescent="0.25">
      <c r="B13" s="19">
        <v>11</v>
      </c>
      <c r="C13" s="20">
        <v>43315</v>
      </c>
      <c r="D13" s="19" t="s">
        <v>12</v>
      </c>
      <c r="E13" s="19" t="str">
        <f t="shared" si="0"/>
        <v>Toko Nofri</v>
      </c>
      <c r="F13" s="19" t="s">
        <v>22</v>
      </c>
      <c r="G13" s="19" t="str">
        <f t="shared" si="1"/>
        <v>Pipa 5 Meter</v>
      </c>
      <c r="H13" s="19">
        <v>360</v>
      </c>
      <c r="I13" s="21">
        <f t="shared" si="2"/>
        <v>100000</v>
      </c>
      <c r="J13" s="22">
        <f t="shared" si="3"/>
        <v>36000000</v>
      </c>
      <c r="K13" s="23">
        <f t="shared" si="4"/>
        <v>0.1</v>
      </c>
      <c r="L13" s="22">
        <f t="shared" si="5"/>
        <v>32400000</v>
      </c>
      <c r="N13" s="19" t="s">
        <v>23</v>
      </c>
      <c r="O13" s="19" t="s">
        <v>27</v>
      </c>
      <c r="P13" s="22">
        <v>185000</v>
      </c>
    </row>
    <row r="14" spans="2:16" x14ac:dyDescent="0.25">
      <c r="B14" s="19">
        <v>12</v>
      </c>
      <c r="C14" s="20">
        <v>43315</v>
      </c>
      <c r="D14" s="19" t="s">
        <v>12</v>
      </c>
      <c r="E14" s="19" t="str">
        <f t="shared" si="0"/>
        <v>Toko Nofri</v>
      </c>
      <c r="F14" s="19" t="s">
        <v>23</v>
      </c>
      <c r="G14" s="19" t="str">
        <f t="shared" si="1"/>
        <v>Pipa 10 Meter</v>
      </c>
      <c r="H14" s="19">
        <v>120</v>
      </c>
      <c r="I14" s="21">
        <f t="shared" si="2"/>
        <v>185000</v>
      </c>
      <c r="J14" s="22">
        <f t="shared" si="3"/>
        <v>22200000</v>
      </c>
      <c r="K14" s="23">
        <f t="shared" si="4"/>
        <v>0</v>
      </c>
      <c r="L14" s="22">
        <f t="shared" si="5"/>
        <v>22200000</v>
      </c>
    </row>
    <row r="15" spans="2:16" x14ac:dyDescent="0.25">
      <c r="B15" s="19">
        <v>13</v>
      </c>
      <c r="C15" s="20">
        <v>43315</v>
      </c>
      <c r="D15" s="19" t="s">
        <v>16</v>
      </c>
      <c r="E15" s="19" t="str">
        <f t="shared" si="0"/>
        <v>Toko Anton</v>
      </c>
      <c r="F15" s="19" t="s">
        <v>22</v>
      </c>
      <c r="G15" s="19" t="str">
        <f t="shared" si="1"/>
        <v>Pipa 5 Meter</v>
      </c>
      <c r="H15" s="19">
        <v>120</v>
      </c>
      <c r="I15" s="21">
        <f t="shared" si="2"/>
        <v>100000</v>
      </c>
      <c r="J15" s="22">
        <f t="shared" si="3"/>
        <v>12000000</v>
      </c>
      <c r="K15" s="23">
        <f t="shared" si="4"/>
        <v>0</v>
      </c>
      <c r="L15" s="22">
        <f t="shared" si="5"/>
        <v>12000000</v>
      </c>
    </row>
    <row r="16" spans="2:16" x14ac:dyDescent="0.25">
      <c r="B16" s="19">
        <v>14</v>
      </c>
      <c r="C16" s="20">
        <v>43315</v>
      </c>
      <c r="D16" s="19" t="s">
        <v>12</v>
      </c>
      <c r="E16" s="19" t="str">
        <f t="shared" si="0"/>
        <v>Toko Nofri</v>
      </c>
      <c r="F16" s="19" t="s">
        <v>23</v>
      </c>
      <c r="G16" s="19" t="str">
        <f t="shared" si="1"/>
        <v>Pipa 10 Meter</v>
      </c>
      <c r="H16" s="19">
        <v>720</v>
      </c>
      <c r="I16" s="21">
        <f t="shared" si="2"/>
        <v>185000</v>
      </c>
      <c r="J16" s="22">
        <f t="shared" si="3"/>
        <v>133200000</v>
      </c>
      <c r="K16" s="23">
        <f t="shared" si="4"/>
        <v>0.2</v>
      </c>
      <c r="L16" s="22">
        <f t="shared" si="5"/>
        <v>106560000</v>
      </c>
    </row>
    <row r="17" spans="2:15" x14ac:dyDescent="0.25">
      <c r="B17" s="19">
        <v>15</v>
      </c>
      <c r="C17" s="20">
        <v>43315</v>
      </c>
      <c r="D17" s="19" t="s">
        <v>13</v>
      </c>
      <c r="E17" s="19" t="str">
        <f t="shared" si="0"/>
        <v>Toko Central</v>
      </c>
      <c r="F17" s="19" t="s">
        <v>23</v>
      </c>
      <c r="G17" s="19" t="str">
        <f t="shared" si="1"/>
        <v>Pipa 10 Meter</v>
      </c>
      <c r="H17" s="19">
        <v>250</v>
      </c>
      <c r="I17" s="21">
        <f t="shared" si="2"/>
        <v>185000</v>
      </c>
      <c r="J17" s="22">
        <f t="shared" si="3"/>
        <v>46250000</v>
      </c>
      <c r="K17" s="23">
        <f t="shared" si="4"/>
        <v>0.1</v>
      </c>
      <c r="L17" s="22">
        <f t="shared" si="5"/>
        <v>41625000</v>
      </c>
    </row>
    <row r="18" spans="2:15" ht="1.5" customHeight="1" thickBot="1" x14ac:dyDescent="0.3">
      <c r="B18" s="35"/>
      <c r="C18" s="36"/>
      <c r="D18" s="37"/>
      <c r="E18" s="37"/>
      <c r="F18" s="37"/>
      <c r="G18" s="38"/>
      <c r="H18" s="32"/>
      <c r="I18" s="33"/>
      <c r="J18" s="22">
        <f t="shared" si="3"/>
        <v>0</v>
      </c>
      <c r="K18" s="34"/>
      <c r="L18" s="22">
        <f t="shared" si="5"/>
        <v>0</v>
      </c>
    </row>
    <row r="19" spans="2:15" x14ac:dyDescent="0.25">
      <c r="B19" s="41" t="s">
        <v>1</v>
      </c>
      <c r="C19" s="42"/>
      <c r="D19" s="42"/>
      <c r="E19" s="42"/>
      <c r="F19" s="42"/>
      <c r="G19" s="43"/>
      <c r="H19" s="28">
        <f>SUM(H3:H18)</f>
        <v>6050</v>
      </c>
      <c r="I19" s="60"/>
      <c r="J19" s="61"/>
      <c r="K19" s="30"/>
      <c r="L19" s="31">
        <f>SUM(L3:L18)</f>
        <v>1040650000</v>
      </c>
    </row>
    <row r="20" spans="2:15" x14ac:dyDescent="0.25">
      <c r="B20" s="44" t="s">
        <v>11</v>
      </c>
      <c r="C20" s="44"/>
      <c r="D20" s="44"/>
      <c r="E20" s="44"/>
      <c r="F20" s="44"/>
      <c r="G20" s="44"/>
      <c r="H20" s="25">
        <f>AVERAGE(H3:H17)</f>
        <v>403.33333333333331</v>
      </c>
      <c r="I20" s="24"/>
      <c r="J20" s="24"/>
      <c r="K20" s="24"/>
      <c r="L20" s="25">
        <f>AVERAGE(L3:L17)</f>
        <v>69376666.666666672</v>
      </c>
    </row>
    <row r="21" spans="2:15" ht="8.25" customHeight="1" x14ac:dyDescent="0.25"/>
    <row r="22" spans="2:15" x14ac:dyDescent="0.25">
      <c r="B22" s="26" t="s">
        <v>37</v>
      </c>
    </row>
    <row r="23" spans="2:15" ht="16.5" x14ac:dyDescent="0.3">
      <c r="B23" s="15">
        <v>1</v>
      </c>
      <c r="C23" s="16" t="s">
        <v>28</v>
      </c>
      <c r="D23" s="15"/>
      <c r="E23" s="14"/>
      <c r="F23" s="14"/>
      <c r="G23" s="14"/>
      <c r="H23" s="14"/>
      <c r="I23" s="14"/>
    </row>
    <row r="24" spans="2:15" ht="16.5" x14ac:dyDescent="0.3">
      <c r="B24" s="15">
        <v>2</v>
      </c>
      <c r="C24" s="16" t="s">
        <v>29</v>
      </c>
      <c r="D24" s="14"/>
      <c r="E24" s="14"/>
      <c r="F24" s="14"/>
      <c r="G24" s="14"/>
      <c r="H24" s="14"/>
      <c r="I24" s="14"/>
    </row>
    <row r="25" spans="2:15" ht="16.5" x14ac:dyDescent="0.3">
      <c r="B25" s="15">
        <v>3</v>
      </c>
      <c r="C25" s="16" t="s">
        <v>30</v>
      </c>
      <c r="D25" s="14"/>
      <c r="E25" s="14"/>
      <c r="F25" s="14"/>
      <c r="G25" s="14"/>
      <c r="H25" s="14"/>
      <c r="I25" s="14"/>
      <c r="K25" s="17" t="s">
        <v>41</v>
      </c>
    </row>
    <row r="26" spans="2:15" ht="16.5" x14ac:dyDescent="0.3">
      <c r="B26" s="15">
        <v>4</v>
      </c>
      <c r="C26" s="16" t="s">
        <v>31</v>
      </c>
      <c r="D26" s="14"/>
      <c r="E26" s="14"/>
      <c r="F26" s="14"/>
      <c r="G26" s="14"/>
      <c r="H26" s="14"/>
      <c r="I26" s="14"/>
      <c r="K26" s="39" t="s">
        <v>42</v>
      </c>
      <c r="L26" s="40"/>
      <c r="M26" s="40"/>
      <c r="N26" s="40"/>
      <c r="O26" s="40"/>
    </row>
    <row r="27" spans="2:15" ht="16.5" x14ac:dyDescent="0.3">
      <c r="B27" s="15">
        <v>5</v>
      </c>
      <c r="C27" s="16" t="s">
        <v>35</v>
      </c>
      <c r="D27" s="14"/>
      <c r="E27" s="14"/>
      <c r="F27" s="14"/>
      <c r="G27" s="14"/>
      <c r="H27" s="14"/>
      <c r="I27" s="14"/>
    </row>
  </sheetData>
  <mergeCells count="6">
    <mergeCell ref="B1:L1"/>
    <mergeCell ref="K26:O26"/>
    <mergeCell ref="B19:G19"/>
    <mergeCell ref="B20:G20"/>
    <mergeCell ref="N2:O2"/>
    <mergeCell ref="N8:P8"/>
  </mergeCells>
  <hyperlinks>
    <hyperlink ref="K26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opLeftCell="A16" workbookViewId="0">
      <selection activeCell="G21" sqref="G21"/>
    </sheetView>
  </sheetViews>
  <sheetFormatPr defaultRowHeight="15" x14ac:dyDescent="0.25"/>
  <cols>
    <col min="1" max="1" width="5.42578125" bestFit="1" customWidth="1"/>
    <col min="2" max="2" width="7.7109375" bestFit="1" customWidth="1"/>
    <col min="3" max="3" width="15.28515625" bestFit="1" customWidth="1"/>
    <col min="4" max="4" width="15.85546875" bestFit="1" customWidth="1"/>
    <col min="5" max="5" width="12.28515625" bestFit="1" customWidth="1"/>
    <col min="6" max="6" width="13.28515625" bestFit="1" customWidth="1"/>
    <col min="7" max="7" width="7.28515625" bestFit="1" customWidth="1"/>
    <col min="8" max="8" width="12.42578125" bestFit="1" customWidth="1"/>
    <col min="9" max="9" width="14.85546875" bestFit="1" customWidth="1"/>
    <col min="10" max="10" width="7" bestFit="1" customWidth="1"/>
    <col min="11" max="11" width="16" bestFit="1" customWidth="1"/>
    <col min="13" max="13" width="11.5703125" customWidth="1"/>
    <col min="14" max="14" width="21.85546875" customWidth="1"/>
    <col min="15" max="15" width="15.140625" customWidth="1"/>
  </cols>
  <sheetData>
    <row r="1" spans="1:15" ht="17.25" customHeight="1" x14ac:dyDescent="0.25">
      <c r="A1" s="49" t="s">
        <v>32</v>
      </c>
      <c r="B1" s="50"/>
      <c r="C1" s="50"/>
      <c r="D1" s="50"/>
      <c r="E1" s="50"/>
      <c r="F1" s="50"/>
      <c r="G1" s="50"/>
      <c r="H1" s="50"/>
      <c r="I1" s="50"/>
      <c r="J1" s="50"/>
      <c r="K1" s="51"/>
      <c r="M1" s="6" t="s">
        <v>33</v>
      </c>
    </row>
    <row r="2" spans="1:15" ht="20.25" customHeight="1" thickBot="1" x14ac:dyDescent="0.3">
      <c r="A2" s="52"/>
      <c r="B2" s="53"/>
      <c r="C2" s="53"/>
      <c r="D2" s="53"/>
      <c r="E2" s="53"/>
      <c r="F2" s="53"/>
      <c r="G2" s="53"/>
      <c r="H2" s="53"/>
      <c r="I2" s="53"/>
      <c r="J2" s="53"/>
      <c r="K2" s="54"/>
      <c r="M2" s="5" t="s">
        <v>34</v>
      </c>
    </row>
    <row r="4" spans="1:15" s="1" customFormat="1" x14ac:dyDescent="0.25">
      <c r="A4" s="9" t="s">
        <v>0</v>
      </c>
      <c r="B4" s="9" t="s">
        <v>8</v>
      </c>
      <c r="C4" s="9" t="s">
        <v>6</v>
      </c>
      <c r="D4" s="9" t="s">
        <v>7</v>
      </c>
      <c r="E4" s="9" t="s">
        <v>2</v>
      </c>
      <c r="F4" s="9" t="s">
        <v>3</v>
      </c>
      <c r="G4" s="9" t="s">
        <v>36</v>
      </c>
      <c r="H4" s="9" t="s">
        <v>4</v>
      </c>
      <c r="I4" s="9" t="s">
        <v>9</v>
      </c>
      <c r="J4" s="9" t="s">
        <v>5</v>
      </c>
      <c r="K4" s="9" t="s">
        <v>10</v>
      </c>
      <c r="M4" s="55" t="s">
        <v>6</v>
      </c>
      <c r="N4" s="55"/>
    </row>
    <row r="5" spans="1:15" x14ac:dyDescent="0.25">
      <c r="A5" s="3">
        <v>1</v>
      </c>
      <c r="B5" s="2">
        <v>43313</v>
      </c>
      <c r="C5" s="3" t="s">
        <v>12</v>
      </c>
      <c r="D5" s="3" t="str">
        <f>VLOOKUP(C5,$M$6:$N$8,2,0)</f>
        <v>Toko Nofri</v>
      </c>
      <c r="E5" s="3" t="s">
        <v>20</v>
      </c>
      <c r="F5" s="3" t="str">
        <f>VLOOKUP(E5,$M$12:$O$15,2,0)</f>
        <v>Besi 5 Meter</v>
      </c>
      <c r="G5" s="3">
        <v>340</v>
      </c>
      <c r="H5" s="4">
        <f>VLOOKUP(E5,$M$12:$O$15,3,0)</f>
        <v>200000</v>
      </c>
      <c r="I5" s="4">
        <f>G5*H5</f>
        <v>68000000</v>
      </c>
      <c r="J5" s="7">
        <f>IF(G5&gt;500,20%,IF(G5&gt;200,10%,0))</f>
        <v>0.1</v>
      </c>
      <c r="K5" s="4">
        <f>I5-(I5*J5)</f>
        <v>61200000</v>
      </c>
      <c r="M5" s="8" t="s">
        <v>14</v>
      </c>
      <c r="N5" s="8" t="s">
        <v>15</v>
      </c>
    </row>
    <row r="6" spans="1:15" x14ac:dyDescent="0.25">
      <c r="A6" s="3">
        <v>2</v>
      </c>
      <c r="B6" s="2">
        <v>43313</v>
      </c>
      <c r="C6" s="3" t="s">
        <v>16</v>
      </c>
      <c r="D6" s="3" t="str">
        <f t="shared" ref="D6:D19" si="0">VLOOKUP(C6,$M$6:$N$8,2,0)</f>
        <v>Toko Anton</v>
      </c>
      <c r="E6" s="3" t="s">
        <v>21</v>
      </c>
      <c r="F6" s="3" t="str">
        <f t="shared" ref="F6:F19" si="1">VLOOKUP(E6,$M$12:$O$15,2,0)</f>
        <v>Besi 10 Meter</v>
      </c>
      <c r="G6" s="3">
        <v>140</v>
      </c>
      <c r="H6" s="4">
        <f t="shared" ref="H6:H19" si="2">VLOOKUP(E6,$M$12:$O$15,3,0)</f>
        <v>375000</v>
      </c>
      <c r="I6" s="4">
        <f t="shared" ref="I6:I19" si="3">G6*H6</f>
        <v>52500000</v>
      </c>
      <c r="J6" s="7">
        <f t="shared" ref="J6:J19" si="4">IF(G6&gt;500,20%,IF(G6&gt;200,10%,0))</f>
        <v>0</v>
      </c>
      <c r="K6" s="4">
        <f t="shared" ref="K6:K19" si="5">I6-(I6*J6)</f>
        <v>52500000</v>
      </c>
      <c r="M6" s="3" t="s">
        <v>12</v>
      </c>
      <c r="N6" s="3" t="s">
        <v>18</v>
      </c>
    </row>
    <row r="7" spans="1:15" x14ac:dyDescent="0.25">
      <c r="A7" s="3">
        <v>3</v>
      </c>
      <c r="B7" s="2">
        <v>43313</v>
      </c>
      <c r="C7" s="3" t="s">
        <v>13</v>
      </c>
      <c r="D7" s="3" t="str">
        <f t="shared" si="0"/>
        <v>Toko Central</v>
      </c>
      <c r="E7" s="3" t="s">
        <v>22</v>
      </c>
      <c r="F7" s="3" t="str">
        <f t="shared" si="1"/>
        <v>Pipa 5 Meter</v>
      </c>
      <c r="G7" s="3">
        <v>560</v>
      </c>
      <c r="H7" s="4">
        <f t="shared" si="2"/>
        <v>100000</v>
      </c>
      <c r="I7" s="4">
        <f t="shared" si="3"/>
        <v>56000000</v>
      </c>
      <c r="J7" s="7">
        <f t="shared" si="4"/>
        <v>0.2</v>
      </c>
      <c r="K7" s="4">
        <f t="shared" si="5"/>
        <v>44800000</v>
      </c>
      <c r="M7" s="3" t="s">
        <v>16</v>
      </c>
      <c r="N7" s="3" t="s">
        <v>17</v>
      </c>
    </row>
    <row r="8" spans="1:15" x14ac:dyDescent="0.25">
      <c r="A8" s="3">
        <v>4</v>
      </c>
      <c r="B8" s="2">
        <v>43314</v>
      </c>
      <c r="C8" s="3" t="s">
        <v>13</v>
      </c>
      <c r="D8" s="3" t="str">
        <f t="shared" si="0"/>
        <v>Toko Central</v>
      </c>
      <c r="E8" s="3" t="s">
        <v>23</v>
      </c>
      <c r="F8" s="3" t="str">
        <f t="shared" si="1"/>
        <v>Pipa 10 Meter</v>
      </c>
      <c r="G8" s="3">
        <v>230</v>
      </c>
      <c r="H8" s="4">
        <f t="shared" si="2"/>
        <v>185000</v>
      </c>
      <c r="I8" s="4">
        <f t="shared" si="3"/>
        <v>42550000</v>
      </c>
      <c r="J8" s="7">
        <f t="shared" si="4"/>
        <v>0.1</v>
      </c>
      <c r="K8" s="4">
        <f t="shared" si="5"/>
        <v>38295000</v>
      </c>
      <c r="M8" s="3" t="s">
        <v>13</v>
      </c>
      <c r="N8" s="3" t="s">
        <v>19</v>
      </c>
    </row>
    <row r="9" spans="1:15" x14ac:dyDescent="0.25">
      <c r="A9" s="3">
        <v>5</v>
      </c>
      <c r="B9" s="2">
        <v>43314</v>
      </c>
      <c r="C9" s="3" t="s">
        <v>16</v>
      </c>
      <c r="D9" s="3" t="str">
        <f t="shared" si="0"/>
        <v>Toko Anton</v>
      </c>
      <c r="E9" s="3" t="s">
        <v>20</v>
      </c>
      <c r="F9" s="3" t="str">
        <f t="shared" si="1"/>
        <v>Besi 5 Meter</v>
      </c>
      <c r="G9" s="3">
        <v>770</v>
      </c>
      <c r="H9" s="4">
        <f t="shared" si="2"/>
        <v>200000</v>
      </c>
      <c r="I9" s="4">
        <f t="shared" si="3"/>
        <v>154000000</v>
      </c>
      <c r="J9" s="7">
        <f t="shared" si="4"/>
        <v>0.2</v>
      </c>
      <c r="K9" s="4">
        <f t="shared" si="5"/>
        <v>123200000</v>
      </c>
    </row>
    <row r="10" spans="1:15" x14ac:dyDescent="0.25">
      <c r="A10" s="3">
        <v>6</v>
      </c>
      <c r="B10" s="2">
        <v>43314</v>
      </c>
      <c r="C10" s="3" t="s">
        <v>12</v>
      </c>
      <c r="D10" s="3" t="str">
        <f t="shared" si="0"/>
        <v>Toko Nofri</v>
      </c>
      <c r="E10" s="3" t="s">
        <v>21</v>
      </c>
      <c r="F10" s="3" t="str">
        <f t="shared" si="1"/>
        <v>Besi 10 Meter</v>
      </c>
      <c r="G10" s="3">
        <v>780</v>
      </c>
      <c r="H10" s="4">
        <f t="shared" si="2"/>
        <v>375000</v>
      </c>
      <c r="I10" s="4">
        <f t="shared" si="3"/>
        <v>292500000</v>
      </c>
      <c r="J10" s="7">
        <f t="shared" si="4"/>
        <v>0.2</v>
      </c>
      <c r="K10" s="4">
        <f t="shared" si="5"/>
        <v>234000000</v>
      </c>
      <c r="M10" s="55" t="s">
        <v>2</v>
      </c>
      <c r="N10" s="55"/>
      <c r="O10" s="55"/>
    </row>
    <row r="11" spans="1:15" x14ac:dyDescent="0.25">
      <c r="A11" s="3">
        <v>7</v>
      </c>
      <c r="B11" s="2">
        <v>43314</v>
      </c>
      <c r="C11" s="3" t="s">
        <v>16</v>
      </c>
      <c r="D11" s="3" t="str">
        <f t="shared" si="0"/>
        <v>Toko Anton</v>
      </c>
      <c r="E11" s="3" t="s">
        <v>22</v>
      </c>
      <c r="F11" s="3" t="str">
        <f t="shared" si="1"/>
        <v>Pipa 5 Meter</v>
      </c>
      <c r="G11" s="3">
        <v>300</v>
      </c>
      <c r="H11" s="4">
        <f t="shared" si="2"/>
        <v>100000</v>
      </c>
      <c r="I11" s="4">
        <f t="shared" si="3"/>
        <v>30000000</v>
      </c>
      <c r="J11" s="7">
        <f t="shared" si="4"/>
        <v>0.1</v>
      </c>
      <c r="K11" s="4">
        <f t="shared" si="5"/>
        <v>27000000</v>
      </c>
      <c r="M11" s="8" t="s">
        <v>14</v>
      </c>
      <c r="N11" s="8" t="s">
        <v>15</v>
      </c>
      <c r="O11" s="8" t="s">
        <v>4</v>
      </c>
    </row>
    <row r="12" spans="1:15" x14ac:dyDescent="0.25">
      <c r="A12" s="3">
        <v>8</v>
      </c>
      <c r="B12" s="2">
        <v>43314</v>
      </c>
      <c r="C12" s="3" t="s">
        <v>12</v>
      </c>
      <c r="D12" s="3" t="str">
        <f t="shared" si="0"/>
        <v>Toko Nofri</v>
      </c>
      <c r="E12" s="3" t="s">
        <v>23</v>
      </c>
      <c r="F12" s="3" t="str">
        <f t="shared" si="1"/>
        <v>Pipa 10 Meter</v>
      </c>
      <c r="G12" s="3">
        <v>790</v>
      </c>
      <c r="H12" s="4">
        <f t="shared" si="2"/>
        <v>185000</v>
      </c>
      <c r="I12" s="4">
        <f t="shared" si="3"/>
        <v>146150000</v>
      </c>
      <c r="J12" s="7">
        <f t="shared" si="4"/>
        <v>0.2</v>
      </c>
      <c r="K12" s="4">
        <f t="shared" si="5"/>
        <v>116920000</v>
      </c>
      <c r="M12" s="3" t="s">
        <v>20</v>
      </c>
      <c r="N12" s="3" t="s">
        <v>24</v>
      </c>
      <c r="O12" s="4">
        <v>200000</v>
      </c>
    </row>
    <row r="13" spans="1:15" x14ac:dyDescent="0.25">
      <c r="A13" s="3">
        <v>9</v>
      </c>
      <c r="B13" s="2">
        <v>43314</v>
      </c>
      <c r="C13" s="3" t="s">
        <v>13</v>
      </c>
      <c r="D13" s="3" t="str">
        <f t="shared" si="0"/>
        <v>Toko Central</v>
      </c>
      <c r="E13" s="3" t="s">
        <v>20</v>
      </c>
      <c r="F13" s="3" t="str">
        <f t="shared" si="1"/>
        <v>Besi 5 Meter</v>
      </c>
      <c r="G13" s="3">
        <v>440</v>
      </c>
      <c r="H13" s="4">
        <f t="shared" si="2"/>
        <v>200000</v>
      </c>
      <c r="I13" s="4">
        <f t="shared" si="3"/>
        <v>88000000</v>
      </c>
      <c r="J13" s="7">
        <f t="shared" si="4"/>
        <v>0.1</v>
      </c>
      <c r="K13" s="4">
        <f t="shared" si="5"/>
        <v>79200000</v>
      </c>
      <c r="M13" s="3" t="s">
        <v>21</v>
      </c>
      <c r="N13" s="3" t="s">
        <v>25</v>
      </c>
      <c r="O13" s="4">
        <v>375000</v>
      </c>
    </row>
    <row r="14" spans="1:15" x14ac:dyDescent="0.25">
      <c r="A14" s="3">
        <v>10</v>
      </c>
      <c r="B14" s="2">
        <v>43314</v>
      </c>
      <c r="C14" s="3" t="s">
        <v>16</v>
      </c>
      <c r="D14" s="3" t="str">
        <f t="shared" si="0"/>
        <v>Toko Anton</v>
      </c>
      <c r="E14" s="3" t="s">
        <v>21</v>
      </c>
      <c r="F14" s="3" t="str">
        <f t="shared" si="1"/>
        <v>Besi 10 Meter</v>
      </c>
      <c r="G14" s="3">
        <v>130</v>
      </c>
      <c r="H14" s="4">
        <f t="shared" si="2"/>
        <v>375000</v>
      </c>
      <c r="I14" s="4">
        <f t="shared" si="3"/>
        <v>48750000</v>
      </c>
      <c r="J14" s="7">
        <f t="shared" si="4"/>
        <v>0</v>
      </c>
      <c r="K14" s="4">
        <f t="shared" si="5"/>
        <v>48750000</v>
      </c>
      <c r="M14" s="3" t="s">
        <v>22</v>
      </c>
      <c r="N14" s="3" t="s">
        <v>26</v>
      </c>
      <c r="O14" s="4">
        <v>100000</v>
      </c>
    </row>
    <row r="15" spans="1:15" x14ac:dyDescent="0.25">
      <c r="A15" s="3">
        <v>11</v>
      </c>
      <c r="B15" s="2">
        <v>43315</v>
      </c>
      <c r="C15" s="3" t="s">
        <v>12</v>
      </c>
      <c r="D15" s="3" t="str">
        <f t="shared" si="0"/>
        <v>Toko Nofri</v>
      </c>
      <c r="E15" s="3" t="s">
        <v>22</v>
      </c>
      <c r="F15" s="3" t="str">
        <f t="shared" si="1"/>
        <v>Pipa 5 Meter</v>
      </c>
      <c r="G15" s="3">
        <v>360</v>
      </c>
      <c r="H15" s="4">
        <f t="shared" si="2"/>
        <v>100000</v>
      </c>
      <c r="I15" s="4">
        <f t="shared" si="3"/>
        <v>36000000</v>
      </c>
      <c r="J15" s="7">
        <f t="shared" si="4"/>
        <v>0.1</v>
      </c>
      <c r="K15" s="4">
        <f t="shared" si="5"/>
        <v>32400000</v>
      </c>
      <c r="M15" s="3" t="s">
        <v>23</v>
      </c>
      <c r="N15" s="3" t="s">
        <v>27</v>
      </c>
      <c r="O15" s="4">
        <v>185000</v>
      </c>
    </row>
    <row r="16" spans="1:15" x14ac:dyDescent="0.25">
      <c r="A16" s="3">
        <v>12</v>
      </c>
      <c r="B16" s="2">
        <v>43315</v>
      </c>
      <c r="C16" s="3" t="s">
        <v>12</v>
      </c>
      <c r="D16" s="3" t="str">
        <f t="shared" si="0"/>
        <v>Toko Nofri</v>
      </c>
      <c r="E16" s="3" t="s">
        <v>23</v>
      </c>
      <c r="F16" s="3" t="str">
        <f t="shared" si="1"/>
        <v>Pipa 10 Meter</v>
      </c>
      <c r="G16" s="3">
        <v>120</v>
      </c>
      <c r="H16" s="4">
        <f t="shared" si="2"/>
        <v>185000</v>
      </c>
      <c r="I16" s="4">
        <f t="shared" si="3"/>
        <v>22200000</v>
      </c>
      <c r="J16" s="7">
        <f t="shared" si="4"/>
        <v>0</v>
      </c>
      <c r="K16" s="4">
        <f t="shared" si="5"/>
        <v>22200000</v>
      </c>
    </row>
    <row r="17" spans="1:11" x14ac:dyDescent="0.25">
      <c r="A17" s="3">
        <v>13</v>
      </c>
      <c r="B17" s="2">
        <v>43315</v>
      </c>
      <c r="C17" s="3" t="s">
        <v>16</v>
      </c>
      <c r="D17" s="3" t="str">
        <f t="shared" si="0"/>
        <v>Toko Anton</v>
      </c>
      <c r="E17" s="3" t="s">
        <v>22</v>
      </c>
      <c r="F17" s="3" t="str">
        <f t="shared" si="1"/>
        <v>Pipa 5 Meter</v>
      </c>
      <c r="G17" s="3">
        <v>120</v>
      </c>
      <c r="H17" s="4">
        <f t="shared" si="2"/>
        <v>100000</v>
      </c>
      <c r="I17" s="4">
        <f t="shared" si="3"/>
        <v>12000000</v>
      </c>
      <c r="J17" s="7">
        <f t="shared" si="4"/>
        <v>0</v>
      </c>
      <c r="K17" s="4">
        <f t="shared" si="5"/>
        <v>12000000</v>
      </c>
    </row>
    <row r="18" spans="1:11" x14ac:dyDescent="0.25">
      <c r="A18" s="3">
        <v>14</v>
      </c>
      <c r="B18" s="2">
        <v>43315</v>
      </c>
      <c r="C18" s="3" t="s">
        <v>12</v>
      </c>
      <c r="D18" s="3" t="str">
        <f t="shared" si="0"/>
        <v>Toko Nofri</v>
      </c>
      <c r="E18" s="3" t="s">
        <v>23</v>
      </c>
      <c r="F18" s="3" t="str">
        <f t="shared" si="1"/>
        <v>Pipa 10 Meter</v>
      </c>
      <c r="G18" s="3">
        <v>720</v>
      </c>
      <c r="H18" s="4">
        <f t="shared" si="2"/>
        <v>185000</v>
      </c>
      <c r="I18" s="4">
        <f t="shared" si="3"/>
        <v>133200000</v>
      </c>
      <c r="J18" s="7">
        <f t="shared" si="4"/>
        <v>0.2</v>
      </c>
      <c r="K18" s="4">
        <f t="shared" si="5"/>
        <v>106560000</v>
      </c>
    </row>
    <row r="19" spans="1:11" x14ac:dyDescent="0.25">
      <c r="A19" s="3">
        <v>15</v>
      </c>
      <c r="B19" s="2">
        <v>43315</v>
      </c>
      <c r="C19" s="3" t="s">
        <v>13</v>
      </c>
      <c r="D19" s="3" t="str">
        <f t="shared" si="0"/>
        <v>Toko Central</v>
      </c>
      <c r="E19" s="3" t="s">
        <v>23</v>
      </c>
      <c r="F19" s="3" t="str">
        <f t="shared" si="1"/>
        <v>Pipa 10 Meter</v>
      </c>
      <c r="G19" s="3">
        <v>250</v>
      </c>
      <c r="H19" s="4">
        <f t="shared" si="2"/>
        <v>185000</v>
      </c>
      <c r="I19" s="4">
        <f t="shared" si="3"/>
        <v>46250000</v>
      </c>
      <c r="J19" s="7">
        <f t="shared" si="4"/>
        <v>0.1</v>
      </c>
      <c r="K19" s="4">
        <f t="shared" si="5"/>
        <v>41625000</v>
      </c>
    </row>
    <row r="20" spans="1:11" x14ac:dyDescent="0.25">
      <c r="A20" s="56" t="s">
        <v>1</v>
      </c>
      <c r="B20" s="57"/>
      <c r="C20" s="57"/>
      <c r="D20" s="57"/>
      <c r="E20" s="57"/>
      <c r="F20" s="58"/>
      <c r="G20" s="8">
        <f>SUM(G5:G19)</f>
        <v>6050</v>
      </c>
      <c r="H20" s="10"/>
      <c r="I20" s="10"/>
      <c r="J20" s="10"/>
      <c r="K20" s="12">
        <f>SUM(K5:K19)</f>
        <v>1040650000</v>
      </c>
    </row>
    <row r="21" spans="1:11" x14ac:dyDescent="0.25">
      <c r="A21" s="59" t="s">
        <v>11</v>
      </c>
      <c r="B21" s="59"/>
      <c r="C21" s="59"/>
      <c r="D21" s="59"/>
      <c r="E21" s="59"/>
      <c r="F21" s="59"/>
      <c r="G21" s="8">
        <f>G20/3</f>
        <v>2016.6666666666667</v>
      </c>
      <c r="H21" s="10"/>
      <c r="I21" s="10"/>
      <c r="J21" s="10"/>
      <c r="K21" s="13">
        <f>K20/3</f>
        <v>346883333.33333331</v>
      </c>
    </row>
    <row r="23" spans="1:11" x14ac:dyDescent="0.25">
      <c r="A23" s="11" t="s">
        <v>37</v>
      </c>
    </row>
    <row r="24" spans="1:11" x14ac:dyDescent="0.25">
      <c r="A24">
        <v>1</v>
      </c>
      <c r="B24" t="s">
        <v>28</v>
      </c>
    </row>
    <row r="25" spans="1:11" x14ac:dyDescent="0.25">
      <c r="A25">
        <v>2</v>
      </c>
      <c r="B25" t="s">
        <v>29</v>
      </c>
    </row>
    <row r="26" spans="1:11" x14ac:dyDescent="0.25">
      <c r="A26">
        <v>3</v>
      </c>
      <c r="B26" t="s">
        <v>30</v>
      </c>
    </row>
    <row r="27" spans="1:11" x14ac:dyDescent="0.25">
      <c r="A27">
        <v>4</v>
      </c>
      <c r="B27" t="s">
        <v>31</v>
      </c>
    </row>
    <row r="28" spans="1:11" x14ac:dyDescent="0.25">
      <c r="A28">
        <v>5</v>
      </c>
      <c r="B28" t="s">
        <v>35</v>
      </c>
    </row>
  </sheetData>
  <mergeCells count="5">
    <mergeCell ref="A1:K2"/>
    <mergeCell ref="M4:N4"/>
    <mergeCell ref="M10:O10"/>
    <mergeCell ref="A20:F20"/>
    <mergeCell ref="A21:F21"/>
  </mergeCells>
  <hyperlinks>
    <hyperlink ref="M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Jawaban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2025-03-23T10:10:50Z</dcterms:modified>
</cp:coreProperties>
</file>