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1107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I13" i="1"/>
  <c r="F1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F4" i="1"/>
  <c r="F5" i="1"/>
  <c r="F6" i="1"/>
  <c r="F7" i="1"/>
  <c r="F8" i="1"/>
  <c r="F9" i="1"/>
  <c r="F10" i="1"/>
  <c r="F11" i="1"/>
  <c r="F12" i="1"/>
  <c r="F3" i="1"/>
  <c r="E13" i="1"/>
</calcChain>
</file>

<file path=xl/sharedStrings.xml><?xml version="1.0" encoding="utf-8"?>
<sst xmlns="http://schemas.openxmlformats.org/spreadsheetml/2006/main" count="35" uniqueCount="27">
  <si>
    <t>No</t>
  </si>
  <si>
    <t>Nama Barang</t>
  </si>
  <si>
    <t>Harga Satuan</t>
  </si>
  <si>
    <t>Jumlah Barang</t>
  </si>
  <si>
    <t>Total Harga</t>
  </si>
  <si>
    <t>Cara Bayar</t>
  </si>
  <si>
    <t>Harga Harus di Bayar</t>
  </si>
  <si>
    <t>Laptop ASUS A412DA</t>
  </si>
  <si>
    <t>Laptop ASUS x550ze</t>
  </si>
  <si>
    <t>Laptop HP Chromebook</t>
  </si>
  <si>
    <t>Laptop HP x360</t>
  </si>
  <si>
    <t>HP Deskjet 2135 Ink</t>
  </si>
  <si>
    <t>HP Deskjet 2465 Ink Advantage</t>
  </si>
  <si>
    <t>Epson L120</t>
  </si>
  <si>
    <t>Canon Ip2770</t>
  </si>
  <si>
    <t>Epson L3110</t>
  </si>
  <si>
    <t>HP Ink Tank 115</t>
  </si>
  <si>
    <t>T = Tunai    K = Kredit</t>
  </si>
  <si>
    <t>T</t>
  </si>
  <si>
    <t>K</t>
  </si>
  <si>
    <t>TOTAL</t>
  </si>
  <si>
    <t>Isilah total jumlah barang, total harga, total diskon dan total harga yang harus di bayar</t>
  </si>
  <si>
    <t>Daftar Belanja CV. MULIA JAYA</t>
  </si>
  <si>
    <t>Diskon (Rp)</t>
  </si>
  <si>
    <t>Lengkapilah tabel diatas dengan ketentuan jika pembayaran dilakukan secara tunai akan mendapat diskon sebesar 3% dan jika kredit tidak mendapatkan diskon</t>
  </si>
  <si>
    <t xml:space="preserve">Video Pembahasan </t>
  </si>
  <si>
    <t>https://youtu.be/Fk509iIzfIk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</si>
</sst>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Yu Gothic UI Semibold"/>
      <family val="2"/>
    </font>
    <font>
      <sz val="11"/>
      <color theme="1"/>
      <name val="Yu Gothic UI Semibold"/>
      <family val="2"/>
    </font>
    <font>
      <sz val="11"/>
      <color theme="1"/>
      <name val="Calibri"/>
      <family val="2"/>
      <scheme val="minor"/>
    </font>
    <font>
      <b/>
      <sz val="14"/>
      <color theme="1"/>
      <name val="Yu Gothic UI Semibold"/>
      <family val="2"/>
    </font>
    <font>
      <sz val="14"/>
      <color theme="1"/>
      <name val="Yu Gothic UI Semibold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4" fillId="0" borderId="0" xfId="0" applyFont="1"/>
    <xf numFmtId="0" fontId="2" fillId="0" borderId="0" xfId="0" applyFont="1"/>
    <xf numFmtId="41" fontId="2" fillId="0" borderId="0" xfId="1" applyFont="1"/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1" fontId="5" fillId="0" borderId="1" xfId="1" applyFont="1" applyBorder="1"/>
    <xf numFmtId="41" fontId="5" fillId="0" borderId="1" xfId="0" applyNumberFormat="1" applyFont="1" applyBorder="1"/>
    <xf numFmtId="41" fontId="5" fillId="0" borderId="0" xfId="1" applyFont="1"/>
    <xf numFmtId="0" fontId="4" fillId="2" borderId="1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center"/>
    </xf>
    <xf numFmtId="41" fontId="5" fillId="3" borderId="1" xfId="0" applyNumberFormat="1" applyFont="1" applyFill="1" applyBorder="1"/>
    <xf numFmtId="41" fontId="1" fillId="0" borderId="0" xfId="1" applyFont="1"/>
    <xf numFmtId="41" fontId="5" fillId="3" borderId="1" xfId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0" borderId="0" xfId="2" applyAlignment="1">
      <alignment horizontal="center"/>
    </xf>
    <xf numFmtId="0" fontId="2" fillId="0" borderId="0" xfId="0" applyFont="1" applyAlignment="1">
      <alignment horizont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Fk509iIzf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showGridLines="0" showRowColHeaders="0" tabSelected="1" zoomScaleNormal="100" workbookViewId="0">
      <selection activeCell="I13" sqref="I13"/>
    </sheetView>
  </sheetViews>
  <sheetFormatPr defaultRowHeight="16.5" x14ac:dyDescent="0.3"/>
  <cols>
    <col min="1" max="1" width="5" style="2" customWidth="1"/>
    <col min="2" max="2" width="8.28515625" style="2" customWidth="1"/>
    <col min="3" max="3" width="45" style="2" customWidth="1"/>
    <col min="4" max="4" width="22.140625" style="3" customWidth="1"/>
    <col min="5" max="5" width="13.5703125" style="2" customWidth="1"/>
    <col min="6" max="6" width="21.5703125" style="2" customWidth="1"/>
    <col min="7" max="7" width="9.140625" style="2" customWidth="1"/>
    <col min="8" max="8" width="22.140625" style="2" customWidth="1"/>
    <col min="9" max="9" width="26.5703125" style="2" customWidth="1"/>
    <col min="10" max="10" width="13.7109375" style="2" customWidth="1"/>
    <col min="11" max="16384" width="9.140625" style="2"/>
  </cols>
  <sheetData>
    <row r="1" spans="2:10" ht="33" customHeight="1" x14ac:dyDescent="0.35">
      <c r="B1" s="1" t="s">
        <v>22</v>
      </c>
    </row>
    <row r="2" spans="2:10" s="4" customFormat="1" ht="48.75" customHeight="1" x14ac:dyDescent="0.25">
      <c r="B2" s="10" t="s">
        <v>0</v>
      </c>
      <c r="C2" s="10" t="s">
        <v>1</v>
      </c>
      <c r="D2" s="11" t="s">
        <v>2</v>
      </c>
      <c r="E2" s="10" t="s">
        <v>3</v>
      </c>
      <c r="F2" s="10" t="s">
        <v>4</v>
      </c>
      <c r="G2" s="10" t="s">
        <v>5</v>
      </c>
      <c r="H2" s="10" t="s">
        <v>23</v>
      </c>
      <c r="I2" s="10" t="s">
        <v>6</v>
      </c>
    </row>
    <row r="3" spans="2:10" ht="20.25" x14ac:dyDescent="0.35">
      <c r="B3" s="5">
        <v>1</v>
      </c>
      <c r="C3" s="6" t="s">
        <v>7</v>
      </c>
      <c r="D3" s="7">
        <v>5800000</v>
      </c>
      <c r="E3" s="5">
        <v>3</v>
      </c>
      <c r="F3" s="8">
        <f>D3*E3</f>
        <v>17400000</v>
      </c>
      <c r="G3" s="5" t="s">
        <v>18</v>
      </c>
      <c r="H3" s="7">
        <f>IF(G3="T",F3*0.03,0)</f>
        <v>522000</v>
      </c>
      <c r="I3" s="8">
        <f>F3-H3</f>
        <v>16878000</v>
      </c>
      <c r="J3" s="9"/>
    </row>
    <row r="4" spans="2:10" ht="20.25" x14ac:dyDescent="0.35">
      <c r="B4" s="5">
        <v>2</v>
      </c>
      <c r="C4" s="6" t="s">
        <v>8</v>
      </c>
      <c r="D4" s="7">
        <v>3500000</v>
      </c>
      <c r="E4" s="5">
        <v>3</v>
      </c>
      <c r="F4" s="8">
        <f t="shared" ref="F4:F12" si="0">D4*E4</f>
        <v>10500000</v>
      </c>
      <c r="G4" s="5" t="s">
        <v>19</v>
      </c>
      <c r="H4" s="7">
        <f t="shared" ref="H4:H12" si="1">IF(G4="T",F4*0.03,0)</f>
        <v>0</v>
      </c>
      <c r="I4" s="8">
        <f t="shared" ref="I4:I13" si="2">F4-H4</f>
        <v>10500000</v>
      </c>
      <c r="J4" s="9"/>
    </row>
    <row r="5" spans="2:10" ht="20.25" x14ac:dyDescent="0.35">
      <c r="B5" s="5">
        <v>3</v>
      </c>
      <c r="C5" s="6" t="s">
        <v>9</v>
      </c>
      <c r="D5" s="7">
        <v>5799000</v>
      </c>
      <c r="E5" s="5">
        <v>5</v>
      </c>
      <c r="F5" s="8">
        <f t="shared" si="0"/>
        <v>28995000</v>
      </c>
      <c r="G5" s="5" t="s">
        <v>19</v>
      </c>
      <c r="H5" s="7">
        <f t="shared" si="1"/>
        <v>0</v>
      </c>
      <c r="I5" s="8">
        <f t="shared" si="2"/>
        <v>28995000</v>
      </c>
      <c r="J5" s="9"/>
    </row>
    <row r="6" spans="2:10" ht="20.25" x14ac:dyDescent="0.35">
      <c r="B6" s="5">
        <v>4</v>
      </c>
      <c r="C6" s="6" t="s">
        <v>10</v>
      </c>
      <c r="D6" s="7">
        <v>4050000</v>
      </c>
      <c r="E6" s="5">
        <v>6</v>
      </c>
      <c r="F6" s="8">
        <f t="shared" si="0"/>
        <v>24300000</v>
      </c>
      <c r="G6" s="5" t="s">
        <v>18</v>
      </c>
      <c r="H6" s="7">
        <f t="shared" si="1"/>
        <v>729000</v>
      </c>
      <c r="I6" s="8">
        <f t="shared" si="2"/>
        <v>23571000</v>
      </c>
      <c r="J6" s="9"/>
    </row>
    <row r="7" spans="2:10" ht="20.25" x14ac:dyDescent="0.35">
      <c r="B7" s="5">
        <v>5</v>
      </c>
      <c r="C7" s="6" t="s">
        <v>11</v>
      </c>
      <c r="D7" s="7">
        <v>696000</v>
      </c>
      <c r="E7" s="5">
        <v>2</v>
      </c>
      <c r="F7" s="8">
        <f t="shared" si="0"/>
        <v>1392000</v>
      </c>
      <c r="G7" s="5" t="s">
        <v>18</v>
      </c>
      <c r="H7" s="7">
        <f t="shared" si="1"/>
        <v>41760</v>
      </c>
      <c r="I7" s="8">
        <f t="shared" si="2"/>
        <v>1350240</v>
      </c>
      <c r="J7" s="9"/>
    </row>
    <row r="8" spans="2:10" ht="20.25" x14ac:dyDescent="0.35">
      <c r="B8" s="5">
        <v>6</v>
      </c>
      <c r="C8" s="6" t="s">
        <v>12</v>
      </c>
      <c r="D8" s="7">
        <v>1199000</v>
      </c>
      <c r="E8" s="5">
        <v>1</v>
      </c>
      <c r="F8" s="8">
        <f t="shared" si="0"/>
        <v>1199000</v>
      </c>
      <c r="G8" s="5" t="s">
        <v>18</v>
      </c>
      <c r="H8" s="7">
        <f t="shared" si="1"/>
        <v>35970</v>
      </c>
      <c r="I8" s="8">
        <f t="shared" si="2"/>
        <v>1163030</v>
      </c>
      <c r="J8" s="9"/>
    </row>
    <row r="9" spans="2:10" ht="20.25" x14ac:dyDescent="0.35">
      <c r="B9" s="5">
        <v>7</v>
      </c>
      <c r="C9" s="6" t="s">
        <v>13</v>
      </c>
      <c r="D9" s="7">
        <v>1365000</v>
      </c>
      <c r="E9" s="5">
        <v>4</v>
      </c>
      <c r="F9" s="8">
        <f t="shared" si="0"/>
        <v>5460000</v>
      </c>
      <c r="G9" s="5" t="s">
        <v>19</v>
      </c>
      <c r="H9" s="7">
        <f t="shared" si="1"/>
        <v>0</v>
      </c>
      <c r="I9" s="8">
        <f t="shared" si="2"/>
        <v>5460000</v>
      </c>
      <c r="J9" s="9"/>
    </row>
    <row r="10" spans="2:10" ht="20.25" x14ac:dyDescent="0.35">
      <c r="B10" s="5">
        <v>8</v>
      </c>
      <c r="C10" s="6" t="s">
        <v>14</v>
      </c>
      <c r="D10" s="7">
        <v>845000</v>
      </c>
      <c r="E10" s="5">
        <v>5</v>
      </c>
      <c r="F10" s="8">
        <f t="shared" si="0"/>
        <v>4225000</v>
      </c>
      <c r="G10" s="5" t="s">
        <v>18</v>
      </c>
      <c r="H10" s="7">
        <f t="shared" si="1"/>
        <v>126750</v>
      </c>
      <c r="I10" s="8">
        <f t="shared" si="2"/>
        <v>4098250</v>
      </c>
      <c r="J10" s="9"/>
    </row>
    <row r="11" spans="2:10" ht="20.25" x14ac:dyDescent="0.35">
      <c r="B11" s="5">
        <v>9</v>
      </c>
      <c r="C11" s="6" t="s">
        <v>15</v>
      </c>
      <c r="D11" s="7">
        <v>1303250</v>
      </c>
      <c r="E11" s="5">
        <v>7</v>
      </c>
      <c r="F11" s="8">
        <f t="shared" si="0"/>
        <v>9122750</v>
      </c>
      <c r="G11" s="5" t="s">
        <v>18</v>
      </c>
      <c r="H11" s="7">
        <f t="shared" si="1"/>
        <v>273682.5</v>
      </c>
      <c r="I11" s="8">
        <f t="shared" si="2"/>
        <v>8849067.5</v>
      </c>
      <c r="J11" s="9"/>
    </row>
    <row r="12" spans="2:10" ht="20.25" x14ac:dyDescent="0.35">
      <c r="B12" s="5">
        <v>10</v>
      </c>
      <c r="C12" s="6" t="s">
        <v>16</v>
      </c>
      <c r="D12" s="7">
        <v>1099000</v>
      </c>
      <c r="E12" s="5">
        <v>8</v>
      </c>
      <c r="F12" s="8">
        <f t="shared" si="0"/>
        <v>8792000</v>
      </c>
      <c r="G12" s="5" t="s">
        <v>18</v>
      </c>
      <c r="H12" s="7">
        <f t="shared" si="1"/>
        <v>263760</v>
      </c>
      <c r="I12" s="8">
        <f t="shared" si="2"/>
        <v>8528240</v>
      </c>
      <c r="J12" s="9"/>
    </row>
    <row r="13" spans="2:10" ht="20.25" x14ac:dyDescent="0.35">
      <c r="B13" s="19" t="s">
        <v>20</v>
      </c>
      <c r="C13" s="20"/>
      <c r="D13" s="21"/>
      <c r="E13" s="13">
        <f>SUM(E3:E12)</f>
        <v>44</v>
      </c>
      <c r="F13" s="16">
        <f>SUM(F3:F12)</f>
        <v>111385750</v>
      </c>
      <c r="G13" s="12"/>
      <c r="H13" s="14">
        <f>SUM(H3:H12)</f>
        <v>1992922.5</v>
      </c>
      <c r="I13" s="14">
        <f t="shared" si="2"/>
        <v>109392827.5</v>
      </c>
    </row>
    <row r="15" spans="2:10" ht="20.25" x14ac:dyDescent="0.35">
      <c r="B15" s="1" t="s">
        <v>21</v>
      </c>
    </row>
    <row r="16" spans="2:10" ht="28.5" customHeight="1" x14ac:dyDescent="0.3">
      <c r="B16" s="17" t="s">
        <v>24</v>
      </c>
      <c r="C16" s="18"/>
      <c r="D16" s="18"/>
      <c r="E16" s="18"/>
      <c r="F16" s="18"/>
      <c r="G16" s="18"/>
      <c r="H16" s="18"/>
      <c r="I16" s="18"/>
    </row>
    <row r="17" spans="2:9" x14ac:dyDescent="0.3">
      <c r="B17" s="18"/>
      <c r="C17" s="18"/>
      <c r="D17" s="18"/>
      <c r="E17" s="18"/>
      <c r="F17" s="18"/>
      <c r="G17" s="18"/>
      <c r="H17" s="18"/>
      <c r="I17" s="18"/>
    </row>
    <row r="18" spans="2:9" ht="20.25" x14ac:dyDescent="0.35">
      <c r="B18" s="1" t="s">
        <v>17</v>
      </c>
      <c r="C18" s="1"/>
      <c r="D18" s="15" t="s">
        <v>25</v>
      </c>
      <c r="E18" s="22" t="s">
        <v>26</v>
      </c>
      <c r="F18" s="23"/>
      <c r="G18" s="23"/>
      <c r="H18" s="23"/>
      <c r="I18" s="23"/>
    </row>
  </sheetData>
  <mergeCells count="3">
    <mergeCell ref="B16:I17"/>
    <mergeCell ref="B13:D13"/>
    <mergeCell ref="E18:I18"/>
  </mergeCells>
  <hyperlinks>
    <hyperlink ref="E18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2025-03-23T09:55:29Z</dcterms:modified>
</cp:coreProperties>
</file>