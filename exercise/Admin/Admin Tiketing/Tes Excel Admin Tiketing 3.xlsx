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Tiketing\"/>
    </mc:Choice>
  </mc:AlternateContent>
  <bookViews>
    <workbookView xWindow="-120" yWindow="-120" windowWidth="20730" windowHeight="11160"/>
  </bookViews>
  <sheets>
    <sheet name="Soal" sheetId="2" r:id="rId1"/>
  </sheets>
  <calcPr calcId="152511"/>
  <extLst>
    <ext uri="GoogleSheetsCustomDataVersion1">
      <go:sheetsCustomData xmlns:go="http://customooxmlschemas.google.com/" r:id="rId5" roundtripDataSignature="AMtx7mjKwJBiCnkiRjHvcINDcBGnO+Sz9A=="/>
    </ext>
  </extLst>
</workbook>
</file>

<file path=xl/calcChain.xml><?xml version="1.0" encoding="utf-8"?>
<calcChain xmlns="http://schemas.openxmlformats.org/spreadsheetml/2006/main">
  <c r="K6" i="2" l="1"/>
  <c r="L6" i="2"/>
  <c r="J6" i="2"/>
  <c r="K9" i="2"/>
  <c r="L9" i="2"/>
  <c r="J9" i="2"/>
  <c r="L3" i="2"/>
  <c r="K3" i="2"/>
  <c r="L2" i="2"/>
  <c r="K2" i="2"/>
  <c r="H4" i="2"/>
  <c r="H5" i="2"/>
  <c r="H6" i="2"/>
  <c r="H7" i="2"/>
  <c r="H8" i="2"/>
  <c r="H9" i="2"/>
  <c r="H10" i="2"/>
  <c r="H11" i="2"/>
  <c r="H12" i="2"/>
  <c r="H3" i="2"/>
  <c r="G4" i="2"/>
  <c r="G5" i="2"/>
  <c r="G6" i="2"/>
  <c r="G7" i="2"/>
  <c r="G8" i="2"/>
  <c r="G9" i="2"/>
  <c r="G10" i="2"/>
  <c r="G11" i="2"/>
  <c r="G12" i="2"/>
  <c r="G3" i="2"/>
  <c r="F4" i="2"/>
  <c r="F5" i="2"/>
  <c r="F6" i="2"/>
  <c r="F7" i="2"/>
  <c r="F8" i="2"/>
  <c r="F9" i="2"/>
  <c r="F10" i="2"/>
  <c r="F11" i="2"/>
  <c r="F12" i="2"/>
  <c r="F3" i="2"/>
  <c r="E4" i="2"/>
  <c r="E5" i="2"/>
  <c r="E6" i="2"/>
  <c r="E7" i="2"/>
  <c r="E8" i="2"/>
  <c r="E9" i="2"/>
  <c r="E10" i="2"/>
  <c r="E11" i="2"/>
  <c r="E12" i="2"/>
  <c r="E3" i="2"/>
  <c r="D4" i="2"/>
  <c r="D5" i="2"/>
  <c r="D6" i="2"/>
  <c r="D7" i="2"/>
  <c r="D8" i="2"/>
  <c r="D9" i="2"/>
  <c r="D10" i="2"/>
  <c r="D11" i="2"/>
  <c r="D12" i="2"/>
  <c r="D3" i="2"/>
</calcChain>
</file>

<file path=xl/sharedStrings.xml><?xml version="1.0" encoding="utf-8"?>
<sst xmlns="http://schemas.openxmlformats.org/spreadsheetml/2006/main" count="63" uniqueCount="46">
  <si>
    <t>Nama</t>
  </si>
  <si>
    <t>Kode</t>
  </si>
  <si>
    <t>Kelas</t>
  </si>
  <si>
    <t>Status</t>
  </si>
  <si>
    <t>Harga</t>
  </si>
  <si>
    <t>Diskon</t>
  </si>
  <si>
    <t>Total Harga</t>
  </si>
  <si>
    <t>RGD</t>
  </si>
  <si>
    <t>EXD</t>
  </si>
  <si>
    <t>EKA</t>
  </si>
  <si>
    <t>EKD</t>
  </si>
  <si>
    <t>EXA</t>
  </si>
  <si>
    <t>RGA</t>
  </si>
  <si>
    <t>Tabel Kelas</t>
  </si>
  <si>
    <t>RG</t>
  </si>
  <si>
    <t>EK</t>
  </si>
  <si>
    <t>EX</t>
  </si>
  <si>
    <t>Reguler</t>
  </si>
  <si>
    <t>Ekonomi</t>
  </si>
  <si>
    <t>Exekutif</t>
  </si>
  <si>
    <t>Tabel Status</t>
  </si>
  <si>
    <t>A</t>
  </si>
  <si>
    <t>Anak</t>
  </si>
  <si>
    <t>D</t>
  </si>
  <si>
    <t>Dewasa</t>
  </si>
  <si>
    <t>L</t>
  </si>
  <si>
    <t>Lansia</t>
  </si>
  <si>
    <t>Soal</t>
  </si>
  <si>
    <t>DANIEL</t>
  </si>
  <si>
    <t>SISKA</t>
  </si>
  <si>
    <t>ANZY</t>
  </si>
  <si>
    <t>SYAFIRA</t>
  </si>
  <si>
    <t>KEVIN</t>
  </si>
  <si>
    <t>WILLIAM</t>
  </si>
  <si>
    <t>ZAHRA</t>
  </si>
  <si>
    <t>NADYA</t>
  </si>
  <si>
    <t>ANGGA</t>
  </si>
  <si>
    <t>RANTI</t>
  </si>
  <si>
    <t>Diskon 10%</t>
  </si>
  <si>
    <t xml:space="preserve">Jika Exekutif Lansia </t>
  </si>
  <si>
    <t>EXL</t>
  </si>
  <si>
    <t>Total</t>
  </si>
  <si>
    <t>Rata Rata</t>
  </si>
  <si>
    <t>Jumlah Pembeli</t>
  </si>
  <si>
    <t>Video Pembahasan</t>
  </si>
  <si>
    <t>https://youtu.be/JrDQX4MS6LE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</si>
</sst>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11" x14ac:knownFonts="1">
    <font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Yu Gothic UI Semibold"/>
      <family val="2"/>
    </font>
    <font>
      <b/>
      <sz val="11"/>
      <color rgb="FF000000"/>
      <name val="Yu Gothic UI Semibold"/>
      <family val="2"/>
    </font>
    <font>
      <b/>
      <i/>
      <sz val="11"/>
      <color rgb="FF000000"/>
      <name val="Yu Gothic UI Semibold"/>
      <family val="2"/>
    </font>
    <font>
      <b/>
      <sz val="11"/>
      <color theme="1"/>
      <name val="Yu Gothic UI Semibold"/>
      <family val="2"/>
    </font>
    <font>
      <b/>
      <sz val="11"/>
      <color theme="0"/>
      <name val="Yu Gothic UI Semibold"/>
      <family val="2"/>
    </font>
    <font>
      <sz val="11"/>
      <color theme="0"/>
      <name val="Yu Gothic UI Semibold"/>
      <family val="2"/>
    </font>
    <font>
      <b/>
      <i/>
      <sz val="11"/>
      <name val="Yu Gothic UI Semibold"/>
      <family val="2"/>
    </font>
    <font>
      <sz val="11"/>
      <name val="Yu Gothic UI Semibold"/>
      <family val="2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rgb="FFFFFF00"/>
      </patternFill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0" fontId="4" fillId="2" borderId="0" xfId="0" applyFont="1" applyFill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/>
    <xf numFmtId="0" fontId="5" fillId="3" borderId="2" xfId="0" applyFont="1" applyFill="1" applyBorder="1" applyAlignment="1">
      <alignment horizontal="center"/>
    </xf>
    <xf numFmtId="0" fontId="6" fillId="4" borderId="2" xfId="0" applyFont="1" applyFill="1" applyBorder="1"/>
    <xf numFmtId="0" fontId="6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9" fillId="2" borderId="0" xfId="0" applyFont="1" applyFill="1"/>
    <xf numFmtId="0" fontId="8" fillId="2" borderId="0" xfId="0" applyFont="1" applyFill="1"/>
    <xf numFmtId="0" fontId="9" fillId="0" borderId="0" xfId="0" applyFont="1"/>
    <xf numFmtId="0" fontId="9" fillId="0" borderId="2" xfId="1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2" borderId="0" xfId="0" applyFont="1" applyFill="1"/>
    <xf numFmtId="0" fontId="2" fillId="0" borderId="0" xfId="0" applyFont="1"/>
    <xf numFmtId="0" fontId="2" fillId="2" borderId="4" xfId="0" applyFont="1" applyFill="1" applyBorder="1" applyAlignment="1">
      <alignment horizontal="center"/>
    </xf>
    <xf numFmtId="0" fontId="10" fillId="2" borderId="4" xfId="2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JrDQX4MS6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Y1000"/>
  <sheetViews>
    <sheetView tabSelected="1" zoomScale="110" zoomScaleNormal="110" workbookViewId="0">
      <selection activeCell="J7" sqref="J7:L7"/>
    </sheetView>
  </sheetViews>
  <sheetFormatPr defaultColWidth="14.42578125" defaultRowHeight="16.5" x14ac:dyDescent="0.3"/>
  <cols>
    <col min="1" max="1" width="2.85546875" style="1" customWidth="1"/>
    <col min="2" max="2" width="12.5703125" style="1" customWidth="1"/>
    <col min="3" max="6" width="13" style="1" customWidth="1"/>
    <col min="7" max="7" width="10.85546875" style="1" customWidth="1"/>
    <col min="8" max="8" width="16.140625" style="1" customWidth="1"/>
    <col min="9" max="11" width="13" style="1" customWidth="1"/>
    <col min="12" max="12" width="12" style="1" customWidth="1"/>
    <col min="13" max="13" width="28" style="1" customWidth="1"/>
    <col min="14" max="25" width="8.7109375" style="1" customWidth="1"/>
    <col min="26" max="16384" width="14.42578125" style="1"/>
  </cols>
  <sheetData>
    <row r="1" spans="1:25" x14ac:dyDescent="0.3">
      <c r="A1" s="2"/>
      <c r="B1" s="3" t="s">
        <v>27</v>
      </c>
      <c r="C1" s="33" t="s">
        <v>44</v>
      </c>
      <c r="D1" s="33"/>
      <c r="E1" s="34" t="s">
        <v>45</v>
      </c>
      <c r="F1" s="34"/>
      <c r="G1" s="34"/>
      <c r="H1" s="2"/>
      <c r="I1" s="2"/>
      <c r="J1" s="2"/>
      <c r="K1" s="2"/>
    </row>
    <row r="2" spans="1:25" x14ac:dyDescent="0.3">
      <c r="A2" s="4"/>
      <c r="B2" s="17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H2" s="17" t="s">
        <v>6</v>
      </c>
      <c r="J2" s="26" t="s">
        <v>41</v>
      </c>
      <c r="K2" s="28">
        <f>SUM(F3:F12)</f>
        <v>730000</v>
      </c>
      <c r="L2" s="28">
        <f>SUM(H3:H12)</f>
        <v>700000</v>
      </c>
    </row>
    <row r="3" spans="1:25" ht="17.25" customHeight="1" x14ac:dyDescent="0.3">
      <c r="A3" s="2"/>
      <c r="B3" s="13" t="s">
        <v>28</v>
      </c>
      <c r="C3" s="14" t="s">
        <v>7</v>
      </c>
      <c r="D3" s="28" t="str">
        <f>HLOOKUP(LEFT(C3,2),$B$15:$E$16,2,FALSE)</f>
        <v>Reguler</v>
      </c>
      <c r="E3" s="28" t="str">
        <f>VLOOKUP(RIGHT(C3,1),$G$15:$K$18,2,FALSE)</f>
        <v>Dewasa</v>
      </c>
      <c r="F3" s="28">
        <f>INDEX($H$15:$K$18,MATCH(E3,$H$15:$H$18,0),MATCH(D3,$H$15:$K$15,0))</f>
        <v>60000</v>
      </c>
      <c r="G3" s="24">
        <f>IF(AND(D3="Exekutif",E3="Lansia"),F3*0.1,0)</f>
        <v>0</v>
      </c>
      <c r="H3" s="28">
        <f>F3-G3</f>
        <v>60000</v>
      </c>
      <c r="J3" s="27" t="s">
        <v>42</v>
      </c>
      <c r="K3" s="29">
        <f>AVERAGE(F3:F12)</f>
        <v>73000</v>
      </c>
      <c r="L3" s="35">
        <f>AVERAGE(H3:H12)</f>
        <v>70000</v>
      </c>
    </row>
    <row r="4" spans="1:25" ht="17.25" customHeight="1" x14ac:dyDescent="0.3">
      <c r="A4" s="2"/>
      <c r="B4" s="13" t="s">
        <v>29</v>
      </c>
      <c r="C4" s="14" t="s">
        <v>8</v>
      </c>
      <c r="D4" s="28" t="str">
        <f t="shared" ref="D4:D12" si="0">HLOOKUP(LEFT(C4,2),$B$15:$E$16,2,FALSE)</f>
        <v>Exekutif</v>
      </c>
      <c r="E4" s="28" t="str">
        <f t="shared" ref="E4:E12" si="1">VLOOKUP(RIGHT(C4,1),$G$15:$K$18,2,FALSE)</f>
        <v>Dewasa</v>
      </c>
      <c r="F4" s="28">
        <f t="shared" ref="F4:F12" si="2">INDEX($H$15:$K$18,MATCH(E4,$H$15:$H$18,0),MATCH(D4,$H$15:$K$15,0))</f>
        <v>100000</v>
      </c>
      <c r="G4" s="24">
        <f t="shared" ref="G4:G12" si="3">IF(AND(D4="Exekutif",E4="Lansia"),F4*0.1,0)</f>
        <v>0</v>
      </c>
      <c r="H4" s="28">
        <f t="shared" ref="H4:H12" si="4">F4-G4</f>
        <v>100000</v>
      </c>
      <c r="J4" s="30" t="s">
        <v>43</v>
      </c>
      <c r="K4" s="30"/>
      <c r="L4" s="30"/>
    </row>
    <row r="5" spans="1:25" ht="17.25" customHeight="1" x14ac:dyDescent="0.3">
      <c r="A5" s="2"/>
      <c r="B5" s="13" t="s">
        <v>30</v>
      </c>
      <c r="C5" s="14" t="s">
        <v>7</v>
      </c>
      <c r="D5" s="28" t="str">
        <f t="shared" si="0"/>
        <v>Reguler</v>
      </c>
      <c r="E5" s="28" t="str">
        <f t="shared" si="1"/>
        <v>Dewasa</v>
      </c>
      <c r="F5" s="28">
        <f t="shared" si="2"/>
        <v>60000</v>
      </c>
      <c r="G5" s="24">
        <f t="shared" si="3"/>
        <v>0</v>
      </c>
      <c r="H5" s="28">
        <f t="shared" si="4"/>
        <v>60000</v>
      </c>
      <c r="J5" s="25" t="s">
        <v>17</v>
      </c>
      <c r="K5" s="25" t="s">
        <v>18</v>
      </c>
      <c r="L5" s="25" t="s">
        <v>19</v>
      </c>
    </row>
    <row r="6" spans="1:25" ht="17.25" customHeight="1" x14ac:dyDescent="0.3">
      <c r="A6" s="2"/>
      <c r="B6" s="13" t="s">
        <v>31</v>
      </c>
      <c r="C6" s="14" t="s">
        <v>40</v>
      </c>
      <c r="D6" s="28" t="str">
        <f t="shared" si="0"/>
        <v>Exekutif</v>
      </c>
      <c r="E6" s="28" t="str">
        <f t="shared" si="1"/>
        <v>Lansia</v>
      </c>
      <c r="F6" s="28">
        <f t="shared" si="2"/>
        <v>150000</v>
      </c>
      <c r="G6" s="24">
        <f t="shared" si="3"/>
        <v>15000</v>
      </c>
      <c r="H6" s="28">
        <f t="shared" si="4"/>
        <v>135000</v>
      </c>
      <c r="J6" s="28">
        <f>COUNTIF($D$3:$D$12,J5)</f>
        <v>4</v>
      </c>
      <c r="K6" s="28">
        <f t="shared" ref="K6:L6" si="5">COUNTIF($D$3:$D$12,K5)</f>
        <v>2</v>
      </c>
      <c r="L6" s="28">
        <f t="shared" si="5"/>
        <v>4</v>
      </c>
    </row>
    <row r="7" spans="1:25" ht="17.25" customHeight="1" x14ac:dyDescent="0.3">
      <c r="A7" s="2"/>
      <c r="B7" s="13" t="s">
        <v>32</v>
      </c>
      <c r="C7" s="14" t="s">
        <v>7</v>
      </c>
      <c r="D7" s="28" t="str">
        <f t="shared" si="0"/>
        <v>Reguler</v>
      </c>
      <c r="E7" s="28" t="str">
        <f t="shared" si="1"/>
        <v>Dewasa</v>
      </c>
      <c r="F7" s="28">
        <f t="shared" si="2"/>
        <v>60000</v>
      </c>
      <c r="G7" s="24">
        <f t="shared" si="3"/>
        <v>0</v>
      </c>
      <c r="H7" s="28">
        <f t="shared" si="4"/>
        <v>60000</v>
      </c>
      <c r="J7" s="30" t="s">
        <v>43</v>
      </c>
      <c r="K7" s="30"/>
      <c r="L7" s="30"/>
    </row>
    <row r="8" spans="1:25" ht="17.25" customHeight="1" x14ac:dyDescent="0.3">
      <c r="A8" s="2"/>
      <c r="B8" s="13" t="s">
        <v>33</v>
      </c>
      <c r="C8" s="14" t="s">
        <v>9</v>
      </c>
      <c r="D8" s="28" t="str">
        <f t="shared" si="0"/>
        <v>Ekonomi</v>
      </c>
      <c r="E8" s="28" t="str">
        <f t="shared" si="1"/>
        <v>Anak</v>
      </c>
      <c r="F8" s="28">
        <f t="shared" si="2"/>
        <v>20000</v>
      </c>
      <c r="G8" s="24">
        <f t="shared" si="3"/>
        <v>0</v>
      </c>
      <c r="H8" s="28">
        <f t="shared" si="4"/>
        <v>20000</v>
      </c>
      <c r="J8" s="25" t="s">
        <v>22</v>
      </c>
      <c r="K8" s="25" t="s">
        <v>24</v>
      </c>
      <c r="L8" s="25" t="s">
        <v>26</v>
      </c>
    </row>
    <row r="9" spans="1:25" ht="17.25" customHeight="1" x14ac:dyDescent="0.3">
      <c r="A9" s="2"/>
      <c r="B9" s="13" t="s">
        <v>34</v>
      </c>
      <c r="C9" s="14" t="s">
        <v>40</v>
      </c>
      <c r="D9" s="28" t="str">
        <f t="shared" si="0"/>
        <v>Exekutif</v>
      </c>
      <c r="E9" s="28" t="str">
        <f t="shared" si="1"/>
        <v>Lansia</v>
      </c>
      <c r="F9" s="28">
        <f t="shared" si="2"/>
        <v>150000</v>
      </c>
      <c r="G9" s="24">
        <f t="shared" si="3"/>
        <v>15000</v>
      </c>
      <c r="H9" s="28">
        <f t="shared" si="4"/>
        <v>135000</v>
      </c>
      <c r="J9" s="28">
        <f>COUNTIF($E$3:$E$12,J8)</f>
        <v>3</v>
      </c>
      <c r="K9" s="28">
        <f t="shared" ref="K9:L9" si="6">COUNTIF($E$3:$E$12,K8)</f>
        <v>5</v>
      </c>
      <c r="L9" s="28">
        <f t="shared" si="6"/>
        <v>2</v>
      </c>
    </row>
    <row r="10" spans="1:25" ht="17.25" customHeight="1" x14ac:dyDescent="0.3">
      <c r="A10" s="2"/>
      <c r="B10" s="13" t="s">
        <v>35</v>
      </c>
      <c r="C10" s="14" t="s">
        <v>10</v>
      </c>
      <c r="D10" s="28" t="str">
        <f t="shared" si="0"/>
        <v>Ekonomi</v>
      </c>
      <c r="E10" s="28" t="str">
        <f t="shared" si="1"/>
        <v>Dewasa</v>
      </c>
      <c r="F10" s="28">
        <f t="shared" si="2"/>
        <v>50000</v>
      </c>
      <c r="G10" s="24">
        <f t="shared" si="3"/>
        <v>0</v>
      </c>
      <c r="H10" s="28">
        <f t="shared" si="4"/>
        <v>50000</v>
      </c>
    </row>
    <row r="11" spans="1:25" ht="17.25" customHeight="1" x14ac:dyDescent="0.3">
      <c r="A11" s="2"/>
      <c r="B11" s="13" t="s">
        <v>36</v>
      </c>
      <c r="C11" s="14" t="s">
        <v>11</v>
      </c>
      <c r="D11" s="28" t="str">
        <f t="shared" si="0"/>
        <v>Exekutif</v>
      </c>
      <c r="E11" s="28" t="str">
        <f t="shared" si="1"/>
        <v>Anak</v>
      </c>
      <c r="F11" s="28">
        <f t="shared" si="2"/>
        <v>50000</v>
      </c>
      <c r="G11" s="24">
        <f t="shared" si="3"/>
        <v>0</v>
      </c>
      <c r="H11" s="28">
        <f t="shared" si="4"/>
        <v>50000</v>
      </c>
    </row>
    <row r="12" spans="1:25" ht="17.25" customHeight="1" x14ac:dyDescent="0.3">
      <c r="A12" s="2"/>
      <c r="B12" s="13" t="s">
        <v>37</v>
      </c>
      <c r="C12" s="14" t="s">
        <v>12</v>
      </c>
      <c r="D12" s="28" t="str">
        <f t="shared" si="0"/>
        <v>Reguler</v>
      </c>
      <c r="E12" s="28" t="str">
        <f t="shared" si="1"/>
        <v>Anak</v>
      </c>
      <c r="F12" s="28">
        <f t="shared" si="2"/>
        <v>30000</v>
      </c>
      <c r="G12" s="24">
        <f t="shared" si="3"/>
        <v>0</v>
      </c>
      <c r="H12" s="28">
        <f t="shared" si="4"/>
        <v>30000</v>
      </c>
    </row>
    <row r="13" spans="1:25" ht="5.25" customHeight="1" x14ac:dyDescent="0.3">
      <c r="A13" s="2"/>
      <c r="B13" s="6"/>
      <c r="C13" s="7"/>
      <c r="D13" s="5"/>
      <c r="E13" s="8"/>
      <c r="F13" s="9"/>
      <c r="G13" s="9"/>
      <c r="H13" s="9"/>
      <c r="I13" s="5"/>
      <c r="J13" s="5"/>
      <c r="K13" s="1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7.25" customHeight="1" x14ac:dyDescent="0.3">
      <c r="A14" s="2"/>
      <c r="B14" s="31" t="s">
        <v>13</v>
      </c>
      <c r="C14" s="32"/>
      <c r="D14" s="6"/>
      <c r="E14" s="6"/>
      <c r="F14" s="6"/>
      <c r="G14" s="11" t="s">
        <v>20</v>
      </c>
      <c r="I14" s="6"/>
      <c r="J14" s="6"/>
      <c r="K14" s="6"/>
      <c r="L14" s="2"/>
      <c r="M14" s="2"/>
      <c r="N14" s="2"/>
      <c r="O14" s="2"/>
      <c r="P14" s="2"/>
    </row>
    <row r="15" spans="1:25" ht="17.25" customHeight="1" x14ac:dyDescent="0.3">
      <c r="A15" s="2"/>
      <c r="B15" s="18" t="s">
        <v>1</v>
      </c>
      <c r="C15" s="12" t="s">
        <v>14</v>
      </c>
      <c r="D15" s="12" t="s">
        <v>15</v>
      </c>
      <c r="E15" s="12" t="s">
        <v>16</v>
      </c>
      <c r="F15" s="6"/>
      <c r="G15" s="19" t="s">
        <v>1</v>
      </c>
      <c r="H15" s="19" t="s">
        <v>3</v>
      </c>
      <c r="I15" s="20" t="s">
        <v>17</v>
      </c>
      <c r="J15" s="20" t="s">
        <v>18</v>
      </c>
      <c r="K15" s="20" t="s">
        <v>19</v>
      </c>
      <c r="L15" s="22" t="s">
        <v>39</v>
      </c>
      <c r="M15" s="23"/>
      <c r="N15" s="23"/>
      <c r="O15" s="23"/>
      <c r="P15" s="23"/>
    </row>
    <row r="16" spans="1:25" ht="17.25" customHeight="1" x14ac:dyDescent="0.3">
      <c r="A16" s="2"/>
      <c r="B16" s="18" t="s">
        <v>2</v>
      </c>
      <c r="C16" s="12" t="s">
        <v>17</v>
      </c>
      <c r="D16" s="12" t="s">
        <v>18</v>
      </c>
      <c r="E16" s="12" t="s">
        <v>19</v>
      </c>
      <c r="F16" s="6"/>
      <c r="G16" s="20" t="s">
        <v>21</v>
      </c>
      <c r="H16" s="15" t="s">
        <v>22</v>
      </c>
      <c r="I16" s="16">
        <v>30000</v>
      </c>
      <c r="J16" s="16">
        <v>20000</v>
      </c>
      <c r="K16" s="16">
        <v>50000</v>
      </c>
      <c r="L16" s="22" t="s">
        <v>38</v>
      </c>
      <c r="M16" s="23"/>
      <c r="N16" s="21"/>
      <c r="O16" s="21"/>
      <c r="P16" s="21"/>
    </row>
    <row r="17" spans="1:16" x14ac:dyDescent="0.3">
      <c r="A17" s="2"/>
      <c r="B17" s="6"/>
      <c r="C17" s="6"/>
      <c r="D17" s="6"/>
      <c r="E17" s="6"/>
      <c r="F17" s="6"/>
      <c r="G17" s="20" t="s">
        <v>23</v>
      </c>
      <c r="H17" s="15" t="s">
        <v>24</v>
      </c>
      <c r="I17" s="16">
        <v>60000</v>
      </c>
      <c r="J17" s="16">
        <v>50000</v>
      </c>
      <c r="K17" s="16">
        <v>100000</v>
      </c>
      <c r="L17" s="2"/>
      <c r="M17" s="2"/>
      <c r="N17" s="2"/>
      <c r="O17" s="2"/>
      <c r="P17" s="2"/>
    </row>
    <row r="18" spans="1:16" ht="17.25" customHeight="1" x14ac:dyDescent="0.3">
      <c r="A18" s="2"/>
      <c r="G18" s="20" t="s">
        <v>25</v>
      </c>
      <c r="H18" s="15" t="s">
        <v>26</v>
      </c>
      <c r="I18" s="16">
        <v>90000</v>
      </c>
      <c r="J18" s="16">
        <v>80000</v>
      </c>
      <c r="K18" s="16">
        <v>150000</v>
      </c>
      <c r="L18" s="2"/>
      <c r="M18" s="2"/>
      <c r="N18" s="2"/>
      <c r="O18" s="2"/>
      <c r="P18" s="2"/>
    </row>
    <row r="19" spans="1:16" ht="17.25" customHeight="1" x14ac:dyDescent="0.3">
      <c r="A19" s="2"/>
      <c r="G19" s="10"/>
      <c r="H19" s="10"/>
      <c r="I19" s="6"/>
      <c r="J19" s="6"/>
      <c r="K19" s="6"/>
      <c r="L19" s="2"/>
      <c r="M19" s="2"/>
      <c r="N19" s="2"/>
      <c r="O19" s="2"/>
      <c r="P19" s="2"/>
    </row>
    <row r="20" spans="1:16" ht="17.25" customHeight="1" x14ac:dyDescent="0.3">
      <c r="A20" s="2"/>
    </row>
    <row r="21" spans="1:16" ht="17.25" customHeight="1" x14ac:dyDescent="0.3">
      <c r="A21" s="2"/>
    </row>
    <row r="22" spans="1:16" ht="17.25" customHeight="1" x14ac:dyDescent="0.3">
      <c r="A22" s="2"/>
    </row>
    <row r="23" spans="1:16" ht="17.25" customHeight="1" x14ac:dyDescent="0.3">
      <c r="A23" s="2"/>
    </row>
    <row r="24" spans="1:16" ht="17.25" customHeight="1" x14ac:dyDescent="0.3">
      <c r="A24" s="2"/>
    </row>
    <row r="25" spans="1:16" ht="17.25" customHeight="1" x14ac:dyDescent="0.3">
      <c r="A25" s="2"/>
    </row>
    <row r="26" spans="1:16" ht="17.25" customHeight="1" x14ac:dyDescent="0.3">
      <c r="A26" s="2"/>
    </row>
    <row r="27" spans="1:16" ht="17.25" customHeight="1" x14ac:dyDescent="0.3">
      <c r="A27" s="2"/>
    </row>
    <row r="28" spans="1:16" ht="17.25" customHeight="1" x14ac:dyDescent="0.3">
      <c r="A28" s="2"/>
    </row>
    <row r="29" spans="1:16" ht="17.25" customHeight="1" x14ac:dyDescent="0.3">
      <c r="A29" s="2"/>
    </row>
    <row r="30" spans="1:16" ht="17.25" customHeight="1" x14ac:dyDescent="0.3">
      <c r="A30" s="2"/>
    </row>
    <row r="31" spans="1:16" ht="17.25" customHeight="1" x14ac:dyDescent="0.3">
      <c r="A31" s="2"/>
    </row>
    <row r="32" spans="1:16" ht="17.25" customHeight="1" x14ac:dyDescent="0.3">
      <c r="A32" s="2"/>
    </row>
    <row r="33" spans="1:1" ht="17.25" customHeight="1" x14ac:dyDescent="0.3">
      <c r="A33" s="2"/>
    </row>
    <row r="34" spans="1:1" ht="17.25" customHeight="1" x14ac:dyDescent="0.3">
      <c r="A34" s="2"/>
    </row>
    <row r="35" spans="1:1" ht="17.25" customHeight="1" x14ac:dyDescent="0.3">
      <c r="A35" s="2"/>
    </row>
    <row r="36" spans="1:1" ht="17.25" customHeight="1" x14ac:dyDescent="0.3">
      <c r="A36" s="2"/>
    </row>
    <row r="37" spans="1:1" ht="17.25" customHeight="1" x14ac:dyDescent="0.3">
      <c r="A37" s="2"/>
    </row>
    <row r="38" spans="1:1" ht="17.25" customHeight="1" x14ac:dyDescent="0.3">
      <c r="A38" s="2"/>
    </row>
    <row r="39" spans="1:1" ht="17.25" customHeight="1" x14ac:dyDescent="0.3">
      <c r="A39" s="2"/>
    </row>
    <row r="40" spans="1:1" ht="17.25" customHeight="1" x14ac:dyDescent="0.3">
      <c r="A40" s="2"/>
    </row>
    <row r="41" spans="1:1" ht="17.25" customHeight="1" x14ac:dyDescent="0.3">
      <c r="A41" s="2"/>
    </row>
    <row r="42" spans="1:1" ht="17.25" customHeight="1" x14ac:dyDescent="0.3">
      <c r="A42" s="2"/>
    </row>
    <row r="43" spans="1:1" ht="17.25" customHeight="1" x14ac:dyDescent="0.3">
      <c r="A43" s="2"/>
    </row>
    <row r="44" spans="1:1" ht="17.25" customHeight="1" x14ac:dyDescent="0.3">
      <c r="A44" s="2"/>
    </row>
    <row r="45" spans="1:1" ht="17.25" customHeight="1" x14ac:dyDescent="0.3">
      <c r="A45" s="2"/>
    </row>
    <row r="46" spans="1:1" ht="17.25" customHeight="1" x14ac:dyDescent="0.3">
      <c r="A46" s="2"/>
    </row>
    <row r="47" spans="1:1" ht="17.25" customHeight="1" x14ac:dyDescent="0.3">
      <c r="A47" s="2"/>
    </row>
    <row r="48" spans="1:1" ht="17.25" customHeight="1" x14ac:dyDescent="0.3">
      <c r="A48" s="2"/>
    </row>
    <row r="49" spans="1:1" ht="17.25" customHeight="1" x14ac:dyDescent="0.3">
      <c r="A49" s="2"/>
    </row>
    <row r="50" spans="1:1" ht="17.25" customHeight="1" x14ac:dyDescent="0.3">
      <c r="A50" s="2"/>
    </row>
    <row r="51" spans="1:1" ht="17.25" customHeight="1" x14ac:dyDescent="0.3">
      <c r="A51" s="2"/>
    </row>
    <row r="52" spans="1:1" ht="17.25" customHeight="1" x14ac:dyDescent="0.3">
      <c r="A52" s="2"/>
    </row>
    <row r="53" spans="1:1" ht="17.25" customHeight="1" x14ac:dyDescent="0.3">
      <c r="A53" s="2"/>
    </row>
    <row r="54" spans="1:1" ht="17.25" customHeight="1" x14ac:dyDescent="0.3">
      <c r="A54" s="2"/>
    </row>
    <row r="55" spans="1:1" ht="17.25" customHeight="1" x14ac:dyDescent="0.3">
      <c r="A55" s="2"/>
    </row>
    <row r="56" spans="1:1" ht="17.25" customHeight="1" x14ac:dyDescent="0.3">
      <c r="A56" s="2"/>
    </row>
    <row r="57" spans="1:1" ht="17.25" customHeight="1" x14ac:dyDescent="0.3">
      <c r="A57" s="2"/>
    </row>
    <row r="58" spans="1:1" ht="17.25" customHeight="1" x14ac:dyDescent="0.3">
      <c r="A58" s="2"/>
    </row>
    <row r="59" spans="1:1" ht="17.25" customHeight="1" x14ac:dyDescent="0.3">
      <c r="A59" s="2"/>
    </row>
    <row r="60" spans="1:1" ht="17.25" customHeight="1" x14ac:dyDescent="0.3">
      <c r="A60" s="2"/>
    </row>
    <row r="61" spans="1:1" ht="17.25" customHeight="1" x14ac:dyDescent="0.3">
      <c r="A61" s="2"/>
    </row>
    <row r="62" spans="1:1" ht="17.25" customHeight="1" x14ac:dyDescent="0.3">
      <c r="A62" s="2"/>
    </row>
    <row r="63" spans="1:1" ht="17.25" customHeight="1" x14ac:dyDescent="0.3">
      <c r="A63" s="2"/>
    </row>
    <row r="64" spans="1:1" ht="17.25" customHeight="1" x14ac:dyDescent="0.3">
      <c r="A64" s="2"/>
    </row>
    <row r="65" spans="1:1" ht="17.25" customHeight="1" x14ac:dyDescent="0.3">
      <c r="A65" s="2"/>
    </row>
    <row r="66" spans="1:1" ht="17.25" customHeight="1" x14ac:dyDescent="0.3">
      <c r="A66" s="2"/>
    </row>
    <row r="67" spans="1:1" ht="17.25" customHeight="1" x14ac:dyDescent="0.3">
      <c r="A67" s="2"/>
    </row>
    <row r="68" spans="1:1" ht="17.25" customHeight="1" x14ac:dyDescent="0.3">
      <c r="A68" s="2"/>
    </row>
    <row r="69" spans="1:1" ht="17.25" customHeight="1" x14ac:dyDescent="0.3">
      <c r="A69" s="2"/>
    </row>
    <row r="70" spans="1:1" ht="17.25" customHeight="1" x14ac:dyDescent="0.3">
      <c r="A70" s="2"/>
    </row>
    <row r="71" spans="1:1" ht="17.25" customHeight="1" x14ac:dyDescent="0.3">
      <c r="A71" s="2"/>
    </row>
    <row r="72" spans="1:1" ht="17.25" customHeight="1" x14ac:dyDescent="0.3">
      <c r="A72" s="2"/>
    </row>
    <row r="73" spans="1:1" ht="17.25" customHeight="1" x14ac:dyDescent="0.3">
      <c r="A73" s="2"/>
    </row>
    <row r="74" spans="1:1" ht="17.25" customHeight="1" x14ac:dyDescent="0.3">
      <c r="A74" s="2"/>
    </row>
    <row r="75" spans="1:1" ht="17.25" customHeight="1" x14ac:dyDescent="0.3">
      <c r="A75" s="2"/>
    </row>
    <row r="76" spans="1:1" ht="17.25" customHeight="1" x14ac:dyDescent="0.3">
      <c r="A76" s="2"/>
    </row>
    <row r="77" spans="1:1" ht="17.25" customHeight="1" x14ac:dyDescent="0.3">
      <c r="A77" s="2"/>
    </row>
    <row r="78" spans="1:1" ht="17.25" customHeight="1" x14ac:dyDescent="0.3">
      <c r="A78" s="2"/>
    </row>
    <row r="79" spans="1:1" ht="17.25" customHeight="1" x14ac:dyDescent="0.3">
      <c r="A79" s="2"/>
    </row>
    <row r="80" spans="1:1" ht="17.25" customHeight="1" x14ac:dyDescent="0.3">
      <c r="A80" s="2"/>
    </row>
    <row r="81" spans="1:1" ht="17.25" customHeight="1" x14ac:dyDescent="0.3">
      <c r="A81" s="2"/>
    </row>
    <row r="82" spans="1:1" ht="17.25" customHeight="1" x14ac:dyDescent="0.3">
      <c r="A82" s="2"/>
    </row>
    <row r="83" spans="1:1" ht="17.25" customHeight="1" x14ac:dyDescent="0.3">
      <c r="A83" s="2"/>
    </row>
    <row r="84" spans="1:1" ht="17.25" customHeight="1" x14ac:dyDescent="0.3">
      <c r="A84" s="2"/>
    </row>
    <row r="85" spans="1:1" ht="17.25" customHeight="1" x14ac:dyDescent="0.3">
      <c r="A85" s="2"/>
    </row>
    <row r="86" spans="1:1" ht="17.25" customHeight="1" x14ac:dyDescent="0.3">
      <c r="A86" s="2"/>
    </row>
    <row r="87" spans="1:1" ht="17.25" customHeight="1" x14ac:dyDescent="0.3">
      <c r="A87" s="2"/>
    </row>
    <row r="88" spans="1:1" ht="17.25" customHeight="1" x14ac:dyDescent="0.3">
      <c r="A88" s="2"/>
    </row>
    <row r="89" spans="1:1" ht="17.25" customHeight="1" x14ac:dyDescent="0.3">
      <c r="A89" s="2"/>
    </row>
    <row r="90" spans="1:1" ht="17.25" customHeight="1" x14ac:dyDescent="0.3">
      <c r="A90" s="2"/>
    </row>
    <row r="91" spans="1:1" ht="17.25" customHeight="1" x14ac:dyDescent="0.3">
      <c r="A91" s="2"/>
    </row>
    <row r="92" spans="1:1" ht="17.25" customHeight="1" x14ac:dyDescent="0.3">
      <c r="A92" s="2"/>
    </row>
    <row r="93" spans="1:1" ht="17.25" customHeight="1" x14ac:dyDescent="0.3">
      <c r="A93" s="2"/>
    </row>
    <row r="94" spans="1:1" ht="17.25" customHeight="1" x14ac:dyDescent="0.3">
      <c r="A94" s="2"/>
    </row>
    <row r="95" spans="1:1" ht="17.25" customHeight="1" x14ac:dyDescent="0.3">
      <c r="A95" s="2"/>
    </row>
    <row r="96" spans="1:1" ht="17.25" customHeight="1" x14ac:dyDescent="0.3">
      <c r="A96" s="2"/>
    </row>
    <row r="97" spans="1:1" ht="17.25" customHeight="1" x14ac:dyDescent="0.3">
      <c r="A97" s="2"/>
    </row>
    <row r="98" spans="1:1" ht="17.25" customHeight="1" x14ac:dyDescent="0.3">
      <c r="A98" s="2"/>
    </row>
    <row r="99" spans="1:1" ht="17.25" customHeight="1" x14ac:dyDescent="0.3">
      <c r="A99" s="2"/>
    </row>
    <row r="100" spans="1:1" ht="17.25" customHeight="1" x14ac:dyDescent="0.3">
      <c r="A100" s="2"/>
    </row>
    <row r="101" spans="1:1" ht="17.25" customHeight="1" x14ac:dyDescent="0.3">
      <c r="A101" s="2"/>
    </row>
    <row r="102" spans="1:1" ht="17.25" customHeight="1" x14ac:dyDescent="0.3">
      <c r="A102" s="2"/>
    </row>
    <row r="103" spans="1:1" ht="17.25" customHeight="1" x14ac:dyDescent="0.3">
      <c r="A103" s="2"/>
    </row>
    <row r="104" spans="1:1" ht="17.25" customHeight="1" x14ac:dyDescent="0.3">
      <c r="A104" s="2"/>
    </row>
    <row r="105" spans="1:1" ht="17.25" customHeight="1" x14ac:dyDescent="0.3">
      <c r="A105" s="2"/>
    </row>
    <row r="106" spans="1:1" ht="17.25" customHeight="1" x14ac:dyDescent="0.3">
      <c r="A106" s="2"/>
    </row>
    <row r="107" spans="1:1" ht="17.25" customHeight="1" x14ac:dyDescent="0.3">
      <c r="A107" s="2"/>
    </row>
    <row r="108" spans="1:1" ht="17.25" customHeight="1" x14ac:dyDescent="0.3">
      <c r="A108" s="2"/>
    </row>
    <row r="109" spans="1:1" ht="17.25" customHeight="1" x14ac:dyDescent="0.3">
      <c r="A109" s="2"/>
    </row>
    <row r="110" spans="1:1" ht="17.25" customHeight="1" x14ac:dyDescent="0.3">
      <c r="A110" s="2"/>
    </row>
    <row r="111" spans="1:1" ht="17.25" customHeight="1" x14ac:dyDescent="0.3">
      <c r="A111" s="2"/>
    </row>
    <row r="112" spans="1:1" ht="17.25" customHeight="1" x14ac:dyDescent="0.3">
      <c r="A112" s="2"/>
    </row>
    <row r="113" spans="1:1" ht="17.25" customHeight="1" x14ac:dyDescent="0.3">
      <c r="A113" s="2"/>
    </row>
    <row r="114" spans="1:1" ht="17.25" customHeight="1" x14ac:dyDescent="0.3">
      <c r="A114" s="2"/>
    </row>
    <row r="115" spans="1:1" ht="17.25" customHeight="1" x14ac:dyDescent="0.3">
      <c r="A115" s="2"/>
    </row>
    <row r="116" spans="1:1" ht="17.25" customHeight="1" x14ac:dyDescent="0.3">
      <c r="A116" s="2"/>
    </row>
    <row r="117" spans="1:1" ht="17.25" customHeight="1" x14ac:dyDescent="0.3">
      <c r="A117" s="2"/>
    </row>
    <row r="118" spans="1:1" ht="17.25" customHeight="1" x14ac:dyDescent="0.3">
      <c r="A118" s="2"/>
    </row>
    <row r="119" spans="1:1" ht="17.25" customHeight="1" x14ac:dyDescent="0.3">
      <c r="A119" s="2"/>
    </row>
    <row r="120" spans="1:1" ht="17.25" customHeight="1" x14ac:dyDescent="0.3">
      <c r="A120" s="2"/>
    </row>
    <row r="121" spans="1:1" ht="17.25" customHeight="1" x14ac:dyDescent="0.3">
      <c r="A121" s="2"/>
    </row>
    <row r="122" spans="1:1" ht="17.25" customHeight="1" x14ac:dyDescent="0.3">
      <c r="A122" s="2"/>
    </row>
    <row r="123" spans="1:1" ht="17.25" customHeight="1" x14ac:dyDescent="0.3">
      <c r="A123" s="2"/>
    </row>
    <row r="124" spans="1:1" ht="17.25" customHeight="1" x14ac:dyDescent="0.3">
      <c r="A124" s="2"/>
    </row>
    <row r="125" spans="1:1" ht="17.25" customHeight="1" x14ac:dyDescent="0.3">
      <c r="A125" s="2"/>
    </row>
    <row r="126" spans="1:1" ht="17.25" customHeight="1" x14ac:dyDescent="0.3">
      <c r="A126" s="2"/>
    </row>
    <row r="127" spans="1:1" ht="17.25" customHeight="1" x14ac:dyDescent="0.3">
      <c r="A127" s="2"/>
    </row>
    <row r="128" spans="1:1" ht="17.25" customHeight="1" x14ac:dyDescent="0.3">
      <c r="A128" s="2"/>
    </row>
    <row r="129" spans="1:1" ht="17.25" customHeight="1" x14ac:dyDescent="0.3">
      <c r="A129" s="2"/>
    </row>
    <row r="130" spans="1:1" ht="17.25" customHeight="1" x14ac:dyDescent="0.3">
      <c r="A130" s="2"/>
    </row>
    <row r="131" spans="1:1" ht="17.25" customHeight="1" x14ac:dyDescent="0.3">
      <c r="A131" s="2"/>
    </row>
    <row r="132" spans="1:1" ht="17.25" customHeight="1" x14ac:dyDescent="0.3">
      <c r="A132" s="2"/>
    </row>
    <row r="133" spans="1:1" ht="17.25" customHeight="1" x14ac:dyDescent="0.3">
      <c r="A133" s="2"/>
    </row>
    <row r="134" spans="1:1" ht="17.25" customHeight="1" x14ac:dyDescent="0.3">
      <c r="A134" s="2"/>
    </row>
    <row r="135" spans="1:1" ht="17.25" customHeight="1" x14ac:dyDescent="0.3">
      <c r="A135" s="2"/>
    </row>
    <row r="136" spans="1:1" ht="17.25" customHeight="1" x14ac:dyDescent="0.3">
      <c r="A136" s="2"/>
    </row>
    <row r="137" spans="1:1" ht="17.25" customHeight="1" x14ac:dyDescent="0.3">
      <c r="A137" s="2"/>
    </row>
    <row r="138" spans="1:1" ht="17.25" customHeight="1" x14ac:dyDescent="0.3">
      <c r="A138" s="2"/>
    </row>
    <row r="139" spans="1:1" ht="17.25" customHeight="1" x14ac:dyDescent="0.3">
      <c r="A139" s="2"/>
    </row>
    <row r="140" spans="1:1" ht="17.25" customHeight="1" x14ac:dyDescent="0.3">
      <c r="A140" s="2"/>
    </row>
    <row r="141" spans="1:1" ht="17.25" customHeight="1" x14ac:dyDescent="0.3">
      <c r="A141" s="2"/>
    </row>
    <row r="142" spans="1:1" ht="17.25" customHeight="1" x14ac:dyDescent="0.3">
      <c r="A142" s="2"/>
    </row>
    <row r="143" spans="1:1" ht="17.25" customHeight="1" x14ac:dyDescent="0.3">
      <c r="A143" s="2"/>
    </row>
    <row r="144" spans="1:1" ht="17.25" customHeight="1" x14ac:dyDescent="0.3">
      <c r="A144" s="2"/>
    </row>
    <row r="145" spans="1:1" ht="17.25" customHeight="1" x14ac:dyDescent="0.3">
      <c r="A145" s="2"/>
    </row>
    <row r="146" spans="1:1" ht="17.25" customHeight="1" x14ac:dyDescent="0.3">
      <c r="A146" s="2"/>
    </row>
    <row r="147" spans="1:1" ht="17.25" customHeight="1" x14ac:dyDescent="0.3">
      <c r="A147" s="2"/>
    </row>
    <row r="148" spans="1:1" ht="17.25" customHeight="1" x14ac:dyDescent="0.3">
      <c r="A148" s="2"/>
    </row>
    <row r="149" spans="1:1" ht="17.25" customHeight="1" x14ac:dyDescent="0.3">
      <c r="A149" s="2"/>
    </row>
    <row r="150" spans="1:1" ht="17.25" customHeight="1" x14ac:dyDescent="0.3">
      <c r="A150" s="2"/>
    </row>
    <row r="151" spans="1:1" ht="17.25" customHeight="1" x14ac:dyDescent="0.3">
      <c r="A151" s="2"/>
    </row>
    <row r="152" spans="1:1" ht="17.25" customHeight="1" x14ac:dyDescent="0.3">
      <c r="A152" s="2"/>
    </row>
    <row r="153" spans="1:1" ht="17.25" customHeight="1" x14ac:dyDescent="0.3">
      <c r="A153" s="2"/>
    </row>
    <row r="154" spans="1:1" ht="17.25" customHeight="1" x14ac:dyDescent="0.3">
      <c r="A154" s="2"/>
    </row>
    <row r="155" spans="1:1" ht="17.25" customHeight="1" x14ac:dyDescent="0.3">
      <c r="A155" s="2"/>
    </row>
    <row r="156" spans="1:1" ht="17.25" customHeight="1" x14ac:dyDescent="0.3">
      <c r="A156" s="2"/>
    </row>
    <row r="157" spans="1:1" ht="17.25" customHeight="1" x14ac:dyDescent="0.3">
      <c r="A157" s="2"/>
    </row>
    <row r="158" spans="1:1" ht="17.25" customHeight="1" x14ac:dyDescent="0.3">
      <c r="A158" s="2"/>
    </row>
    <row r="159" spans="1:1" ht="17.25" customHeight="1" x14ac:dyDescent="0.3">
      <c r="A159" s="2"/>
    </row>
    <row r="160" spans="1:1" ht="17.25" customHeight="1" x14ac:dyDescent="0.3">
      <c r="A160" s="2"/>
    </row>
    <row r="161" spans="1:1" ht="17.25" customHeight="1" x14ac:dyDescent="0.3">
      <c r="A161" s="2"/>
    </row>
    <row r="162" spans="1:1" ht="17.25" customHeight="1" x14ac:dyDescent="0.3">
      <c r="A162" s="2"/>
    </row>
    <row r="163" spans="1:1" ht="17.25" customHeight="1" x14ac:dyDescent="0.3">
      <c r="A163" s="2"/>
    </row>
    <row r="164" spans="1:1" ht="17.25" customHeight="1" x14ac:dyDescent="0.3">
      <c r="A164" s="2"/>
    </row>
    <row r="165" spans="1:1" ht="17.25" customHeight="1" x14ac:dyDescent="0.3">
      <c r="A165" s="2"/>
    </row>
    <row r="166" spans="1:1" ht="17.25" customHeight="1" x14ac:dyDescent="0.3">
      <c r="A166" s="2"/>
    </row>
    <row r="167" spans="1:1" ht="17.25" customHeight="1" x14ac:dyDescent="0.3">
      <c r="A167" s="2"/>
    </row>
    <row r="168" spans="1:1" ht="17.25" customHeight="1" x14ac:dyDescent="0.3">
      <c r="A168" s="2"/>
    </row>
    <row r="169" spans="1:1" ht="17.25" customHeight="1" x14ac:dyDescent="0.3">
      <c r="A169" s="2"/>
    </row>
    <row r="170" spans="1:1" ht="17.25" customHeight="1" x14ac:dyDescent="0.3">
      <c r="A170" s="2"/>
    </row>
    <row r="171" spans="1:1" ht="17.25" customHeight="1" x14ac:dyDescent="0.3">
      <c r="A171" s="2"/>
    </row>
    <row r="172" spans="1:1" ht="17.25" customHeight="1" x14ac:dyDescent="0.3">
      <c r="A172" s="2"/>
    </row>
    <row r="173" spans="1:1" ht="17.25" customHeight="1" x14ac:dyDescent="0.3">
      <c r="A173" s="2"/>
    </row>
    <row r="174" spans="1:1" ht="17.25" customHeight="1" x14ac:dyDescent="0.3">
      <c r="A174" s="2"/>
    </row>
    <row r="175" spans="1:1" ht="17.25" customHeight="1" x14ac:dyDescent="0.3">
      <c r="A175" s="2"/>
    </row>
    <row r="176" spans="1:1" ht="17.25" customHeight="1" x14ac:dyDescent="0.3">
      <c r="A176" s="2"/>
    </row>
    <row r="177" spans="1:1" ht="17.25" customHeight="1" x14ac:dyDescent="0.3">
      <c r="A177" s="2"/>
    </row>
    <row r="178" spans="1:1" ht="17.25" customHeight="1" x14ac:dyDescent="0.3">
      <c r="A178" s="2"/>
    </row>
    <row r="179" spans="1:1" ht="17.25" customHeight="1" x14ac:dyDescent="0.3">
      <c r="A179" s="2"/>
    </row>
    <row r="180" spans="1:1" ht="17.25" customHeight="1" x14ac:dyDescent="0.3">
      <c r="A180" s="2"/>
    </row>
    <row r="181" spans="1:1" ht="17.25" customHeight="1" x14ac:dyDescent="0.3">
      <c r="A181" s="2"/>
    </row>
    <row r="182" spans="1:1" ht="17.25" customHeight="1" x14ac:dyDescent="0.3">
      <c r="A182" s="2"/>
    </row>
    <row r="183" spans="1:1" ht="17.25" customHeight="1" x14ac:dyDescent="0.3">
      <c r="A183" s="2"/>
    </row>
    <row r="184" spans="1:1" ht="17.25" customHeight="1" x14ac:dyDescent="0.3">
      <c r="A184" s="2"/>
    </row>
    <row r="185" spans="1:1" ht="17.25" customHeight="1" x14ac:dyDescent="0.3">
      <c r="A185" s="2"/>
    </row>
    <row r="186" spans="1:1" ht="17.25" customHeight="1" x14ac:dyDescent="0.3">
      <c r="A186" s="2"/>
    </row>
    <row r="187" spans="1:1" ht="17.25" customHeight="1" x14ac:dyDescent="0.3">
      <c r="A187" s="2"/>
    </row>
    <row r="188" spans="1:1" ht="17.25" customHeight="1" x14ac:dyDescent="0.3">
      <c r="A188" s="2"/>
    </row>
    <row r="189" spans="1:1" ht="17.25" customHeight="1" x14ac:dyDescent="0.3">
      <c r="A189" s="2"/>
    </row>
    <row r="190" spans="1:1" ht="17.25" customHeight="1" x14ac:dyDescent="0.3">
      <c r="A190" s="2"/>
    </row>
    <row r="191" spans="1:1" ht="17.25" customHeight="1" x14ac:dyDescent="0.3">
      <c r="A191" s="2"/>
    </row>
    <row r="192" spans="1:1" ht="17.25" customHeight="1" x14ac:dyDescent="0.3">
      <c r="A192" s="2"/>
    </row>
    <row r="193" spans="1:1" ht="17.25" customHeight="1" x14ac:dyDescent="0.3">
      <c r="A193" s="2"/>
    </row>
    <row r="194" spans="1:1" ht="17.25" customHeight="1" x14ac:dyDescent="0.3">
      <c r="A194" s="2"/>
    </row>
    <row r="195" spans="1:1" ht="17.25" customHeight="1" x14ac:dyDescent="0.3">
      <c r="A195" s="2"/>
    </row>
    <row r="196" spans="1:1" ht="17.25" customHeight="1" x14ac:dyDescent="0.3">
      <c r="A196" s="2"/>
    </row>
    <row r="197" spans="1:1" ht="17.25" customHeight="1" x14ac:dyDescent="0.3">
      <c r="A197" s="2"/>
    </row>
    <row r="198" spans="1:1" ht="17.25" customHeight="1" x14ac:dyDescent="0.3">
      <c r="A198" s="2"/>
    </row>
    <row r="199" spans="1:1" ht="17.25" customHeight="1" x14ac:dyDescent="0.3">
      <c r="A199" s="2"/>
    </row>
    <row r="200" spans="1:1" ht="17.25" customHeight="1" x14ac:dyDescent="0.3">
      <c r="A200" s="2"/>
    </row>
    <row r="201" spans="1:1" ht="17.25" customHeight="1" x14ac:dyDescent="0.3">
      <c r="A201" s="2"/>
    </row>
    <row r="202" spans="1:1" ht="17.25" customHeight="1" x14ac:dyDescent="0.3">
      <c r="A202" s="2"/>
    </row>
    <row r="203" spans="1:1" ht="17.25" customHeight="1" x14ac:dyDescent="0.3">
      <c r="A203" s="2"/>
    </row>
    <row r="204" spans="1:1" ht="17.25" customHeight="1" x14ac:dyDescent="0.3">
      <c r="A204" s="2"/>
    </row>
    <row r="205" spans="1:1" ht="17.25" customHeight="1" x14ac:dyDescent="0.3">
      <c r="A205" s="2"/>
    </row>
    <row r="206" spans="1:1" ht="17.25" customHeight="1" x14ac:dyDescent="0.3">
      <c r="A206" s="2"/>
    </row>
    <row r="207" spans="1:1" ht="17.25" customHeight="1" x14ac:dyDescent="0.3">
      <c r="A207" s="2"/>
    </row>
    <row r="208" spans="1:1" ht="17.25" customHeight="1" x14ac:dyDescent="0.3">
      <c r="A208" s="2"/>
    </row>
    <row r="209" spans="1:1" ht="17.25" customHeight="1" x14ac:dyDescent="0.3">
      <c r="A209" s="2"/>
    </row>
    <row r="210" spans="1:1" ht="17.25" customHeight="1" x14ac:dyDescent="0.3">
      <c r="A210" s="2"/>
    </row>
    <row r="211" spans="1:1" ht="17.25" customHeight="1" x14ac:dyDescent="0.3">
      <c r="A211" s="2"/>
    </row>
    <row r="212" spans="1:1" ht="17.25" customHeight="1" x14ac:dyDescent="0.3">
      <c r="A212" s="2"/>
    </row>
    <row r="213" spans="1:1" ht="17.25" customHeight="1" x14ac:dyDescent="0.3">
      <c r="A213" s="2"/>
    </row>
    <row r="214" spans="1:1" ht="17.25" customHeight="1" x14ac:dyDescent="0.3">
      <c r="A214" s="2"/>
    </row>
    <row r="215" spans="1:1" ht="17.25" customHeight="1" x14ac:dyDescent="0.3">
      <c r="A215" s="2"/>
    </row>
    <row r="216" spans="1:1" ht="17.25" customHeight="1" x14ac:dyDescent="0.3">
      <c r="A216" s="2"/>
    </row>
    <row r="217" spans="1:1" ht="17.25" customHeight="1" x14ac:dyDescent="0.3">
      <c r="A217" s="2"/>
    </row>
    <row r="218" spans="1:1" ht="17.25" customHeight="1" x14ac:dyDescent="0.3">
      <c r="A218" s="2"/>
    </row>
    <row r="219" spans="1:1" ht="17.25" customHeight="1" x14ac:dyDescent="0.3">
      <c r="A219" s="2"/>
    </row>
    <row r="220" spans="1:1" ht="17.25" customHeight="1" x14ac:dyDescent="0.3">
      <c r="A220" s="2"/>
    </row>
    <row r="221" spans="1:1" ht="17.25" customHeight="1" x14ac:dyDescent="0.3">
      <c r="A221" s="2"/>
    </row>
    <row r="222" spans="1:1" ht="17.25" customHeight="1" x14ac:dyDescent="0.3">
      <c r="A222" s="2"/>
    </row>
    <row r="223" spans="1:1" ht="15.75" customHeight="1" x14ac:dyDescent="0.3"/>
    <row r="224" spans="1:1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" customHeight="1" x14ac:dyDescent="0.3"/>
  </sheetData>
  <mergeCells count="5">
    <mergeCell ref="J4:L4"/>
    <mergeCell ref="J7:L7"/>
    <mergeCell ref="B14:C14"/>
    <mergeCell ref="C1:D1"/>
    <mergeCell ref="E1:G1"/>
  </mergeCells>
  <hyperlinks>
    <hyperlink ref="E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JAVACOM</dc:creator>
  <cp:lastModifiedBy>niaulans</cp:lastModifiedBy>
  <dcterms:created xsi:type="dcterms:W3CDTF">2017-11-07T04:53:17Z</dcterms:created>
  <dcterms:modified xsi:type="dcterms:W3CDTF">2025-03-23T13:52:06Z</dcterms:modified>
</cp:coreProperties>
</file>