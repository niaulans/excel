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exercise\Admin\Admin Tiketing\"/>
    </mc:Choice>
  </mc:AlternateContent>
  <bookViews>
    <workbookView xWindow="-120" yWindow="-120" windowWidth="20730" windowHeight="11160"/>
  </bookViews>
  <sheets>
    <sheet name="Soal" sheetId="1" r:id="rId1"/>
  </sheets>
  <definedNames>
    <definedName name="_xlnm._FilterDatabase" localSheetId="0" hidden="1">Soal!$A$1:$H$9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3" i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<sst xmlns="http://schemas.openxmlformats.org/spreadsheetml/2006/main" count="53" uniqueCount="47">
  <si>
    <t>Nama Penumpang</t>
  </si>
  <si>
    <t>Kode Tiket</t>
  </si>
  <si>
    <t>Kelas</t>
  </si>
  <si>
    <t>Jenis Tiket</t>
  </si>
  <si>
    <t>Tabel Kelas</t>
  </si>
  <si>
    <t>Kode</t>
  </si>
  <si>
    <t>Ekonomi</t>
  </si>
  <si>
    <t>Bisnis</t>
  </si>
  <si>
    <t>Diskon</t>
  </si>
  <si>
    <t>Harga Awal</t>
  </si>
  <si>
    <t>Harga setelah Diskon</t>
  </si>
  <si>
    <t>Tabel Jenis Tiket</t>
  </si>
  <si>
    <t>Anak</t>
  </si>
  <si>
    <t>Dewasa</t>
  </si>
  <si>
    <t>Lansia</t>
  </si>
  <si>
    <t>EKO</t>
  </si>
  <si>
    <t>BIS</t>
  </si>
  <si>
    <t>EXC</t>
  </si>
  <si>
    <t>A</t>
  </si>
  <si>
    <t>D</t>
  </si>
  <si>
    <t>L</t>
  </si>
  <si>
    <t>No.</t>
  </si>
  <si>
    <t>BISA</t>
  </si>
  <si>
    <t>EKOD</t>
  </si>
  <si>
    <t>EXCA</t>
  </si>
  <si>
    <t>EXCD</t>
  </si>
  <si>
    <t>EKOL</t>
  </si>
  <si>
    <t>BISD</t>
  </si>
  <si>
    <t>EKOA</t>
  </si>
  <si>
    <t>EXCL</t>
  </si>
  <si>
    <t>Executive</t>
  </si>
  <si>
    <t>Instruksi:</t>
  </si>
  <si>
    <t>1. Kelas mengacu kepada 3 huruf pertama di kode tiket</t>
  </si>
  <si>
    <t>2. Jenis tiket mengacu pada 1 huruf terakhir di kode tiket</t>
  </si>
  <si>
    <t>5. Harga setelah diskon adalah harga awal dikurangi diskon sebesar 10% tersebut</t>
  </si>
  <si>
    <t>3. Harga awal tergantung jenis tiket dan kelas masing-masing penumpang</t>
  </si>
  <si>
    <t>Daniel</t>
  </si>
  <si>
    <t>Anzy</t>
  </si>
  <si>
    <t>Siska</t>
  </si>
  <si>
    <t>Syafira</t>
  </si>
  <si>
    <t>Fitri</t>
  </si>
  <si>
    <t>Alka</t>
  </si>
  <si>
    <t>Kevin</t>
  </si>
  <si>
    <t>Zahra</t>
  </si>
  <si>
    <t>4. Diskon sebesar 10% untuk tiket Executive Anak</t>
  </si>
  <si>
    <t>Video Pembahasan</t>
  </si>
  <si>
    <t>https://youtu.be/rduvJ8Q3kHI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</si>
</sst>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2" fillId="2" borderId="0" xfId="0" applyFont="1" applyFill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165" fontId="0" fillId="2" borderId="1" xfId="1" applyNumberFormat="1" applyFont="1" applyFill="1" applyBorder="1" applyAlignment="1">
      <alignment wrapText="1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0" borderId="1" xfId="0" applyFont="1" applyBorder="1"/>
    <xf numFmtId="0" fontId="0" fillId="0" borderId="1" xfId="0" applyBorder="1"/>
    <xf numFmtId="0" fontId="4" fillId="2" borderId="1" xfId="0" applyFont="1" applyFill="1" applyBorder="1" applyAlignment="1">
      <alignment horizontal="left"/>
    </xf>
    <xf numFmtId="0" fontId="4" fillId="2" borderId="1" xfId="2" applyNumberFormat="1" applyFont="1" applyFill="1" applyBorder="1" applyAlignment="1">
      <alignment horizontal="left"/>
    </xf>
    <xf numFmtId="0" fontId="4" fillId="2" borderId="1" xfId="3" applyNumberFormat="1" applyFont="1" applyFill="1" applyBorder="1" applyAlignment="1">
      <alignment horizontal="left"/>
    </xf>
    <xf numFmtId="0" fontId="0" fillId="2" borderId="0" xfId="0" applyFill="1" applyAlignment="1">
      <alignment horizontal="center" wrapText="1"/>
    </xf>
    <xf numFmtId="0" fontId="5" fillId="2" borderId="0" xfId="4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/>
  </cellXfs>
  <cellStyles count="5">
    <cellStyle name="Comma" xfId="1" builtinId="3"/>
    <cellStyle name="Comma [0]" xfId="2" builtinId="6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youtu.be/rduvJ8Q3kH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L19"/>
  <sheetViews>
    <sheetView tabSelected="1" zoomScale="110" zoomScaleNormal="110" workbookViewId="0">
      <selection activeCell="I2" sqref="I2"/>
    </sheetView>
  </sheetViews>
  <sheetFormatPr defaultRowHeight="15" x14ac:dyDescent="0.25"/>
  <cols>
    <col min="1" max="1" width="11.28515625" style="2" customWidth="1"/>
    <col min="2" max="2" width="13.85546875" style="2" customWidth="1"/>
    <col min="3" max="5" width="13.85546875" style="1" customWidth="1"/>
    <col min="6" max="6" width="13.85546875" style="2" customWidth="1"/>
    <col min="7" max="8" width="13.85546875" style="1" customWidth="1"/>
    <col min="9" max="9" width="13.28515625" style="1" customWidth="1"/>
    <col min="10" max="16384" width="9.140625" style="2"/>
  </cols>
  <sheetData>
    <row r="1" spans="1:12" ht="30" x14ac:dyDescent="0.25">
      <c r="A1" s="8" t="s">
        <v>21</v>
      </c>
      <c r="B1" s="9" t="s">
        <v>0</v>
      </c>
      <c r="C1" s="9" t="s">
        <v>1</v>
      </c>
      <c r="D1" s="9" t="s">
        <v>2</v>
      </c>
      <c r="E1" s="9" t="s">
        <v>3</v>
      </c>
      <c r="F1" s="8" t="s">
        <v>9</v>
      </c>
      <c r="G1" s="9" t="s">
        <v>8</v>
      </c>
      <c r="H1" s="9" t="s">
        <v>10</v>
      </c>
      <c r="I1" s="19" t="s">
        <v>45</v>
      </c>
      <c r="J1" s="20" t="s">
        <v>46</v>
      </c>
      <c r="K1" s="21"/>
      <c r="L1" s="21"/>
    </row>
    <row r="2" spans="1:12" x14ac:dyDescent="0.25">
      <c r="A2" s="4">
        <v>1</v>
      </c>
      <c r="B2" s="14" t="s">
        <v>36</v>
      </c>
      <c r="C2" s="13" t="s">
        <v>22</v>
      </c>
      <c r="D2" s="16" t="str">
        <f>HLOOKUP(LEFT(C2,3),$A$12:$D$13,2,FALSE)</f>
        <v>Bisnis</v>
      </c>
      <c r="E2" s="16" t="str">
        <f>VLOOKUP(RIGHT(C2,1),$A$16:$E$19,2,FALSE)</f>
        <v>Anak</v>
      </c>
      <c r="F2" s="17">
        <f>INDEX($B$16:$E$19,MATCH(E2,$B$16:$B$19,0),MATCH(D2,$B$16:$E$16,0))</f>
        <v>50000</v>
      </c>
      <c r="G2" s="18">
        <f>IF(AND(D2="Executive",E2="Anak"),F2*0.1,0)</f>
        <v>0</v>
      </c>
      <c r="H2" s="16">
        <f>F2-G2</f>
        <v>50000</v>
      </c>
    </row>
    <row r="3" spans="1:12" x14ac:dyDescent="0.25">
      <c r="A3" s="4">
        <v>2</v>
      </c>
      <c r="B3" s="14" t="s">
        <v>37</v>
      </c>
      <c r="C3" s="13" t="s">
        <v>23</v>
      </c>
      <c r="D3" s="16" t="str">
        <f t="shared" ref="D3:D9" si="0">HLOOKUP(LEFT(C3,3),$A$12:$D$13,2,FALSE)</f>
        <v>Ekonomi</v>
      </c>
      <c r="E3" s="16" t="str">
        <f t="shared" ref="E3:E9" si="1">VLOOKUP(RIGHT(C3,1),$A$16:$E$19,2,FALSE)</f>
        <v>Dewasa</v>
      </c>
      <c r="F3" s="17">
        <f t="shared" ref="F3:F9" si="2">INDEX($B$16:$E$19,MATCH(E3,$B$16:$B$19,0),MATCH(D3,$B$16:$E$16,0))</f>
        <v>50000</v>
      </c>
      <c r="G3" s="18">
        <f t="shared" ref="G3:G9" si="3">IF(AND(D3="Executive",E3="Anak"),F3*0.1,0)</f>
        <v>0</v>
      </c>
      <c r="H3" s="16">
        <f t="shared" ref="H3:H9" si="4">F3-G3</f>
        <v>50000</v>
      </c>
    </row>
    <row r="4" spans="1:12" x14ac:dyDescent="0.25">
      <c r="A4" s="4">
        <v>3</v>
      </c>
      <c r="B4" s="14" t="s">
        <v>38</v>
      </c>
      <c r="C4" s="13" t="s">
        <v>24</v>
      </c>
      <c r="D4" s="16" t="str">
        <f t="shared" si="0"/>
        <v>Executive</v>
      </c>
      <c r="E4" s="16" t="str">
        <f t="shared" si="1"/>
        <v>Anak</v>
      </c>
      <c r="F4" s="17">
        <f t="shared" si="2"/>
        <v>100000</v>
      </c>
      <c r="G4" s="18">
        <f t="shared" si="3"/>
        <v>10000</v>
      </c>
      <c r="H4" s="16">
        <f t="shared" si="4"/>
        <v>90000</v>
      </c>
    </row>
    <row r="5" spans="1:12" x14ac:dyDescent="0.25">
      <c r="A5" s="4">
        <v>4</v>
      </c>
      <c r="B5" s="14" t="s">
        <v>39</v>
      </c>
      <c r="C5" s="13" t="s">
        <v>25</v>
      </c>
      <c r="D5" s="16" t="str">
        <f t="shared" si="0"/>
        <v>Executive</v>
      </c>
      <c r="E5" s="16" t="str">
        <f t="shared" si="1"/>
        <v>Dewasa</v>
      </c>
      <c r="F5" s="17">
        <f t="shared" si="2"/>
        <v>200000</v>
      </c>
      <c r="G5" s="18">
        <f t="shared" si="3"/>
        <v>0</v>
      </c>
      <c r="H5" s="16">
        <f t="shared" si="4"/>
        <v>200000</v>
      </c>
    </row>
    <row r="6" spans="1:12" x14ac:dyDescent="0.25">
      <c r="A6" s="4">
        <v>5</v>
      </c>
      <c r="B6" s="14" t="s">
        <v>40</v>
      </c>
      <c r="C6" s="13" t="s">
        <v>26</v>
      </c>
      <c r="D6" s="16" t="str">
        <f t="shared" si="0"/>
        <v>Ekonomi</v>
      </c>
      <c r="E6" s="16" t="str">
        <f t="shared" si="1"/>
        <v>Lansia</v>
      </c>
      <c r="F6" s="17">
        <f t="shared" si="2"/>
        <v>100000</v>
      </c>
      <c r="G6" s="18">
        <f t="shared" si="3"/>
        <v>0</v>
      </c>
      <c r="H6" s="16">
        <f t="shared" si="4"/>
        <v>100000</v>
      </c>
    </row>
    <row r="7" spans="1:12" x14ac:dyDescent="0.25">
      <c r="A7" s="4">
        <v>6</v>
      </c>
      <c r="B7" s="14" t="s">
        <v>41</v>
      </c>
      <c r="C7" s="13" t="s">
        <v>27</v>
      </c>
      <c r="D7" s="16" t="str">
        <f t="shared" si="0"/>
        <v>Bisnis</v>
      </c>
      <c r="E7" s="16" t="str">
        <f t="shared" si="1"/>
        <v>Dewasa</v>
      </c>
      <c r="F7" s="17">
        <f t="shared" si="2"/>
        <v>100000</v>
      </c>
      <c r="G7" s="18">
        <f t="shared" si="3"/>
        <v>0</v>
      </c>
      <c r="H7" s="16">
        <f t="shared" si="4"/>
        <v>100000</v>
      </c>
    </row>
    <row r="8" spans="1:12" x14ac:dyDescent="0.25">
      <c r="A8" s="4">
        <v>7</v>
      </c>
      <c r="B8" s="14" t="s">
        <v>42</v>
      </c>
      <c r="C8" s="13" t="s">
        <v>28</v>
      </c>
      <c r="D8" s="16" t="str">
        <f t="shared" si="0"/>
        <v>Ekonomi</v>
      </c>
      <c r="E8" s="16" t="str">
        <f t="shared" si="1"/>
        <v>Anak</v>
      </c>
      <c r="F8" s="17">
        <f t="shared" si="2"/>
        <v>25000</v>
      </c>
      <c r="G8" s="18">
        <f t="shared" si="3"/>
        <v>0</v>
      </c>
      <c r="H8" s="16">
        <f t="shared" si="4"/>
        <v>25000</v>
      </c>
    </row>
    <row r="9" spans="1:12" x14ac:dyDescent="0.25">
      <c r="A9" s="4">
        <v>8</v>
      </c>
      <c r="B9" s="15" t="s">
        <v>43</v>
      </c>
      <c r="C9" s="13" t="s">
        <v>29</v>
      </c>
      <c r="D9" s="16" t="str">
        <f t="shared" si="0"/>
        <v>Executive</v>
      </c>
      <c r="E9" s="16" t="str">
        <f t="shared" si="1"/>
        <v>Lansia</v>
      </c>
      <c r="F9" s="17">
        <f t="shared" si="2"/>
        <v>300000</v>
      </c>
      <c r="G9" s="18">
        <f t="shared" si="3"/>
        <v>0</v>
      </c>
      <c r="H9" s="16">
        <f t="shared" si="4"/>
        <v>300000</v>
      </c>
    </row>
    <row r="11" spans="1:12" x14ac:dyDescent="0.25">
      <c r="A11" s="3" t="s">
        <v>4</v>
      </c>
    </row>
    <row r="12" spans="1:12" x14ac:dyDescent="0.25">
      <c r="A12" s="10" t="s">
        <v>5</v>
      </c>
      <c r="B12" s="4" t="s">
        <v>15</v>
      </c>
      <c r="C12" s="13" t="s">
        <v>16</v>
      </c>
      <c r="D12" s="13" t="s">
        <v>17</v>
      </c>
    </row>
    <row r="13" spans="1:12" x14ac:dyDescent="0.25">
      <c r="A13" s="10" t="s">
        <v>2</v>
      </c>
      <c r="B13" s="4" t="s">
        <v>6</v>
      </c>
      <c r="C13" s="13" t="s">
        <v>7</v>
      </c>
      <c r="D13" s="13" t="s">
        <v>30</v>
      </c>
      <c r="G13" s="7" t="s">
        <v>31</v>
      </c>
      <c r="H13" s="2"/>
      <c r="J13" s="1"/>
      <c r="K13" s="1"/>
    </row>
    <row r="14" spans="1:12" x14ac:dyDescent="0.25">
      <c r="G14" s="22" t="s">
        <v>32</v>
      </c>
      <c r="H14" s="22"/>
      <c r="I14" s="22"/>
      <c r="J14" s="22"/>
      <c r="K14" s="22"/>
      <c r="L14" s="22"/>
    </row>
    <row r="15" spans="1:12" x14ac:dyDescent="0.25">
      <c r="A15" s="3" t="s">
        <v>11</v>
      </c>
      <c r="G15" s="22" t="s">
        <v>33</v>
      </c>
      <c r="H15" s="22"/>
      <c r="I15" s="22"/>
      <c r="J15" s="22"/>
      <c r="K15" s="22"/>
      <c r="L15" s="22"/>
    </row>
    <row r="16" spans="1:12" x14ac:dyDescent="0.25">
      <c r="A16" s="11" t="s">
        <v>1</v>
      </c>
      <c r="B16" s="11" t="s">
        <v>3</v>
      </c>
      <c r="C16" s="12" t="s">
        <v>6</v>
      </c>
      <c r="D16" s="12" t="s">
        <v>7</v>
      </c>
      <c r="E16" s="12" t="s">
        <v>30</v>
      </c>
      <c r="G16" s="22" t="s">
        <v>35</v>
      </c>
      <c r="H16" s="22"/>
      <c r="I16" s="22"/>
      <c r="J16" s="22"/>
      <c r="K16" s="22"/>
      <c r="L16" s="22"/>
    </row>
    <row r="17" spans="1:12" x14ac:dyDescent="0.25">
      <c r="A17" s="4" t="s">
        <v>18</v>
      </c>
      <c r="B17" s="5" t="s">
        <v>12</v>
      </c>
      <c r="C17" s="6">
        <v>25000</v>
      </c>
      <c r="D17" s="6">
        <v>50000</v>
      </c>
      <c r="E17" s="6">
        <v>100000</v>
      </c>
      <c r="G17" s="22" t="s">
        <v>44</v>
      </c>
      <c r="H17" s="22"/>
      <c r="I17" s="22"/>
      <c r="J17" s="22"/>
      <c r="K17" s="22"/>
      <c r="L17" s="22"/>
    </row>
    <row r="18" spans="1:12" x14ac:dyDescent="0.25">
      <c r="A18" s="4" t="s">
        <v>19</v>
      </c>
      <c r="B18" s="5" t="s">
        <v>13</v>
      </c>
      <c r="C18" s="6">
        <v>50000</v>
      </c>
      <c r="D18" s="6">
        <v>100000</v>
      </c>
      <c r="E18" s="6">
        <v>200000</v>
      </c>
      <c r="G18" s="22" t="s">
        <v>34</v>
      </c>
      <c r="H18" s="22"/>
      <c r="I18" s="22"/>
      <c r="J18" s="22"/>
      <c r="K18" s="22"/>
      <c r="L18" s="22"/>
    </row>
    <row r="19" spans="1:12" x14ac:dyDescent="0.25">
      <c r="A19" s="4" t="s">
        <v>20</v>
      </c>
      <c r="B19" s="5" t="s">
        <v>14</v>
      </c>
      <c r="C19" s="6">
        <v>100000</v>
      </c>
      <c r="D19" s="6">
        <v>200000</v>
      </c>
      <c r="E19" s="6">
        <v>300000</v>
      </c>
      <c r="G19" s="22"/>
      <c r="H19" s="22"/>
      <c r="I19" s="22"/>
      <c r="J19" s="22"/>
      <c r="K19" s="22"/>
      <c r="L19" s="22"/>
    </row>
  </sheetData>
  <mergeCells count="7">
    <mergeCell ref="J1:L1"/>
    <mergeCell ref="G19:L19"/>
    <mergeCell ref="G14:L14"/>
    <mergeCell ref="G15:L15"/>
    <mergeCell ref="G16:L16"/>
    <mergeCell ref="G17:L17"/>
    <mergeCell ref="G18:L18"/>
  </mergeCells>
  <hyperlinks>
    <hyperlink ref="J1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niaulans</cp:lastModifiedBy>
  <dcterms:created xsi:type="dcterms:W3CDTF">2021-03-26T08:12:55Z</dcterms:created>
  <dcterms:modified xsi:type="dcterms:W3CDTF">2025-03-23T13:55:53Z</dcterms:modified>
</cp:coreProperties>
</file>