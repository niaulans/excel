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Tiketing\"/>
    </mc:Choice>
  </mc:AlternateContent>
  <bookViews>
    <workbookView xWindow="-120" yWindow="-120" windowWidth="20730" windowHeight="11160"/>
  </bookViews>
  <sheets>
    <sheet name="Soal" sheetId="2" r:id="rId1"/>
  </sheets>
  <calcPr calcId="152511"/>
  <extLst>
    <ext uri="GoogleSheetsCustomDataVersion1">
      <go:sheetsCustomData xmlns:go="http://customooxmlschemas.google.com/" r:id="rId5" roundtripDataSignature="AMtx7mh54Bje8eDJzRIWFZnqnVBd7Yudwg=="/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5" i="2"/>
  <c r="E6" i="2"/>
  <c r="E7" i="2"/>
  <c r="E8" i="2"/>
  <c r="E9" i="2"/>
  <c r="E10" i="2"/>
  <c r="E11" i="2"/>
  <c r="E5" i="2"/>
  <c r="F6" i="2"/>
  <c r="F7" i="2"/>
  <c r="F8" i="2"/>
  <c r="F9" i="2"/>
  <c r="F10" i="2"/>
  <c r="F11" i="2"/>
  <c r="F5" i="2"/>
  <c r="D6" i="2"/>
  <c r="D7" i="2"/>
  <c r="D8" i="2"/>
  <c r="D9" i="2"/>
  <c r="D10" i="2"/>
  <c r="D11" i="2"/>
  <c r="D5" i="2"/>
</calcChain>
</file>

<file path=xl/sharedStrings.xml><?xml version="1.0" encoding="utf-8"?>
<sst xmlns="http://schemas.openxmlformats.org/spreadsheetml/2006/main" count="44" uniqueCount="38">
  <si>
    <t>JADWAL PENERBANGAN</t>
  </si>
  <si>
    <t>NO</t>
  </si>
  <si>
    <t>KODE PENERBANGAN</t>
  </si>
  <si>
    <t>NAMA PESAWAT</t>
  </si>
  <si>
    <t>TUJUAN</t>
  </si>
  <si>
    <t>JAM BERANGKAT</t>
  </si>
  <si>
    <t>HARGA</t>
  </si>
  <si>
    <t>KODE PESAWAT</t>
  </si>
  <si>
    <t>KODE TUJUAN</t>
  </si>
  <si>
    <t>GARUDA</t>
  </si>
  <si>
    <t>MERPATI</t>
  </si>
  <si>
    <t>GI-JKT-02</t>
  </si>
  <si>
    <t>JKT</t>
  </si>
  <si>
    <t>JAKARTA</t>
  </si>
  <si>
    <t>MP-SBY-01</t>
  </si>
  <si>
    <t>GI</t>
  </si>
  <si>
    <t>MDN</t>
  </si>
  <si>
    <t>MEDAN</t>
  </si>
  <si>
    <t>GI-MDN-02</t>
  </si>
  <si>
    <t>MP</t>
  </si>
  <si>
    <t>SBY</t>
  </si>
  <si>
    <t>SURABAYA</t>
  </si>
  <si>
    <t>MP-JKT-01</t>
  </si>
  <si>
    <t>KODE JAM</t>
  </si>
  <si>
    <t>01</t>
  </si>
  <si>
    <t>02</t>
  </si>
  <si>
    <t>03</t>
  </si>
  <si>
    <t>MP-MDN-01</t>
  </si>
  <si>
    <t>5 AM</t>
  </si>
  <si>
    <t>11 AM</t>
  </si>
  <si>
    <t>3 AM</t>
  </si>
  <si>
    <t>BANDARA HALIM</t>
  </si>
  <si>
    <t>LION</t>
  </si>
  <si>
    <t>LN</t>
  </si>
  <si>
    <t>LN-SBY-03</t>
  </si>
  <si>
    <t>LN-MDN-01</t>
  </si>
  <si>
    <t>Video Pembahasan</t>
  </si>
  <si>
    <t>https://youtu.be/c1DxTl7thjo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</si>
</sst>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Yu Gothic UI Semibold"/>
      <family val="2"/>
    </font>
    <font>
      <sz val="11"/>
      <name val="Yu Gothic UI Semibold"/>
      <family val="2"/>
    </font>
    <font>
      <sz val="11"/>
      <color theme="0"/>
      <name val="Yu Gothic UI Semibold"/>
      <family val="2"/>
    </font>
    <font>
      <b/>
      <sz val="11"/>
      <color theme="1"/>
      <name val="Yu Gothic UI Semibold"/>
      <family val="2"/>
    </font>
    <font>
      <b/>
      <sz val="11"/>
      <color theme="0"/>
      <name val="Yu Gothic UI Semibold"/>
      <family val="2"/>
    </font>
    <font>
      <b/>
      <sz val="11"/>
      <name val="Yu Gothic UI Semibold"/>
      <family val="2"/>
    </font>
    <font>
      <u/>
      <sz val="11"/>
      <color theme="10"/>
      <name val="Calibri"/>
      <scheme val="minor"/>
    </font>
    <font>
      <b/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FF"/>
        <bgColor theme="6"/>
      </patternFill>
    </fill>
    <fill>
      <patternFill patternType="solid">
        <fgColor rgb="FF0000FF"/>
        <bgColor rgb="FFFFC000"/>
      </patternFill>
    </fill>
    <fill>
      <patternFill patternType="solid">
        <fgColor rgb="FF0000FF"/>
        <bgColor rgb="FF0070C0"/>
      </patternFill>
    </fill>
    <fill>
      <patternFill patternType="solid">
        <fgColor rgb="FF0000FF"/>
        <bgColor indexed="64"/>
      </patternFill>
    </fill>
    <fill>
      <patternFill patternType="solid">
        <fgColor rgb="FF0000FF"/>
        <bgColor theme="0"/>
      </patternFill>
    </fill>
    <fill>
      <patternFill patternType="solid">
        <fgColor rgb="FFFFFF00"/>
        <bgColor rgb="FF92CDD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/>
    <xf numFmtId="0" fontId="2" fillId="0" borderId="5" xfId="0" applyFont="1" applyBorder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2" fillId="0" borderId="6" xfId="0" applyFont="1" applyBorder="1"/>
    <xf numFmtId="49" fontId="7" fillId="0" borderId="6" xfId="0" applyNumberFormat="1" applyFont="1" applyBorder="1" applyAlignment="1">
      <alignment horizontal="center"/>
    </xf>
    <xf numFmtId="49" fontId="2" fillId="2" borderId="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41" fontId="2" fillId="0" borderId="6" xfId="1" applyFont="1" applyFill="1" applyBorder="1"/>
    <xf numFmtId="0" fontId="5" fillId="8" borderId="6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6" xfId="1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6" fillId="5" borderId="7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left" vertical="center" wrapText="1"/>
    </xf>
    <xf numFmtId="0" fontId="9" fillId="0" borderId="5" xfId="2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c1DxTl7thj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1000"/>
  <sheetViews>
    <sheetView showGridLines="0" tabSelected="1" zoomScale="120" zoomScaleNormal="120" workbookViewId="0">
      <selection activeCell="H5" sqref="H5"/>
    </sheetView>
  </sheetViews>
  <sheetFormatPr defaultColWidth="14.42578125" defaultRowHeight="16.5" x14ac:dyDescent="0.3"/>
  <cols>
    <col min="1" max="1" width="0.42578125" style="3" customWidth="1"/>
    <col min="2" max="2" width="4.5703125" bestFit="1" customWidth="1"/>
    <col min="3" max="3" width="16.5703125" customWidth="1"/>
    <col min="4" max="5" width="11.7109375" customWidth="1"/>
    <col min="6" max="6" width="13.42578125" customWidth="1"/>
    <col min="7" max="7" width="13.140625" bestFit="1" customWidth="1"/>
    <col min="8" max="8" width="0.7109375" customWidth="1"/>
    <col min="9" max="9" width="10.85546875" bestFit="1" customWidth="1"/>
    <col min="10" max="10" width="11.5703125" customWidth="1"/>
    <col min="11" max="11" width="10.7109375" customWidth="1"/>
    <col min="12" max="12" width="12.140625" bestFit="1" customWidth="1"/>
    <col min="13" max="15" width="12.28515625" customWidth="1"/>
    <col min="16" max="26" width="8.7109375" customWidth="1"/>
  </cols>
  <sheetData>
    <row r="1" spans="1:15" x14ac:dyDescent="0.3">
      <c r="A1" s="1"/>
      <c r="B1" s="17" t="s">
        <v>0</v>
      </c>
      <c r="C1" s="18"/>
      <c r="D1" s="18"/>
      <c r="E1" s="18"/>
      <c r="F1" s="18"/>
      <c r="G1" s="19"/>
      <c r="H1" s="1"/>
      <c r="I1" s="2"/>
      <c r="J1" s="24" t="s">
        <v>36</v>
      </c>
      <c r="K1" s="24"/>
      <c r="L1" s="24"/>
      <c r="M1" s="2"/>
      <c r="N1" s="2"/>
      <c r="O1" s="2"/>
    </row>
    <row r="2" spans="1:15" x14ac:dyDescent="0.3">
      <c r="A2" s="1"/>
      <c r="B2" s="17" t="s">
        <v>31</v>
      </c>
      <c r="C2" s="18"/>
      <c r="D2" s="18"/>
      <c r="E2" s="18"/>
      <c r="F2" s="18"/>
      <c r="G2" s="19"/>
      <c r="H2" s="1"/>
      <c r="I2" s="2"/>
      <c r="J2" s="23" t="s">
        <v>37</v>
      </c>
      <c r="K2" s="23"/>
      <c r="L2" s="23"/>
      <c r="M2" s="2"/>
      <c r="N2" s="2"/>
      <c r="O2" s="2"/>
    </row>
    <row r="3" spans="1:15" ht="7.5" customHeight="1" thickBot="1" x14ac:dyDescent="0.35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1" thickTop="1" thickBot="1" x14ac:dyDescent="0.35">
      <c r="A4" s="1"/>
      <c r="B4" s="13" t="s">
        <v>1</v>
      </c>
      <c r="C4" s="14" t="s">
        <v>2</v>
      </c>
      <c r="D4" s="14" t="s">
        <v>3</v>
      </c>
      <c r="E4" s="13" t="s">
        <v>4</v>
      </c>
      <c r="F4" s="14" t="s">
        <v>5</v>
      </c>
      <c r="G4" s="13" t="s">
        <v>6</v>
      </c>
      <c r="H4" s="1"/>
      <c r="I4" s="5" t="s">
        <v>7</v>
      </c>
      <c r="J4" s="5" t="s">
        <v>3</v>
      </c>
      <c r="K4" s="6" t="s">
        <v>8</v>
      </c>
      <c r="L4" s="6" t="s">
        <v>4</v>
      </c>
      <c r="M4" s="6" t="s">
        <v>32</v>
      </c>
      <c r="N4" s="6" t="s">
        <v>9</v>
      </c>
      <c r="O4" s="6" t="s">
        <v>10</v>
      </c>
    </row>
    <row r="5" spans="1:15" ht="18" thickTop="1" thickBot="1" x14ac:dyDescent="0.35">
      <c r="A5" s="1"/>
      <c r="B5" s="11">
        <v>1</v>
      </c>
      <c r="C5" s="7" t="s">
        <v>11</v>
      </c>
      <c r="D5" s="15" t="str">
        <f>VLOOKUP(LEFT(C5,2),$I$4:$O$7,2,FALSE)</f>
        <v>GARUDA</v>
      </c>
      <c r="E5" s="15" t="str">
        <f>INDEX($L$4:$L$7,MATCH(MID(C5,4,3),$K$4:$K$7,0))</f>
        <v>JAKARTA</v>
      </c>
      <c r="F5" s="15" t="str">
        <f>HLOOKUP(RIGHT(C5,2),$I$9:$M$10,2,FALSE)</f>
        <v>11 AM</v>
      </c>
      <c r="G5" s="16">
        <f>INDEX($L$4:$O$7,MATCH(E5,$L$4:$L$7,0),MATCH(D5,$L$4:$O$4,0))</f>
        <v>220000</v>
      </c>
      <c r="H5" s="1"/>
      <c r="I5" s="11" t="s">
        <v>33</v>
      </c>
      <c r="J5" s="8" t="s">
        <v>32</v>
      </c>
      <c r="K5" s="11" t="s">
        <v>12</v>
      </c>
      <c r="L5" s="8" t="s">
        <v>13</v>
      </c>
      <c r="M5" s="12">
        <v>190000</v>
      </c>
      <c r="N5" s="12">
        <v>220000</v>
      </c>
      <c r="O5" s="12">
        <v>210000</v>
      </c>
    </row>
    <row r="6" spans="1:15" ht="18" thickTop="1" thickBot="1" x14ac:dyDescent="0.35">
      <c r="A6" s="1"/>
      <c r="B6" s="11">
        <v>2</v>
      </c>
      <c r="C6" s="7" t="s">
        <v>14</v>
      </c>
      <c r="D6" s="15" t="str">
        <f t="shared" ref="D6:D11" si="0">VLOOKUP(LEFT(C6,2),$I$4:$O$7,2,FALSE)</f>
        <v>MERPATI</v>
      </c>
      <c r="E6" s="15" t="str">
        <f t="shared" ref="E6:E11" si="1">INDEX($L$4:$L$7,MATCH(MID(C6,4,3),$K$4:$K$7,0))</f>
        <v>SURABAYA</v>
      </c>
      <c r="F6" s="15" t="str">
        <f t="shared" ref="F6:F11" si="2">HLOOKUP(RIGHT(C6,2),$I$9:$M$10,2,FALSE)</f>
        <v>5 AM</v>
      </c>
      <c r="G6" s="16">
        <f t="shared" ref="G6:G11" si="3">INDEX($L$4:$O$7,MATCH(E6,$L$4:$L$7,0),MATCH(D6,$L$4:$O$4,0))</f>
        <v>380000</v>
      </c>
      <c r="H6" s="1"/>
      <c r="I6" s="11" t="s">
        <v>15</v>
      </c>
      <c r="J6" s="8" t="s">
        <v>9</v>
      </c>
      <c r="K6" s="11" t="s">
        <v>16</v>
      </c>
      <c r="L6" s="8" t="s">
        <v>17</v>
      </c>
      <c r="M6" s="12">
        <v>575000</v>
      </c>
      <c r="N6" s="12">
        <v>625000</v>
      </c>
      <c r="O6" s="12">
        <v>590000</v>
      </c>
    </row>
    <row r="7" spans="1:15" ht="18" thickTop="1" thickBot="1" x14ac:dyDescent="0.35">
      <c r="A7" s="1"/>
      <c r="B7" s="11">
        <v>3</v>
      </c>
      <c r="C7" s="7" t="s">
        <v>18</v>
      </c>
      <c r="D7" s="15" t="str">
        <f t="shared" si="0"/>
        <v>GARUDA</v>
      </c>
      <c r="E7" s="15" t="str">
        <f t="shared" si="1"/>
        <v>MEDAN</v>
      </c>
      <c r="F7" s="15" t="str">
        <f t="shared" si="2"/>
        <v>11 AM</v>
      </c>
      <c r="G7" s="16">
        <f t="shared" si="3"/>
        <v>625000</v>
      </c>
      <c r="H7" s="1"/>
      <c r="I7" s="11" t="s">
        <v>19</v>
      </c>
      <c r="J7" s="8" t="s">
        <v>10</v>
      </c>
      <c r="K7" s="11" t="s">
        <v>20</v>
      </c>
      <c r="L7" s="8" t="s">
        <v>21</v>
      </c>
      <c r="M7" s="12">
        <v>370000</v>
      </c>
      <c r="N7" s="12">
        <v>400000</v>
      </c>
      <c r="O7" s="12">
        <v>380000</v>
      </c>
    </row>
    <row r="8" spans="1:15" ht="18" thickTop="1" thickBot="1" x14ac:dyDescent="0.35">
      <c r="A8" s="1"/>
      <c r="B8" s="11">
        <v>4</v>
      </c>
      <c r="C8" s="7" t="s">
        <v>22</v>
      </c>
      <c r="D8" s="15" t="str">
        <f t="shared" si="0"/>
        <v>MERPATI</v>
      </c>
      <c r="E8" s="15" t="str">
        <f t="shared" si="1"/>
        <v>JAKARTA</v>
      </c>
      <c r="F8" s="15" t="str">
        <f t="shared" si="2"/>
        <v>5 AM</v>
      </c>
      <c r="G8" s="16">
        <f t="shared" si="3"/>
        <v>210000</v>
      </c>
      <c r="H8" s="1"/>
      <c r="I8" s="4"/>
      <c r="J8" s="1"/>
      <c r="K8" s="1"/>
      <c r="L8" s="1"/>
      <c r="M8" s="1"/>
      <c r="N8" s="1"/>
      <c r="O8" s="1"/>
    </row>
    <row r="9" spans="1:15" ht="18" thickTop="1" thickBot="1" x14ac:dyDescent="0.35">
      <c r="A9" s="1"/>
      <c r="B9" s="11">
        <v>5</v>
      </c>
      <c r="C9" s="7" t="s">
        <v>34</v>
      </c>
      <c r="D9" s="15" t="str">
        <f t="shared" si="0"/>
        <v>LION</v>
      </c>
      <c r="E9" s="15" t="str">
        <f t="shared" si="1"/>
        <v>SURABAYA</v>
      </c>
      <c r="F9" s="15" t="str">
        <f t="shared" si="2"/>
        <v>3 AM</v>
      </c>
      <c r="G9" s="16">
        <f t="shared" si="3"/>
        <v>370000</v>
      </c>
      <c r="H9" s="1"/>
      <c r="I9" s="20" t="s">
        <v>23</v>
      </c>
      <c r="J9" s="21"/>
      <c r="K9" s="9" t="s">
        <v>24</v>
      </c>
      <c r="L9" s="9" t="s">
        <v>25</v>
      </c>
      <c r="M9" s="9" t="s">
        <v>26</v>
      </c>
      <c r="N9" s="1"/>
      <c r="O9" s="1"/>
    </row>
    <row r="10" spans="1:15" ht="18" thickTop="1" thickBot="1" x14ac:dyDescent="0.35">
      <c r="A10" s="1"/>
      <c r="B10" s="11">
        <v>6</v>
      </c>
      <c r="C10" s="7" t="s">
        <v>27</v>
      </c>
      <c r="D10" s="15" t="str">
        <f t="shared" si="0"/>
        <v>MERPATI</v>
      </c>
      <c r="E10" s="15" t="str">
        <f t="shared" si="1"/>
        <v>MEDAN</v>
      </c>
      <c r="F10" s="15" t="str">
        <f t="shared" si="2"/>
        <v>5 AM</v>
      </c>
      <c r="G10" s="16">
        <f t="shared" si="3"/>
        <v>590000</v>
      </c>
      <c r="H10" s="1"/>
      <c r="I10" s="22" t="s">
        <v>5</v>
      </c>
      <c r="J10" s="21"/>
      <c r="K10" s="10" t="s">
        <v>28</v>
      </c>
      <c r="L10" s="10" t="s">
        <v>29</v>
      </c>
      <c r="M10" s="10" t="s">
        <v>30</v>
      </c>
      <c r="N10" s="1"/>
      <c r="O10" s="1"/>
    </row>
    <row r="11" spans="1:15" ht="18" thickTop="1" thickBot="1" x14ac:dyDescent="0.35">
      <c r="A11" s="1"/>
      <c r="B11" s="11">
        <v>7</v>
      </c>
      <c r="C11" s="7" t="s">
        <v>35</v>
      </c>
      <c r="D11" s="15" t="str">
        <f t="shared" si="0"/>
        <v>LION</v>
      </c>
      <c r="E11" s="15" t="str">
        <f t="shared" si="1"/>
        <v>MEDAN</v>
      </c>
      <c r="F11" s="15" t="str">
        <f t="shared" si="2"/>
        <v>5 AM</v>
      </c>
      <c r="G11" s="16">
        <f t="shared" si="3"/>
        <v>575000</v>
      </c>
      <c r="H11" s="1"/>
      <c r="I11" s="1"/>
      <c r="J11" s="1"/>
      <c r="K11" s="1"/>
      <c r="L11" s="1"/>
      <c r="M11" s="1"/>
      <c r="N11" s="1"/>
      <c r="O11" s="1"/>
    </row>
    <row r="12" spans="1:15" ht="14.25" customHeight="1" thickTop="1" x14ac:dyDescent="0.3">
      <c r="A12" s="1"/>
    </row>
    <row r="13" spans="1:15" ht="14.25" customHeight="1" x14ac:dyDescent="0.3">
      <c r="A13" s="1"/>
    </row>
    <row r="14" spans="1:15" x14ac:dyDescent="0.3">
      <c r="A14" s="1"/>
    </row>
    <row r="15" spans="1:15" x14ac:dyDescent="0.3">
      <c r="A15" s="1"/>
    </row>
    <row r="16" spans="1:15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ht="15.75" customHeight="1" x14ac:dyDescent="0.3">
      <c r="A21" s="1"/>
    </row>
    <row r="22" spans="1:1" ht="15.75" customHeight="1" x14ac:dyDescent="0.3">
      <c r="A22" s="1"/>
    </row>
    <row r="23" spans="1:1" ht="15.75" customHeight="1" x14ac:dyDescent="0.3">
      <c r="A23" s="1"/>
    </row>
    <row r="24" spans="1:1" ht="15.75" customHeight="1" x14ac:dyDescent="0.3">
      <c r="A24" s="1"/>
    </row>
    <row r="25" spans="1:1" ht="15.75" customHeight="1" x14ac:dyDescent="0.3">
      <c r="A25" s="1"/>
    </row>
    <row r="26" spans="1:1" ht="15.75" customHeight="1" x14ac:dyDescent="0.3">
      <c r="A26" s="1"/>
    </row>
    <row r="27" spans="1:1" ht="15.75" customHeight="1" x14ac:dyDescent="0.3">
      <c r="A27" s="1"/>
    </row>
    <row r="28" spans="1:1" ht="15.75" customHeight="1" x14ac:dyDescent="0.3">
      <c r="A28" s="1"/>
    </row>
    <row r="29" spans="1:1" ht="15.75" customHeight="1" x14ac:dyDescent="0.3">
      <c r="A29" s="1"/>
    </row>
    <row r="30" spans="1:1" ht="15.75" customHeight="1" x14ac:dyDescent="0.3">
      <c r="A30" s="1"/>
    </row>
    <row r="31" spans="1:1" ht="15.75" customHeight="1" x14ac:dyDescent="0.3">
      <c r="A31" s="1"/>
    </row>
    <row r="32" spans="1:1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6">
    <mergeCell ref="B1:G1"/>
    <mergeCell ref="B2:G2"/>
    <mergeCell ref="I9:J9"/>
    <mergeCell ref="I10:J10"/>
    <mergeCell ref="J2:L2"/>
    <mergeCell ref="J1:L1"/>
  </mergeCells>
  <hyperlinks>
    <hyperlink ref="J2" r:id="rId1"/>
  </hyperlinks>
  <pageMargins left="0.7" right="0.7" top="0.75" bottom="0.75" header="0.3" footer="0.3"/>
  <pageSetup orientation="portrait" r:id="rId2"/>
  <ignoredErrors>
    <ignoredError sqref="K9:M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niaulans</cp:lastModifiedBy>
  <dcterms:created xsi:type="dcterms:W3CDTF">2020-02-11T04:19:03Z</dcterms:created>
  <dcterms:modified xsi:type="dcterms:W3CDTF">2025-03-23T13:37:41Z</dcterms:modified>
</cp:coreProperties>
</file>