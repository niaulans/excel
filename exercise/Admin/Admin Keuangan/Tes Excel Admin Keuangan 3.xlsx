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emrograman\Excel\excel\exercise\Admin\Admin Keuangan\"/>
    </mc:Choice>
  </mc:AlternateContent>
  <bookViews>
    <workbookView xWindow="-120" yWindow="-120" windowWidth="20730" windowHeight="11160"/>
  </bookViews>
  <sheets>
    <sheet name="Soal" sheetId="9" r:id="rId1"/>
  </sheets>
  <definedNames>
    <definedName name="_xlnm._FilterDatabase" localSheetId="0" hidden="1">Soal!$K$10:$O$16</definedName>
  </definedNames>
  <calcPr calcId="152511"/>
</workbook>
</file>

<file path=xl/calcChain.xml><?xml version="1.0" encoding="utf-8"?>
<calcChain xmlns="http://schemas.openxmlformats.org/spreadsheetml/2006/main">
  <c r="M12" i="9" l="1"/>
  <c r="M13" i="9"/>
  <c r="M14" i="9"/>
  <c r="M15" i="9"/>
  <c r="M11" i="9"/>
  <c r="L12" i="9" l="1"/>
  <c r="L13" i="9"/>
  <c r="L14" i="9"/>
  <c r="L15" i="9"/>
  <c r="L11" i="9"/>
  <c r="Q8" i="9"/>
  <c r="Q5" i="9"/>
  <c r="Q6" i="9"/>
  <c r="Q7" i="9"/>
  <c r="Q4" i="9"/>
  <c r="P5" i="9"/>
  <c r="P6" i="9"/>
  <c r="P7" i="9"/>
  <c r="P4" i="9"/>
  <c r="O5" i="9"/>
  <c r="O6" i="9"/>
  <c r="O7" i="9"/>
  <c r="O4" i="9"/>
  <c r="L5" i="9"/>
  <c r="L6" i="9"/>
  <c r="L7" i="9"/>
  <c r="L4" i="9"/>
  <c r="G4" i="9"/>
  <c r="D12" i="9"/>
  <c r="D11" i="9"/>
  <c r="D10" i="9"/>
  <c r="D9" i="9"/>
  <c r="H5" i="9"/>
  <c r="H6" i="9"/>
  <c r="H7" i="9"/>
  <c r="H8" i="9"/>
  <c r="H4" i="9"/>
  <c r="G5" i="9"/>
  <c r="G6" i="9"/>
  <c r="G7" i="9"/>
  <c r="G8" i="9"/>
  <c r="F5" i="9"/>
  <c r="F6" i="9"/>
  <c r="F7" i="9"/>
  <c r="F8" i="9"/>
  <c r="F4" i="9"/>
</calcChain>
</file>

<file path=xl/sharedStrings.xml><?xml version="1.0" encoding="utf-8"?>
<sst xmlns="http://schemas.openxmlformats.org/spreadsheetml/2006/main" count="42" uniqueCount="32">
  <si>
    <t>No</t>
  </si>
  <si>
    <t>AB-1</t>
  </si>
  <si>
    <t>AB-2</t>
  </si>
  <si>
    <t>AB-3</t>
  </si>
  <si>
    <t>AB-4</t>
  </si>
  <si>
    <t>AB-5</t>
  </si>
  <si>
    <t>Stok</t>
  </si>
  <si>
    <t>Laba/ pcs</t>
  </si>
  <si>
    <t>Harga Jual</t>
  </si>
  <si>
    <t>Harga Beli</t>
  </si>
  <si>
    <t>Diskon</t>
  </si>
  <si>
    <t>Total</t>
  </si>
  <si>
    <t>Jumlah</t>
  </si>
  <si>
    <t>Jumlah Barang</t>
  </si>
  <si>
    <t>Jumlah Laba</t>
  </si>
  <si>
    <t>RATA-RATA</t>
  </si>
  <si>
    <t>LABA TERBESAR</t>
  </si>
  <si>
    <t>LABA TERKECIL</t>
  </si>
  <si>
    <t>Harga</t>
  </si>
  <si>
    <t>JUMLAH</t>
  </si>
  <si>
    <t>Soal</t>
  </si>
  <si>
    <t>STOK TOKO HADINATA</t>
  </si>
  <si>
    <r>
      <rPr>
        <b/>
        <sz val="11"/>
        <rFont val="Yu Gothic UI Semibold"/>
        <family val="2"/>
      </rPr>
      <t xml:space="preserve">Keterangan : </t>
    </r>
    <r>
      <rPr>
        <sz val="11"/>
        <rFont val="Yu Gothic UI Semibold"/>
        <family val="2"/>
      </rPr>
      <t>Diskon 2,5 % dari jumlah diberikan apabila pembelian lebih dari 10 Pcs</t>
    </r>
  </si>
  <si>
    <t>Sisa Stok</t>
  </si>
  <si>
    <t>NOTA PENJUALAN</t>
  </si>
  <si>
    <t>Laba Yang di Peroleh</t>
  </si>
  <si>
    <t>Laba</t>
  </si>
  <si>
    <t>TOTAL LABA</t>
  </si>
  <si>
    <t>Nama Produk</t>
  </si>
  <si>
    <t>Produk</t>
  </si>
  <si>
    <t>https://youtu.be/GSyX_y9_xlc</t>
  </si>
  <si>
    <t>Vidio Pembahasan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</si>
</sst>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name val="Yu Gothic UI Semibold"/>
      <family val="2"/>
    </font>
    <font>
      <b/>
      <sz val="11"/>
      <name val="Yu Gothic UI Semibold"/>
      <family val="2"/>
    </font>
    <font>
      <b/>
      <sz val="11"/>
      <color theme="0"/>
      <name val="Yu Gothic UI Semibold"/>
      <family val="2"/>
    </font>
    <font>
      <sz val="11"/>
      <color theme="1"/>
      <name val="Yu Gothic UI Semibold"/>
      <family val="2"/>
    </font>
    <font>
      <sz val="11"/>
      <color rgb="FFFF0000"/>
      <name val="Yu Gothic UI Semibold"/>
      <family val="2"/>
    </font>
    <font>
      <b/>
      <sz val="11"/>
      <color rgb="FFFF0000"/>
      <name val="Yu Gothic UI Semibold"/>
      <family val="2"/>
    </font>
    <font>
      <sz val="11"/>
      <color theme="0"/>
      <name val="Yu Gothic UI Semibold"/>
      <family val="2"/>
    </font>
    <font>
      <u/>
      <sz val="11"/>
      <color theme="10"/>
      <name val="Calibri"/>
      <family val="2"/>
      <charset val="1"/>
      <scheme val="minor"/>
    </font>
    <font>
      <b/>
      <u/>
      <sz val="11"/>
      <color theme="10"/>
      <name val="Calibri"/>
      <family val="2"/>
      <charset val="1"/>
      <scheme val="minor"/>
    </font>
    <font>
      <b/>
      <sz val="11"/>
      <color theme="1"/>
      <name val="Yu Gothic UI Semibold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9" fontId="5" fillId="0" borderId="1" xfId="1" applyNumberFormat="1" applyFont="1" applyFill="1" applyBorder="1" applyAlignment="1">
      <alignment horizontal="center"/>
    </xf>
    <xf numFmtId="41" fontId="5" fillId="0" borderId="1" xfId="1" applyFont="1" applyFill="1" applyBorder="1"/>
    <xf numFmtId="0" fontId="2" fillId="0" borderId="1" xfId="1" applyNumberFormat="1" applyFont="1" applyFill="1" applyBorder="1" applyAlignment="1">
      <alignment horizontal="center"/>
    </xf>
    <xf numFmtId="0" fontId="2" fillId="0" borderId="1" xfId="1" applyNumberFormat="1" applyFont="1" applyFill="1" applyBorder="1" applyAlignment="1">
      <alignment horizontal="left"/>
    </xf>
    <xf numFmtId="0" fontId="5" fillId="0" borderId="0" xfId="0" applyFont="1"/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41" fontId="7" fillId="2" borderId="0" xfId="0" applyNumberFormat="1" applyFont="1" applyFill="1"/>
    <xf numFmtId="0" fontId="5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1" fontId="6" fillId="0" borderId="0" xfId="0" applyNumberFormat="1" applyFont="1"/>
    <xf numFmtId="0" fontId="3" fillId="0" borderId="0" xfId="0" applyFont="1"/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41" fontId="2" fillId="0" borderId="1" xfId="0" applyNumberFormat="1" applyFont="1" applyBorder="1" applyAlignment="1">
      <alignment horizontal="left"/>
    </xf>
    <xf numFmtId="41" fontId="5" fillId="0" borderId="7" xfId="1" applyFont="1" applyBorder="1"/>
    <xf numFmtId="0" fontId="5" fillId="0" borderId="7" xfId="0" applyFont="1" applyBorder="1"/>
    <xf numFmtId="9" fontId="5" fillId="0" borderId="7" xfId="1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41" fontId="5" fillId="0" borderId="7" xfId="1" applyFont="1" applyFill="1" applyBorder="1"/>
    <xf numFmtId="0" fontId="3" fillId="2" borderId="0" xfId="0" applyFont="1" applyFill="1" applyBorder="1"/>
    <xf numFmtId="0" fontId="2" fillId="2" borderId="0" xfId="0" applyFont="1" applyFill="1" applyBorder="1"/>
    <xf numFmtId="41" fontId="5" fillId="0" borderId="6" xfId="1" applyFont="1" applyBorder="1"/>
    <xf numFmtId="41" fontId="5" fillId="0" borderId="1" xfId="1" applyFont="1" applyBorder="1"/>
    <xf numFmtId="41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5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left"/>
    </xf>
    <xf numFmtId="41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10" fillId="0" borderId="0" xfId="2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0000FF"/>
      <color rgb="FFFEF4EC"/>
      <color rgb="FFF3F9FB"/>
      <color rgb="FFF6F9F1"/>
      <color rgb="FFFCF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GSyX_y9_x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16"/>
  <sheetViews>
    <sheetView showGridLines="0" tabSelected="1" zoomScale="115" zoomScaleNormal="115" workbookViewId="0">
      <selection activeCell="N4" sqref="N4"/>
    </sheetView>
  </sheetViews>
  <sheetFormatPr defaultRowHeight="16.5" x14ac:dyDescent="0.3"/>
  <cols>
    <col min="1" max="1" width="1.42578125" style="11" customWidth="1"/>
    <col min="2" max="2" width="8.85546875" style="11" customWidth="1"/>
    <col min="3" max="3" width="10.5703125" style="11" customWidth="1"/>
    <col min="4" max="4" width="6.5703125" style="11" customWidth="1"/>
    <col min="5" max="5" width="10.140625" style="11" customWidth="1"/>
    <col min="6" max="8" width="12.28515625" style="11" customWidth="1"/>
    <col min="9" max="9" width="2.7109375" style="11" customWidth="1"/>
    <col min="10" max="10" width="4.85546875" style="11" customWidth="1"/>
    <col min="11" max="11" width="9.7109375" style="11" customWidth="1"/>
    <col min="12" max="12" width="11.42578125" style="11" customWidth="1"/>
    <col min="13" max="14" width="9" style="11" customWidth="1"/>
    <col min="15" max="15" width="16" style="11" customWidth="1"/>
    <col min="16" max="16" width="13.7109375" style="11" customWidth="1"/>
    <col min="17" max="17" width="17.140625" style="11" customWidth="1"/>
    <col min="18" max="16384" width="9.140625" style="11"/>
  </cols>
  <sheetData>
    <row r="1" spans="1:17" x14ac:dyDescent="0.3">
      <c r="A1" s="1"/>
      <c r="B1" s="28" t="s">
        <v>20</v>
      </c>
      <c r="C1" s="28"/>
      <c r="D1" s="28"/>
      <c r="E1" s="28"/>
      <c r="F1" s="28"/>
      <c r="G1" s="2"/>
      <c r="H1" s="2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42" t="s">
        <v>21</v>
      </c>
      <c r="C2" s="42"/>
      <c r="D2" s="42"/>
      <c r="E2" s="42"/>
      <c r="F2" s="29"/>
      <c r="G2" s="1"/>
      <c r="H2" s="1"/>
      <c r="I2" s="1"/>
      <c r="J2" s="42" t="s">
        <v>24</v>
      </c>
      <c r="K2" s="42"/>
      <c r="L2" s="42"/>
      <c r="M2" s="1"/>
      <c r="N2" s="1"/>
      <c r="O2" s="1"/>
      <c r="P2" s="1"/>
      <c r="Q2" s="1"/>
    </row>
    <row r="3" spans="1:17" ht="33" x14ac:dyDescent="0.3">
      <c r="A3" s="1"/>
      <c r="B3" s="3" t="s">
        <v>28</v>
      </c>
      <c r="C3" s="3" t="s">
        <v>7</v>
      </c>
      <c r="D3" s="3" t="s">
        <v>6</v>
      </c>
      <c r="E3" s="3" t="s">
        <v>9</v>
      </c>
      <c r="F3" s="3" t="s">
        <v>26</v>
      </c>
      <c r="G3" s="3" t="s">
        <v>8</v>
      </c>
      <c r="H3" s="3" t="s">
        <v>14</v>
      </c>
      <c r="I3" s="1"/>
      <c r="J3" s="4" t="s">
        <v>0</v>
      </c>
      <c r="K3" s="4" t="s">
        <v>28</v>
      </c>
      <c r="L3" s="4" t="s">
        <v>18</v>
      </c>
      <c r="M3" s="4" t="s">
        <v>13</v>
      </c>
      <c r="N3" s="4"/>
      <c r="O3" s="4" t="s">
        <v>12</v>
      </c>
      <c r="P3" s="4" t="s">
        <v>10</v>
      </c>
      <c r="Q3" s="4" t="s">
        <v>11</v>
      </c>
    </row>
    <row r="4" spans="1:17" x14ac:dyDescent="0.3">
      <c r="A4" s="1"/>
      <c r="B4" s="6" t="s">
        <v>1</v>
      </c>
      <c r="C4" s="7">
        <v>0.1</v>
      </c>
      <c r="D4" s="5">
        <v>100</v>
      </c>
      <c r="E4" s="8">
        <v>85000</v>
      </c>
      <c r="F4" s="30">
        <f>C4*E4</f>
        <v>8500</v>
      </c>
      <c r="G4" s="22">
        <f>E4+F4</f>
        <v>93500</v>
      </c>
      <c r="H4" s="22">
        <f>F4*D4</f>
        <v>850000</v>
      </c>
      <c r="I4" s="1"/>
      <c r="J4" s="5">
        <v>1</v>
      </c>
      <c r="K4" s="6" t="s">
        <v>1</v>
      </c>
      <c r="L4" s="10">
        <f>VLOOKUP(K4,$B$3:$H$8,6,FALSE)</f>
        <v>93500</v>
      </c>
      <c r="M4" s="9">
        <v>11</v>
      </c>
      <c r="N4" s="9"/>
      <c r="O4" s="10">
        <f>L4*M4</f>
        <v>1028500</v>
      </c>
      <c r="P4" s="10">
        <f>IF(M4&gt;10,O4*0.025,0)</f>
        <v>25712.5</v>
      </c>
      <c r="Q4" s="10">
        <f>O4-P4</f>
        <v>1002787.5</v>
      </c>
    </row>
    <row r="5" spans="1:17" x14ac:dyDescent="0.3">
      <c r="A5" s="1"/>
      <c r="B5" s="24" t="s">
        <v>2</v>
      </c>
      <c r="C5" s="25">
        <v>0.15</v>
      </c>
      <c r="D5" s="26">
        <v>100</v>
      </c>
      <c r="E5" s="27">
        <v>75000</v>
      </c>
      <c r="F5" s="31">
        <f t="shared" ref="F5:F8" si="0">C5*E5</f>
        <v>11250</v>
      </c>
      <c r="G5" s="22">
        <f t="shared" ref="G5:G8" si="1">E5+F5</f>
        <v>86250</v>
      </c>
      <c r="H5" s="22">
        <f t="shared" ref="H5:H8" si="2">F5*D5</f>
        <v>1125000</v>
      </c>
      <c r="I5" s="1"/>
      <c r="J5" s="5">
        <v>2</v>
      </c>
      <c r="K5" s="6" t="s">
        <v>2</v>
      </c>
      <c r="L5" s="10">
        <f t="shared" ref="L5:L7" si="3">VLOOKUP(K5,$B$3:$H$8,6,FALSE)</f>
        <v>86250</v>
      </c>
      <c r="M5" s="9">
        <v>10</v>
      </c>
      <c r="N5" s="9"/>
      <c r="O5" s="10">
        <f t="shared" ref="O5:O7" si="4">L5*M5</f>
        <v>862500</v>
      </c>
      <c r="P5" s="10">
        <f t="shared" ref="P5:P7" si="5">IF(M5&gt;10,O5*0.025,0)</f>
        <v>0</v>
      </c>
      <c r="Q5" s="10">
        <f t="shared" ref="Q5:Q7" si="6">O5-P5</f>
        <v>862500</v>
      </c>
    </row>
    <row r="6" spans="1:17" x14ac:dyDescent="0.3">
      <c r="A6" s="1"/>
      <c r="B6" s="6" t="s">
        <v>3</v>
      </c>
      <c r="C6" s="7">
        <v>0.12</v>
      </c>
      <c r="D6" s="5">
        <v>100</v>
      </c>
      <c r="E6" s="8">
        <v>120000</v>
      </c>
      <c r="F6" s="31">
        <f t="shared" si="0"/>
        <v>14400</v>
      </c>
      <c r="G6" s="22">
        <f t="shared" si="1"/>
        <v>134400</v>
      </c>
      <c r="H6" s="22">
        <f t="shared" si="2"/>
        <v>1440000</v>
      </c>
      <c r="I6" s="1"/>
      <c r="J6" s="5">
        <v>3</v>
      </c>
      <c r="K6" s="6" t="s">
        <v>3</v>
      </c>
      <c r="L6" s="10">
        <f t="shared" si="3"/>
        <v>134400</v>
      </c>
      <c r="M6" s="9">
        <v>17</v>
      </c>
      <c r="N6" s="9"/>
      <c r="O6" s="10">
        <f t="shared" si="4"/>
        <v>2284800</v>
      </c>
      <c r="P6" s="10">
        <f t="shared" si="5"/>
        <v>57120</v>
      </c>
      <c r="Q6" s="10">
        <f t="shared" si="6"/>
        <v>2227680</v>
      </c>
    </row>
    <row r="7" spans="1:17" x14ac:dyDescent="0.3">
      <c r="A7" s="1"/>
      <c r="B7" s="6" t="s">
        <v>4</v>
      </c>
      <c r="C7" s="7">
        <v>0.13</v>
      </c>
      <c r="D7" s="5">
        <v>100</v>
      </c>
      <c r="E7" s="8">
        <v>65000</v>
      </c>
      <c r="F7" s="31">
        <f t="shared" si="0"/>
        <v>8450</v>
      </c>
      <c r="G7" s="22">
        <f t="shared" si="1"/>
        <v>73450</v>
      </c>
      <c r="H7" s="22">
        <f t="shared" si="2"/>
        <v>845000</v>
      </c>
      <c r="I7" s="1"/>
      <c r="J7" s="5">
        <v>4</v>
      </c>
      <c r="K7" s="6" t="s">
        <v>4</v>
      </c>
      <c r="L7" s="10">
        <f t="shared" si="3"/>
        <v>73450</v>
      </c>
      <c r="M7" s="9">
        <v>14</v>
      </c>
      <c r="N7" s="9"/>
      <c r="O7" s="10">
        <f t="shared" si="4"/>
        <v>1028300</v>
      </c>
      <c r="P7" s="10">
        <f t="shared" si="5"/>
        <v>25707.5</v>
      </c>
      <c r="Q7" s="10">
        <f t="shared" si="6"/>
        <v>1002592.5</v>
      </c>
    </row>
    <row r="8" spans="1:17" x14ac:dyDescent="0.3">
      <c r="A8" s="1"/>
      <c r="B8" s="6" t="s">
        <v>5</v>
      </c>
      <c r="C8" s="7">
        <v>0.1</v>
      </c>
      <c r="D8" s="5">
        <v>100</v>
      </c>
      <c r="E8" s="8">
        <v>84500</v>
      </c>
      <c r="F8" s="23">
        <f t="shared" si="0"/>
        <v>8450</v>
      </c>
      <c r="G8" s="22">
        <f t="shared" si="1"/>
        <v>92950</v>
      </c>
      <c r="H8" s="22">
        <f t="shared" si="2"/>
        <v>845000</v>
      </c>
      <c r="I8" s="1"/>
      <c r="J8" s="34" t="s">
        <v>19</v>
      </c>
      <c r="K8" s="35"/>
      <c r="L8" s="35"/>
      <c r="M8" s="35"/>
      <c r="N8" s="35"/>
      <c r="O8" s="35"/>
      <c r="P8" s="36"/>
      <c r="Q8" s="20">
        <f>SUM(Q4:Q7)</f>
        <v>5095560</v>
      </c>
    </row>
    <row r="9" spans="1:17" x14ac:dyDescent="0.3">
      <c r="A9" s="1"/>
      <c r="B9" s="37" t="s">
        <v>27</v>
      </c>
      <c r="C9" s="38"/>
      <c r="D9" s="32">
        <f>SUM(H4:H8)</f>
        <v>5105000</v>
      </c>
      <c r="E9" s="33"/>
      <c r="I9" s="1"/>
      <c r="J9" s="12"/>
      <c r="K9" s="12"/>
      <c r="L9" s="12"/>
      <c r="M9" s="13"/>
      <c r="N9" s="13"/>
      <c r="O9" s="13"/>
      <c r="P9" s="12"/>
      <c r="Q9" s="14"/>
    </row>
    <row r="10" spans="1:17" ht="16.5" customHeight="1" x14ac:dyDescent="0.3">
      <c r="A10" s="1"/>
      <c r="B10" s="39" t="s">
        <v>15</v>
      </c>
      <c r="C10" s="40"/>
      <c r="D10" s="32">
        <f>AVERAGE(H4:H8)</f>
        <v>1021000</v>
      </c>
      <c r="E10" s="33"/>
      <c r="F10" s="17"/>
      <c r="G10" s="17"/>
      <c r="H10" s="17"/>
      <c r="I10" s="1"/>
      <c r="J10" s="1"/>
      <c r="K10" s="16" t="s">
        <v>29</v>
      </c>
      <c r="L10" s="16" t="s">
        <v>23</v>
      </c>
      <c r="M10" s="41" t="s">
        <v>25</v>
      </c>
      <c r="N10" s="41"/>
      <c r="O10" s="41"/>
      <c r="P10" s="1"/>
      <c r="Q10" s="1"/>
    </row>
    <row r="11" spans="1:17" x14ac:dyDescent="0.3">
      <c r="A11" s="1"/>
      <c r="B11" s="39" t="s">
        <v>16</v>
      </c>
      <c r="C11" s="40"/>
      <c r="D11" s="43">
        <f>MAX(H4:H8)</f>
        <v>1440000</v>
      </c>
      <c r="E11" s="44"/>
      <c r="F11" s="18"/>
      <c r="G11" s="18"/>
      <c r="H11" s="17"/>
      <c r="I11" s="1"/>
      <c r="K11" s="15" t="s">
        <v>1</v>
      </c>
      <c r="L11" s="19">
        <f>D4-M4</f>
        <v>89</v>
      </c>
      <c r="M11" s="32">
        <f>F4*M4</f>
        <v>93500</v>
      </c>
      <c r="N11" s="32"/>
      <c r="O11" s="33"/>
    </row>
    <row r="12" spans="1:17" x14ac:dyDescent="0.3">
      <c r="A12" s="1"/>
      <c r="B12" s="39" t="s">
        <v>17</v>
      </c>
      <c r="C12" s="40"/>
      <c r="D12" s="43">
        <f>MIN(H4:H8)</f>
        <v>845000</v>
      </c>
      <c r="E12" s="44"/>
      <c r="F12" s="18"/>
      <c r="G12" s="18"/>
      <c r="H12" s="17"/>
      <c r="I12" s="1"/>
      <c r="K12" s="15" t="s">
        <v>2</v>
      </c>
      <c r="L12" s="21">
        <f t="shared" ref="L12:L15" si="7">D5-M5</f>
        <v>90</v>
      </c>
      <c r="M12" s="32">
        <f t="shared" ref="M12:M15" si="8">F5*M5</f>
        <v>112500</v>
      </c>
      <c r="N12" s="32"/>
      <c r="O12" s="33"/>
    </row>
    <row r="13" spans="1:17" x14ac:dyDescent="0.3">
      <c r="A13" s="1"/>
      <c r="B13" s="45" t="s">
        <v>22</v>
      </c>
      <c r="C13" s="45"/>
      <c r="D13" s="45"/>
      <c r="E13" s="45"/>
      <c r="F13" s="46"/>
      <c r="G13" s="46"/>
      <c r="H13" s="46"/>
      <c r="I13" s="1"/>
      <c r="K13" s="15" t="s">
        <v>3</v>
      </c>
      <c r="L13" s="21">
        <f t="shared" si="7"/>
        <v>83</v>
      </c>
      <c r="M13" s="32">
        <f t="shared" si="8"/>
        <v>244800</v>
      </c>
      <c r="N13" s="32"/>
      <c r="O13" s="33"/>
    </row>
    <row r="14" spans="1:17" x14ac:dyDescent="0.3">
      <c r="B14" s="46"/>
      <c r="C14" s="46"/>
      <c r="D14" s="46"/>
      <c r="E14" s="46"/>
      <c r="F14" s="46"/>
      <c r="G14" s="46"/>
      <c r="H14" s="46"/>
      <c r="K14" s="15" t="s">
        <v>4</v>
      </c>
      <c r="L14" s="21">
        <f t="shared" si="7"/>
        <v>86</v>
      </c>
      <c r="M14" s="32">
        <f t="shared" si="8"/>
        <v>118300</v>
      </c>
      <c r="N14" s="32"/>
      <c r="O14" s="33"/>
    </row>
    <row r="15" spans="1:17" x14ac:dyDescent="0.3">
      <c r="K15" s="15" t="s">
        <v>5</v>
      </c>
      <c r="L15" s="21">
        <f t="shared" si="7"/>
        <v>100</v>
      </c>
      <c r="M15" s="32">
        <f t="shared" si="8"/>
        <v>0</v>
      </c>
      <c r="N15" s="32"/>
      <c r="O15" s="33"/>
    </row>
    <row r="16" spans="1:17" x14ac:dyDescent="0.3">
      <c r="E16" s="49" t="s">
        <v>31</v>
      </c>
      <c r="F16" s="49"/>
      <c r="G16" s="47" t="s">
        <v>30</v>
      </c>
      <c r="H16" s="48"/>
      <c r="I16" s="48"/>
      <c r="J16" s="48"/>
    </row>
  </sheetData>
  <autoFilter ref="K10:O16">
    <filterColumn colId="2" showButton="0"/>
    <filterColumn colId="3" showButton="0"/>
  </autoFilter>
  <mergeCells count="20">
    <mergeCell ref="G16:J16"/>
    <mergeCell ref="E16:F16"/>
    <mergeCell ref="B2:E2"/>
    <mergeCell ref="J2:L2"/>
    <mergeCell ref="M11:O11"/>
    <mergeCell ref="M12:O12"/>
    <mergeCell ref="M13:O13"/>
    <mergeCell ref="D11:E11"/>
    <mergeCell ref="B12:C12"/>
    <mergeCell ref="D12:E12"/>
    <mergeCell ref="B13:H14"/>
    <mergeCell ref="M14:O14"/>
    <mergeCell ref="M15:O15"/>
    <mergeCell ref="J8:P8"/>
    <mergeCell ref="B9:C9"/>
    <mergeCell ref="D9:E9"/>
    <mergeCell ref="B10:C10"/>
    <mergeCell ref="D10:E10"/>
    <mergeCell ref="M10:O10"/>
    <mergeCell ref="B11:C11"/>
  </mergeCells>
  <hyperlinks>
    <hyperlink ref="G16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>Deftones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niaulans</cp:lastModifiedBy>
  <dcterms:created xsi:type="dcterms:W3CDTF">2020-02-20T07:17:42Z</dcterms:created>
  <dcterms:modified xsi:type="dcterms:W3CDTF">2025-03-24T06:54:47Z</dcterms:modified>
</cp:coreProperties>
</file>