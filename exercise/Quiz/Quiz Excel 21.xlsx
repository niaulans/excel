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Pemrograman\Excel\excel\exercise\Quiz\"/>
    </mc:Choice>
  </mc:AlternateContent>
  <bookViews>
    <workbookView xWindow="0" yWindow="0" windowWidth="19200" windowHeight="7065" activeTab="1"/>
  </bookViews>
  <sheets>
    <sheet name="SOAL1" sheetId="2" r:id="rId1"/>
    <sheet name="SOAL2" sheetId="3" r:id="rId2"/>
  </sheets>
  <externalReferences>
    <externalReference r:id="rId3"/>
    <externalReference r:id="rId4"/>
  </externalReferences>
  <definedNames>
    <definedName name="__IntlFixup" hidden="1">TRUE</definedName>
    <definedName name="AccessDatabase" hidden="1">"C:\My Documents\MAUI MALL1.mdb"</definedName>
    <definedName name="ACwvu.CapersView." localSheetId="1" hidden="1">[1]MASTER!#REF!</definedName>
    <definedName name="ACwvu.CapersView." hidden="1">[1]MASTER!#REF!</definedName>
    <definedName name="ACwvu.Japan_Capers_Ed_Pub." localSheetId="0" hidden="1">#REF!</definedName>
    <definedName name="ACwvu.Japan_Capers_Ed_Pub." localSheetId="1" hidden="1">#REF!</definedName>
    <definedName name="ACwvu.Japan_Capers_Ed_Pub." hidden="1">#REF!</definedName>
    <definedName name="ACwvu.KJP_CC." localSheetId="0" hidden="1">#REF!</definedName>
    <definedName name="ACwvu.KJP_CC." localSheetId="1" hidden="1">#REF!</definedName>
    <definedName name="ACwvu.KJP_CC." hidden="1">#REF!</definedName>
    <definedName name="anscount" hidden="1">4</definedName>
    <definedName name="Cwvu.CapersView." localSheetId="1" hidden="1">[1]MASTER!#REF!</definedName>
    <definedName name="Cwvu.CapersView." hidden="1">[1]MASTER!#REF!</definedName>
    <definedName name="Cwvu.Japan_Capers_Ed_Pub." localSheetId="1" hidden="1">[1]MASTER!#REF!</definedName>
    <definedName name="Cwvu.Japan_Capers_Ed_Pub." hidden="1">[1]MASTER!#REF!</definedName>
    <definedName name="Cwvu.KJP_CC." localSheetId="1" hidden="1">[1]MASTER!#REF!,[1]MASTER!#REF!,[1]MASTER!#REF!,[1]MASTER!#REF!,[1]MASTER!#REF!,[1]MASTER!#REF!,[1]MASTER!#REF!,[1]MASTER!#REF!,[1]MASTER!#REF!,[1]MASTER!#REF!,[1]MASTER!#REF!,[1]MASTER!#REF!,[1]MASTER!#REF!,[1]MASTER!#REF!,[1]MASTER!#REF!,[1]MASTER!#REF!,[1]MASTER!#REF!,[1]MASTER!#REF!,[1]MASTER!#REF!,[1]MASTER!#REF!</definedName>
    <definedName name="Cwvu.KJP_CC." hidden="1">[1]MASTER!#REF!,[1]MASTER!#REF!,[1]MASTER!#REF!,[1]MASTER!#REF!,[1]MASTER!#REF!,[1]MASTER!#REF!,[1]MASTER!#REF!,[1]MASTER!#REF!,[1]MASTER!#REF!,[1]MASTER!#REF!,[1]MASTER!#REF!,[1]MASTER!#REF!,[1]MASTER!#REF!,[1]MASTER!#REF!,[1]MASTER!#REF!,[1]MASTER!#REF!,[1]MASTER!#REF!,[1]MASTER!#REF!,[1]MASTER!#REF!,[1]MASTER!#REF!</definedName>
    <definedName name="Data1">[2]SOAL3!$B$5:$D$25</definedName>
    <definedName name="dsd" hidden="1">#REF!</definedName>
    <definedName name="g" localSheetId="1" hidden="1">{#N/A,#N/A,FALSE,"PRJCTED QTRLY $'s"}</definedName>
    <definedName name="g" hidden="1">{#N/A,#N/A,FALSE,"PRJCTED QTRLY $'s"}</definedName>
    <definedName name="GAJI_POKOK">SOAL1!$D$35:$E$40</definedName>
    <definedName name="GOLONGAN">[2]SOAL4!$D$33:$E$38</definedName>
    <definedName name="HTML_CodePage" hidden="1">1252</definedName>
    <definedName name="HTML_Control" localSheetId="0" hidden="1">{"'PRODUCTIONCOST SHEET'!$B$3:$G$48"}</definedName>
    <definedName name="HTML_Control" localSheetId="1" hidden="1">{"'PRODUCTIONCOST SHEET'!$B$3:$G$48"}</definedName>
    <definedName name="HTML_Control" hidden="1">{"'PRODUCTIONCOST SHEET'!$B$3:$G$48"}</definedName>
    <definedName name="HTML_Description" hidden="1">"DRAFT"</definedName>
    <definedName name="HTML_Email" hidden="1">"Patrick_Blattner@Studio.Disney.com"</definedName>
    <definedName name="HTML_Header" hidden="1">"EXISTING &amp; FUTURE PRODUCTS (CONFIDENTIAL)"</definedName>
    <definedName name="HTML_LastUpdate" hidden="1">"2/8/98"</definedName>
    <definedName name="HTML_LineAfter" hidden="1">FALSE</definedName>
    <definedName name="HTML_LineBefore" hidden="1">TRUE</definedName>
    <definedName name="HTML_Name" hidden="1">"Patrick Blattner"</definedName>
    <definedName name="HTML_OBDlg2" hidden="1">TRUE</definedName>
    <definedName name="HTML_OBDlg4" hidden="1">TRUE</definedName>
    <definedName name="HTML_OS" hidden="1">0</definedName>
    <definedName name="HTML_PathFile" hidden="1">"K:\ANIMATE\SECURE\Production\INTRANET\ANI.HTML.htm"</definedName>
    <definedName name="HTML_Title" hidden="1">"2D ANIMATION PRODUCTION TABLE"</definedName>
    <definedName name="id">[2]SOAL3!$B$6:$B$25</definedName>
    <definedName name="JABATAN">[2]SOAL4!$A$33:$B$39</definedName>
    <definedName name="limcount" hidden="1">3</definedName>
    <definedName name="PELANGGAN">[2]SOAL1!$A$19:$C$22</definedName>
    <definedName name="Rwvu.CapersView." localSheetId="0" hidden="1">#REF!</definedName>
    <definedName name="Rwvu.CapersView." localSheetId="1" hidden="1">#REF!</definedName>
    <definedName name="Rwvu.CapersView." hidden="1">#REF!</definedName>
    <definedName name="Rwvu.Japan_Capers_Ed_Pub." localSheetId="0" hidden="1">#REF!</definedName>
    <definedName name="Rwvu.Japan_Capers_Ed_Pub." localSheetId="1" hidden="1">#REF!</definedName>
    <definedName name="Rwvu.Japan_Capers_Ed_Pub." hidden="1">#REF!</definedName>
    <definedName name="Rwvu.KJP_CC." localSheetId="0" hidden="1">#REF!</definedName>
    <definedName name="Rwvu.KJP_CC." localSheetId="1" hidden="1">#REF!</definedName>
    <definedName name="Rwvu.KJP_CC." hidden="1">#REF!</definedName>
    <definedName name="sencount" hidden="1">3</definedName>
    <definedName name="Swvu.CapersView." localSheetId="1" hidden="1">[1]MASTER!#REF!</definedName>
    <definedName name="Swvu.CapersView." hidden="1">[1]MASTER!#REF!</definedName>
    <definedName name="Swvu.Japan_Capers_Ed_Pub." localSheetId="0" hidden="1">#REF!</definedName>
    <definedName name="Swvu.Japan_Capers_Ed_Pub." localSheetId="1" hidden="1">#REF!</definedName>
    <definedName name="Swvu.Japan_Capers_Ed_Pub." hidden="1">#REF!</definedName>
    <definedName name="Swvu.KJP_CC." localSheetId="0" hidden="1">#REF!</definedName>
    <definedName name="Swvu.KJP_CC." localSheetId="1" hidden="1">#REF!</definedName>
    <definedName name="Swvu.KJP_CC." hidden="1">#REF!</definedName>
    <definedName name="wrn.CapersPlotter." localSheetId="0" hidden="1">{#N/A,#N/A,FALSE,"DI 2 YEAR MASTER SCHEDULE"}</definedName>
    <definedName name="wrn.CapersPlotter." localSheetId="1" hidden="1">{#N/A,#N/A,FALSE,"DI 2 YEAR MASTER SCHEDULE"}</definedName>
    <definedName name="wrn.CapersPlotter." hidden="1">{#N/A,#N/A,FALSE,"DI 2 YEAR MASTER SCHEDULE"}</definedName>
    <definedName name="wrn.Edutainment._.Priority._.List." localSheetId="0" hidden="1">{#N/A,#N/A,FALSE,"DI 2 YEAR MASTER SCHEDULE"}</definedName>
    <definedName name="wrn.Edutainment._.Priority._.List." localSheetId="1" hidden="1">{#N/A,#N/A,FALSE,"DI 2 YEAR MASTER SCHEDULE"}</definedName>
    <definedName name="wrn.Edutainment._.Priority._.List." hidden="1">{#N/A,#N/A,FALSE,"DI 2 YEAR MASTER SCHEDULE"}</definedName>
    <definedName name="wrn.Japan_Capers_Ed._.Pub." localSheetId="0" hidden="1">{"Japan_Capers_Ed_Pub",#N/A,FALSE,"DI 2 YEAR MASTER SCHEDULE"}</definedName>
    <definedName name="wrn.Japan_Capers_Ed._.Pub." localSheetId="1" hidden="1">{"Japan_Capers_Ed_Pub",#N/A,FALSE,"DI 2 YEAR MASTER SCHEDULE"}</definedName>
    <definedName name="wrn.Japan_Capers_Ed._.Pub." hidden="1">{"Japan_Capers_Ed_Pub",#N/A,FALSE,"DI 2 YEAR MASTER SCHEDULE"}</definedName>
    <definedName name="wrn.Priority._.list." localSheetId="0" hidden="1">{#N/A,#N/A,FALSE,"DI 2 YEAR MASTER SCHEDULE"}</definedName>
    <definedName name="wrn.Priority._.list." localSheetId="1" hidden="1">{#N/A,#N/A,FALSE,"DI 2 YEAR MASTER SCHEDULE"}</definedName>
    <definedName name="wrn.Priority._.list." hidden="1">{#N/A,#N/A,FALSE,"DI 2 YEAR MASTER SCHEDULE"}</definedName>
    <definedName name="wrn.Prjcted._.Mnthly._.Qtys." localSheetId="0" hidden="1">{#N/A,#N/A,FALSE,"PRJCTED MNTHLY QTY's"}</definedName>
    <definedName name="wrn.Prjcted._.Mnthly._.Qtys." localSheetId="1" hidden="1">{#N/A,#N/A,FALSE,"PRJCTED MNTHLY QTY's"}</definedName>
    <definedName name="wrn.Prjcted._.Mnthly._.Qtys." hidden="1">{#N/A,#N/A,FALSE,"PRJCTED MNTHLY QTY's"}</definedName>
    <definedName name="wrn.Prjcted._.Qtrly._.Dollars." localSheetId="0" hidden="1">{#N/A,#N/A,FALSE,"PRJCTED QTRLY $'s"}</definedName>
    <definedName name="wrn.Prjcted._.Qtrly._.Dollars." localSheetId="1" hidden="1">{#N/A,#N/A,FALSE,"PRJCTED QTRLY $'s"}</definedName>
    <definedName name="wrn.Prjcted._.Qtrly._.Dollars." hidden="1">{#N/A,#N/A,FALSE,"PRJCTED QTRLY $'s"}</definedName>
    <definedName name="wrn.Prjcted._.Qtrly._.Qtys." localSheetId="0" hidden="1">{#N/A,#N/A,FALSE,"PRJCTED QTRLY QTY's"}</definedName>
    <definedName name="wrn.Prjcted._.Qtrly._.Qtys." localSheetId="1" hidden="1">{#N/A,#N/A,FALSE,"PRJCTED QTRLY QTY's"}</definedName>
    <definedName name="wrn.Prjcted._.Qtrly._.Qtys." hidden="1">{#N/A,#N/A,FALSE,"PRJCTED QTRLY QTY's"}</definedName>
    <definedName name="wvu.CapersView." localSheetId="0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apersView." localSheetId="1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apersView.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Japan_Capers_Ed_Pub." localSheetId="0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Japan_Capers_Ed_Pub." localSheetId="1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Japan_Capers_Ed_Pub.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KJP_CC." localSheetId="0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KJP_CC." localSheetId="1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KJP_CC.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Z_9A428CE1_B4D9_11D0_A8AA_0000C071AEE7_.wvu.Cols" hidden="1">[1]MASTER!$A$1:$Q$65536,[1]MASTER!$Y$1:$Z$65536</definedName>
    <definedName name="Z_9A428CE1_B4D9_11D0_A8AA_0000C071AEE7_.wvu.PrintArea" localSheetId="0" hidden="1">#REF!</definedName>
    <definedName name="Z_9A428CE1_B4D9_11D0_A8AA_0000C071AEE7_.wvu.PrintArea" localSheetId="1" hidden="1">#REF!</definedName>
    <definedName name="Z_9A428CE1_B4D9_11D0_A8AA_0000C071AEE7_.wvu.PrintArea" hidden="1">#REF!</definedName>
    <definedName name="Z_9A428CE1_B4D9_11D0_A8AA_0000C071AEE7_.wvu.Rows" localSheetId="1" hidden="1">[1]MASTER!#REF!,[1]MASTER!#REF!,[1]MASTER!#REF!,[1]MASTER!#REF!,[1]MASTER!#REF!,[1]MASTER!#REF!,[1]MASTER!#REF!,[1]MASTER!$A$98:$IV$272</definedName>
    <definedName name="Z_9A428CE1_B4D9_11D0_A8AA_0000C071AEE7_.wvu.Rows" hidden="1">[1]MASTER!#REF!,[1]MASTER!#REF!,[1]MASTER!#REF!,[1]MASTER!#REF!,[1]MASTER!#REF!,[1]MASTER!#REF!,[1]MASTER!#REF!,[1]MASTER!$A$98:$IV$272</definedName>
  </definedNames>
  <calcPr calcId="152511"/>
</workbook>
</file>

<file path=xl/calcChain.xml><?xml version="1.0" encoding="utf-8"?>
<calcChain xmlns="http://schemas.openxmlformats.org/spreadsheetml/2006/main">
  <c r="H7" i="3" l="1"/>
  <c r="H8" i="3"/>
  <c r="H9" i="3"/>
  <c r="H10" i="3"/>
  <c r="H11" i="3"/>
  <c r="H12" i="3"/>
  <c r="H13" i="3"/>
  <c r="H14" i="3"/>
  <c r="H15" i="3"/>
  <c r="H16" i="3"/>
  <c r="H17" i="3"/>
  <c r="H6" i="3"/>
  <c r="G7" i="3"/>
  <c r="G8" i="3"/>
  <c r="G9" i="3"/>
  <c r="G10" i="3"/>
  <c r="G11" i="3"/>
  <c r="G12" i="3"/>
  <c r="G13" i="3"/>
  <c r="G14" i="3"/>
  <c r="G15" i="3"/>
  <c r="G16" i="3"/>
  <c r="G17" i="3"/>
  <c r="G6" i="3"/>
  <c r="F7" i="3"/>
  <c r="F8" i="3"/>
  <c r="F9" i="3"/>
  <c r="F10" i="3"/>
  <c r="F11" i="3"/>
  <c r="F12" i="3"/>
  <c r="F13" i="3"/>
  <c r="F14" i="3"/>
  <c r="F15" i="3"/>
  <c r="F16" i="3"/>
  <c r="F17" i="3"/>
  <c r="F6" i="3"/>
  <c r="E7" i="3"/>
  <c r="E8" i="3"/>
  <c r="E9" i="3"/>
  <c r="E10" i="3"/>
  <c r="E11" i="3"/>
  <c r="E12" i="3"/>
  <c r="E13" i="3"/>
  <c r="E14" i="3"/>
  <c r="E15" i="3"/>
  <c r="E16" i="3"/>
  <c r="E17" i="3"/>
  <c r="E6" i="3"/>
</calcChain>
</file>

<file path=xl/sharedStrings.xml><?xml version="1.0" encoding="utf-8"?>
<sst xmlns="http://schemas.openxmlformats.org/spreadsheetml/2006/main" count="140" uniqueCount="128">
  <si>
    <t>SOAL : Lengkapi Table dibwah ini (kolom Kuning) dengan Rumus atau Fungsi Excel</t>
  </si>
  <si>
    <t>LAPORAN GAJI KARYAWAN</t>
  </si>
  <si>
    <t>BULAN AGUSTUS 2017</t>
  </si>
  <si>
    <t>No Urut</t>
  </si>
  <si>
    <t>Nama Karyawan</t>
  </si>
  <si>
    <t>NIP Karyawan</t>
  </si>
  <si>
    <t>Jenis Kelamin</t>
  </si>
  <si>
    <t>Status Karyawan</t>
  </si>
  <si>
    <t>Jumlah Anak</t>
  </si>
  <si>
    <t>Golongan</t>
  </si>
  <si>
    <t>Jabatan</t>
  </si>
  <si>
    <t>Gaji Pokok</t>
  </si>
  <si>
    <t>Tunjangan Keluarga</t>
  </si>
  <si>
    <t>Tunjangan Istri</t>
  </si>
  <si>
    <t>Tunjangan Anak</t>
  </si>
  <si>
    <t>Gaji Bersih</t>
  </si>
  <si>
    <t>Moh Ali</t>
  </si>
  <si>
    <t>PN001DR</t>
  </si>
  <si>
    <t>Hussein</t>
  </si>
  <si>
    <t>PB003AK</t>
  </si>
  <si>
    <t>Cut Mutia</t>
  </si>
  <si>
    <t>WN002SK</t>
  </si>
  <si>
    <t>Cyntia</t>
  </si>
  <si>
    <t>WN005SP</t>
  </si>
  <si>
    <t>Mustofa</t>
  </si>
  <si>
    <t>PB005OB</t>
  </si>
  <si>
    <t>Daud</t>
  </si>
  <si>
    <t>PN003AK</t>
  </si>
  <si>
    <t>Tika</t>
  </si>
  <si>
    <t>WB004SP</t>
  </si>
  <si>
    <t>Dendi</t>
  </si>
  <si>
    <t>PN004SP</t>
  </si>
  <si>
    <t>Endah</t>
  </si>
  <si>
    <t>WN005OG</t>
  </si>
  <si>
    <t>Supriyadi</t>
  </si>
  <si>
    <t>PN003SK</t>
  </si>
  <si>
    <t>TOTAL GAJI</t>
  </si>
  <si>
    <t>TOTAL GAJI TERTINGGI</t>
  </si>
  <si>
    <t>TOTAL GAJI TERENDAH</t>
  </si>
  <si>
    <t>TOTAL GAJI RATA RATA</t>
  </si>
  <si>
    <t>Ketentuan Proses</t>
  </si>
  <si>
    <t>Jenis Kelamin = Jika digit 1 dari NIP ="P" maka "Pria" dan "W" maka "Wanita"</t>
  </si>
  <si>
    <t>Status = Jika digit 2 dari NIP ="N" maka "Nikah" dan "B" maka "Belum Nikah"</t>
  </si>
  <si>
    <t>Golongan = Mengambil digit ke 5 dari NIP dan di Value-kan</t>
  </si>
  <si>
    <t>Jabatan = Diambil dari tabel berdasarkan 2 digit terakhir dari NIP</t>
  </si>
  <si>
    <t>Gaji Pokok = diambil dari tabel berdasarkan Golongan</t>
  </si>
  <si>
    <t>Tunjangan Keluarga = Jika Jabatan Direktur sebesar 1.500.000 selain itu 750.000</t>
  </si>
  <si>
    <t xml:space="preserve">Tunjangan Istri = Hanya Diberikan untuk Karyawan "Pria" dan "Menikah" </t>
  </si>
  <si>
    <t>sebesar 15% x Gaji Pokok</t>
  </si>
  <si>
    <t>Tunjangan Anak = Diberikan 200.000 peranak dengan maksimum 3 anak</t>
  </si>
  <si>
    <t>Gaji Bersih = Gaji Pokok + semua tunjangan</t>
  </si>
  <si>
    <t>NIP</t>
  </si>
  <si>
    <t>DR</t>
  </si>
  <si>
    <t>Direktur</t>
  </si>
  <si>
    <t>SK</t>
  </si>
  <si>
    <t>Sekretaris</t>
  </si>
  <si>
    <t>AK</t>
  </si>
  <si>
    <t>Akunting</t>
  </si>
  <si>
    <t>SP</t>
  </si>
  <si>
    <t>Staff</t>
  </si>
  <si>
    <t>OB</t>
  </si>
  <si>
    <t>Office Boy</t>
  </si>
  <si>
    <t>OG</t>
  </si>
  <si>
    <t>Office Girl</t>
  </si>
  <si>
    <t>LAPORAN PENJUALAN TIKET BUS</t>
  </si>
  <si>
    <t>No.</t>
  </si>
  <si>
    <t>Nama</t>
  </si>
  <si>
    <t>Kode</t>
  </si>
  <si>
    <t>Nama Bus</t>
  </si>
  <si>
    <t>Jurusan</t>
  </si>
  <si>
    <t>Kelas</t>
  </si>
  <si>
    <t>Tarif Dasar</t>
  </si>
  <si>
    <t>Tarif Tambahan</t>
  </si>
  <si>
    <t>Harga Tiket</t>
  </si>
  <si>
    <t>Jam Pemberangkatan</t>
  </si>
  <si>
    <t>Ade Nuraeli</t>
  </si>
  <si>
    <t>LO-SE01</t>
  </si>
  <si>
    <t>Nurzaman</t>
  </si>
  <si>
    <t>LO-SE03</t>
  </si>
  <si>
    <t>Maurizka</t>
  </si>
  <si>
    <t>SN-BS02</t>
  </si>
  <si>
    <t>Maulita</t>
  </si>
  <si>
    <t>LU-EK02</t>
  </si>
  <si>
    <t>Sesha</t>
  </si>
  <si>
    <t>SH-SE01</t>
  </si>
  <si>
    <t>Iyop Ropika</t>
  </si>
  <si>
    <t>SJ-EX03</t>
  </si>
  <si>
    <t>Yully</t>
  </si>
  <si>
    <t>Agus</t>
  </si>
  <si>
    <t>Annabel</t>
  </si>
  <si>
    <t>Arief</t>
  </si>
  <si>
    <t>SN-EX02</t>
  </si>
  <si>
    <t>Fajar</t>
  </si>
  <si>
    <t>LU-EK01</t>
  </si>
  <si>
    <t>Nugroho</t>
  </si>
  <si>
    <t>SH-SE03</t>
  </si>
  <si>
    <t>Kode2</t>
  </si>
  <si>
    <t>LO</t>
  </si>
  <si>
    <t>Lorena</t>
  </si>
  <si>
    <t>Jakarta-Denpasar</t>
  </si>
  <si>
    <t>BS</t>
  </si>
  <si>
    <t>Bisnis</t>
  </si>
  <si>
    <t>LU</t>
  </si>
  <si>
    <t>Luragung Jaya</t>
  </si>
  <si>
    <t>Jakarta-Cirebon</t>
  </si>
  <si>
    <t>EK</t>
  </si>
  <si>
    <t>Ekonomi</t>
  </si>
  <si>
    <t>SH</t>
  </si>
  <si>
    <t>Sahabat</t>
  </si>
  <si>
    <t>Jakarta-Kuningan</t>
  </si>
  <si>
    <t>EX</t>
  </si>
  <si>
    <t>Eksekutif</t>
  </si>
  <si>
    <t>SJ</t>
  </si>
  <si>
    <t>Sami Jaya</t>
  </si>
  <si>
    <t>Jakarta-Surabaya</t>
  </si>
  <si>
    <t>SE</t>
  </si>
  <si>
    <t>Super Eksekutif</t>
  </si>
  <si>
    <t>SN</t>
  </si>
  <si>
    <t>Setia Negara</t>
  </si>
  <si>
    <t>Jakarta-Semarang</t>
  </si>
  <si>
    <t>SOAL</t>
  </si>
  <si>
    <t>Nama Bus, Jurusan dan Tarif dasar diambil dari Tabel 1</t>
  </si>
  <si>
    <t>Kelas dan Traif Tambahan diambil dari tabel 2</t>
  </si>
  <si>
    <t>Harga Tiket = Tarif dasar + tarif tambahan</t>
  </si>
  <si>
    <t>Jam Berangkat</t>
  </si>
  <si>
    <t xml:space="preserve">  - Jika Kode diakhiri = "01" maka "08:00"</t>
  </si>
  <si>
    <t xml:space="preserve">  - Jika Kode diakhiri = "02" maka "10:00"</t>
  </si>
  <si>
    <t xml:space="preserve">  - Jika Kode diakhiri = "03" maka "14:00"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</si>
</sst>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_);_(* \(#,##0\);_(* &quot;-&quot;_);_(@_)"/>
    <numFmt numFmtId="167" formatCode="_(* #,##0.00_);_(* \(#,##0.00\);_(* &quot;-&quot;??_);_(@_)"/>
    <numFmt numFmtId="168" formatCode="&quot;Rp.&quot;* #,##0"/>
    <numFmt numFmtId="169" formatCode="_(* #,##0_);_(* \(#,##0\);_(* &quot;-&quot;??_);_(@_)"/>
    <numFmt numFmtId="172" formatCode="&quot;Rp&quot;#,##0"/>
  </numFmts>
  <fonts count="8">
    <font>
      <sz val="11"/>
      <color theme="1"/>
      <name val="Calibri"/>
      <charset val="134"/>
      <scheme val="minor"/>
    </font>
    <font>
      <sz val="10"/>
      <name val="Arial"/>
      <charset val="134"/>
    </font>
    <font>
      <sz val="10"/>
      <name val="Trebuchet MS"/>
      <charset val="134"/>
    </font>
    <font>
      <b/>
      <sz val="14"/>
      <name val="Trebuchet MS"/>
      <charset val="134"/>
    </font>
    <font>
      <b/>
      <sz val="10"/>
      <name val="Trebuchet MS"/>
      <charset val="134"/>
    </font>
    <font>
      <b/>
      <sz val="10"/>
      <color indexed="9"/>
      <name val="Trebuchet MS"/>
      <charset val="134"/>
    </font>
    <font>
      <b/>
      <sz val="12"/>
      <name val="Arial"/>
      <charset val="134"/>
    </font>
    <font>
      <sz val="11"/>
      <color theme="1"/>
      <name val="Calibri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3"/>
        <bgColor indexed="64"/>
      </patternFill>
    </fill>
  </fills>
  <borders count="9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167" fontId="1" fillId="0" borderId="0" applyFont="0" applyFill="0" applyBorder="0" applyAlignment="0" applyProtection="0"/>
    <xf numFmtId="9" fontId="7" fillId="0" borderId="0" applyFont="0" applyFill="0" applyBorder="0" applyAlignment="0" applyProtection="0">
      <alignment vertical="center"/>
    </xf>
    <xf numFmtId="0" fontId="1" fillId="0" borderId="0"/>
    <xf numFmtId="164" fontId="1" fillId="0" borderId="0" applyFont="0" applyFill="0" applyBorder="0" applyAlignment="0" applyProtection="0"/>
    <xf numFmtId="0" fontId="1" fillId="0" borderId="0"/>
  </cellStyleXfs>
  <cellXfs count="52">
    <xf numFmtId="0" fontId="0" fillId="0" borderId="0" xfId="0"/>
    <xf numFmtId="0" fontId="1" fillId="0" borderId="0" xfId="5"/>
    <xf numFmtId="0" fontId="2" fillId="2" borderId="0" xfId="5" applyFont="1" applyFill="1"/>
    <xf numFmtId="0" fontId="2" fillId="0" borderId="0" xfId="5" applyFont="1"/>
    <xf numFmtId="0" fontId="3" fillId="0" borderId="0" xfId="5" applyFont="1"/>
    <xf numFmtId="0" fontId="4" fillId="0" borderId="0" xfId="5" applyFont="1"/>
    <xf numFmtId="0" fontId="5" fillId="3" borderId="1" xfId="5" applyFont="1" applyFill="1" applyBorder="1" applyAlignment="1">
      <alignment vertical="center"/>
    </xf>
    <xf numFmtId="0" fontId="5" fillId="3" borderId="1" xfId="5" applyFont="1" applyFill="1" applyBorder="1" applyAlignment="1">
      <alignment horizontal="center" vertical="center"/>
    </xf>
    <xf numFmtId="0" fontId="5" fillId="3" borderId="1" xfId="5" applyFont="1" applyFill="1" applyBorder="1" applyAlignment="1">
      <alignment horizontal="left" vertical="center" indent="1"/>
    </xf>
    <xf numFmtId="0" fontId="2" fillId="0" borderId="0" xfId="5" applyFont="1" applyAlignment="1">
      <alignment vertical="center"/>
    </xf>
    <xf numFmtId="0" fontId="2" fillId="0" borderId="1" xfId="5" applyFont="1" applyBorder="1" applyAlignment="1">
      <alignment horizontal="center" vertical="center"/>
    </xf>
    <xf numFmtId="0" fontId="2" fillId="0" borderId="1" xfId="5" applyFont="1" applyBorder="1" applyAlignment="1">
      <alignment vertical="center"/>
    </xf>
    <xf numFmtId="2" fontId="2" fillId="0" borderId="1" xfId="5" applyNumberFormat="1" applyFont="1" applyBorder="1" applyAlignment="1">
      <alignment horizontal="left" vertical="center" indent="1"/>
    </xf>
    <xf numFmtId="1" fontId="2" fillId="0" borderId="1" xfId="5" applyNumberFormat="1" applyFont="1" applyBorder="1" applyAlignment="1">
      <alignment horizontal="left" vertical="center" indent="1"/>
    </xf>
    <xf numFmtId="0" fontId="5" fillId="3" borderId="1" xfId="5" applyFont="1" applyFill="1" applyBorder="1" applyAlignment="1">
      <alignment horizontal="right" vertical="center"/>
    </xf>
    <xf numFmtId="0" fontId="2" fillId="0" borderId="1" xfId="5" applyFont="1" applyBorder="1"/>
    <xf numFmtId="169" fontId="2" fillId="0" borderId="1" xfId="1" applyNumberFormat="1" applyFont="1" applyBorder="1"/>
    <xf numFmtId="0" fontId="2" fillId="0" borderId="1" xfId="5" applyFont="1" applyBorder="1" applyAlignment="1">
      <alignment horizontal="left" indent="1"/>
    </xf>
    <xf numFmtId="0" fontId="5" fillId="3" borderId="1" xfId="5" applyFont="1" applyFill="1" applyBorder="1" applyAlignment="1">
      <alignment horizontal="center" vertical="center" wrapText="1"/>
    </xf>
    <xf numFmtId="169" fontId="2" fillId="0" borderId="1" xfId="5" applyNumberFormat="1" applyFont="1" applyBorder="1" applyAlignment="1">
      <alignment vertical="center"/>
    </xf>
    <xf numFmtId="49" fontId="2" fillId="0" borderId="0" xfId="5" applyNumberFormat="1" applyFont="1"/>
    <xf numFmtId="20" fontId="1" fillId="0" borderId="0" xfId="5" applyNumberFormat="1"/>
    <xf numFmtId="49" fontId="1" fillId="0" borderId="0" xfId="5" applyNumberFormat="1"/>
    <xf numFmtId="0" fontId="1" fillId="0" borderId="0" xfId="3"/>
    <xf numFmtId="0" fontId="6" fillId="0" borderId="0" xfId="3" applyFont="1"/>
    <xf numFmtId="0" fontId="1" fillId="4" borderId="2" xfId="3" applyFill="1" applyBorder="1" applyAlignment="1">
      <alignment horizontal="center" vertical="center" wrapText="1"/>
    </xf>
    <xf numFmtId="0" fontId="1" fillId="0" borderId="2" xfId="3" applyBorder="1" applyAlignment="1">
      <alignment horizontal="center"/>
    </xf>
    <xf numFmtId="0" fontId="1" fillId="0" borderId="2" xfId="3" applyBorder="1"/>
    <xf numFmtId="0" fontId="1" fillId="5" borderId="2" xfId="3" applyFill="1" applyBorder="1"/>
    <xf numFmtId="0" fontId="1" fillId="0" borderId="3" xfId="3" applyBorder="1"/>
    <xf numFmtId="0" fontId="1" fillId="0" borderId="4" xfId="3" applyBorder="1"/>
    <xf numFmtId="0" fontId="1" fillId="6" borderId="2" xfId="3" applyFill="1" applyBorder="1"/>
    <xf numFmtId="0" fontId="1" fillId="6" borderId="2" xfId="3" applyFill="1" applyBorder="1" applyAlignment="1">
      <alignment horizontal="center"/>
    </xf>
    <xf numFmtId="0" fontId="1" fillId="0" borderId="5" xfId="3" applyBorder="1"/>
    <xf numFmtId="0" fontId="1" fillId="0" borderId="5" xfId="3" applyBorder="1" applyAlignment="1">
      <alignment horizontal="center"/>
    </xf>
    <xf numFmtId="164" fontId="1" fillId="0" borderId="5" xfId="4" applyBorder="1"/>
    <xf numFmtId="0" fontId="1" fillId="0" borderId="6" xfId="3" applyBorder="1"/>
    <xf numFmtId="0" fontId="1" fillId="0" borderId="6" xfId="3" applyBorder="1" applyAlignment="1">
      <alignment horizontal="center"/>
    </xf>
    <xf numFmtId="164" fontId="1" fillId="0" borderId="6" xfId="4" applyBorder="1"/>
    <xf numFmtId="0" fontId="1" fillId="0" borderId="7" xfId="3" applyBorder="1" applyAlignment="1">
      <alignment horizontal="center"/>
    </xf>
    <xf numFmtId="164" fontId="1" fillId="0" borderId="7" xfId="4" applyBorder="1"/>
    <xf numFmtId="0" fontId="1" fillId="0" borderId="7" xfId="3" applyBorder="1"/>
    <xf numFmtId="168" fontId="1" fillId="5" borderId="2" xfId="1" applyNumberFormat="1" applyFill="1" applyBorder="1"/>
    <xf numFmtId="168" fontId="1" fillId="5" borderId="8" xfId="3" applyNumberFormat="1" applyFill="1" applyBorder="1"/>
    <xf numFmtId="0" fontId="6" fillId="0" borderId="0" xfId="3" applyFont="1" applyAlignment="1">
      <alignment horizontal="center"/>
    </xf>
    <xf numFmtId="9" fontId="2" fillId="2" borderId="0" xfId="2" applyFont="1" applyFill="1" applyAlignment="1"/>
    <xf numFmtId="9" fontId="2" fillId="0" borderId="0" xfId="2" applyFont="1" applyAlignment="1"/>
    <xf numFmtId="9" fontId="5" fillId="3" borderId="1" xfId="2" applyFont="1" applyFill="1" applyBorder="1" applyAlignment="1">
      <alignment horizontal="center" vertical="center" wrapText="1" shrinkToFit="1"/>
    </xf>
    <xf numFmtId="9" fontId="5" fillId="3" borderId="1" xfId="2" applyFont="1" applyFill="1" applyBorder="1" applyAlignment="1">
      <alignment horizontal="center" vertical="center" wrapText="1"/>
    </xf>
    <xf numFmtId="9" fontId="2" fillId="0" borderId="1" xfId="2" applyFont="1" applyBorder="1" applyAlignment="1">
      <alignment horizontal="center"/>
    </xf>
    <xf numFmtId="9" fontId="1" fillId="0" borderId="0" xfId="2" applyFont="1" applyAlignment="1"/>
    <xf numFmtId="172" fontId="2" fillId="0" borderId="1" xfId="2" applyNumberFormat="1" applyFont="1" applyBorder="1" applyAlignment="1">
      <alignment horizontal="left" vertical="center" indent="1"/>
    </xf>
  </cellXfs>
  <cellStyles count="6">
    <cellStyle name="Comma" xfId="1" builtinId="3"/>
    <cellStyle name="Comma [0] 2" xfId="4"/>
    <cellStyle name="Normal" xfId="0" builtinId="0"/>
    <cellStyle name="Normal_LATIHAN LOOKUP DAN IF" xfId="5"/>
    <cellStyle name="Normal_soal untuk intermediate 1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ANIMATE\SECURE\Production\2D_REPNew2.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ADANS_000170471\Documents\SOAL%20LANJUTAN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ST"/>
      <sheetName val="PRODUCTION REPORTS"/>
      <sheetName val="MASTER"/>
      <sheetName val="ANIMATION ONLY"/>
      <sheetName val="CONCEP-STREET"/>
      <sheetName val="ANIMATION COST FORECAST"/>
      <sheetName val="WEEKLY"/>
      <sheetName val="Sheet1"/>
      <sheetName val="EXTERNAL ANIMATION"/>
      <sheetName val="LM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AL1"/>
      <sheetName val="SOAL2"/>
      <sheetName val="SOAL3"/>
      <sheetName val="SOAL4"/>
      <sheetName val="SOAL5"/>
      <sheetName val="SOAL6"/>
      <sheetName val="SOAL7"/>
      <sheetName val="SOAL8"/>
    </sheetNames>
    <sheetDataSet>
      <sheetData sheetId="0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1"/>
  <sheetViews>
    <sheetView showGridLines="0" zoomScale="75" zoomScaleNormal="75" workbookViewId="0">
      <selection activeCell="D7" sqref="D7"/>
    </sheetView>
  </sheetViews>
  <sheetFormatPr defaultColWidth="9.140625" defaultRowHeight="12.75"/>
  <cols>
    <col min="1" max="1" width="6" style="23" customWidth="1"/>
    <col min="2" max="2" width="12.7109375" style="23" customWidth="1"/>
    <col min="3" max="4" width="10.7109375" style="23" customWidth="1"/>
    <col min="5" max="5" width="15.5703125" style="23" customWidth="1"/>
    <col min="6" max="6" width="9.140625" style="23"/>
    <col min="7" max="7" width="10.140625" style="23" customWidth="1"/>
    <col min="8" max="8" width="9.140625" style="23"/>
    <col min="9" max="9" width="20.5703125" style="23" customWidth="1"/>
    <col min="10" max="10" width="17.140625" style="23" customWidth="1"/>
    <col min="11" max="11" width="16.42578125" style="23" customWidth="1"/>
    <col min="12" max="12" width="13.7109375" style="23" customWidth="1"/>
    <col min="13" max="13" width="18.7109375" style="23" customWidth="1"/>
    <col min="14" max="16384" width="9.140625" style="23"/>
  </cols>
  <sheetData>
    <row r="1" spans="1:13" ht="15.75">
      <c r="A1" s="24" t="s">
        <v>0</v>
      </c>
    </row>
    <row r="3" spans="1:13" ht="15.75">
      <c r="A3" s="44" t="s">
        <v>1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</row>
    <row r="4" spans="1:13" ht="15.75">
      <c r="A4" s="44" t="s">
        <v>2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</row>
    <row r="6" spans="1:13" ht="25.5">
      <c r="A6" s="25" t="s">
        <v>3</v>
      </c>
      <c r="B6" s="25" t="s">
        <v>4</v>
      </c>
      <c r="C6" s="25" t="s">
        <v>5</v>
      </c>
      <c r="D6" s="25" t="s">
        <v>6</v>
      </c>
      <c r="E6" s="25" t="s">
        <v>7</v>
      </c>
      <c r="F6" s="25" t="s">
        <v>8</v>
      </c>
      <c r="G6" s="25" t="s">
        <v>9</v>
      </c>
      <c r="H6" s="25" t="s">
        <v>10</v>
      </c>
      <c r="I6" s="25" t="s">
        <v>11</v>
      </c>
      <c r="J6" s="25" t="s">
        <v>12</v>
      </c>
      <c r="K6" s="25" t="s">
        <v>13</v>
      </c>
      <c r="L6" s="25" t="s">
        <v>14</v>
      </c>
      <c r="M6" s="25" t="s">
        <v>15</v>
      </c>
    </row>
    <row r="7" spans="1:13">
      <c r="A7" s="26">
        <v>1</v>
      </c>
      <c r="B7" s="27" t="s">
        <v>16</v>
      </c>
      <c r="C7" s="27" t="s">
        <v>17</v>
      </c>
      <c r="D7" s="28"/>
      <c r="E7" s="28"/>
      <c r="F7" s="26">
        <v>4</v>
      </c>
      <c r="G7" s="28"/>
      <c r="H7" s="28"/>
      <c r="I7" s="42"/>
      <c r="J7" s="42"/>
      <c r="K7" s="42"/>
      <c r="L7" s="42"/>
      <c r="M7" s="42"/>
    </row>
    <row r="8" spans="1:13">
      <c r="A8" s="26">
        <v>2</v>
      </c>
      <c r="B8" s="27" t="s">
        <v>18</v>
      </c>
      <c r="C8" s="27" t="s">
        <v>19</v>
      </c>
      <c r="D8" s="28"/>
      <c r="E8" s="28"/>
      <c r="F8" s="26">
        <v>0</v>
      </c>
      <c r="G8" s="28"/>
      <c r="H8" s="28"/>
      <c r="I8" s="42"/>
      <c r="J8" s="42"/>
      <c r="K8" s="42"/>
      <c r="L8" s="42"/>
      <c r="M8" s="42"/>
    </row>
    <row r="9" spans="1:13">
      <c r="A9" s="26">
        <v>3</v>
      </c>
      <c r="B9" s="27" t="s">
        <v>20</v>
      </c>
      <c r="C9" s="27" t="s">
        <v>21</v>
      </c>
      <c r="D9" s="28"/>
      <c r="E9" s="28"/>
      <c r="F9" s="26">
        <v>2</v>
      </c>
      <c r="G9" s="28"/>
      <c r="H9" s="28"/>
      <c r="I9" s="42"/>
      <c r="J9" s="42"/>
      <c r="K9" s="42"/>
      <c r="L9" s="42"/>
      <c r="M9" s="42"/>
    </row>
    <row r="10" spans="1:13">
      <c r="A10" s="26">
        <v>4</v>
      </c>
      <c r="B10" s="27" t="s">
        <v>22</v>
      </c>
      <c r="C10" s="27" t="s">
        <v>23</v>
      </c>
      <c r="D10" s="28"/>
      <c r="E10" s="28"/>
      <c r="F10" s="26">
        <v>0</v>
      </c>
      <c r="G10" s="28"/>
      <c r="H10" s="28"/>
      <c r="I10" s="42"/>
      <c r="J10" s="42"/>
      <c r="K10" s="42"/>
      <c r="L10" s="42"/>
      <c r="M10" s="42"/>
    </row>
    <row r="11" spans="1:13">
      <c r="A11" s="26">
        <v>5</v>
      </c>
      <c r="B11" s="27" t="s">
        <v>24</v>
      </c>
      <c r="C11" s="27" t="s">
        <v>25</v>
      </c>
      <c r="D11" s="28"/>
      <c r="E11" s="28"/>
      <c r="F11" s="26">
        <v>1</v>
      </c>
      <c r="G11" s="28"/>
      <c r="H11" s="28"/>
      <c r="I11" s="42"/>
      <c r="J11" s="42"/>
      <c r="K11" s="42"/>
      <c r="L11" s="42"/>
      <c r="M11" s="42"/>
    </row>
    <row r="12" spans="1:13">
      <c r="A12" s="26">
        <v>6</v>
      </c>
      <c r="B12" s="27" t="s">
        <v>26</v>
      </c>
      <c r="C12" s="27" t="s">
        <v>27</v>
      </c>
      <c r="D12" s="28"/>
      <c r="E12" s="28"/>
      <c r="F12" s="26">
        <v>2</v>
      </c>
      <c r="G12" s="28"/>
      <c r="H12" s="28"/>
      <c r="I12" s="42"/>
      <c r="J12" s="42"/>
      <c r="K12" s="42"/>
      <c r="L12" s="42"/>
      <c r="M12" s="42"/>
    </row>
    <row r="13" spans="1:13">
      <c r="A13" s="26">
        <v>7</v>
      </c>
      <c r="B13" s="27" t="s">
        <v>28</v>
      </c>
      <c r="C13" s="27" t="s">
        <v>29</v>
      </c>
      <c r="D13" s="28"/>
      <c r="E13" s="28"/>
      <c r="F13" s="26">
        <v>0</v>
      </c>
      <c r="G13" s="28"/>
      <c r="H13" s="28"/>
      <c r="I13" s="42"/>
      <c r="J13" s="42"/>
      <c r="K13" s="42"/>
      <c r="L13" s="42"/>
      <c r="M13" s="42"/>
    </row>
    <row r="14" spans="1:13">
      <c r="A14" s="26">
        <v>8</v>
      </c>
      <c r="B14" s="27" t="s">
        <v>30</v>
      </c>
      <c r="C14" s="27" t="s">
        <v>31</v>
      </c>
      <c r="D14" s="28"/>
      <c r="E14" s="28"/>
      <c r="F14" s="26">
        <v>3</v>
      </c>
      <c r="G14" s="28"/>
      <c r="H14" s="28"/>
      <c r="I14" s="42"/>
      <c r="J14" s="42"/>
      <c r="K14" s="42"/>
      <c r="L14" s="42"/>
      <c r="M14" s="42"/>
    </row>
    <row r="15" spans="1:13">
      <c r="A15" s="26">
        <v>9</v>
      </c>
      <c r="B15" s="27" t="s">
        <v>32</v>
      </c>
      <c r="C15" s="27" t="s">
        <v>33</v>
      </c>
      <c r="D15" s="28"/>
      <c r="E15" s="28"/>
      <c r="F15" s="26">
        <v>0</v>
      </c>
      <c r="G15" s="28"/>
      <c r="H15" s="28"/>
      <c r="I15" s="42"/>
      <c r="J15" s="42"/>
      <c r="K15" s="42"/>
      <c r="L15" s="42"/>
      <c r="M15" s="42"/>
    </row>
    <row r="16" spans="1:13">
      <c r="A16" s="26">
        <v>10</v>
      </c>
      <c r="B16" s="27" t="s">
        <v>34</v>
      </c>
      <c r="C16" s="27" t="s">
        <v>35</v>
      </c>
      <c r="D16" s="28"/>
      <c r="E16" s="28"/>
      <c r="F16" s="26">
        <v>5</v>
      </c>
      <c r="G16" s="28"/>
      <c r="H16" s="28"/>
      <c r="I16" s="42"/>
      <c r="J16" s="42"/>
      <c r="K16" s="42"/>
      <c r="L16" s="42"/>
      <c r="M16" s="42"/>
    </row>
    <row r="17" spans="1:13">
      <c r="A17" s="29" t="s">
        <v>36</v>
      </c>
      <c r="B17" s="30"/>
      <c r="C17" s="30"/>
      <c r="D17" s="27"/>
      <c r="E17" s="30"/>
      <c r="F17" s="30"/>
      <c r="G17" s="30"/>
      <c r="H17" s="30"/>
      <c r="I17" s="30"/>
      <c r="J17" s="30"/>
      <c r="K17" s="30"/>
      <c r="L17" s="30"/>
      <c r="M17" s="43"/>
    </row>
    <row r="18" spans="1:13">
      <c r="A18" s="29" t="s">
        <v>37</v>
      </c>
      <c r="B18" s="30"/>
      <c r="C18" s="30"/>
      <c r="D18" s="27"/>
      <c r="E18" s="30"/>
      <c r="F18" s="30"/>
      <c r="G18" s="30"/>
      <c r="H18" s="30"/>
      <c r="I18" s="30"/>
      <c r="J18" s="30"/>
      <c r="K18" s="30"/>
      <c r="L18" s="30"/>
      <c r="M18" s="43"/>
    </row>
    <row r="19" spans="1:13">
      <c r="A19" s="29" t="s">
        <v>38</v>
      </c>
      <c r="B19" s="30"/>
      <c r="C19" s="30"/>
      <c r="D19" s="27"/>
      <c r="E19" s="30"/>
      <c r="F19" s="30"/>
      <c r="G19" s="30"/>
      <c r="H19" s="30"/>
      <c r="I19" s="30"/>
      <c r="J19" s="30"/>
      <c r="K19" s="30"/>
      <c r="L19" s="30"/>
      <c r="M19" s="43"/>
    </row>
    <row r="20" spans="1:13">
      <c r="A20" s="29" t="s">
        <v>39</v>
      </c>
      <c r="B20" s="30"/>
      <c r="C20" s="30"/>
      <c r="D20" s="27"/>
      <c r="E20" s="30"/>
      <c r="F20" s="30"/>
      <c r="G20" s="30"/>
      <c r="H20" s="30"/>
      <c r="I20" s="30"/>
      <c r="J20" s="30"/>
      <c r="K20" s="30"/>
      <c r="L20" s="30"/>
      <c r="M20" s="43"/>
    </row>
    <row r="22" spans="1:13">
      <c r="A22" s="23" t="s">
        <v>40</v>
      </c>
    </row>
    <row r="23" spans="1:13">
      <c r="A23" s="23" t="s">
        <v>41</v>
      </c>
    </row>
    <row r="24" spans="1:13">
      <c r="A24" s="23" t="s">
        <v>42</v>
      </c>
    </row>
    <row r="25" spans="1:13">
      <c r="A25" s="23" t="s">
        <v>43</v>
      </c>
    </row>
    <row r="26" spans="1:13">
      <c r="A26" s="23" t="s">
        <v>44</v>
      </c>
    </row>
    <row r="27" spans="1:13">
      <c r="A27" s="23" t="s">
        <v>45</v>
      </c>
    </row>
    <row r="28" spans="1:13">
      <c r="A28" s="23" t="s">
        <v>46</v>
      </c>
    </row>
    <row r="29" spans="1:13">
      <c r="A29" s="23" t="s">
        <v>47</v>
      </c>
    </row>
    <row r="30" spans="1:13">
      <c r="A30" s="23" t="s">
        <v>48</v>
      </c>
    </row>
    <row r="31" spans="1:13">
      <c r="A31" s="23" t="s">
        <v>49</v>
      </c>
    </row>
    <row r="32" spans="1:13">
      <c r="A32" s="23" t="s">
        <v>50</v>
      </c>
    </row>
    <row r="35" spans="1:5">
      <c r="A35" s="31" t="s">
        <v>51</v>
      </c>
      <c r="B35" s="31" t="s">
        <v>10</v>
      </c>
      <c r="D35" s="32" t="s">
        <v>9</v>
      </c>
      <c r="E35" s="31" t="s">
        <v>11</v>
      </c>
    </row>
    <row r="36" spans="1:5">
      <c r="A36" s="33" t="s">
        <v>52</v>
      </c>
      <c r="B36" s="33" t="s">
        <v>53</v>
      </c>
      <c r="D36" s="34">
        <v>1</v>
      </c>
      <c r="E36" s="35">
        <v>8000000</v>
      </c>
    </row>
    <row r="37" spans="1:5">
      <c r="A37" s="36" t="s">
        <v>54</v>
      </c>
      <c r="B37" s="36" t="s">
        <v>55</v>
      </c>
      <c r="D37" s="37">
        <v>2</v>
      </c>
      <c r="E37" s="38">
        <v>6000000</v>
      </c>
    </row>
    <row r="38" spans="1:5">
      <c r="A38" s="36" t="s">
        <v>56</v>
      </c>
      <c r="B38" s="36" t="s">
        <v>57</v>
      </c>
      <c r="D38" s="37">
        <v>3</v>
      </c>
      <c r="E38" s="38">
        <v>4500000</v>
      </c>
    </row>
    <row r="39" spans="1:5">
      <c r="A39" s="36" t="s">
        <v>58</v>
      </c>
      <c r="B39" s="36" t="s">
        <v>59</v>
      </c>
      <c r="D39" s="37">
        <v>4</v>
      </c>
      <c r="E39" s="38">
        <v>3000000</v>
      </c>
    </row>
    <row r="40" spans="1:5">
      <c r="A40" s="36" t="s">
        <v>60</v>
      </c>
      <c r="B40" s="36" t="s">
        <v>61</v>
      </c>
      <c r="D40" s="39">
        <v>5</v>
      </c>
      <c r="E40" s="40">
        <v>1500000</v>
      </c>
    </row>
    <row r="41" spans="1:5">
      <c r="A41" s="41" t="s">
        <v>62</v>
      </c>
      <c r="B41" s="41" t="s">
        <v>63</v>
      </c>
    </row>
  </sheetData>
  <mergeCells count="2">
    <mergeCell ref="A3:M3"/>
    <mergeCell ref="A4:M4"/>
  </mergeCells>
  <printOptions horizontalCentered="1"/>
  <pageMargins left="0.31496062992126" right="0.35433070866141703" top="0.511811023622047" bottom="0.98425196850393704" header="0.35433070866141703" footer="0.511811023622047"/>
  <pageSetup scale="97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3"/>
  <sheetViews>
    <sheetView showGridLines="0" tabSelected="1" zoomScale="83" zoomScaleNormal="83" workbookViewId="0">
      <selection activeCell="N8" sqref="N8"/>
    </sheetView>
  </sheetViews>
  <sheetFormatPr defaultColWidth="9.140625" defaultRowHeight="12.75"/>
  <cols>
    <col min="1" max="2" width="9.140625" style="1"/>
    <col min="3" max="3" width="13.140625" style="1" customWidth="1"/>
    <col min="4" max="4" width="18" style="1" customWidth="1"/>
    <col min="5" max="5" width="14.85546875" style="1" customWidth="1"/>
    <col min="6" max="6" width="18.28515625" style="1" customWidth="1"/>
    <col min="7" max="7" width="16" style="1" customWidth="1"/>
    <col min="8" max="8" width="14.28515625" style="1" customWidth="1"/>
    <col min="9" max="9" width="14.28515625" style="50" customWidth="1"/>
    <col min="10" max="10" width="12.85546875" style="1" customWidth="1"/>
    <col min="11" max="11" width="18.42578125" style="1" customWidth="1"/>
    <col min="12" max="16384" width="9.140625" style="1"/>
  </cols>
  <sheetData>
    <row r="1" spans="1:11" ht="15">
      <c r="A1" s="2"/>
      <c r="B1" s="2"/>
      <c r="C1" s="2"/>
      <c r="D1" s="2"/>
      <c r="E1" s="2"/>
      <c r="F1" s="2"/>
      <c r="G1" s="2"/>
      <c r="H1" s="2"/>
      <c r="I1" s="45"/>
      <c r="J1" s="2"/>
      <c r="K1" s="2"/>
    </row>
    <row r="2" spans="1:11" ht="15">
      <c r="A2" s="3"/>
      <c r="B2" s="3"/>
      <c r="C2" s="3"/>
      <c r="D2" s="3"/>
      <c r="E2" s="3"/>
      <c r="F2" s="3"/>
      <c r="G2" s="3"/>
      <c r="H2" s="3"/>
      <c r="I2" s="46"/>
      <c r="J2" s="3"/>
      <c r="K2" s="3"/>
    </row>
    <row r="3" spans="1:11" ht="18.75">
      <c r="A3" s="3"/>
      <c r="B3" s="4" t="s">
        <v>64</v>
      </c>
      <c r="C3" s="3"/>
      <c r="D3" s="3"/>
      <c r="E3" s="3"/>
      <c r="F3" s="3"/>
      <c r="G3" s="3"/>
      <c r="H3" s="3"/>
      <c r="I3" s="46"/>
      <c r="J3" s="3"/>
      <c r="K3" s="3"/>
    </row>
    <row r="4" spans="1:11" ht="15">
      <c r="A4" s="3"/>
      <c r="B4" s="3"/>
      <c r="C4" s="3"/>
      <c r="D4" s="3"/>
      <c r="E4" s="3"/>
      <c r="F4" s="3"/>
      <c r="G4" s="3"/>
      <c r="H4" s="3"/>
      <c r="I4" s="46"/>
      <c r="J4" s="3"/>
      <c r="K4" s="3"/>
    </row>
    <row r="5" spans="1:11" ht="30">
      <c r="A5" s="5"/>
      <c r="B5" s="6" t="s">
        <v>65</v>
      </c>
      <c r="C5" s="6" t="s">
        <v>66</v>
      </c>
      <c r="D5" s="7" t="s">
        <v>67</v>
      </c>
      <c r="E5" s="8" t="s">
        <v>68</v>
      </c>
      <c r="F5" s="8" t="s">
        <v>69</v>
      </c>
      <c r="G5" s="8" t="s">
        <v>70</v>
      </c>
      <c r="H5" s="8" t="s">
        <v>71</v>
      </c>
      <c r="I5" s="47" t="s">
        <v>72</v>
      </c>
      <c r="J5" s="8" t="s">
        <v>73</v>
      </c>
      <c r="K5" s="18" t="s">
        <v>74</v>
      </c>
    </row>
    <row r="6" spans="1:11" ht="15">
      <c r="A6" s="9"/>
      <c r="B6" s="10">
        <v>1</v>
      </c>
      <c r="C6" s="11" t="s">
        <v>75</v>
      </c>
      <c r="D6" s="10" t="s">
        <v>76</v>
      </c>
      <c r="E6" s="12" t="str">
        <f>VLOOKUP(LEFT(D6,2),$B$19:$E$24,2,FALSE)</f>
        <v>Lorena</v>
      </c>
      <c r="F6" s="12" t="str">
        <f>VLOOKUP(LEFT(D6,2),$B$19:$E$24,3,FALSE)</f>
        <v>Jakarta-Denpasar</v>
      </c>
      <c r="G6" s="12" t="str">
        <f>VLOOKUP(MID(D6,4,2),$G$19:$I$23,2,FALSE)</f>
        <v>Super Eksekutif</v>
      </c>
      <c r="H6" s="13">
        <f>VLOOKUP(LEFT(D6,2),$B$19:$E$24,4,FALSE)</f>
        <v>220000</v>
      </c>
      <c r="I6" s="51"/>
      <c r="J6" s="19"/>
      <c r="K6" s="10"/>
    </row>
    <row r="7" spans="1:11" ht="15">
      <c r="A7" s="9"/>
      <c r="B7" s="10">
        <v>2</v>
      </c>
      <c r="C7" s="11" t="s">
        <v>77</v>
      </c>
      <c r="D7" s="10" t="s">
        <v>78</v>
      </c>
      <c r="E7" s="12" t="str">
        <f t="shared" ref="E7:E17" si="0">VLOOKUP(LEFT(D7,2),$B$19:$E$24,2,FALSE)</f>
        <v>Lorena</v>
      </c>
      <c r="F7" s="12" t="str">
        <f t="shared" ref="F7:F17" si="1">VLOOKUP(LEFT(D7,2),$B$19:$E$24,3,FALSE)</f>
        <v>Jakarta-Denpasar</v>
      </c>
      <c r="G7" s="12" t="str">
        <f t="shared" ref="G7:G17" si="2">VLOOKUP(MID(D7,4,2),$G$19:$I$23,2,FALSE)</f>
        <v>Super Eksekutif</v>
      </c>
      <c r="H7" s="13">
        <f t="shared" ref="H7:H17" si="3">VLOOKUP(LEFT(D7,2),$B$19:$E$24,4,FALSE)</f>
        <v>220000</v>
      </c>
      <c r="I7" s="51"/>
      <c r="J7" s="19"/>
      <c r="K7" s="10"/>
    </row>
    <row r="8" spans="1:11" ht="15">
      <c r="A8" s="9"/>
      <c r="B8" s="10">
        <v>3</v>
      </c>
      <c r="C8" s="11" t="s">
        <v>79</v>
      </c>
      <c r="D8" s="10" t="s">
        <v>80</v>
      </c>
      <c r="E8" s="12" t="str">
        <f t="shared" si="0"/>
        <v>Setia Negara</v>
      </c>
      <c r="F8" s="12" t="str">
        <f t="shared" si="1"/>
        <v>Jakarta-Semarang</v>
      </c>
      <c r="G8" s="12" t="str">
        <f t="shared" si="2"/>
        <v>Bisnis</v>
      </c>
      <c r="H8" s="13">
        <f t="shared" si="3"/>
        <v>120000</v>
      </c>
      <c r="I8" s="51"/>
      <c r="J8" s="19"/>
      <c r="K8" s="10"/>
    </row>
    <row r="9" spans="1:11" ht="15">
      <c r="A9" s="9"/>
      <c r="B9" s="10">
        <v>4</v>
      </c>
      <c r="C9" s="11" t="s">
        <v>81</v>
      </c>
      <c r="D9" s="10" t="s">
        <v>82</v>
      </c>
      <c r="E9" s="12" t="str">
        <f t="shared" si="0"/>
        <v>Luragung Jaya</v>
      </c>
      <c r="F9" s="12" t="str">
        <f t="shared" si="1"/>
        <v>Jakarta-Cirebon</v>
      </c>
      <c r="G9" s="12" t="str">
        <f t="shared" si="2"/>
        <v>Ekonomi</v>
      </c>
      <c r="H9" s="13">
        <f t="shared" si="3"/>
        <v>40000</v>
      </c>
      <c r="I9" s="51"/>
      <c r="J9" s="19"/>
      <c r="K9" s="10"/>
    </row>
    <row r="10" spans="1:11" ht="15">
      <c r="A10" s="9"/>
      <c r="B10" s="10">
        <v>5</v>
      </c>
      <c r="C10" s="11" t="s">
        <v>83</v>
      </c>
      <c r="D10" s="10" t="s">
        <v>84</v>
      </c>
      <c r="E10" s="12" t="str">
        <f t="shared" si="0"/>
        <v>Sahabat</v>
      </c>
      <c r="F10" s="12" t="str">
        <f t="shared" si="1"/>
        <v>Jakarta-Kuningan</v>
      </c>
      <c r="G10" s="12" t="str">
        <f t="shared" si="2"/>
        <v>Super Eksekutif</v>
      </c>
      <c r="H10" s="13">
        <f t="shared" si="3"/>
        <v>60000</v>
      </c>
      <c r="I10" s="51"/>
      <c r="J10" s="19"/>
      <c r="K10" s="10"/>
    </row>
    <row r="11" spans="1:11" ht="15">
      <c r="A11" s="9"/>
      <c r="B11" s="10">
        <v>6</v>
      </c>
      <c r="C11" s="11" t="s">
        <v>85</v>
      </c>
      <c r="D11" s="10" t="s">
        <v>86</v>
      </c>
      <c r="E11" s="12" t="str">
        <f t="shared" si="0"/>
        <v>Sami Jaya</v>
      </c>
      <c r="F11" s="12" t="str">
        <f t="shared" si="1"/>
        <v>Jakarta-Surabaya</v>
      </c>
      <c r="G11" s="12" t="str">
        <f t="shared" si="2"/>
        <v>Eksekutif</v>
      </c>
      <c r="H11" s="13">
        <f t="shared" si="3"/>
        <v>190000</v>
      </c>
      <c r="I11" s="51"/>
      <c r="J11" s="19"/>
      <c r="K11" s="10"/>
    </row>
    <row r="12" spans="1:11" ht="15">
      <c r="A12" s="9"/>
      <c r="B12" s="10">
        <v>7</v>
      </c>
      <c r="C12" s="11" t="s">
        <v>87</v>
      </c>
      <c r="D12" s="10" t="s">
        <v>80</v>
      </c>
      <c r="E12" s="12" t="str">
        <f t="shared" si="0"/>
        <v>Setia Negara</v>
      </c>
      <c r="F12" s="12" t="str">
        <f t="shared" si="1"/>
        <v>Jakarta-Semarang</v>
      </c>
      <c r="G12" s="12" t="str">
        <f t="shared" si="2"/>
        <v>Bisnis</v>
      </c>
      <c r="H12" s="13">
        <f t="shared" si="3"/>
        <v>120000</v>
      </c>
      <c r="I12" s="51"/>
      <c r="J12" s="19"/>
      <c r="K12" s="10"/>
    </row>
    <row r="13" spans="1:11" ht="15">
      <c r="A13" s="9"/>
      <c r="B13" s="10">
        <v>8</v>
      </c>
      <c r="C13" s="11" t="s">
        <v>88</v>
      </c>
      <c r="D13" s="10" t="s">
        <v>82</v>
      </c>
      <c r="E13" s="12" t="str">
        <f t="shared" si="0"/>
        <v>Luragung Jaya</v>
      </c>
      <c r="F13" s="12" t="str">
        <f t="shared" si="1"/>
        <v>Jakarta-Cirebon</v>
      </c>
      <c r="G13" s="12" t="str">
        <f t="shared" si="2"/>
        <v>Ekonomi</v>
      </c>
      <c r="H13" s="13">
        <f t="shared" si="3"/>
        <v>40000</v>
      </c>
      <c r="I13" s="51"/>
      <c r="J13" s="19"/>
      <c r="K13" s="10"/>
    </row>
    <row r="14" spans="1:11" ht="15">
      <c r="A14" s="9"/>
      <c r="B14" s="10">
        <v>9</v>
      </c>
      <c r="C14" s="11" t="s">
        <v>89</v>
      </c>
      <c r="D14" s="10" t="s">
        <v>78</v>
      </c>
      <c r="E14" s="12" t="str">
        <f t="shared" si="0"/>
        <v>Lorena</v>
      </c>
      <c r="F14" s="12" t="str">
        <f t="shared" si="1"/>
        <v>Jakarta-Denpasar</v>
      </c>
      <c r="G14" s="12" t="str">
        <f t="shared" si="2"/>
        <v>Super Eksekutif</v>
      </c>
      <c r="H14" s="13">
        <f t="shared" si="3"/>
        <v>220000</v>
      </c>
      <c r="I14" s="51"/>
      <c r="J14" s="19"/>
      <c r="K14" s="10"/>
    </row>
    <row r="15" spans="1:11" ht="15">
      <c r="A15" s="9"/>
      <c r="B15" s="10">
        <v>10</v>
      </c>
      <c r="C15" s="11" t="s">
        <v>90</v>
      </c>
      <c r="D15" s="10" t="s">
        <v>91</v>
      </c>
      <c r="E15" s="12" t="str">
        <f t="shared" si="0"/>
        <v>Setia Negara</v>
      </c>
      <c r="F15" s="12" t="str">
        <f t="shared" si="1"/>
        <v>Jakarta-Semarang</v>
      </c>
      <c r="G15" s="12" t="str">
        <f t="shared" si="2"/>
        <v>Eksekutif</v>
      </c>
      <c r="H15" s="13">
        <f t="shared" si="3"/>
        <v>120000</v>
      </c>
      <c r="I15" s="51"/>
      <c r="J15" s="19"/>
      <c r="K15" s="10"/>
    </row>
    <row r="16" spans="1:11" ht="15">
      <c r="A16" s="9"/>
      <c r="B16" s="10">
        <v>11</v>
      </c>
      <c r="C16" s="11" t="s">
        <v>92</v>
      </c>
      <c r="D16" s="10" t="s">
        <v>93</v>
      </c>
      <c r="E16" s="12" t="str">
        <f t="shared" si="0"/>
        <v>Luragung Jaya</v>
      </c>
      <c r="F16" s="12" t="str">
        <f t="shared" si="1"/>
        <v>Jakarta-Cirebon</v>
      </c>
      <c r="G16" s="12" t="str">
        <f t="shared" si="2"/>
        <v>Ekonomi</v>
      </c>
      <c r="H16" s="13">
        <f t="shared" si="3"/>
        <v>40000</v>
      </c>
      <c r="I16" s="51"/>
      <c r="J16" s="19"/>
      <c r="K16" s="10"/>
    </row>
    <row r="17" spans="1:14" ht="15">
      <c r="A17" s="9"/>
      <c r="B17" s="10">
        <v>12</v>
      </c>
      <c r="C17" s="11" t="s">
        <v>94</v>
      </c>
      <c r="D17" s="10" t="s">
        <v>95</v>
      </c>
      <c r="E17" s="12" t="str">
        <f t="shared" si="0"/>
        <v>Sahabat</v>
      </c>
      <c r="F17" s="12" t="str">
        <f t="shared" si="1"/>
        <v>Jakarta-Kuningan</v>
      </c>
      <c r="G17" s="12" t="str">
        <f t="shared" si="2"/>
        <v>Super Eksekutif</v>
      </c>
      <c r="H17" s="13">
        <f t="shared" si="3"/>
        <v>60000</v>
      </c>
      <c r="I17" s="51"/>
      <c r="J17" s="19"/>
      <c r="K17" s="10"/>
    </row>
    <row r="18" spans="1:14" ht="15">
      <c r="A18" s="3"/>
      <c r="B18" s="3"/>
      <c r="C18" s="3"/>
      <c r="D18" s="3"/>
      <c r="E18" s="3"/>
      <c r="F18" s="3"/>
      <c r="G18" s="3"/>
      <c r="H18" s="3"/>
      <c r="I18" s="46"/>
      <c r="J18" s="3"/>
      <c r="K18" s="3"/>
    </row>
    <row r="19" spans="1:14" ht="30">
      <c r="A19" s="9"/>
      <c r="B19" s="6" t="s">
        <v>67</v>
      </c>
      <c r="C19" s="6" t="s">
        <v>68</v>
      </c>
      <c r="D19" s="6" t="s">
        <v>69</v>
      </c>
      <c r="E19" s="14" t="s">
        <v>71</v>
      </c>
      <c r="F19" s="9"/>
      <c r="G19" s="8" t="s">
        <v>96</v>
      </c>
      <c r="H19" s="6" t="s">
        <v>70</v>
      </c>
      <c r="I19" s="48" t="s">
        <v>72</v>
      </c>
      <c r="J19" s="9"/>
      <c r="K19" s="9"/>
    </row>
    <row r="20" spans="1:14" ht="15">
      <c r="A20" s="3"/>
      <c r="B20" s="15" t="s">
        <v>97</v>
      </c>
      <c r="C20" s="15" t="s">
        <v>98</v>
      </c>
      <c r="D20" s="15" t="s">
        <v>99</v>
      </c>
      <c r="E20" s="16">
        <v>220000</v>
      </c>
      <c r="F20" s="3"/>
      <c r="G20" s="17" t="s">
        <v>100</v>
      </c>
      <c r="H20" s="15" t="s">
        <v>101</v>
      </c>
      <c r="I20" s="49">
        <v>0.25</v>
      </c>
      <c r="J20" s="3"/>
      <c r="K20" s="20"/>
      <c r="L20" s="21"/>
      <c r="M20" s="22"/>
      <c r="N20" s="21"/>
    </row>
    <row r="21" spans="1:14" ht="15">
      <c r="A21" s="3"/>
      <c r="B21" s="15" t="s">
        <v>102</v>
      </c>
      <c r="C21" s="15" t="s">
        <v>103</v>
      </c>
      <c r="D21" s="15" t="s">
        <v>104</v>
      </c>
      <c r="E21" s="16">
        <v>40000</v>
      </c>
      <c r="F21" s="3"/>
      <c r="G21" s="17" t="s">
        <v>105</v>
      </c>
      <c r="H21" s="15" t="s">
        <v>106</v>
      </c>
      <c r="I21" s="49">
        <v>0</v>
      </c>
      <c r="J21" s="3"/>
      <c r="K21" s="20"/>
      <c r="L21" s="21"/>
      <c r="M21" s="22"/>
      <c r="N21" s="21"/>
    </row>
    <row r="22" spans="1:14" ht="15">
      <c r="A22" s="3"/>
      <c r="B22" s="15" t="s">
        <v>107</v>
      </c>
      <c r="C22" s="15" t="s">
        <v>108</v>
      </c>
      <c r="D22" s="15" t="s">
        <v>109</v>
      </c>
      <c r="E22" s="16">
        <v>60000</v>
      </c>
      <c r="F22" s="3"/>
      <c r="G22" s="17" t="s">
        <v>110</v>
      </c>
      <c r="H22" s="15" t="s">
        <v>111</v>
      </c>
      <c r="I22" s="49">
        <v>0.5</v>
      </c>
      <c r="J22" s="3"/>
      <c r="K22" s="20"/>
      <c r="L22" s="21"/>
      <c r="M22" s="22"/>
      <c r="N22" s="21"/>
    </row>
    <row r="23" spans="1:14" ht="15">
      <c r="A23" s="3"/>
      <c r="B23" s="15" t="s">
        <v>112</v>
      </c>
      <c r="C23" s="15" t="s">
        <v>113</v>
      </c>
      <c r="D23" s="15" t="s">
        <v>114</v>
      </c>
      <c r="E23" s="16">
        <v>190000</v>
      </c>
      <c r="F23" s="3"/>
      <c r="G23" s="17" t="s">
        <v>115</v>
      </c>
      <c r="H23" s="15" t="s">
        <v>116</v>
      </c>
      <c r="I23" s="49">
        <v>0.75</v>
      </c>
      <c r="J23" s="3"/>
      <c r="K23" s="3"/>
    </row>
    <row r="24" spans="1:14" ht="15">
      <c r="A24" s="3"/>
      <c r="B24" s="15" t="s">
        <v>117</v>
      </c>
      <c r="C24" s="15" t="s">
        <v>118</v>
      </c>
      <c r="D24" s="15" t="s">
        <v>119</v>
      </c>
      <c r="E24" s="16">
        <v>120000</v>
      </c>
      <c r="F24" s="3"/>
      <c r="G24" s="3"/>
      <c r="H24" s="3"/>
      <c r="I24" s="46"/>
      <c r="J24" s="3"/>
      <c r="K24" s="3"/>
    </row>
    <row r="25" spans="1:14" ht="15">
      <c r="A25" s="3"/>
      <c r="B25" s="3"/>
      <c r="C25" s="3"/>
      <c r="D25" s="3"/>
      <c r="E25" s="3"/>
      <c r="F25" s="3"/>
      <c r="G25" s="3"/>
      <c r="H25" s="3"/>
      <c r="I25" s="46"/>
      <c r="J25" s="3"/>
      <c r="K25" s="3"/>
    </row>
    <row r="26" spans="1:14" ht="15">
      <c r="B26" s="3" t="s">
        <v>120</v>
      </c>
    </row>
    <row r="27" spans="1:14" ht="15">
      <c r="B27" s="3" t="s">
        <v>121</v>
      </c>
    </row>
    <row r="28" spans="1:14" ht="15">
      <c r="B28" s="3" t="s">
        <v>122</v>
      </c>
    </row>
    <row r="29" spans="1:14" ht="15">
      <c r="B29" s="3" t="s">
        <v>123</v>
      </c>
    </row>
    <row r="30" spans="1:14" ht="15">
      <c r="B30" s="3" t="s">
        <v>124</v>
      </c>
    </row>
    <row r="31" spans="1:14" ht="15">
      <c r="B31" s="3" t="s">
        <v>125</v>
      </c>
    </row>
    <row r="32" spans="1:14" ht="15">
      <c r="B32" s="3" t="s">
        <v>126</v>
      </c>
    </row>
    <row r="33" spans="2:2" ht="15">
      <c r="B33" s="3" t="s">
        <v>127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SOAL1</vt:lpstr>
      <vt:lpstr>SOAL2</vt:lpstr>
      <vt:lpstr>GAJI_POKOK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DADANS_000170471</dc:creator>
  <cp:lastModifiedBy>niaulans</cp:lastModifiedBy>
  <dcterms:created xsi:type="dcterms:W3CDTF">2018-06-26T04:50:00Z</dcterms:created>
  <dcterms:modified xsi:type="dcterms:W3CDTF">2025-03-23T16:39:24Z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C58B3CE6F1324BBAA8A1CBC3F226C82C</vt:lpwstr>
  </property>
  <property fmtid="{D5CDD505-2E9C-101B-9397-08002B2CF9AE}" pid="3" name="KSOProductBuildVer">
    <vt:lpwstr>2057-11.2.0.10323</vt:lpwstr>
  </property>
</Properties>
</file>