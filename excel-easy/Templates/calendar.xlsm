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els\Websites\excel-easy\examples\excel-files\"/>
    </mc:Choice>
  </mc:AlternateContent>
  <xr:revisionPtr revIDLastSave="0" documentId="13_ncr:1_{A860DF24-D391-4A6A-BA01-383CD252EBA9}" xr6:coauthVersionLast="46" xr6:coauthVersionMax="46" xr10:uidLastSave="{00000000-0000-0000-0000-000000000000}"/>
  <bookViews>
    <workbookView xWindow="-120" yWindow="-120" windowWidth="29040" windowHeight="15840" tabRatio="702" xr2:uid="{00000000-000D-0000-FFFF-FFFF00000000}"/>
  </bookViews>
  <sheets>
    <sheet name="Jan" sheetId="1" r:id="rId1"/>
    <sheet name="Feb" sheetId="10" r:id="rId2"/>
    <sheet name="Mar" sheetId="12" r:id="rId3"/>
    <sheet name="Apr" sheetId="13" r:id="rId4"/>
    <sheet name="May" sheetId="14" r:id="rId5"/>
    <sheet name="Jun" sheetId="15" r:id="rId6"/>
    <sheet name="Jul" sheetId="16" r:id="rId7"/>
    <sheet name="Aug" sheetId="17" r:id="rId8"/>
    <sheet name="Sep" sheetId="18" r:id="rId9"/>
    <sheet name="Oct" sheetId="19" r:id="rId10"/>
    <sheet name="Nov" sheetId="20" r:id="rId11"/>
    <sheet name="Dec" sheetId="21" r:id="rId12"/>
  </sheets>
  <definedNames>
    <definedName name="AprOffset">DATE(calendarYear,4,1)-WEEKDAY(DATE(calendarYear,4,1))</definedName>
    <definedName name="AugOffset">DATE(calendarYear,8,1)-WEEKDAY(DATE(calendarYear,8,1))</definedName>
    <definedName name="calendarYear">Jan!$K$5</definedName>
    <definedName name="DecOffset">DATE(calendarYear,12,1)-WEEKDAY(DATE(calendarYear,12,1))</definedName>
    <definedName name="FebOffset">DATE(calendarYear,2,1)-WEEKDAY(DATE(calendarYear,2,1))</definedName>
    <definedName name="JanOffset">DATE(calendarYear,1,1)-WEEKDAY(DATE(calendarYear,1,1))</definedName>
    <definedName name="JulOffset">DATE(calendarYear,7,1)-WEEKDAY(DATE(calendarYear,7,1))</definedName>
    <definedName name="JunOffset">DATE(calendarYear,6,1)-WEEKDAY(DATE(calendarYear,6,1))</definedName>
    <definedName name="MarOffset">DATE(calendarYear,3,1)-WEEKDAY(DATE(calendarYear,3,1))</definedName>
    <definedName name="MayOffset">DATE(calendarYear,5,1)-WEEKDAY(DATE(calendarYear,5,1))</definedName>
    <definedName name="NovOffset">DATE(calendarYear,11,1)-WEEKDAY(DATE(calendarYear,11,1))</definedName>
    <definedName name="OctOffset">DATE(calendarYear,10,1)-WEEKDAY(DATE(calendarYear,10,1))</definedName>
    <definedName name="_xlnm.Print_Area" localSheetId="3">Apr!$B$2:$H$15</definedName>
    <definedName name="_xlnm.Print_Area" localSheetId="7">Aug!$B$2:$H$15</definedName>
    <definedName name="_xlnm.Print_Area" localSheetId="11">Dec!$B$2:$H$15</definedName>
    <definedName name="_xlnm.Print_Area" localSheetId="1">Feb!$B$2:$H$15</definedName>
    <definedName name="_xlnm.Print_Area" localSheetId="0">Jan!$B$2:$H$15</definedName>
    <definedName name="_xlnm.Print_Area" localSheetId="6">Jul!$B$2:$H$15</definedName>
    <definedName name="_xlnm.Print_Area" localSheetId="5">Jun!$B$2:$H$15</definedName>
    <definedName name="_xlnm.Print_Area" localSheetId="2">Mar!$B$2:$H$15</definedName>
    <definedName name="_xlnm.Print_Area" localSheetId="4">May!$B$2:$H$15</definedName>
    <definedName name="_xlnm.Print_Area" localSheetId="10">Nov!$B$2:$H$15</definedName>
    <definedName name="_xlnm.Print_Area" localSheetId="9">Oct!$B$2:$H$15</definedName>
    <definedName name="_xlnm.Print_Area" localSheetId="8">Sep!$B$2:$H$15</definedName>
    <definedName name="SepOffset">DATE(calendarYear,9,1)-WEEKDAY(DATE(calendarYear,9,1))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21" l="1" a="1"/>
  <c r="C14" i="21" s="1"/>
  <c r="B14" i="21" a="1"/>
  <c r="B14" i="21" s="1"/>
  <c r="H12" i="21" a="1"/>
  <c r="H12" i="21" s="1"/>
  <c r="G12" i="21" a="1"/>
  <c r="G12" i="21" s="1"/>
  <c r="F12" i="21" a="1"/>
  <c r="F12" i="21" s="1"/>
  <c r="E12" i="21" a="1"/>
  <c r="E12" i="21" s="1"/>
  <c r="D12" i="21" a="1"/>
  <c r="D12" i="21" s="1"/>
  <c r="C12" i="21" a="1"/>
  <c r="C12" i="21" s="1"/>
  <c r="B12" i="21" a="1"/>
  <c r="B12" i="21" s="1"/>
  <c r="H10" i="21" a="1"/>
  <c r="H10" i="21" s="1"/>
  <c r="G10" i="21" a="1"/>
  <c r="G10" i="21" s="1"/>
  <c r="F10" i="21" a="1"/>
  <c r="F10" i="21" s="1"/>
  <c r="E10" i="21" a="1"/>
  <c r="E10" i="21" s="1"/>
  <c r="D10" i="21" a="1"/>
  <c r="D10" i="21" s="1"/>
  <c r="C10" i="21" a="1"/>
  <c r="C10" i="21" s="1"/>
  <c r="B10" i="21" a="1"/>
  <c r="B10" i="21" s="1"/>
  <c r="H8" i="21" a="1"/>
  <c r="H8" i="21" s="1"/>
  <c r="G8" i="21" a="1"/>
  <c r="G8" i="21" s="1"/>
  <c r="F8" i="21" a="1"/>
  <c r="F8" i="21" s="1"/>
  <c r="E8" i="21" a="1"/>
  <c r="E8" i="21" s="1"/>
  <c r="D8" i="21" a="1"/>
  <c r="D8" i="21" s="1"/>
  <c r="C8" i="21" a="1"/>
  <c r="C8" i="21" s="1"/>
  <c r="B8" i="21" a="1"/>
  <c r="B8" i="21" s="1"/>
  <c r="H6" i="21" a="1"/>
  <c r="H6" i="21" s="1"/>
  <c r="G6" i="21" a="1"/>
  <c r="G6" i="21" s="1"/>
  <c r="F6" i="21" a="1"/>
  <c r="F6" i="21" s="1"/>
  <c r="E6" i="21" a="1"/>
  <c r="E6" i="21" s="1"/>
  <c r="D6" i="21" a="1"/>
  <c r="D6" i="21" s="1"/>
  <c r="C6" i="21" a="1"/>
  <c r="C6" i="21" s="1"/>
  <c r="B6" i="21" a="1"/>
  <c r="B6" i="21" s="1"/>
  <c r="H4" i="21" a="1"/>
  <c r="H4" i="21" s="1"/>
  <c r="G4" i="21" a="1"/>
  <c r="G4" i="21" s="1"/>
  <c r="F4" i="21" a="1"/>
  <c r="F4" i="21" s="1"/>
  <c r="E4" i="21" a="1"/>
  <c r="E4" i="21" s="1"/>
  <c r="D4" i="21" a="1"/>
  <c r="D4" i="21" s="1"/>
  <c r="C4" i="21" a="1"/>
  <c r="C4" i="21" s="1"/>
  <c r="B4" i="21" a="1"/>
  <c r="B4" i="21" s="1"/>
  <c r="C14" i="20" a="1"/>
  <c r="C14" i="20" s="1"/>
  <c r="B14" i="20" a="1"/>
  <c r="B14" i="20" s="1"/>
  <c r="H12" i="20" a="1"/>
  <c r="H12" i="20" s="1"/>
  <c r="G12" i="20" a="1"/>
  <c r="G12" i="20" s="1"/>
  <c r="F12" i="20" a="1"/>
  <c r="F12" i="20" s="1"/>
  <c r="E12" i="20" a="1"/>
  <c r="E12" i="20" s="1"/>
  <c r="D12" i="20" a="1"/>
  <c r="D12" i="20" s="1"/>
  <c r="C12" i="20" a="1"/>
  <c r="C12" i="20" s="1"/>
  <c r="B12" i="20" a="1"/>
  <c r="B12" i="20" s="1"/>
  <c r="H10" i="20" a="1"/>
  <c r="H10" i="20" s="1"/>
  <c r="G10" i="20" a="1"/>
  <c r="G10" i="20" s="1"/>
  <c r="F10" i="20" a="1"/>
  <c r="F10" i="20" s="1"/>
  <c r="E10" i="20" a="1"/>
  <c r="E10" i="20" s="1"/>
  <c r="D10" i="20" a="1"/>
  <c r="D10" i="20" s="1"/>
  <c r="C10" i="20" a="1"/>
  <c r="C10" i="20" s="1"/>
  <c r="B10" i="20" a="1"/>
  <c r="B10" i="20" s="1"/>
  <c r="H8" i="20" a="1"/>
  <c r="H8" i="20" s="1"/>
  <c r="G8" i="20" a="1"/>
  <c r="G8" i="20" s="1"/>
  <c r="F8" i="20" a="1"/>
  <c r="F8" i="20" s="1"/>
  <c r="E8" i="20" a="1"/>
  <c r="E8" i="20" s="1"/>
  <c r="D8" i="20" a="1"/>
  <c r="D8" i="20" s="1"/>
  <c r="C8" i="20" a="1"/>
  <c r="C8" i="20" s="1"/>
  <c r="B8" i="20" a="1"/>
  <c r="B8" i="20" s="1"/>
  <c r="H6" i="20" a="1"/>
  <c r="H6" i="20" s="1"/>
  <c r="G6" i="20" a="1"/>
  <c r="G6" i="20" s="1"/>
  <c r="F6" i="20" a="1"/>
  <c r="F6" i="20" s="1"/>
  <c r="E6" i="20" a="1"/>
  <c r="E6" i="20" s="1"/>
  <c r="D6" i="20" a="1"/>
  <c r="D6" i="20" s="1"/>
  <c r="C6" i="20" a="1"/>
  <c r="C6" i="20" s="1"/>
  <c r="B6" i="20" a="1"/>
  <c r="B6" i="20" s="1"/>
  <c r="H4" i="20" a="1"/>
  <c r="H4" i="20" s="1"/>
  <c r="G4" i="20" a="1"/>
  <c r="G4" i="20" s="1"/>
  <c r="F4" i="20" a="1"/>
  <c r="F4" i="20" s="1"/>
  <c r="E4" i="20" a="1"/>
  <c r="E4" i="20" s="1"/>
  <c r="D4" i="20" a="1"/>
  <c r="D4" i="20" s="1"/>
  <c r="C4" i="20" a="1"/>
  <c r="C4" i="20" s="1"/>
  <c r="B4" i="20" a="1"/>
  <c r="B4" i="20" s="1"/>
  <c r="C14" i="19" a="1"/>
  <c r="C14" i="19" s="1"/>
  <c r="B14" i="19" a="1"/>
  <c r="B14" i="19" s="1"/>
  <c r="H12" i="19" a="1"/>
  <c r="H12" i="19" s="1"/>
  <c r="G12" i="19" a="1"/>
  <c r="G12" i="19" s="1"/>
  <c r="F12" i="19" a="1"/>
  <c r="F12" i="19" s="1"/>
  <c r="E12" i="19" a="1"/>
  <c r="E12" i="19" s="1"/>
  <c r="D12" i="19" a="1"/>
  <c r="D12" i="19" s="1"/>
  <c r="C12" i="19" a="1"/>
  <c r="C12" i="19" s="1"/>
  <c r="B12" i="19" a="1"/>
  <c r="B12" i="19" s="1"/>
  <c r="H10" i="19" a="1"/>
  <c r="H10" i="19" s="1"/>
  <c r="G10" i="19" a="1"/>
  <c r="G10" i="19" s="1"/>
  <c r="F10" i="19" a="1"/>
  <c r="F10" i="19" s="1"/>
  <c r="E10" i="19" a="1"/>
  <c r="E10" i="19" s="1"/>
  <c r="D10" i="19" a="1"/>
  <c r="D10" i="19" s="1"/>
  <c r="C10" i="19" a="1"/>
  <c r="C10" i="19" s="1"/>
  <c r="B10" i="19" a="1"/>
  <c r="B10" i="19" s="1"/>
  <c r="H8" i="19" a="1"/>
  <c r="H8" i="19" s="1"/>
  <c r="G8" i="19" a="1"/>
  <c r="G8" i="19" s="1"/>
  <c r="F8" i="19" a="1"/>
  <c r="F8" i="19" s="1"/>
  <c r="E8" i="19" a="1"/>
  <c r="E8" i="19" s="1"/>
  <c r="D8" i="19" a="1"/>
  <c r="D8" i="19" s="1"/>
  <c r="C8" i="19" a="1"/>
  <c r="C8" i="19" s="1"/>
  <c r="B8" i="19" a="1"/>
  <c r="B8" i="19" s="1"/>
  <c r="H6" i="19" a="1"/>
  <c r="H6" i="19" s="1"/>
  <c r="G6" i="19" a="1"/>
  <c r="G6" i="19" s="1"/>
  <c r="F6" i="19" a="1"/>
  <c r="F6" i="19" s="1"/>
  <c r="E6" i="19" a="1"/>
  <c r="E6" i="19" s="1"/>
  <c r="D6" i="19" a="1"/>
  <c r="D6" i="19" s="1"/>
  <c r="C6" i="19" a="1"/>
  <c r="C6" i="19" s="1"/>
  <c r="B6" i="19" a="1"/>
  <c r="B6" i="19" s="1"/>
  <c r="H4" i="19" a="1"/>
  <c r="H4" i="19" s="1"/>
  <c r="G4" i="19" a="1"/>
  <c r="G4" i="19" s="1"/>
  <c r="F4" i="19" a="1"/>
  <c r="F4" i="19" s="1"/>
  <c r="E4" i="19" a="1"/>
  <c r="E4" i="19" s="1"/>
  <c r="D4" i="19" a="1"/>
  <c r="D4" i="19" s="1"/>
  <c r="C4" i="19" a="1"/>
  <c r="C4" i="19" s="1"/>
  <c r="B4" i="19" a="1"/>
  <c r="B4" i="19" s="1"/>
  <c r="C14" i="18" a="1"/>
  <c r="C14" i="18" s="1"/>
  <c r="B14" i="18" a="1"/>
  <c r="B14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B12" i="18" a="1"/>
  <c r="B12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B10" i="18" a="1"/>
  <c r="B10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B8" i="18" a="1"/>
  <c r="B8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B6" i="18" a="1"/>
  <c r="B6" i="18" s="1"/>
  <c r="H4" i="18" a="1"/>
  <c r="H4" i="18" s="1"/>
  <c r="G4" i="18" a="1"/>
  <c r="G4" i="18" s="1"/>
  <c r="F4" i="18" a="1"/>
  <c r="F4" i="18" s="1"/>
  <c r="E4" i="18" a="1"/>
  <c r="E4" i="18" s="1"/>
  <c r="D4" i="18" a="1"/>
  <c r="D4" i="18" s="1"/>
  <c r="C4" i="18" a="1"/>
  <c r="C4" i="18" s="1"/>
  <c r="B4" i="18" a="1"/>
  <c r="B4" i="18" s="1"/>
  <c r="C14" i="17" a="1"/>
  <c r="C14" i="17" s="1"/>
  <c r="B14" i="17" a="1"/>
  <c r="B14" i="17" s="1"/>
  <c r="H12" i="17" a="1"/>
  <c r="H12" i="17" s="1"/>
  <c r="G12" i="17" a="1"/>
  <c r="G12" i="17" s="1"/>
  <c r="F12" i="17" a="1"/>
  <c r="F12" i="17" s="1"/>
  <c r="E12" i="17" a="1"/>
  <c r="E12" i="17" s="1"/>
  <c r="D12" i="17" a="1"/>
  <c r="D12" i="17" s="1"/>
  <c r="C12" i="17" a="1"/>
  <c r="C12" i="17" s="1"/>
  <c r="B12" i="17" a="1"/>
  <c r="B12" i="17" s="1"/>
  <c r="H10" i="17" a="1"/>
  <c r="H10" i="17" s="1"/>
  <c r="G10" i="17" a="1"/>
  <c r="G10" i="17" s="1"/>
  <c r="F10" i="17" a="1"/>
  <c r="F10" i="17" s="1"/>
  <c r="E10" i="17" a="1"/>
  <c r="E10" i="17" s="1"/>
  <c r="D10" i="17" a="1"/>
  <c r="D10" i="17" s="1"/>
  <c r="C10" i="17" a="1"/>
  <c r="C10" i="17" s="1"/>
  <c r="B10" i="17" a="1"/>
  <c r="B10" i="17" s="1"/>
  <c r="H8" i="17" a="1"/>
  <c r="H8" i="17" s="1"/>
  <c r="G8" i="17" a="1"/>
  <c r="G8" i="17" s="1"/>
  <c r="F8" i="17" a="1"/>
  <c r="F8" i="17" s="1"/>
  <c r="E8" i="17" a="1"/>
  <c r="E8" i="17" s="1"/>
  <c r="D8" i="17" a="1"/>
  <c r="D8" i="17" s="1"/>
  <c r="C8" i="17" a="1"/>
  <c r="C8" i="17" s="1"/>
  <c r="B8" i="17" a="1"/>
  <c r="B8" i="17" s="1"/>
  <c r="H6" i="17" a="1"/>
  <c r="H6" i="17" s="1"/>
  <c r="G6" i="17" a="1"/>
  <c r="G6" i="17" s="1"/>
  <c r="F6" i="17" a="1"/>
  <c r="F6" i="17" s="1"/>
  <c r="E6" i="17" a="1"/>
  <c r="E6" i="17" s="1"/>
  <c r="D6" i="17" a="1"/>
  <c r="D6" i="17" s="1"/>
  <c r="C6" i="17" a="1"/>
  <c r="C6" i="17" s="1"/>
  <c r="B6" i="17" a="1"/>
  <c r="B6" i="17" s="1"/>
  <c r="H4" i="17" a="1"/>
  <c r="H4" i="17" s="1"/>
  <c r="G4" i="17" a="1"/>
  <c r="G4" i="17" s="1"/>
  <c r="F4" i="17" a="1"/>
  <c r="F4" i="17" s="1"/>
  <c r="E4" i="17" a="1"/>
  <c r="E4" i="17" s="1"/>
  <c r="D4" i="17" a="1"/>
  <c r="D4" i="17" s="1"/>
  <c r="C4" i="17" a="1"/>
  <c r="C4" i="17" s="1"/>
  <c r="B4" i="17" a="1"/>
  <c r="B4" i="17" s="1"/>
  <c r="C14" i="16" a="1"/>
  <c r="C14" i="16" s="1"/>
  <c r="B14" i="16" a="1"/>
  <c r="B14" i="16" s="1"/>
  <c r="H12" i="16" a="1"/>
  <c r="H12" i="16" s="1"/>
  <c r="G12" i="16" a="1"/>
  <c r="G12" i="16" s="1"/>
  <c r="F12" i="16" a="1"/>
  <c r="F12" i="16" s="1"/>
  <c r="E12" i="16" a="1"/>
  <c r="E12" i="16" s="1"/>
  <c r="D12" i="16" a="1"/>
  <c r="D12" i="16" s="1"/>
  <c r="C12" i="16" a="1"/>
  <c r="C12" i="16" s="1"/>
  <c r="B12" i="16" a="1"/>
  <c r="B12" i="16" s="1"/>
  <c r="H10" i="16" a="1"/>
  <c r="H10" i="16" s="1"/>
  <c r="G10" i="16" a="1"/>
  <c r="G10" i="16" s="1"/>
  <c r="F10" i="16" a="1"/>
  <c r="F10" i="16" s="1"/>
  <c r="E10" i="16" a="1"/>
  <c r="E10" i="16" s="1"/>
  <c r="D10" i="16" a="1"/>
  <c r="D10" i="16" s="1"/>
  <c r="C10" i="16" a="1"/>
  <c r="C10" i="16" s="1"/>
  <c r="B10" i="16" a="1"/>
  <c r="B10" i="16" s="1"/>
  <c r="H8" i="16" a="1"/>
  <c r="H8" i="16" s="1"/>
  <c r="G8" i="16" a="1"/>
  <c r="G8" i="16" s="1"/>
  <c r="F8" i="16" a="1"/>
  <c r="F8" i="16" s="1"/>
  <c r="E8" i="16" a="1"/>
  <c r="E8" i="16" s="1"/>
  <c r="D8" i="16" a="1"/>
  <c r="D8" i="16" s="1"/>
  <c r="C8" i="16" a="1"/>
  <c r="C8" i="16" s="1"/>
  <c r="B8" i="16" a="1"/>
  <c r="B8" i="16" s="1"/>
  <c r="H6" i="16" a="1"/>
  <c r="H6" i="16" s="1"/>
  <c r="G6" i="16" a="1"/>
  <c r="G6" i="16" s="1"/>
  <c r="F6" i="16" a="1"/>
  <c r="F6" i="16" s="1"/>
  <c r="E6" i="16" a="1"/>
  <c r="E6" i="16" s="1"/>
  <c r="D6" i="16" a="1"/>
  <c r="D6" i="16" s="1"/>
  <c r="C6" i="16" a="1"/>
  <c r="C6" i="16" s="1"/>
  <c r="B6" i="16" a="1"/>
  <c r="B6" i="16" s="1"/>
  <c r="H4" i="16" a="1"/>
  <c r="H4" i="16" s="1"/>
  <c r="G4" i="16" a="1"/>
  <c r="G4" i="16" s="1"/>
  <c r="F4" i="16" a="1"/>
  <c r="F4" i="16" s="1"/>
  <c r="E4" i="16" a="1"/>
  <c r="E4" i="16" s="1"/>
  <c r="D4" i="16" a="1"/>
  <c r="D4" i="16" s="1"/>
  <c r="C4" i="16" a="1"/>
  <c r="C4" i="16" s="1"/>
  <c r="B4" i="16" a="1"/>
  <c r="B4" i="16" s="1"/>
  <c r="C14" i="15" a="1"/>
  <c r="C14" i="15" s="1"/>
  <c r="B14" i="15" a="1"/>
  <c r="B14" i="15" s="1"/>
  <c r="H12" i="15" a="1"/>
  <c r="H12" i="15" s="1"/>
  <c r="G12" i="15" a="1"/>
  <c r="G12" i="15" s="1"/>
  <c r="F12" i="15" a="1"/>
  <c r="F12" i="15" s="1"/>
  <c r="E12" i="15" a="1"/>
  <c r="E12" i="15" s="1"/>
  <c r="D12" i="15" a="1"/>
  <c r="D12" i="15" s="1"/>
  <c r="C12" i="15" a="1"/>
  <c r="C12" i="15" s="1"/>
  <c r="B12" i="15" a="1"/>
  <c r="B12" i="15" s="1"/>
  <c r="H10" i="15" a="1"/>
  <c r="H10" i="15" s="1"/>
  <c r="G10" i="15" a="1"/>
  <c r="G10" i="15" s="1"/>
  <c r="F10" i="15" a="1"/>
  <c r="F10" i="15" s="1"/>
  <c r="E10" i="15" a="1"/>
  <c r="E10" i="15" s="1"/>
  <c r="D10" i="15" a="1"/>
  <c r="D10" i="15" s="1"/>
  <c r="C10" i="15" a="1"/>
  <c r="C10" i="15" s="1"/>
  <c r="B10" i="15" a="1"/>
  <c r="B10" i="15" s="1"/>
  <c r="H8" i="15" a="1"/>
  <c r="H8" i="15" s="1"/>
  <c r="G8" i="15" a="1"/>
  <c r="G8" i="15" s="1"/>
  <c r="F8" i="15" a="1"/>
  <c r="F8" i="15" s="1"/>
  <c r="E8" i="15" a="1"/>
  <c r="E8" i="15" s="1"/>
  <c r="D8" i="15" a="1"/>
  <c r="D8" i="15" s="1"/>
  <c r="C8" i="15" a="1"/>
  <c r="C8" i="15" s="1"/>
  <c r="B8" i="15" a="1"/>
  <c r="B8" i="15" s="1"/>
  <c r="H6" i="15" a="1"/>
  <c r="H6" i="15" s="1"/>
  <c r="G6" i="15" a="1"/>
  <c r="G6" i="15" s="1"/>
  <c r="F6" i="15" a="1"/>
  <c r="F6" i="15" s="1"/>
  <c r="E6" i="15" a="1"/>
  <c r="E6" i="15" s="1"/>
  <c r="D6" i="15" a="1"/>
  <c r="D6" i="15" s="1"/>
  <c r="C6" i="15" a="1"/>
  <c r="C6" i="15" s="1"/>
  <c r="B6" i="15" a="1"/>
  <c r="B6" i="15" s="1"/>
  <c r="H4" i="15" a="1"/>
  <c r="H4" i="15" s="1"/>
  <c r="G4" i="15" a="1"/>
  <c r="G4" i="15" s="1"/>
  <c r="F4" i="15" a="1"/>
  <c r="F4" i="15" s="1"/>
  <c r="E4" i="15" a="1"/>
  <c r="E4" i="15" s="1"/>
  <c r="D4" i="15" a="1"/>
  <c r="D4" i="15" s="1"/>
  <c r="C4" i="15" a="1"/>
  <c r="C4" i="15" s="1"/>
  <c r="B4" i="15" a="1"/>
  <c r="B4" i="15" s="1"/>
  <c r="C14" i="14" a="1"/>
  <c r="C14" i="14" s="1"/>
  <c r="B14" i="14" a="1"/>
  <c r="B14" i="14" s="1"/>
  <c r="H12" i="14" a="1"/>
  <c r="H12" i="14" s="1"/>
  <c r="G12" i="14" a="1"/>
  <c r="G12" i="14" s="1"/>
  <c r="F12" i="14" a="1"/>
  <c r="F12" i="14" s="1"/>
  <c r="E12" i="14" a="1"/>
  <c r="E12" i="14" s="1"/>
  <c r="D12" i="14" a="1"/>
  <c r="D12" i="14" s="1"/>
  <c r="C12" i="14" a="1"/>
  <c r="C12" i="14" s="1"/>
  <c r="B12" i="14" a="1"/>
  <c r="B12" i="14" s="1"/>
  <c r="H10" i="14" a="1"/>
  <c r="H10" i="14" s="1"/>
  <c r="G10" i="14" a="1"/>
  <c r="G10" i="14" s="1"/>
  <c r="F10" i="14" a="1"/>
  <c r="F10" i="14" s="1"/>
  <c r="E10" i="14" a="1"/>
  <c r="E10" i="14" s="1"/>
  <c r="D10" i="14" a="1"/>
  <c r="D10" i="14" s="1"/>
  <c r="C10" i="14" a="1"/>
  <c r="C10" i="14" s="1"/>
  <c r="B10" i="14" a="1"/>
  <c r="B10" i="14" s="1"/>
  <c r="H8" i="14" a="1"/>
  <c r="H8" i="14" s="1"/>
  <c r="G8" i="14" a="1"/>
  <c r="G8" i="14" s="1"/>
  <c r="F8" i="14" a="1"/>
  <c r="F8" i="14" s="1"/>
  <c r="E8" i="14" a="1"/>
  <c r="E8" i="14" s="1"/>
  <c r="D8" i="14" a="1"/>
  <c r="D8" i="14" s="1"/>
  <c r="C8" i="14" a="1"/>
  <c r="C8" i="14" s="1"/>
  <c r="B8" i="14" a="1"/>
  <c r="B8" i="14" s="1"/>
  <c r="H6" i="14" a="1"/>
  <c r="H6" i="14" s="1"/>
  <c r="G6" i="14" a="1"/>
  <c r="G6" i="14" s="1"/>
  <c r="F6" i="14" a="1"/>
  <c r="F6" i="14" s="1"/>
  <c r="E6" i="14" a="1"/>
  <c r="E6" i="14" s="1"/>
  <c r="D6" i="14" a="1"/>
  <c r="D6" i="14" s="1"/>
  <c r="C6" i="14" a="1"/>
  <c r="C6" i="14" s="1"/>
  <c r="B6" i="14" a="1"/>
  <c r="B6" i="14" s="1"/>
  <c r="H4" i="14" a="1"/>
  <c r="H4" i="14" s="1"/>
  <c r="G4" i="14" a="1"/>
  <c r="G4" i="14" s="1"/>
  <c r="F4" i="14" a="1"/>
  <c r="F4" i="14" s="1"/>
  <c r="E4" i="14" a="1"/>
  <c r="E4" i="14" s="1"/>
  <c r="D4" i="14" a="1"/>
  <c r="D4" i="14" s="1"/>
  <c r="C4" i="14" a="1"/>
  <c r="C4" i="14" s="1"/>
  <c r="B4" i="14" a="1"/>
  <c r="B4" i="14" s="1"/>
  <c r="C14" i="13" a="1"/>
  <c r="C14" i="13" s="1"/>
  <c r="B14" i="13" a="1"/>
  <c r="B14" i="13" s="1"/>
  <c r="H12" i="13" a="1"/>
  <c r="H12" i="13" s="1"/>
  <c r="G12" i="13" a="1"/>
  <c r="G12" i="13" s="1"/>
  <c r="F12" i="13" a="1"/>
  <c r="F12" i="13" s="1"/>
  <c r="E12" i="13" a="1"/>
  <c r="E12" i="13" s="1"/>
  <c r="D12" i="13" a="1"/>
  <c r="D12" i="13" s="1"/>
  <c r="C12" i="13" a="1"/>
  <c r="C12" i="13" s="1"/>
  <c r="B12" i="13" a="1"/>
  <c r="B12" i="13" s="1"/>
  <c r="H10" i="13" a="1"/>
  <c r="H10" i="13" s="1"/>
  <c r="G10" i="13" a="1"/>
  <c r="G10" i="13" s="1"/>
  <c r="F10" i="13" a="1"/>
  <c r="F10" i="13" s="1"/>
  <c r="E10" i="13" a="1"/>
  <c r="E10" i="13" s="1"/>
  <c r="D10" i="13" a="1"/>
  <c r="D10" i="13" s="1"/>
  <c r="C10" i="13" a="1"/>
  <c r="C10" i="13" s="1"/>
  <c r="B10" i="13" a="1"/>
  <c r="B10" i="13" s="1"/>
  <c r="H8" i="13" a="1"/>
  <c r="H8" i="13" s="1"/>
  <c r="G8" i="13" a="1"/>
  <c r="G8" i="13" s="1"/>
  <c r="F8" i="13" a="1"/>
  <c r="F8" i="13" s="1"/>
  <c r="E8" i="13" a="1"/>
  <c r="E8" i="13" s="1"/>
  <c r="D8" i="13" a="1"/>
  <c r="D8" i="13" s="1"/>
  <c r="C8" i="13" a="1"/>
  <c r="C8" i="13" s="1"/>
  <c r="B8" i="13" a="1"/>
  <c r="B8" i="13" s="1"/>
  <c r="H6" i="13" a="1"/>
  <c r="H6" i="13" s="1"/>
  <c r="G6" i="13" a="1"/>
  <c r="G6" i="13" s="1"/>
  <c r="F6" i="13" a="1"/>
  <c r="F6" i="13" s="1"/>
  <c r="E6" i="13" a="1"/>
  <c r="E6" i="13" s="1"/>
  <c r="D6" i="13" a="1"/>
  <c r="D6" i="13" s="1"/>
  <c r="C6" i="13" a="1"/>
  <c r="C6" i="13" s="1"/>
  <c r="B6" i="13" a="1"/>
  <c r="B6" i="13" s="1"/>
  <c r="H4" i="13" a="1"/>
  <c r="H4" i="13" s="1"/>
  <c r="G4" i="13" a="1"/>
  <c r="G4" i="13" s="1"/>
  <c r="F4" i="13" a="1"/>
  <c r="F4" i="13" s="1"/>
  <c r="E4" i="13" a="1"/>
  <c r="E4" i="13" s="1"/>
  <c r="D4" i="13" a="1"/>
  <c r="D4" i="13" s="1"/>
  <c r="C4" i="13" a="1"/>
  <c r="C4" i="13" s="1"/>
  <c r="B4" i="13" a="1"/>
  <c r="B4" i="13" s="1"/>
  <c r="C14" i="12" a="1"/>
  <c r="C14" i="12" s="1"/>
  <c r="B14" i="12" a="1"/>
  <c r="B14" i="12" s="1"/>
  <c r="H12" i="12" a="1"/>
  <c r="H12" i="12" s="1"/>
  <c r="G12" i="12" a="1"/>
  <c r="G12" i="12" s="1"/>
  <c r="F12" i="12" a="1"/>
  <c r="F12" i="12" s="1"/>
  <c r="E12" i="12" a="1"/>
  <c r="E12" i="12" s="1"/>
  <c r="D12" i="12" a="1"/>
  <c r="D12" i="12" s="1"/>
  <c r="C12" i="12" a="1"/>
  <c r="C12" i="12" s="1"/>
  <c r="B12" i="12" a="1"/>
  <c r="B12" i="12" s="1"/>
  <c r="H10" i="12" a="1"/>
  <c r="H10" i="12" s="1"/>
  <c r="G10" i="12" a="1"/>
  <c r="G10" i="12" s="1"/>
  <c r="F10" i="12" a="1"/>
  <c r="F10" i="12" s="1"/>
  <c r="E10" i="12" a="1"/>
  <c r="E10" i="12" s="1"/>
  <c r="D10" i="12" a="1"/>
  <c r="D10" i="12" s="1"/>
  <c r="C10" i="12" a="1"/>
  <c r="C10" i="12" s="1"/>
  <c r="B10" i="12" a="1"/>
  <c r="B10" i="12" s="1"/>
  <c r="H8" i="12" a="1"/>
  <c r="H8" i="12" s="1"/>
  <c r="G8" i="12" a="1"/>
  <c r="G8" i="12" s="1"/>
  <c r="F8" i="12" a="1"/>
  <c r="F8" i="12" s="1"/>
  <c r="E8" i="12" a="1"/>
  <c r="E8" i="12" s="1"/>
  <c r="D8" i="12" a="1"/>
  <c r="D8" i="12" s="1"/>
  <c r="C8" i="12" a="1"/>
  <c r="C8" i="12" s="1"/>
  <c r="B8" i="12" a="1"/>
  <c r="B8" i="12" s="1"/>
  <c r="H6" i="12" a="1"/>
  <c r="H6" i="12" s="1"/>
  <c r="G6" i="12" a="1"/>
  <c r="G6" i="12" s="1"/>
  <c r="F6" i="12" a="1"/>
  <c r="F6" i="12" s="1"/>
  <c r="E6" i="12" a="1"/>
  <c r="E6" i="12" s="1"/>
  <c r="D6" i="12" a="1"/>
  <c r="D6" i="12" s="1"/>
  <c r="C6" i="12" a="1"/>
  <c r="C6" i="12" s="1"/>
  <c r="B6" i="12" a="1"/>
  <c r="B6" i="12" s="1"/>
  <c r="H4" i="12" a="1"/>
  <c r="H4" i="12" s="1"/>
  <c r="G4" i="12" a="1"/>
  <c r="G4" i="12" s="1"/>
  <c r="F4" i="12" a="1"/>
  <c r="F4" i="12" s="1"/>
  <c r="E4" i="12" a="1"/>
  <c r="E4" i="12" s="1"/>
  <c r="D4" i="12" a="1"/>
  <c r="D4" i="12" s="1"/>
  <c r="C4" i="12" a="1"/>
  <c r="C4" i="12" s="1"/>
  <c r="B4" i="12" a="1"/>
  <c r="B4" i="12" s="1"/>
  <c r="C14" i="10" a="1"/>
  <c r="C14" i="10" s="1"/>
  <c r="B14" i="10" a="1"/>
  <c r="B14" i="10" s="1"/>
  <c r="H12" i="10" a="1"/>
  <c r="H12" i="10" s="1"/>
  <c r="G12" i="10" a="1"/>
  <c r="G12" i="10" s="1"/>
  <c r="F12" i="10" a="1"/>
  <c r="F12" i="10" s="1"/>
  <c r="E12" i="10" a="1"/>
  <c r="E12" i="10" s="1"/>
  <c r="D12" i="10" a="1"/>
  <c r="D12" i="10" s="1"/>
  <c r="C12" i="10" a="1"/>
  <c r="C12" i="10" s="1"/>
  <c r="B12" i="10" a="1"/>
  <c r="B12" i="10" s="1"/>
  <c r="H10" i="10" a="1"/>
  <c r="H10" i="10" s="1"/>
  <c r="G10" i="10" a="1"/>
  <c r="G10" i="10" s="1"/>
  <c r="F10" i="10" a="1"/>
  <c r="F10" i="10" s="1"/>
  <c r="E10" i="10" a="1"/>
  <c r="E10" i="10" s="1"/>
  <c r="D10" i="10" a="1"/>
  <c r="D10" i="10" s="1"/>
  <c r="C10" i="10" a="1"/>
  <c r="C10" i="10" s="1"/>
  <c r="B10" i="10" a="1"/>
  <c r="B10" i="10" s="1"/>
  <c r="H8" i="10" a="1"/>
  <c r="H8" i="10" s="1"/>
  <c r="G8" i="10" a="1"/>
  <c r="G8" i="10" s="1"/>
  <c r="F8" i="10" a="1"/>
  <c r="F8" i="10" s="1"/>
  <c r="E8" i="10" a="1"/>
  <c r="E8" i="10" s="1"/>
  <c r="D8" i="10" a="1"/>
  <c r="D8" i="10" s="1"/>
  <c r="C8" i="10" a="1"/>
  <c r="C8" i="10" s="1"/>
  <c r="B8" i="10" a="1"/>
  <c r="B8" i="10" s="1"/>
  <c r="H6" i="10" a="1"/>
  <c r="H6" i="10" s="1"/>
  <c r="G6" i="10" a="1"/>
  <c r="G6" i="10" s="1"/>
  <c r="F6" i="10" a="1"/>
  <c r="F6" i="10" s="1"/>
  <c r="E6" i="10" a="1"/>
  <c r="E6" i="10" s="1"/>
  <c r="D6" i="10" a="1"/>
  <c r="D6" i="10" s="1"/>
  <c r="C6" i="10" a="1"/>
  <c r="C6" i="10" s="1"/>
  <c r="B6" i="10" a="1"/>
  <c r="B6" i="10" s="1"/>
  <c r="H4" i="10" a="1"/>
  <c r="H4" i="10" s="1"/>
  <c r="G4" i="10" a="1"/>
  <c r="G4" i="10" s="1"/>
  <c r="F4" i="10" a="1"/>
  <c r="F4" i="10" s="1"/>
  <c r="E4" i="10" a="1"/>
  <c r="E4" i="10" s="1"/>
  <c r="D4" i="10" a="1"/>
  <c r="D4" i="10" s="1"/>
  <c r="C4" i="10" a="1"/>
  <c r="C4" i="10" s="1"/>
  <c r="B4" i="10" a="1"/>
  <c r="B4" i="10" s="1"/>
  <c r="C14" i="1" a="1"/>
  <c r="C14" i="1" s="1"/>
  <c r="B14" i="1" a="1"/>
  <c r="B14" i="1" s="1"/>
  <c r="H12" i="1" a="1"/>
  <c r="H12" i="1" s="1"/>
  <c r="G12" i="1" a="1"/>
  <c r="G12" i="1" s="1"/>
  <c r="F12" i="1" a="1"/>
  <c r="F12" i="1" s="1"/>
  <c r="E12" i="1" a="1"/>
  <c r="E12" i="1" s="1"/>
  <c r="D12" i="1" a="1"/>
  <c r="D12" i="1" s="1"/>
  <c r="C12" i="1" a="1"/>
  <c r="C12" i="1" s="1"/>
  <c r="B12" i="1" a="1"/>
  <c r="B12" i="1" s="1"/>
  <c r="H10" i="1" a="1"/>
  <c r="H10" i="1" s="1"/>
  <c r="G10" i="1" a="1"/>
  <c r="G10" i="1" s="1"/>
  <c r="F10" i="1" a="1"/>
  <c r="F10" i="1" s="1"/>
  <c r="E10" i="1" a="1"/>
  <c r="E10" i="1" s="1"/>
  <c r="D10" i="1" a="1"/>
  <c r="D10" i="1" s="1"/>
  <c r="C10" i="1" a="1"/>
  <c r="C10" i="1" s="1"/>
  <c r="B10" i="1" a="1"/>
  <c r="B10" i="1" s="1"/>
  <c r="H8" i="1" a="1"/>
  <c r="H8" i="1" s="1"/>
  <c r="G8" i="1" a="1"/>
  <c r="G8" i="1" s="1"/>
  <c r="F8" i="1" a="1"/>
  <c r="F8" i="1" s="1"/>
  <c r="E8" i="1" a="1"/>
  <c r="E8" i="1" s="1"/>
  <c r="D8" i="1" a="1"/>
  <c r="D8" i="1" s="1"/>
  <c r="C8" i="1" a="1"/>
  <c r="C8" i="1" s="1"/>
  <c r="B8" i="1" a="1"/>
  <c r="B8" i="1" s="1"/>
  <c r="H6" i="1" a="1"/>
  <c r="H6" i="1" s="1"/>
  <c r="G6" i="1" a="1"/>
  <c r="G6" i="1" s="1"/>
  <c r="F6" i="1" a="1"/>
  <c r="F6" i="1" s="1"/>
  <c r="E6" i="1" a="1"/>
  <c r="E6" i="1" s="1"/>
  <c r="D6" i="1" a="1"/>
  <c r="D6" i="1" s="1"/>
  <c r="C6" i="1" a="1"/>
  <c r="C6" i="1" s="1"/>
  <c r="B6" i="1" a="1"/>
  <c r="B6" i="1" s="1"/>
  <c r="H4" i="1" a="1"/>
  <c r="H4" i="1" s="1"/>
  <c r="G4" i="1" a="1"/>
  <c r="G4" i="1" s="1"/>
  <c r="F4" i="1" a="1"/>
  <c r="F4" i="1" s="1"/>
  <c r="E4" i="1" a="1"/>
  <c r="E4" i="1" s="1"/>
  <c r="D4" i="1" a="1"/>
  <c r="D4" i="1" s="1"/>
  <c r="C4" i="1" a="1"/>
  <c r="C4" i="1" s="1"/>
  <c r="B4" i="1" a="1"/>
  <c r="B4" i="1" s="1"/>
  <c r="B2" i="21"/>
  <c r="B2" i="20"/>
  <c r="B2" i="19"/>
  <c r="B2" i="18"/>
  <c r="B2" i="17"/>
  <c r="B2" i="16"/>
  <c r="B2" i="15"/>
  <c r="B2" i="14"/>
  <c r="B2" i="13"/>
  <c r="B2" i="12"/>
  <c r="B2" i="10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<sst xmlns="http://schemas.openxmlformats.org/spreadsheetml/2006/main" count="97" uniqueCount="9">
  <si>
    <t>SUNDAY</t>
  </si>
  <si>
    <t>MONDAY</t>
  </si>
  <si>
    <t>TUESDAY</t>
  </si>
  <si>
    <t>WEDNESDAY</t>
  </si>
  <si>
    <t>THURSDAY</t>
  </si>
  <si>
    <t>FRIDAY</t>
  </si>
  <si>
    <t>SATURDAY</t>
  </si>
  <si>
    <t>Year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</si>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</sst>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2DCD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0" borderId="1" xfId="0" applyFill="1" applyBorder="1" applyAlignment="1">
      <alignment horizontal="left" vertical="top"/>
    </xf>
    <xf numFmtId="0" fontId="0" fillId="2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left" vertical="top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left" vertical="top"/>
    </xf>
    <xf numFmtId="164" fontId="0" fillId="2" borderId="6" xfId="0" applyNumberFormat="1" applyFill="1" applyBorder="1" applyAlignment="1">
      <alignment horizontal="left" vertical="top"/>
    </xf>
    <xf numFmtId="164" fontId="0" fillId="2" borderId="7" xfId="0" applyNumberFormat="1" applyFill="1" applyBorder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164" fontId="0" fillId="2" borderId="9" xfId="0" applyNumberFormat="1" applyFill="1" applyBorder="1" applyAlignment="1">
      <alignment horizontal="left" vertical="top"/>
    </xf>
    <xf numFmtId="164" fontId="0" fillId="2" borderId="10" xfId="0" applyNumberForma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504D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K$5" max="9999" min="1900" page="10" val="202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4</xdr:row>
          <xdr:rowOff>0</xdr:rowOff>
        </xdr:from>
        <xdr:to>
          <xdr:col>12</xdr:col>
          <xdr:colOff>0</xdr:colOff>
          <xdr:row>5</xdr:row>
          <xdr:rowOff>19050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504D"/>
    <pageSetUpPr fitToPage="1"/>
  </sheetPr>
  <dimension ref="B2:K15"/>
  <sheetViews>
    <sheetView tabSelected="1"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11" ht="39.75" customHeight="1" x14ac:dyDescent="0.25">
      <c r="B2" s="8" t="str">
        <f>CONCATENATE("January " &amp; calendarYear)</f>
        <v>January 2022</v>
      </c>
      <c r="C2" s="9"/>
      <c r="D2" s="9"/>
      <c r="E2" s="9"/>
      <c r="F2" s="9"/>
      <c r="G2" s="9"/>
      <c r="H2" s="10"/>
    </row>
    <row r="3" spans="2:11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11" x14ac:dyDescent="0.25">
      <c r="B4" s="7" t="str" cm="1">
        <f t="array" ref="B4">IF(AND(YEAR(JanOffset+1)=calendarYear,MONTH(JanOffset+1)=1),JanOffset+1,"")</f>
        <v/>
      </c>
      <c r="C4" s="7" t="str" cm="1">
        <f t="array" ref="C4">IF(AND(YEAR(JanOffset+2)=calendarYear,MONTH(JanOffset+2)=1),JanOffset+2,"")</f>
        <v/>
      </c>
      <c r="D4" s="7" t="str" cm="1">
        <f t="array" ref="D4">IF(AND(YEAR(JanOffset+3)=calendarYear,MONTH(JanOffset+3)=1),JanOffset+3,"")</f>
        <v/>
      </c>
      <c r="E4" s="7" t="str" cm="1">
        <f t="array" ref="E4">IF(AND(YEAR(JanOffset+4)=calendarYear,MONTH(JanOffset+4)=1),JanOffset+4,"")</f>
        <v/>
      </c>
      <c r="F4" s="7" t="str" cm="1">
        <f t="array" ref="F4">IF(AND(YEAR(JanOffset+5)=calendarYear,MONTH(JanOffset+5)=1),JanOffset+5,"")</f>
        <v/>
      </c>
      <c r="G4" s="7" t="str" cm="1">
        <f t="array" ref="G4">IF(AND(YEAR(JanOffset+6)=calendarYear,MONTH(JanOffset+6)=1),JanOffset+6,"")</f>
        <v/>
      </c>
      <c r="H4" s="7" cm="1">
        <f t="array" ref="H4">IF(AND(YEAR(JanOffset+7)=calendarYear,MONTH(JanOffset+7)=1),JanOffset+7,"")</f>
        <v>44562</v>
      </c>
    </row>
    <row r="5" spans="2:11" ht="51" customHeight="1" x14ac:dyDescent="0.25">
      <c r="B5" s="2"/>
      <c r="C5" s="2"/>
      <c r="D5" s="2"/>
      <c r="E5" s="2"/>
      <c r="F5" s="2"/>
      <c r="G5" s="2"/>
      <c r="H5" s="2"/>
      <c r="J5" s="3" t="s">
        <v>7</v>
      </c>
      <c r="K5" s="4">
        <v>2022</v>
      </c>
    </row>
    <row r="6" spans="2:11" x14ac:dyDescent="0.25">
      <c r="B6" s="7" cm="1">
        <f t="array" ref="B6">IF(AND(YEAR(JanOffset+8)=calendarYear,MONTH(JanOffset+8)=1),JanOffset+8,"")</f>
        <v>44563</v>
      </c>
      <c r="C6" s="7" cm="1">
        <f t="array" ref="C6">IF(AND(YEAR(JanOffset+9)=calendarYear,MONTH(JanOffset+9)=1),JanOffset+9,"")</f>
        <v>44564</v>
      </c>
      <c r="D6" s="7" cm="1">
        <f t="array" ref="D6">IF(AND(YEAR(JanOffset+10)=calendarYear,MONTH(JanOffset+10)=1),JanOffset+10,"")</f>
        <v>44565</v>
      </c>
      <c r="E6" s="7" cm="1">
        <f t="array" ref="E6">IF(AND(YEAR(JanOffset+11)=calendarYear,MONTH(JanOffset+11)=1),JanOffset+11,"")</f>
        <v>44566</v>
      </c>
      <c r="F6" s="7" cm="1">
        <f t="array" ref="F6">IF(AND(YEAR(JanOffset+12)=calendarYear,MONTH(JanOffset+12)=1),JanOffset+12,"")</f>
        <v>44567</v>
      </c>
      <c r="G6" s="7" cm="1">
        <f t="array" ref="G6">IF(AND(YEAR(JanOffset+13)=calendarYear,MONTH(JanOffset+13)=1),JanOffset+13,"")</f>
        <v>44568</v>
      </c>
      <c r="H6" s="7" cm="1">
        <f t="array" ref="H6">IF(AND(YEAR(JanOffset+14)=calendarYear,MONTH(JanOffset+14)=1),JanOffset+14,"")</f>
        <v>44569</v>
      </c>
    </row>
    <row r="7" spans="2:11" ht="51" customHeight="1" x14ac:dyDescent="0.25">
      <c r="B7" s="2"/>
      <c r="C7" s="2"/>
      <c r="D7" s="2"/>
      <c r="E7" s="2"/>
      <c r="F7" s="2"/>
      <c r="G7" s="2"/>
      <c r="H7" s="2"/>
      <c r="J7" s="5"/>
      <c r="K7" s="3"/>
    </row>
    <row r="8" spans="2:11" x14ac:dyDescent="0.25">
      <c r="B8" s="7" cm="1">
        <f t="array" ref="B8">IF(AND(YEAR(JanOffset+15)=calendarYear,MONTH(JanOffset+15)=1),JanOffset+15,"")</f>
        <v>44570</v>
      </c>
      <c r="C8" s="7" cm="1">
        <f t="array" ref="C8">IF(AND(YEAR(JanOffset+16)=calendarYear,MONTH(JanOffset+16)=1),JanOffset+16,"")</f>
        <v>44571</v>
      </c>
      <c r="D8" s="7" cm="1">
        <f t="array" ref="D8">IF(AND(YEAR(JanOffset+17)=calendarYear,MONTH(JanOffset+17)=1),JanOffset+17,"")</f>
        <v>44572</v>
      </c>
      <c r="E8" s="7" cm="1">
        <f t="array" ref="E8">IF(AND(YEAR(JanOffset+18)=calendarYear,MONTH(JanOffset+18)=1),JanOffset+18,"")</f>
        <v>44573</v>
      </c>
      <c r="F8" s="7" cm="1">
        <f t="array" ref="F8">IF(AND(YEAR(JanOffset+19)=calendarYear,MONTH(JanOffset+19)=1),JanOffset+19,"")</f>
        <v>44574</v>
      </c>
      <c r="G8" s="7" cm="1">
        <f t="array" ref="G8">IF(AND(YEAR(JanOffset+20)=calendarYear,MONTH(JanOffset+20)=1),JanOffset+20,"")</f>
        <v>44575</v>
      </c>
      <c r="H8" s="7" cm="1">
        <f t="array" ref="H8">IF(AND(YEAR(JanOffset+21)=calendarYear,MONTH(JanOffset+21)=1),JanOffset+21,"")</f>
        <v>44576</v>
      </c>
    </row>
    <row r="9" spans="2:11" ht="51" customHeight="1" x14ac:dyDescent="0.25">
      <c r="B9" s="2"/>
      <c r="C9" s="2"/>
      <c r="D9" s="2"/>
      <c r="E9" s="2"/>
      <c r="F9" s="2"/>
      <c r="G9" s="2"/>
      <c r="H9" s="2"/>
    </row>
    <row r="10" spans="2:11" x14ac:dyDescent="0.25">
      <c r="B10" s="7" cm="1">
        <f t="array" ref="B10">IF(AND(YEAR(JanOffset+22)=calendarYear,MONTH(JanOffset+22)=1),JanOffset+22,"")</f>
        <v>44577</v>
      </c>
      <c r="C10" s="7" cm="1">
        <f t="array" ref="C10">IF(AND(YEAR(JanOffset+23)=calendarYear,MONTH(JanOffset+23)=1),JanOffset+23,"")</f>
        <v>44578</v>
      </c>
      <c r="D10" s="7" cm="1">
        <f t="array" ref="D10">IF(AND(YEAR(JanOffset+24)=calendarYear,MONTH(JanOffset+24)=1),JanOffset+24,"")</f>
        <v>44579</v>
      </c>
      <c r="E10" s="7" cm="1">
        <f t="array" ref="E10">IF(AND(YEAR(JanOffset+25)=calendarYear,MONTH(JanOffset+25)=1),JanOffset+25,"")</f>
        <v>44580</v>
      </c>
      <c r="F10" s="7" cm="1">
        <f t="array" ref="F10">IF(AND(YEAR(JanOffset+26)=calendarYear,MONTH(JanOffset+26)=1),JanOffset+26,"")</f>
        <v>44581</v>
      </c>
      <c r="G10" s="7" cm="1">
        <f t="array" ref="G10">IF(AND(YEAR(JanOffset+27)=calendarYear,MONTH(JanOffset+27)=1),JanOffset+27,"")</f>
        <v>44582</v>
      </c>
      <c r="H10" s="7" cm="1">
        <f t="array" ref="H10">IF(AND(YEAR(JanOffset+28)=calendarYear,MONTH(JanOffset+28)=1),JanOffset+28,"")</f>
        <v>44583</v>
      </c>
    </row>
    <row r="11" spans="2:11" ht="51" customHeight="1" x14ac:dyDescent="0.25">
      <c r="B11" s="2"/>
      <c r="C11" s="2"/>
      <c r="D11" s="2"/>
      <c r="E11" s="2"/>
      <c r="F11" s="2"/>
      <c r="G11" s="2"/>
      <c r="H11" s="2"/>
    </row>
    <row r="12" spans="2:11" x14ac:dyDescent="0.25">
      <c r="B12" s="7" cm="1">
        <f t="array" ref="B12">IF(AND(YEAR(JanOffset+29)=calendarYear,MONTH(JanOffset+29)=1),JanOffset+29,"")</f>
        <v>44584</v>
      </c>
      <c r="C12" s="7" cm="1">
        <f t="array" ref="C12">IF(AND(YEAR(JanOffset+30)=calendarYear,MONTH(JanOffset+30)=1),JanOffset+30,"")</f>
        <v>44585</v>
      </c>
      <c r="D12" s="7" cm="1">
        <f t="array" ref="D12">IF(AND(YEAR(JanOffset+31)=calendarYear,MONTH(JanOffset+31)=1),JanOffset+31,"")</f>
        <v>44586</v>
      </c>
      <c r="E12" s="7" cm="1">
        <f t="array" ref="E12">IF(AND(YEAR(JanOffset+32)=calendarYear,MONTH(JanOffset+32)=1),JanOffset+32,"")</f>
        <v>44587</v>
      </c>
      <c r="F12" s="7" cm="1">
        <f t="array" ref="F12">IF(AND(YEAR(JanOffset+33)=calendarYear,MONTH(JanOffset+33)=1),JanOffset+33,"")</f>
        <v>44588</v>
      </c>
      <c r="G12" s="7" cm="1">
        <f t="array" ref="G12">IF(AND(YEAR(JanOffset+34)=calendarYear,MONTH(JanOffset+34)=1),JanOffset+34,"")</f>
        <v>44589</v>
      </c>
      <c r="H12" s="7" cm="1">
        <f t="array" ref="H12">IF(AND(YEAR(JanOffset+35)=calendarYear,MONTH(JanOffset+35)=1),JanOffset+35,"")</f>
        <v>44590</v>
      </c>
    </row>
    <row r="13" spans="2:11" ht="51" customHeight="1" x14ac:dyDescent="0.25">
      <c r="B13" s="2"/>
      <c r="C13" s="2"/>
      <c r="D13" s="2"/>
      <c r="E13" s="2"/>
      <c r="F13" s="2"/>
      <c r="G13" s="2"/>
      <c r="H13" s="2"/>
    </row>
    <row r="14" spans="2:11" x14ac:dyDescent="0.25">
      <c r="B14" s="7" cm="1">
        <f t="array" ref="B14">IF(AND(YEAR(JanOffset+36)=calendarYear,MONTH(JanOffset+36)=1),JanOffset+36,"")</f>
        <v>44591</v>
      </c>
      <c r="C14" s="7" cm="1">
        <f t="array" ref="C14">IF(AND(YEAR(JanOffset+37)=calendarYear,MONTH(JanOffset+37)=1),JanOffset+37,"")</f>
        <v>44592</v>
      </c>
      <c r="D14" s="11" t="s">
        <v>8</v>
      </c>
      <c r="E14" s="12"/>
      <c r="F14" s="12"/>
      <c r="G14" s="12"/>
      <c r="H14" s="13"/>
    </row>
    <row r="15" spans="2:11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11</xdr:col>
                    <xdr:colOff>114300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H15"/>
  <sheetViews>
    <sheetView zoomScaleNormal="100"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CONCATENATE("February " &amp; calendarYear)</f>
        <v>February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IF(AND(YEAR(FebOffset+1)=calendarYear,MONTH(FebOffset+1)=2),FebOffset+1,"")</f>
        <v/>
      </c>
      <c r="C4" s="7" t="str" cm="1">
        <f t="array" ref="C4">IF(AND(YEAR(FebOffset+2)=calendarYear,MONTH(FebOffset+2)=2),FebOffset+2,"")</f>
        <v/>
      </c>
      <c r="D4" s="7" cm="1">
        <f t="array" ref="D4">IF(AND(YEAR(FebOffset+3)=calendarYear,MONTH(FebOffset+3)=2),FebOffset+3,"")</f>
        <v>44593</v>
      </c>
      <c r="E4" s="7" cm="1">
        <f t="array" ref="E4">IF(AND(YEAR(FebOffset+4)=calendarYear,MONTH(FebOffset+4)=2),FebOffset+4,"")</f>
        <v>44594</v>
      </c>
      <c r="F4" s="7" cm="1">
        <f t="array" ref="F4">IF(AND(YEAR(FebOffset+5)=calendarYear,MONTH(FebOffset+5)=2),FebOffset+5,"")</f>
        <v>44595</v>
      </c>
      <c r="G4" s="7" cm="1">
        <f t="array" ref="G4">IF(AND(YEAR(FebOffset+6)=calendarYear,MONTH(FebOffset+6)=2),FebOffset+6,"")</f>
        <v>44596</v>
      </c>
      <c r="H4" s="7" cm="1">
        <f t="array" ref="H4">IF(AND(YEAR(FebOffset+7)=calendarYear,MONTH(FebOffset+7)=2),FebOffset+7,"")</f>
        <v>44597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IF(AND(YEAR(FebOffset+8)=calendarYear,MONTH(FebOffset+8)=2),FebOffset+8,"")</f>
        <v>44598</v>
      </c>
      <c r="C6" s="7" cm="1">
        <f t="array" ref="C6">IF(AND(YEAR(FebOffset+9)=calendarYear,MONTH(FebOffset+9)=2),FebOffset+9,"")</f>
        <v>44599</v>
      </c>
      <c r="D6" s="7" cm="1">
        <f t="array" ref="D6">IF(AND(YEAR(FebOffset+10)=calendarYear,MONTH(FebOffset+10)=2),FebOffset+10,"")</f>
        <v>44600</v>
      </c>
      <c r="E6" s="7" cm="1">
        <f t="array" ref="E6">IF(AND(YEAR(FebOffset+11)=calendarYear,MONTH(FebOffset+11)=2),FebOffset+11,"")</f>
        <v>44601</v>
      </c>
      <c r="F6" s="7" cm="1">
        <f t="array" ref="F6">IF(AND(YEAR(FebOffset+12)=calendarYear,MONTH(FebOffset+12)=2),FebOffset+12,"")</f>
        <v>44602</v>
      </c>
      <c r="G6" s="7" cm="1">
        <f t="array" ref="G6">IF(AND(YEAR(FebOffset+13)=calendarYear,MONTH(FebOffset+13)=2),FebOffset+13,"")</f>
        <v>44603</v>
      </c>
      <c r="H6" s="7" cm="1">
        <f t="array" ref="H6">IF(AND(YEAR(FebOffset+14)=calendarYear,MONTH(FebOffset+14)=2),FebOffset+14,"")</f>
        <v>44604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IF(AND(YEAR(FebOffset+15)=calendarYear,MONTH(FebOffset+15)=2),FebOffset+15,"")</f>
        <v>44605</v>
      </c>
      <c r="C8" s="7" cm="1">
        <f t="array" ref="C8">IF(AND(YEAR(FebOffset+16)=calendarYear,MONTH(FebOffset+16)=2),FebOffset+16,"")</f>
        <v>44606</v>
      </c>
      <c r="D8" s="7" cm="1">
        <f t="array" ref="D8">IF(AND(YEAR(FebOffset+17)=calendarYear,MONTH(FebOffset+17)=2),FebOffset+17,"")</f>
        <v>44607</v>
      </c>
      <c r="E8" s="7" cm="1">
        <f t="array" ref="E8">IF(AND(YEAR(FebOffset+18)=calendarYear,MONTH(FebOffset+18)=2),FebOffset+18,"")</f>
        <v>44608</v>
      </c>
      <c r="F8" s="7" cm="1">
        <f t="array" ref="F8">IF(AND(YEAR(FebOffset+19)=calendarYear,MONTH(FebOffset+19)=2),FebOffset+19,"")</f>
        <v>44609</v>
      </c>
      <c r="G8" s="7" cm="1">
        <f t="array" ref="G8">IF(AND(YEAR(FebOffset+20)=calendarYear,MONTH(FebOffset+20)=2),FebOffset+20,"")</f>
        <v>44610</v>
      </c>
      <c r="H8" s="7" cm="1">
        <f t="array" ref="H8">IF(AND(YEAR(FebOffset+21)=calendarYear,MONTH(FebOffset+21)=2),FebOffset+21,"")</f>
        <v>44611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IF(AND(YEAR(FebOffset+22)=calendarYear,MONTH(FebOffset+22)=2),FebOffset+22,"")</f>
        <v>44612</v>
      </c>
      <c r="C10" s="7" cm="1">
        <f t="array" ref="C10">IF(AND(YEAR(FebOffset+23)=calendarYear,MONTH(FebOffset+23)=2),FebOffset+23,"")</f>
        <v>44613</v>
      </c>
      <c r="D10" s="7" cm="1">
        <f t="array" ref="D10">IF(AND(YEAR(FebOffset+24)=calendarYear,MONTH(FebOffset+24)=2),FebOffset+24,"")</f>
        <v>44614</v>
      </c>
      <c r="E10" s="7" cm="1">
        <f t="array" ref="E10">IF(AND(YEAR(FebOffset+25)=calendarYear,MONTH(FebOffset+25)=2),FebOffset+25,"")</f>
        <v>44615</v>
      </c>
      <c r="F10" s="7" cm="1">
        <f t="array" ref="F10">IF(AND(YEAR(FebOffset+26)=calendarYear,MONTH(FebOffset+26)=2),FebOffset+26,"")</f>
        <v>44616</v>
      </c>
      <c r="G10" s="7" cm="1">
        <f t="array" ref="G10">IF(AND(YEAR(FebOffset+27)=calendarYear,MONTH(FebOffset+27)=2),FebOffset+27,"")</f>
        <v>44617</v>
      </c>
      <c r="H10" s="7" cm="1">
        <f t="array" ref="H10">IF(AND(YEAR(FebOffset+28)=calendarYear,MONTH(FebOffset+28)=2),FebOffset+28,"")</f>
        <v>44618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IF(AND(YEAR(FebOffset+29)=calendarYear,MONTH(FebOffset+29)=2),FebOffset+29,"")</f>
        <v>44619</v>
      </c>
      <c r="C12" s="7" cm="1">
        <f t="array" ref="C12">IF(AND(YEAR(FebOffset+30)=calendarYear,MONTH(FebOffset+30)=2),FebOffset+30,"")</f>
        <v>44620</v>
      </c>
      <c r="D12" s="7" t="str" cm="1">
        <f t="array" ref="D12">IF(AND(YEAR(FebOffset+31)=calendarYear,MONTH(FebOffset+31)=2),FebOffset+31,"")</f>
        <v/>
      </c>
      <c r="E12" s="7" t="str" cm="1">
        <f t="array" ref="E12">IF(AND(YEAR(FebOffset+32)=calendarYear,MONTH(FebOffset+32)=2),FebOffset+32,"")</f>
        <v/>
      </c>
      <c r="F12" s="7" t="str" cm="1">
        <f t="array" ref="F12">IF(AND(YEAR(FebOffset+33)=calendarYear,MONTH(FebOffset+33)=2),FebOffset+33,"")</f>
        <v/>
      </c>
      <c r="G12" s="7" t="str" cm="1">
        <f t="array" ref="G12">IF(AND(YEAR(FebOffset+34)=calendarYear,MONTH(FebOffset+34)=2),FebOffset+34,"")</f>
        <v/>
      </c>
      <c r="H12" s="7" t="str" cm="1">
        <f t="array" ref="H12">IF(AND(YEAR(FebOffset+35)=calendarYear,MONTH(FebOffset+35)=2),FebOffset+35,"")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IF(AND(YEAR(FebOffset+36)=calendarYear,MONTH(FebOffset+36)=2),FebOffset+36,"")</f>
        <v/>
      </c>
      <c r="C14" s="7" t="str" cm="1">
        <f t="array" ref="C14">IF(AND(YEAR(FebOffset+37)=calendarYear,MONTH(FebOffset+37)=2),FebOffset+37,"")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CONCATENATE("March " &amp; calendarYear)</f>
        <v>March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IF(AND(YEAR(MarOffset+1)=calendarYear,MONTH(MarOffset+1)=3),MarOffset+1,"")</f>
        <v/>
      </c>
      <c r="C4" s="7" t="str" cm="1">
        <f t="array" ref="C4">IF(AND(YEAR(MarOffset+2)=calendarYear,MONTH(MarOffset+2)=3),MarOffset+2,"")</f>
        <v/>
      </c>
      <c r="D4" s="7" cm="1">
        <f t="array" ref="D4">IF(AND(YEAR(MarOffset+3)=calendarYear,MONTH(MarOffset+3)=3),MarOffset+3,"")</f>
        <v>44621</v>
      </c>
      <c r="E4" s="7" cm="1">
        <f t="array" ref="E4">IF(AND(YEAR(MarOffset+4)=calendarYear,MONTH(MarOffset+4)=3),MarOffset+4,"")</f>
        <v>44622</v>
      </c>
      <c r="F4" s="7" cm="1">
        <f t="array" ref="F4">IF(AND(YEAR(MarOffset+5)=calendarYear,MONTH(MarOffset+5)=3),MarOffset+5,"")</f>
        <v>44623</v>
      </c>
      <c r="G4" s="7" cm="1">
        <f t="array" ref="G4">IF(AND(YEAR(MarOffset+6)=calendarYear,MONTH(MarOffset+6)=3),MarOffset+6,"")</f>
        <v>44624</v>
      </c>
      <c r="H4" s="7" cm="1">
        <f t="array" ref="H4">IF(AND(YEAR(MarOffset+7)=calendarYear,MONTH(MarOffset+7)=3),MarOffset+7,"")</f>
        <v>44625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IF(AND(YEAR(MarOffset+8)=calendarYear,MONTH(MarOffset+8)=3),MarOffset+8,"")</f>
        <v>44626</v>
      </c>
      <c r="C6" s="7" cm="1">
        <f t="array" ref="C6">IF(AND(YEAR(MarOffset+9)=calendarYear,MONTH(MarOffset+9)=3),MarOffset+9,"")</f>
        <v>44627</v>
      </c>
      <c r="D6" s="7" cm="1">
        <f t="array" ref="D6">IF(AND(YEAR(MarOffset+10)=calendarYear,MONTH(MarOffset+10)=3),MarOffset+10,"")</f>
        <v>44628</v>
      </c>
      <c r="E6" s="7" cm="1">
        <f t="array" ref="E6">IF(AND(YEAR(MarOffset+11)=calendarYear,MONTH(MarOffset+11)=3),MarOffset+11,"")</f>
        <v>44629</v>
      </c>
      <c r="F6" s="7" cm="1">
        <f t="array" ref="F6">IF(AND(YEAR(MarOffset+12)=calendarYear,MONTH(MarOffset+12)=3),MarOffset+12,"")</f>
        <v>44630</v>
      </c>
      <c r="G6" s="7" cm="1">
        <f t="array" ref="G6">IF(AND(YEAR(MarOffset+13)=calendarYear,MONTH(MarOffset+13)=3),MarOffset+13,"")</f>
        <v>44631</v>
      </c>
      <c r="H6" s="7" cm="1">
        <f t="array" ref="H6">IF(AND(YEAR(MarOffset+14)=calendarYear,MONTH(MarOffset+14)=3),MarOffset+14,"")</f>
        <v>44632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IF(AND(YEAR(MarOffset+15)=calendarYear,MONTH(MarOffset+15)=3),MarOffset+15,"")</f>
        <v>44633</v>
      </c>
      <c r="C8" s="7" cm="1">
        <f t="array" ref="C8">IF(AND(YEAR(MarOffset+16)=calendarYear,MONTH(MarOffset+16)=3),MarOffset+16,"")</f>
        <v>44634</v>
      </c>
      <c r="D8" s="7" cm="1">
        <f t="array" ref="D8">IF(AND(YEAR(MarOffset+17)=calendarYear,MONTH(MarOffset+17)=3),MarOffset+17,"")</f>
        <v>44635</v>
      </c>
      <c r="E8" s="7" cm="1">
        <f t="array" ref="E8">IF(AND(YEAR(MarOffset+18)=calendarYear,MONTH(MarOffset+18)=3),MarOffset+18,"")</f>
        <v>44636</v>
      </c>
      <c r="F8" s="7" cm="1">
        <f t="array" ref="F8">IF(AND(YEAR(MarOffset+19)=calendarYear,MONTH(MarOffset+19)=3),MarOffset+19,"")</f>
        <v>44637</v>
      </c>
      <c r="G8" s="7" cm="1">
        <f t="array" ref="G8">IF(AND(YEAR(MarOffset+20)=calendarYear,MONTH(MarOffset+20)=3),MarOffset+20,"")</f>
        <v>44638</v>
      </c>
      <c r="H8" s="7" cm="1">
        <f t="array" ref="H8">IF(AND(YEAR(MarOffset+21)=calendarYear,MONTH(MarOffset+21)=3),MarOffset+21,"")</f>
        <v>44639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IF(AND(YEAR(MarOffset+22)=calendarYear,MONTH(MarOffset+22)=3),MarOffset+22,"")</f>
        <v>44640</v>
      </c>
      <c r="C10" s="7" cm="1">
        <f t="array" ref="C10">IF(AND(YEAR(MarOffset+23)=calendarYear,MONTH(MarOffset+23)=3),MarOffset+23,"")</f>
        <v>44641</v>
      </c>
      <c r="D10" s="7" cm="1">
        <f t="array" ref="D10">IF(AND(YEAR(MarOffset+24)=calendarYear,MONTH(MarOffset+24)=3),MarOffset+24,"")</f>
        <v>44642</v>
      </c>
      <c r="E10" s="7" cm="1">
        <f t="array" ref="E10">IF(AND(YEAR(MarOffset+25)=calendarYear,MONTH(MarOffset+25)=3),MarOffset+25,"")</f>
        <v>44643</v>
      </c>
      <c r="F10" s="7" cm="1">
        <f t="array" ref="F10">IF(AND(YEAR(MarOffset+26)=calendarYear,MONTH(MarOffset+26)=3),MarOffset+26,"")</f>
        <v>44644</v>
      </c>
      <c r="G10" s="7" cm="1">
        <f t="array" ref="G10">IF(AND(YEAR(MarOffset+27)=calendarYear,MONTH(MarOffset+27)=3),MarOffset+27,"")</f>
        <v>44645</v>
      </c>
      <c r="H10" s="7" cm="1">
        <f t="array" ref="H10">IF(AND(YEAR(MarOffset+28)=calendarYear,MONTH(MarOffset+28)=3),MarOffset+28,"")</f>
        <v>44646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IF(AND(YEAR(MarOffset+29)=calendarYear,MONTH(MarOffset+29)=3),MarOffset+29,"")</f>
        <v>44647</v>
      </c>
      <c r="C12" s="7" cm="1">
        <f t="array" ref="C12">IF(AND(YEAR(MarOffset+30)=calendarYear,MONTH(MarOffset+30)=3),MarOffset+30,"")</f>
        <v>44648</v>
      </c>
      <c r="D12" s="7" cm="1">
        <f t="array" ref="D12">IF(AND(YEAR(MarOffset+31)=calendarYear,MONTH(MarOffset+31)=3),MarOffset+31,"")</f>
        <v>44649</v>
      </c>
      <c r="E12" s="7" cm="1">
        <f t="array" ref="E12">IF(AND(YEAR(MarOffset+32)=calendarYear,MONTH(MarOffset+32)=3),MarOffset+32,"")</f>
        <v>44650</v>
      </c>
      <c r="F12" s="7" cm="1">
        <f t="array" ref="F12">IF(AND(YEAR(MarOffset+33)=calendarYear,MONTH(MarOffset+33)=3),MarOffset+33,"")</f>
        <v>44651</v>
      </c>
      <c r="G12" s="7" t="str" cm="1">
        <f t="array" ref="G12">IF(AND(YEAR(MarOffset+34)=calendarYear,MONTH(MarOffset+34)=3),MarOffset+34,"")</f>
        <v/>
      </c>
      <c r="H12" s="7" t="str" cm="1">
        <f t="array" ref="H12">IF(AND(YEAR(MarOffset+35)=calendarYear,MONTH(MarOffset+35)=3),MarOffset+35,"")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IF(AND(YEAR(MarOffset+36)=calendarYear,MONTH(MarOffset+36)=3),MarOffset+36,"")</f>
        <v/>
      </c>
      <c r="C14" s="7" t="str" cm="1">
        <f t="array" ref="C14">IF(AND(YEAR(MarOffset+37)=calendarYear,MONTH(MarOffset+37)=3),MarOffset+37,"")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CONCATENATE("April " &amp; calendarYear)</f>
        <v>April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IF(AND(YEAR(AprOffset+1)=calendarYear,MONTH(AprOffset+1)=4),AprOffset+1,"")</f>
        <v/>
      </c>
      <c r="C4" s="7" t="str" cm="1">
        <f t="array" ref="C4">IF(AND(YEAR(AprOffset+2)=calendarYear,MONTH(AprOffset+2)=4),AprOffset+2,"")</f>
        <v/>
      </c>
      <c r="D4" s="7" t="str" cm="1">
        <f t="array" ref="D4">IF(AND(YEAR(AprOffset+3)=calendarYear,MONTH(AprOffset+3)=4),AprOffset+3,"")</f>
        <v/>
      </c>
      <c r="E4" s="7" t="str" cm="1">
        <f t="array" ref="E4">IF(AND(YEAR(AprOffset+4)=calendarYear,MONTH(AprOffset+4)=4),AprOffset+4,"")</f>
        <v/>
      </c>
      <c r="F4" s="7" t="str" cm="1">
        <f t="array" ref="F4">IF(AND(YEAR(AprOffset+5)=calendarYear,MONTH(AprOffset+5)=4),AprOffset+5,"")</f>
        <v/>
      </c>
      <c r="G4" s="7" cm="1">
        <f t="array" ref="G4">IF(AND(YEAR(AprOffset+6)=calendarYear,MONTH(AprOffset+6)=4),AprOffset+6,"")</f>
        <v>44652</v>
      </c>
      <c r="H4" s="7" cm="1">
        <f t="array" ref="H4">IF(AND(YEAR(AprOffset+7)=calendarYear,MONTH(AprOffset+7)=4),AprOffset+7,"")</f>
        <v>44653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IF(AND(YEAR(AprOffset+8)=calendarYear,MONTH(AprOffset+8)=4),AprOffset+8,"")</f>
        <v>44654</v>
      </c>
      <c r="C6" s="7" cm="1">
        <f t="array" ref="C6">IF(AND(YEAR(AprOffset+9)=calendarYear,MONTH(AprOffset+9)=4),AprOffset+9,"")</f>
        <v>44655</v>
      </c>
      <c r="D6" s="7" cm="1">
        <f t="array" ref="D6">IF(AND(YEAR(AprOffset+10)=calendarYear,MONTH(AprOffset+10)=4),AprOffset+10,"")</f>
        <v>44656</v>
      </c>
      <c r="E6" s="7" cm="1">
        <f t="array" ref="E6">IF(AND(YEAR(AprOffset+11)=calendarYear,MONTH(AprOffset+11)=4),AprOffset+11,"")</f>
        <v>44657</v>
      </c>
      <c r="F6" s="7" cm="1">
        <f t="array" ref="F6">IF(AND(YEAR(AprOffset+12)=calendarYear,MONTH(AprOffset+12)=4),AprOffset+12,"")</f>
        <v>44658</v>
      </c>
      <c r="G6" s="7" cm="1">
        <f t="array" ref="G6">IF(AND(YEAR(AprOffset+13)=calendarYear,MONTH(AprOffset+13)=4),AprOffset+13,"")</f>
        <v>44659</v>
      </c>
      <c r="H6" s="7" cm="1">
        <f t="array" ref="H6">IF(AND(YEAR(AprOffset+14)=calendarYear,MONTH(AprOffset+14)=4),AprOffset+14,"")</f>
        <v>44660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IF(AND(YEAR(AprOffset+15)=calendarYear,MONTH(AprOffset+15)=4),AprOffset+15,"")</f>
        <v>44661</v>
      </c>
      <c r="C8" s="7" cm="1">
        <f t="array" ref="C8">IF(AND(YEAR(AprOffset+16)=calendarYear,MONTH(AprOffset+16)=4),AprOffset+16,"")</f>
        <v>44662</v>
      </c>
      <c r="D8" s="7" cm="1">
        <f t="array" ref="D8">IF(AND(YEAR(AprOffset+17)=calendarYear,MONTH(AprOffset+17)=4),AprOffset+17,"")</f>
        <v>44663</v>
      </c>
      <c r="E8" s="7" cm="1">
        <f t="array" ref="E8">IF(AND(YEAR(AprOffset+18)=calendarYear,MONTH(AprOffset+18)=4),AprOffset+18,"")</f>
        <v>44664</v>
      </c>
      <c r="F8" s="7" cm="1">
        <f t="array" ref="F8">IF(AND(YEAR(AprOffset+19)=calendarYear,MONTH(AprOffset+19)=4),AprOffset+19,"")</f>
        <v>44665</v>
      </c>
      <c r="G8" s="7" cm="1">
        <f t="array" ref="G8">IF(AND(YEAR(AprOffset+20)=calendarYear,MONTH(AprOffset+20)=4),AprOffset+20,"")</f>
        <v>44666</v>
      </c>
      <c r="H8" s="7" cm="1">
        <f t="array" ref="H8">IF(AND(YEAR(AprOffset+21)=calendarYear,MONTH(AprOffset+21)=4),AprOffset+21,"")</f>
        <v>44667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IF(AND(YEAR(AprOffset+22)=calendarYear,MONTH(AprOffset+22)=4),AprOffset+22,"")</f>
        <v>44668</v>
      </c>
      <c r="C10" s="7" cm="1">
        <f t="array" ref="C10">IF(AND(YEAR(AprOffset+23)=calendarYear,MONTH(AprOffset+23)=4),AprOffset+23,"")</f>
        <v>44669</v>
      </c>
      <c r="D10" s="7" cm="1">
        <f t="array" ref="D10">IF(AND(YEAR(AprOffset+24)=calendarYear,MONTH(AprOffset+24)=4),AprOffset+24,"")</f>
        <v>44670</v>
      </c>
      <c r="E10" s="7" cm="1">
        <f t="array" ref="E10">IF(AND(YEAR(AprOffset+25)=calendarYear,MONTH(AprOffset+25)=4),AprOffset+25,"")</f>
        <v>44671</v>
      </c>
      <c r="F10" s="7" cm="1">
        <f t="array" ref="F10">IF(AND(YEAR(AprOffset+26)=calendarYear,MONTH(AprOffset+26)=4),AprOffset+26,"")</f>
        <v>44672</v>
      </c>
      <c r="G10" s="7" cm="1">
        <f t="array" ref="G10">IF(AND(YEAR(AprOffset+27)=calendarYear,MONTH(AprOffset+27)=4),AprOffset+27,"")</f>
        <v>44673</v>
      </c>
      <c r="H10" s="7" cm="1">
        <f t="array" ref="H10">IF(AND(YEAR(AprOffset+28)=calendarYear,MONTH(AprOffset+28)=4),AprOffset+28,"")</f>
        <v>44674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IF(AND(YEAR(AprOffset+29)=calendarYear,MONTH(AprOffset+29)=4),AprOffset+29,"")</f>
        <v>44675</v>
      </c>
      <c r="C12" s="7" cm="1">
        <f t="array" ref="C12">IF(AND(YEAR(AprOffset+30)=calendarYear,MONTH(AprOffset+30)=4),AprOffset+30,"")</f>
        <v>44676</v>
      </c>
      <c r="D12" s="7" cm="1">
        <f t="array" ref="D12">IF(AND(YEAR(AprOffset+31)=calendarYear,MONTH(AprOffset+31)=4),AprOffset+31,"")</f>
        <v>44677</v>
      </c>
      <c r="E12" s="7" cm="1">
        <f t="array" ref="E12">IF(AND(YEAR(AprOffset+32)=calendarYear,MONTH(AprOffset+32)=4),AprOffset+32,"")</f>
        <v>44678</v>
      </c>
      <c r="F12" s="7" cm="1">
        <f t="array" ref="F12">IF(AND(YEAR(AprOffset+33)=calendarYear,MONTH(AprOffset+33)=4),AprOffset+33,"")</f>
        <v>44679</v>
      </c>
      <c r="G12" s="7" cm="1">
        <f t="array" ref="G12">IF(AND(YEAR(AprOffset+34)=calendarYear,MONTH(AprOffset+34)=4),AprOffset+34,"")</f>
        <v>44680</v>
      </c>
      <c r="H12" s="7" cm="1">
        <f t="array" ref="H12">IF(AND(YEAR(AprOffset+35)=calendarYear,MONTH(AprOffset+35)=4),AprOffset+35,"")</f>
        <v>44681</v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IF(AND(YEAR(AprOffset+36)=calendarYear,MONTH(AprOffset+36)=4),AprOffset+36,"")</f>
        <v/>
      </c>
      <c r="C14" s="7" t="str" cm="1">
        <f t="array" ref="C14">IF(AND(YEAR(AprOffset+37)=calendarYear,MONTH(AprOffset+37)=4),AprOffset+37,"")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CONCATENATE("May " &amp; calendarYear)</f>
        <v>May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cm="1">
        <f t="array" ref="B4">IF(AND(YEAR(MayOffset+1)=calendarYear,MONTH(MayOffset+1)=5),MayOffset+1,"")</f>
        <v>44682</v>
      </c>
      <c r="C4" s="7" cm="1">
        <f t="array" ref="C4">IF(AND(YEAR(MayOffset+2)=calendarYear,MONTH(MayOffset+2)=5),MayOffset+2,"")</f>
        <v>44683</v>
      </c>
      <c r="D4" s="7" cm="1">
        <f t="array" ref="D4">IF(AND(YEAR(MayOffset+3)=calendarYear,MONTH(MayOffset+3)=5),MayOffset+3,"")</f>
        <v>44684</v>
      </c>
      <c r="E4" s="7" cm="1">
        <f t="array" ref="E4">IF(AND(YEAR(MayOffset+4)=calendarYear,MONTH(MayOffset+4)=5),MayOffset+4,"")</f>
        <v>44685</v>
      </c>
      <c r="F4" s="7" cm="1">
        <f t="array" ref="F4">IF(AND(YEAR(MayOffset+5)=calendarYear,MONTH(MayOffset+5)=5),MayOffset+5,"")</f>
        <v>44686</v>
      </c>
      <c r="G4" s="7" cm="1">
        <f t="array" ref="G4">IF(AND(YEAR(MayOffset+6)=calendarYear,MONTH(MayOffset+6)=5),MayOffset+6,"")</f>
        <v>44687</v>
      </c>
      <c r="H4" s="7" cm="1">
        <f t="array" ref="H4">IF(AND(YEAR(MayOffset+7)=calendarYear,MONTH(MayOffset+7)=5),MayOffset+7,"")</f>
        <v>44688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IF(AND(YEAR(MayOffset+8)=calendarYear,MONTH(MayOffset+8)=5),MayOffset+8,"")</f>
        <v>44689</v>
      </c>
      <c r="C6" s="7" cm="1">
        <f t="array" ref="C6">IF(AND(YEAR(MayOffset+9)=calendarYear,MONTH(MayOffset+9)=5),MayOffset+9,"")</f>
        <v>44690</v>
      </c>
      <c r="D6" s="7" cm="1">
        <f t="array" ref="D6">IF(AND(YEAR(MayOffset+10)=calendarYear,MONTH(MayOffset+10)=5),MayOffset+10,"")</f>
        <v>44691</v>
      </c>
      <c r="E6" s="7" cm="1">
        <f t="array" ref="E6">IF(AND(YEAR(MayOffset+11)=calendarYear,MONTH(MayOffset+11)=5),MayOffset+11,"")</f>
        <v>44692</v>
      </c>
      <c r="F6" s="7" cm="1">
        <f t="array" ref="F6">IF(AND(YEAR(MayOffset+12)=calendarYear,MONTH(MayOffset+12)=5),MayOffset+12,"")</f>
        <v>44693</v>
      </c>
      <c r="G6" s="7" cm="1">
        <f t="array" ref="G6">IF(AND(YEAR(MayOffset+13)=calendarYear,MONTH(MayOffset+13)=5),MayOffset+13,"")</f>
        <v>44694</v>
      </c>
      <c r="H6" s="7" cm="1">
        <f t="array" ref="H6">IF(AND(YEAR(MayOffset+14)=calendarYear,MONTH(MayOffset+14)=5),MayOffset+14,"")</f>
        <v>44695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IF(AND(YEAR(MayOffset+15)=calendarYear,MONTH(MayOffset+15)=5),MayOffset+15,"")</f>
        <v>44696</v>
      </c>
      <c r="C8" s="7" cm="1">
        <f t="array" ref="C8">IF(AND(YEAR(MayOffset+16)=calendarYear,MONTH(MayOffset+16)=5),MayOffset+16,"")</f>
        <v>44697</v>
      </c>
      <c r="D8" s="7" cm="1">
        <f t="array" ref="D8">IF(AND(YEAR(MayOffset+17)=calendarYear,MONTH(MayOffset+17)=5),MayOffset+17,"")</f>
        <v>44698</v>
      </c>
      <c r="E8" s="7" cm="1">
        <f t="array" ref="E8">IF(AND(YEAR(MayOffset+18)=calendarYear,MONTH(MayOffset+18)=5),MayOffset+18,"")</f>
        <v>44699</v>
      </c>
      <c r="F8" s="7" cm="1">
        <f t="array" ref="F8">IF(AND(YEAR(MayOffset+19)=calendarYear,MONTH(MayOffset+19)=5),MayOffset+19,"")</f>
        <v>44700</v>
      </c>
      <c r="G8" s="7" cm="1">
        <f t="array" ref="G8">IF(AND(YEAR(MayOffset+20)=calendarYear,MONTH(MayOffset+20)=5),MayOffset+20,"")</f>
        <v>44701</v>
      </c>
      <c r="H8" s="7" cm="1">
        <f t="array" ref="H8">IF(AND(YEAR(MayOffset+21)=calendarYear,MONTH(MayOffset+21)=5),MayOffset+21,"")</f>
        <v>44702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IF(AND(YEAR(MayOffset+22)=calendarYear,MONTH(MayOffset+22)=5),MayOffset+22,"")</f>
        <v>44703</v>
      </c>
      <c r="C10" s="7" cm="1">
        <f t="array" ref="C10">IF(AND(YEAR(MayOffset+23)=calendarYear,MONTH(MayOffset+23)=5),MayOffset+23,"")</f>
        <v>44704</v>
      </c>
      <c r="D10" s="7" cm="1">
        <f t="array" ref="D10">IF(AND(YEAR(MayOffset+24)=calendarYear,MONTH(MayOffset+24)=5),MayOffset+24,"")</f>
        <v>44705</v>
      </c>
      <c r="E10" s="7" cm="1">
        <f t="array" ref="E10">IF(AND(YEAR(MayOffset+25)=calendarYear,MONTH(MayOffset+25)=5),MayOffset+25,"")</f>
        <v>44706</v>
      </c>
      <c r="F10" s="7" cm="1">
        <f t="array" ref="F10">IF(AND(YEAR(MayOffset+26)=calendarYear,MONTH(MayOffset+26)=5),MayOffset+26,"")</f>
        <v>44707</v>
      </c>
      <c r="G10" s="7" cm="1">
        <f t="array" ref="G10">IF(AND(YEAR(MayOffset+27)=calendarYear,MONTH(MayOffset+27)=5),MayOffset+27,"")</f>
        <v>44708</v>
      </c>
      <c r="H10" s="7" cm="1">
        <f t="array" ref="H10">IF(AND(YEAR(MayOffset+28)=calendarYear,MONTH(MayOffset+28)=5),MayOffset+28,"")</f>
        <v>44709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IF(AND(YEAR(MayOffset+29)=calendarYear,MONTH(MayOffset+29)=5),MayOffset+29,"")</f>
        <v>44710</v>
      </c>
      <c r="C12" s="7" cm="1">
        <f t="array" ref="C12">IF(AND(YEAR(MayOffset+30)=calendarYear,MONTH(MayOffset+30)=5),MayOffset+30,"")</f>
        <v>44711</v>
      </c>
      <c r="D12" s="7" cm="1">
        <f t="array" ref="D12">IF(AND(YEAR(MayOffset+31)=calendarYear,MONTH(MayOffset+31)=5),MayOffset+31,"")</f>
        <v>44712</v>
      </c>
      <c r="E12" s="7" t="str" cm="1">
        <f t="array" ref="E12">IF(AND(YEAR(MayOffset+32)=calendarYear,MONTH(MayOffset+32)=5),MayOffset+32,"")</f>
        <v/>
      </c>
      <c r="F12" s="7" t="str" cm="1">
        <f t="array" ref="F12">IF(AND(YEAR(MayOffset+33)=calendarYear,MONTH(MayOffset+33)=5),MayOffset+33,"")</f>
        <v/>
      </c>
      <c r="G12" s="7" t="str" cm="1">
        <f t="array" ref="G12">IF(AND(YEAR(MayOffset+34)=calendarYear,MONTH(MayOffset+34)=5),MayOffset+34,"")</f>
        <v/>
      </c>
      <c r="H12" s="7" t="str" cm="1">
        <f t="array" ref="H12">IF(AND(YEAR(MayOffset+35)=calendarYear,MONTH(MayOffset+35)=5),MayOffset+35,"")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IF(AND(YEAR(MayOffset+36)=calendarYear,MONTH(MayOffset+36)=5),MayOffset+36,"")</f>
        <v/>
      </c>
      <c r="C14" s="7" t="str" cm="1">
        <f t="array" ref="C14">IF(AND(YEAR(MayOffset+37)=calendarYear,MONTH(MayOffset+37)=5),MayOffset+37,"")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CONCATENATE("June " &amp; calendarYear)</f>
        <v>June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IF(AND(YEAR(JunOffset+1)=calendarYear,MONTH(JunOffset+1)=6),JunOffset+1,"")</f>
        <v/>
      </c>
      <c r="C4" s="7" t="str" cm="1">
        <f t="array" ref="C4">IF(AND(YEAR(JunOffset+2)=calendarYear,MONTH(JunOffset+2)=6),JunOffset+2,"")</f>
        <v/>
      </c>
      <c r="D4" s="7" t="str" cm="1">
        <f t="array" ref="D4">IF(AND(YEAR(JunOffset+3)=calendarYear,MONTH(JunOffset+3)=6),JunOffset+3,"")</f>
        <v/>
      </c>
      <c r="E4" s="7" cm="1">
        <f t="array" ref="E4">IF(AND(YEAR(JunOffset+4)=calendarYear,MONTH(JunOffset+4)=6),JunOffset+4,"")</f>
        <v>44713</v>
      </c>
      <c r="F4" s="7" cm="1">
        <f t="array" ref="F4">IF(AND(YEAR(JunOffset+5)=calendarYear,MONTH(JunOffset+5)=6),JunOffset+5,"")</f>
        <v>44714</v>
      </c>
      <c r="G4" s="7" cm="1">
        <f t="array" ref="G4">IF(AND(YEAR(JunOffset+6)=calendarYear,MONTH(JunOffset+6)=6),JunOffset+6,"")</f>
        <v>44715</v>
      </c>
      <c r="H4" s="7" cm="1">
        <f t="array" ref="H4">IF(AND(YEAR(JunOffset+7)=calendarYear,MONTH(JunOffset+7)=6),JunOffset+7,"")</f>
        <v>44716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IF(AND(YEAR(JunOffset+8)=calendarYear,MONTH(JunOffset+8)=6),JunOffset+8,"")</f>
        <v>44717</v>
      </c>
      <c r="C6" s="7" cm="1">
        <f t="array" ref="C6">IF(AND(YEAR(JunOffset+9)=calendarYear,MONTH(JunOffset+9)=6),JunOffset+9,"")</f>
        <v>44718</v>
      </c>
      <c r="D6" s="7" cm="1">
        <f t="array" ref="D6">IF(AND(YEAR(JunOffset+10)=calendarYear,MONTH(JunOffset+10)=6),JunOffset+10,"")</f>
        <v>44719</v>
      </c>
      <c r="E6" s="7" cm="1">
        <f t="array" ref="E6">IF(AND(YEAR(JunOffset+11)=calendarYear,MONTH(JunOffset+11)=6),JunOffset+11,"")</f>
        <v>44720</v>
      </c>
      <c r="F6" s="7" cm="1">
        <f t="array" ref="F6">IF(AND(YEAR(JunOffset+12)=calendarYear,MONTH(JunOffset+12)=6),JunOffset+12,"")</f>
        <v>44721</v>
      </c>
      <c r="G6" s="7" cm="1">
        <f t="array" ref="G6">IF(AND(YEAR(JunOffset+13)=calendarYear,MONTH(JunOffset+13)=6),JunOffset+13,"")</f>
        <v>44722</v>
      </c>
      <c r="H6" s="7" cm="1">
        <f t="array" ref="H6">IF(AND(YEAR(JunOffset+14)=calendarYear,MONTH(JunOffset+14)=6),JunOffset+14,"")</f>
        <v>44723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IF(AND(YEAR(JunOffset+15)=calendarYear,MONTH(JunOffset+15)=6),JunOffset+15,"")</f>
        <v>44724</v>
      </c>
      <c r="C8" s="7" cm="1">
        <f t="array" ref="C8">IF(AND(YEAR(JunOffset+16)=calendarYear,MONTH(JunOffset+16)=6),JunOffset+16,"")</f>
        <v>44725</v>
      </c>
      <c r="D8" s="7" cm="1">
        <f t="array" ref="D8">IF(AND(YEAR(JunOffset+17)=calendarYear,MONTH(JunOffset+17)=6),JunOffset+17,"")</f>
        <v>44726</v>
      </c>
      <c r="E8" s="7" cm="1">
        <f t="array" ref="E8">IF(AND(YEAR(JunOffset+18)=calendarYear,MONTH(JunOffset+18)=6),JunOffset+18,"")</f>
        <v>44727</v>
      </c>
      <c r="F8" s="7" cm="1">
        <f t="array" ref="F8">IF(AND(YEAR(JunOffset+19)=calendarYear,MONTH(JunOffset+19)=6),JunOffset+19,"")</f>
        <v>44728</v>
      </c>
      <c r="G8" s="7" cm="1">
        <f t="array" ref="G8">IF(AND(YEAR(JunOffset+20)=calendarYear,MONTH(JunOffset+20)=6),JunOffset+20,"")</f>
        <v>44729</v>
      </c>
      <c r="H8" s="7" cm="1">
        <f t="array" ref="H8">IF(AND(YEAR(JunOffset+21)=calendarYear,MONTH(JunOffset+21)=6),JunOffset+21,"")</f>
        <v>44730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IF(AND(YEAR(JunOffset+22)=calendarYear,MONTH(JunOffset+22)=6),JunOffset+22,"")</f>
        <v>44731</v>
      </c>
      <c r="C10" s="7" cm="1">
        <f t="array" ref="C10">IF(AND(YEAR(JunOffset+23)=calendarYear,MONTH(JunOffset+23)=6),JunOffset+23,"")</f>
        <v>44732</v>
      </c>
      <c r="D10" s="7" cm="1">
        <f t="array" ref="D10">IF(AND(YEAR(JunOffset+24)=calendarYear,MONTH(JunOffset+24)=6),JunOffset+24,"")</f>
        <v>44733</v>
      </c>
      <c r="E10" s="7" cm="1">
        <f t="array" ref="E10">IF(AND(YEAR(JunOffset+25)=calendarYear,MONTH(JunOffset+25)=6),JunOffset+25,"")</f>
        <v>44734</v>
      </c>
      <c r="F10" s="7" cm="1">
        <f t="array" ref="F10">IF(AND(YEAR(JunOffset+26)=calendarYear,MONTH(JunOffset+26)=6),JunOffset+26,"")</f>
        <v>44735</v>
      </c>
      <c r="G10" s="7" cm="1">
        <f t="array" ref="G10">IF(AND(YEAR(JunOffset+27)=calendarYear,MONTH(JunOffset+27)=6),JunOffset+27,"")</f>
        <v>44736</v>
      </c>
      <c r="H10" s="7" cm="1">
        <f t="array" ref="H10">IF(AND(YEAR(JunOffset+28)=calendarYear,MONTH(JunOffset+28)=6),JunOffset+28,"")</f>
        <v>44737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IF(AND(YEAR(JunOffset+29)=calendarYear,MONTH(JunOffset+29)=6),JunOffset+29,"")</f>
        <v>44738</v>
      </c>
      <c r="C12" s="7" cm="1">
        <f t="array" ref="C12">IF(AND(YEAR(JunOffset+30)=calendarYear,MONTH(JunOffset+30)=6),JunOffset+30,"")</f>
        <v>44739</v>
      </c>
      <c r="D12" s="7" cm="1">
        <f t="array" ref="D12">IF(AND(YEAR(JunOffset+31)=calendarYear,MONTH(JunOffset+31)=6),JunOffset+31,"")</f>
        <v>44740</v>
      </c>
      <c r="E12" s="7" cm="1">
        <f t="array" ref="E12">IF(AND(YEAR(JunOffset+32)=calendarYear,MONTH(JunOffset+32)=6),JunOffset+32,"")</f>
        <v>44741</v>
      </c>
      <c r="F12" s="7" cm="1">
        <f t="array" ref="F12">IF(AND(YEAR(JunOffset+33)=calendarYear,MONTH(JunOffset+33)=6),JunOffset+33,"")</f>
        <v>44742</v>
      </c>
      <c r="G12" s="7" t="str" cm="1">
        <f t="array" ref="G12">IF(AND(YEAR(JunOffset+34)=calendarYear,MONTH(JunOffset+34)=6),JunOffset+34,"")</f>
        <v/>
      </c>
      <c r="H12" s="7" t="str" cm="1">
        <f t="array" ref="H12">IF(AND(YEAR(JunOffset+35)=calendarYear,MONTH(JunOffset+35)=6),JunOffset+35,"")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IF(AND(YEAR(JunOffset+36)=calendarYear,MONTH(JunOffset+36)=6),JunOffset+36,"")</f>
        <v/>
      </c>
      <c r="C14" s="7" t="str" cm="1">
        <f t="array" ref="C14">IF(AND(YEAR(JunOffset+37)=calendarYear,MONTH(JunOffset+37)=6),JunOffset+37,"")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CONCATENATE("July " &amp; calendarYear)</f>
        <v>July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IF(AND(YEAR(JulOffset+1)=calendarYear,MONTH(JulOffset+1)=7),JulOffset+1,"")</f>
        <v/>
      </c>
      <c r="C4" s="7" t="str" cm="1">
        <f t="array" ref="C4">IF(AND(YEAR(JulOffset+2)=calendarYear,MONTH(JulOffset+2)=7),JulOffset+2,"")</f>
        <v/>
      </c>
      <c r="D4" s="7" t="str" cm="1">
        <f t="array" ref="D4">IF(AND(YEAR(JulOffset+3)=calendarYear,MONTH(JulOffset+3)=7),JulOffset+3,"")</f>
        <v/>
      </c>
      <c r="E4" s="7" t="str" cm="1">
        <f t="array" ref="E4">IF(AND(YEAR(JulOffset+4)=calendarYear,MONTH(JulOffset+4)=7),JulOffset+4,"")</f>
        <v/>
      </c>
      <c r="F4" s="7" t="str" cm="1">
        <f t="array" ref="F4">IF(AND(YEAR(JulOffset+5)=calendarYear,MONTH(JulOffset+5)=7),JulOffset+5,"")</f>
        <v/>
      </c>
      <c r="G4" s="7" cm="1">
        <f t="array" ref="G4">IF(AND(YEAR(JulOffset+6)=calendarYear,MONTH(JulOffset+6)=7),JulOffset+6,"")</f>
        <v>44743</v>
      </c>
      <c r="H4" s="7" cm="1">
        <f t="array" ref="H4">IF(AND(YEAR(JulOffset+7)=calendarYear,MONTH(JulOffset+7)=7),JulOffset+7,"")</f>
        <v>44744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IF(AND(YEAR(JulOffset+8)=calendarYear,MONTH(JulOffset+8)=7),JulOffset+8,"")</f>
        <v>44745</v>
      </c>
      <c r="C6" s="7" cm="1">
        <f t="array" ref="C6">IF(AND(YEAR(JulOffset+9)=calendarYear,MONTH(JulOffset+9)=7),JulOffset+9,"")</f>
        <v>44746</v>
      </c>
      <c r="D6" s="7" cm="1">
        <f t="array" ref="D6">IF(AND(YEAR(JulOffset+10)=calendarYear,MONTH(JulOffset+10)=7),JulOffset+10,"")</f>
        <v>44747</v>
      </c>
      <c r="E6" s="7" cm="1">
        <f t="array" ref="E6">IF(AND(YEAR(JulOffset+11)=calendarYear,MONTH(JulOffset+11)=7),JulOffset+11,"")</f>
        <v>44748</v>
      </c>
      <c r="F6" s="7" cm="1">
        <f t="array" ref="F6">IF(AND(YEAR(JulOffset+12)=calendarYear,MONTH(JulOffset+12)=7),JulOffset+12,"")</f>
        <v>44749</v>
      </c>
      <c r="G6" s="7" cm="1">
        <f t="array" ref="G6">IF(AND(YEAR(JulOffset+13)=calendarYear,MONTH(JulOffset+13)=7),JulOffset+13,"")</f>
        <v>44750</v>
      </c>
      <c r="H6" s="7" cm="1">
        <f t="array" ref="H6">IF(AND(YEAR(JulOffset+14)=calendarYear,MONTH(JulOffset+14)=7),JulOffset+14,"")</f>
        <v>44751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IF(AND(YEAR(JulOffset+15)=calendarYear,MONTH(JulOffset+15)=7),JulOffset+15,"")</f>
        <v>44752</v>
      </c>
      <c r="C8" s="7" cm="1">
        <f t="array" ref="C8">IF(AND(YEAR(JulOffset+16)=calendarYear,MONTH(JulOffset+16)=7),JulOffset+16,"")</f>
        <v>44753</v>
      </c>
      <c r="D8" s="7" cm="1">
        <f t="array" ref="D8">IF(AND(YEAR(JulOffset+17)=calendarYear,MONTH(JulOffset+17)=7),JulOffset+17,"")</f>
        <v>44754</v>
      </c>
      <c r="E8" s="7" cm="1">
        <f t="array" ref="E8">IF(AND(YEAR(JulOffset+18)=calendarYear,MONTH(JulOffset+18)=7),JulOffset+18,"")</f>
        <v>44755</v>
      </c>
      <c r="F8" s="7" cm="1">
        <f t="array" ref="F8">IF(AND(YEAR(JulOffset+19)=calendarYear,MONTH(JulOffset+19)=7),JulOffset+19,"")</f>
        <v>44756</v>
      </c>
      <c r="G8" s="7" cm="1">
        <f t="array" ref="G8">IF(AND(YEAR(JulOffset+20)=calendarYear,MONTH(JulOffset+20)=7),JulOffset+20,"")</f>
        <v>44757</v>
      </c>
      <c r="H8" s="7" cm="1">
        <f t="array" ref="H8">IF(AND(YEAR(JulOffset+21)=calendarYear,MONTH(JulOffset+21)=7),JulOffset+21,"")</f>
        <v>44758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IF(AND(YEAR(JulOffset+22)=calendarYear,MONTH(JulOffset+22)=7),JulOffset+22,"")</f>
        <v>44759</v>
      </c>
      <c r="C10" s="7" cm="1">
        <f t="array" ref="C10">IF(AND(YEAR(JulOffset+23)=calendarYear,MONTH(JulOffset+23)=7),JulOffset+23,"")</f>
        <v>44760</v>
      </c>
      <c r="D10" s="7" cm="1">
        <f t="array" ref="D10">IF(AND(YEAR(JulOffset+24)=calendarYear,MONTH(JulOffset+24)=7),JulOffset+24,"")</f>
        <v>44761</v>
      </c>
      <c r="E10" s="7" cm="1">
        <f t="array" ref="E10">IF(AND(YEAR(JulOffset+25)=calendarYear,MONTH(JulOffset+25)=7),JulOffset+25,"")</f>
        <v>44762</v>
      </c>
      <c r="F10" s="7" cm="1">
        <f t="array" ref="F10">IF(AND(YEAR(JulOffset+26)=calendarYear,MONTH(JulOffset+26)=7),JulOffset+26,"")</f>
        <v>44763</v>
      </c>
      <c r="G10" s="7" cm="1">
        <f t="array" ref="G10">IF(AND(YEAR(JulOffset+27)=calendarYear,MONTH(JulOffset+27)=7),JulOffset+27,"")</f>
        <v>44764</v>
      </c>
      <c r="H10" s="7" cm="1">
        <f t="array" ref="H10">IF(AND(YEAR(JulOffset+28)=calendarYear,MONTH(JulOffset+28)=7),JulOffset+28,"")</f>
        <v>44765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IF(AND(YEAR(JulOffset+29)=calendarYear,MONTH(JulOffset+29)=7),JulOffset+29,"")</f>
        <v>44766</v>
      </c>
      <c r="C12" s="7" cm="1">
        <f t="array" ref="C12">IF(AND(YEAR(JulOffset+30)=calendarYear,MONTH(JulOffset+30)=7),JulOffset+30,"")</f>
        <v>44767</v>
      </c>
      <c r="D12" s="7" cm="1">
        <f t="array" ref="D12">IF(AND(YEAR(JulOffset+31)=calendarYear,MONTH(JulOffset+31)=7),JulOffset+31,"")</f>
        <v>44768</v>
      </c>
      <c r="E12" s="7" cm="1">
        <f t="array" ref="E12">IF(AND(YEAR(JulOffset+32)=calendarYear,MONTH(JulOffset+32)=7),JulOffset+32,"")</f>
        <v>44769</v>
      </c>
      <c r="F12" s="7" cm="1">
        <f t="array" ref="F12">IF(AND(YEAR(JulOffset+33)=calendarYear,MONTH(JulOffset+33)=7),JulOffset+33,"")</f>
        <v>44770</v>
      </c>
      <c r="G12" s="7" cm="1">
        <f t="array" ref="G12">IF(AND(YEAR(JulOffset+34)=calendarYear,MONTH(JulOffset+34)=7),JulOffset+34,"")</f>
        <v>44771</v>
      </c>
      <c r="H12" s="7" cm="1">
        <f t="array" ref="H12">IF(AND(YEAR(JulOffset+35)=calendarYear,MONTH(JulOffset+35)=7),JulOffset+35,"")</f>
        <v>44772</v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cm="1">
        <f t="array" ref="B14">IF(AND(YEAR(JulOffset+36)=calendarYear,MONTH(JulOffset+36)=7),JulOffset+36,"")</f>
        <v>44773</v>
      </c>
      <c r="C14" s="7" t="str" cm="1">
        <f t="array" ref="C14">IF(AND(YEAR(JulOffset+37)=calendarYear,MONTH(JulOffset+37)=7),JulOffset+37,"")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CONCATENATE("August " &amp; calendarYear)</f>
        <v>August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IF(AND(YEAR(AugOffset+1)=calendarYear,MONTH(AugOffset+1)=8),AugOffset+1,"")</f>
        <v/>
      </c>
      <c r="C4" s="7" cm="1">
        <f t="array" ref="C4">IF(AND(YEAR(AugOffset+2)=calendarYear,MONTH(AugOffset+2)=8),AugOffset+2,"")</f>
        <v>44774</v>
      </c>
      <c r="D4" s="7" cm="1">
        <f t="array" ref="D4">IF(AND(YEAR(AugOffset+3)=calendarYear,MONTH(AugOffset+3)=8),AugOffset+3,"")</f>
        <v>44775</v>
      </c>
      <c r="E4" s="7" cm="1">
        <f t="array" ref="E4">IF(AND(YEAR(AugOffset+4)=calendarYear,MONTH(AugOffset+4)=8),AugOffset+4,"")</f>
        <v>44776</v>
      </c>
      <c r="F4" s="7" cm="1">
        <f t="array" ref="F4">IF(AND(YEAR(AugOffset+5)=calendarYear,MONTH(AugOffset+5)=8),AugOffset+5,"")</f>
        <v>44777</v>
      </c>
      <c r="G4" s="7" cm="1">
        <f t="array" ref="G4">IF(AND(YEAR(AugOffset+6)=calendarYear,MONTH(AugOffset+6)=8),AugOffset+6,"")</f>
        <v>44778</v>
      </c>
      <c r="H4" s="7" cm="1">
        <f t="array" ref="H4">IF(AND(YEAR(AugOffset+7)=calendarYear,MONTH(AugOffset+7)=8),AugOffset+7,"")</f>
        <v>44779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IF(AND(YEAR(AugOffset+8)=calendarYear,MONTH(AugOffset+8)=8),AugOffset+8,"")</f>
        <v>44780</v>
      </c>
      <c r="C6" s="7" cm="1">
        <f t="array" ref="C6">IF(AND(YEAR(AugOffset+9)=calendarYear,MONTH(AugOffset+9)=8),AugOffset+9,"")</f>
        <v>44781</v>
      </c>
      <c r="D6" s="7" cm="1">
        <f t="array" ref="D6">IF(AND(YEAR(AugOffset+10)=calendarYear,MONTH(AugOffset+10)=8),AugOffset+10,"")</f>
        <v>44782</v>
      </c>
      <c r="E6" s="7" cm="1">
        <f t="array" ref="E6">IF(AND(YEAR(AugOffset+11)=calendarYear,MONTH(AugOffset+11)=8),AugOffset+11,"")</f>
        <v>44783</v>
      </c>
      <c r="F6" s="7" cm="1">
        <f t="array" ref="F6">IF(AND(YEAR(AugOffset+12)=calendarYear,MONTH(AugOffset+12)=8),AugOffset+12,"")</f>
        <v>44784</v>
      </c>
      <c r="G6" s="7" cm="1">
        <f t="array" ref="G6">IF(AND(YEAR(AugOffset+13)=calendarYear,MONTH(AugOffset+13)=8),AugOffset+13,"")</f>
        <v>44785</v>
      </c>
      <c r="H6" s="7" cm="1">
        <f t="array" ref="H6">IF(AND(YEAR(AugOffset+14)=calendarYear,MONTH(AugOffset+14)=8),AugOffset+14,"")</f>
        <v>44786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IF(AND(YEAR(AugOffset+15)=calendarYear,MONTH(AugOffset+15)=8),AugOffset+15,"")</f>
        <v>44787</v>
      </c>
      <c r="C8" s="7" cm="1">
        <f t="array" ref="C8">IF(AND(YEAR(AugOffset+16)=calendarYear,MONTH(AugOffset+16)=8),AugOffset+16,"")</f>
        <v>44788</v>
      </c>
      <c r="D8" s="7" cm="1">
        <f t="array" ref="D8">IF(AND(YEAR(AugOffset+17)=calendarYear,MONTH(AugOffset+17)=8),AugOffset+17,"")</f>
        <v>44789</v>
      </c>
      <c r="E8" s="7" cm="1">
        <f t="array" ref="E8">IF(AND(YEAR(AugOffset+18)=calendarYear,MONTH(AugOffset+18)=8),AugOffset+18,"")</f>
        <v>44790</v>
      </c>
      <c r="F8" s="7" cm="1">
        <f t="array" ref="F8">IF(AND(YEAR(AugOffset+19)=calendarYear,MONTH(AugOffset+19)=8),AugOffset+19,"")</f>
        <v>44791</v>
      </c>
      <c r="G8" s="7" cm="1">
        <f t="array" ref="G8">IF(AND(YEAR(AugOffset+20)=calendarYear,MONTH(AugOffset+20)=8),AugOffset+20,"")</f>
        <v>44792</v>
      </c>
      <c r="H8" s="7" cm="1">
        <f t="array" ref="H8">IF(AND(YEAR(AugOffset+21)=calendarYear,MONTH(AugOffset+21)=8),AugOffset+21,"")</f>
        <v>44793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IF(AND(YEAR(AugOffset+22)=calendarYear,MONTH(AugOffset+22)=8),AugOffset+22,"")</f>
        <v>44794</v>
      </c>
      <c r="C10" s="7" cm="1">
        <f t="array" ref="C10">IF(AND(YEAR(AugOffset+23)=calendarYear,MONTH(AugOffset+23)=8),AugOffset+23,"")</f>
        <v>44795</v>
      </c>
      <c r="D10" s="7" cm="1">
        <f t="array" ref="D10">IF(AND(YEAR(AugOffset+24)=calendarYear,MONTH(AugOffset+24)=8),AugOffset+24,"")</f>
        <v>44796</v>
      </c>
      <c r="E10" s="7" cm="1">
        <f t="array" ref="E10">IF(AND(YEAR(AugOffset+25)=calendarYear,MONTH(AugOffset+25)=8),AugOffset+25,"")</f>
        <v>44797</v>
      </c>
      <c r="F10" s="7" cm="1">
        <f t="array" ref="F10">IF(AND(YEAR(AugOffset+26)=calendarYear,MONTH(AugOffset+26)=8),AugOffset+26,"")</f>
        <v>44798</v>
      </c>
      <c r="G10" s="7" cm="1">
        <f t="array" ref="G10">IF(AND(YEAR(AugOffset+27)=calendarYear,MONTH(AugOffset+27)=8),AugOffset+27,"")</f>
        <v>44799</v>
      </c>
      <c r="H10" s="7" cm="1">
        <f t="array" ref="H10">IF(AND(YEAR(AugOffset+28)=calendarYear,MONTH(AugOffset+28)=8),AugOffset+28,"")</f>
        <v>44800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IF(AND(YEAR(AugOffset+29)=calendarYear,MONTH(AugOffset+29)=8),AugOffset+29,"")</f>
        <v>44801</v>
      </c>
      <c r="C12" s="7" cm="1">
        <f t="array" ref="C12">IF(AND(YEAR(AugOffset+30)=calendarYear,MONTH(AugOffset+30)=8),AugOffset+30,"")</f>
        <v>44802</v>
      </c>
      <c r="D12" s="7" cm="1">
        <f t="array" ref="D12">IF(AND(YEAR(AugOffset+31)=calendarYear,MONTH(AugOffset+31)=8),AugOffset+31,"")</f>
        <v>44803</v>
      </c>
      <c r="E12" s="7" cm="1">
        <f t="array" ref="E12">IF(AND(YEAR(AugOffset+32)=calendarYear,MONTH(AugOffset+32)=8),AugOffset+32,"")</f>
        <v>44804</v>
      </c>
      <c r="F12" s="7" t="str" cm="1">
        <f t="array" ref="F12">IF(AND(YEAR(AugOffset+33)=calendarYear,MONTH(AugOffset+33)=8),AugOffset+33,"")</f>
        <v/>
      </c>
      <c r="G12" s="7" t="str" cm="1">
        <f t="array" ref="G12">IF(AND(YEAR(AugOffset+34)=calendarYear,MONTH(AugOffset+34)=8),AugOffset+34,"")</f>
        <v/>
      </c>
      <c r="H12" s="7" t="str" cm="1">
        <f t="array" ref="H12">IF(AND(YEAR(AugOffset+35)=calendarYear,MONTH(AugOffset+35)=8),AugOffset+35,"")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IF(AND(YEAR(AugOffset+36)=calendarYear,MONTH(AugOffset+36)=8),AugOffset+36,"")</f>
        <v/>
      </c>
      <c r="C14" s="7" t="str" cm="1">
        <f t="array" ref="C14">IF(AND(YEAR(AugOffset+37)=calendarYear,MONTH(AugOffset+37)=8),AugOffset+37,"")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CONCATENATE("September " &amp; calendarYear)</f>
        <v>September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IF(AND(YEAR(SepOffset+1)=calendarYear,MONTH(SepOffset+1)=9),SepOffset+1,"")</f>
        <v/>
      </c>
      <c r="C4" s="7" t="str" cm="1">
        <f t="array" ref="C4">IF(AND(YEAR(SepOffset+2)=calendarYear,MONTH(SepOffset+2)=9),SepOffset+2,"")</f>
        <v/>
      </c>
      <c r="D4" s="7" t="str" cm="1">
        <f t="array" ref="D4">IF(AND(YEAR(SepOffset+3)=calendarYear,MONTH(SepOffset+3)=9),SepOffset+3,"")</f>
        <v/>
      </c>
      <c r="E4" s="7" t="str" cm="1">
        <f t="array" ref="E4">IF(AND(YEAR(SepOffset+4)=calendarYear,MONTH(SepOffset+4)=9),SepOffset+4,"")</f>
        <v/>
      </c>
      <c r="F4" s="7" cm="1">
        <f t="array" ref="F4">IF(AND(YEAR(SepOffset+5)=calendarYear,MONTH(SepOffset+5)=9),SepOffset+5,"")</f>
        <v>44805</v>
      </c>
      <c r="G4" s="7" cm="1">
        <f t="array" ref="G4">IF(AND(YEAR(SepOffset+6)=calendarYear,MONTH(SepOffset+6)=9),SepOffset+6,"")</f>
        <v>44806</v>
      </c>
      <c r="H4" s="7" cm="1">
        <f t="array" ref="H4">IF(AND(YEAR(SepOffset+7)=calendarYear,MONTH(SepOffset+7)=9),SepOffset+7,"")</f>
        <v>44807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IF(AND(YEAR(SepOffset+8)=calendarYear,MONTH(SepOffset+8)=9),SepOffset+8,"")</f>
        <v>44808</v>
      </c>
      <c r="C6" s="7" cm="1">
        <f t="array" ref="C6">IF(AND(YEAR(SepOffset+9)=calendarYear,MONTH(SepOffset+9)=9),SepOffset+9,"")</f>
        <v>44809</v>
      </c>
      <c r="D6" s="7" cm="1">
        <f t="array" ref="D6">IF(AND(YEAR(SepOffset+10)=calendarYear,MONTH(SepOffset+10)=9),SepOffset+10,"")</f>
        <v>44810</v>
      </c>
      <c r="E6" s="7" cm="1">
        <f t="array" ref="E6">IF(AND(YEAR(SepOffset+11)=calendarYear,MONTH(SepOffset+11)=9),SepOffset+11,"")</f>
        <v>44811</v>
      </c>
      <c r="F6" s="7" cm="1">
        <f t="array" ref="F6">IF(AND(YEAR(SepOffset+12)=calendarYear,MONTH(SepOffset+12)=9),SepOffset+12,"")</f>
        <v>44812</v>
      </c>
      <c r="G6" s="7" cm="1">
        <f t="array" ref="G6">IF(AND(YEAR(SepOffset+13)=calendarYear,MONTH(SepOffset+13)=9),SepOffset+13,"")</f>
        <v>44813</v>
      </c>
      <c r="H6" s="7" cm="1">
        <f t="array" ref="H6">IF(AND(YEAR(SepOffset+14)=calendarYear,MONTH(SepOffset+14)=9),SepOffset+14,"")</f>
        <v>44814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IF(AND(YEAR(SepOffset+15)=calendarYear,MONTH(SepOffset+15)=9),SepOffset+15,"")</f>
        <v>44815</v>
      </c>
      <c r="C8" s="7" cm="1">
        <f t="array" ref="C8">IF(AND(YEAR(SepOffset+16)=calendarYear,MONTH(SepOffset+16)=9),SepOffset+16,"")</f>
        <v>44816</v>
      </c>
      <c r="D8" s="7" cm="1">
        <f t="array" ref="D8">IF(AND(YEAR(SepOffset+17)=calendarYear,MONTH(SepOffset+17)=9),SepOffset+17,"")</f>
        <v>44817</v>
      </c>
      <c r="E8" s="7" cm="1">
        <f t="array" ref="E8">IF(AND(YEAR(SepOffset+18)=calendarYear,MONTH(SepOffset+18)=9),SepOffset+18,"")</f>
        <v>44818</v>
      </c>
      <c r="F8" s="7" cm="1">
        <f t="array" ref="F8">IF(AND(YEAR(SepOffset+19)=calendarYear,MONTH(SepOffset+19)=9),SepOffset+19,"")</f>
        <v>44819</v>
      </c>
      <c r="G8" s="7" cm="1">
        <f t="array" ref="G8">IF(AND(YEAR(SepOffset+20)=calendarYear,MONTH(SepOffset+20)=9),SepOffset+20,"")</f>
        <v>44820</v>
      </c>
      <c r="H8" s="7" cm="1">
        <f t="array" ref="H8">IF(AND(YEAR(SepOffset+21)=calendarYear,MONTH(SepOffset+21)=9),SepOffset+21,"")</f>
        <v>44821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IF(AND(YEAR(SepOffset+22)=calendarYear,MONTH(SepOffset+22)=9),SepOffset+22,"")</f>
        <v>44822</v>
      </c>
      <c r="C10" s="7" cm="1">
        <f t="array" ref="C10">IF(AND(YEAR(SepOffset+23)=calendarYear,MONTH(SepOffset+23)=9),SepOffset+23,"")</f>
        <v>44823</v>
      </c>
      <c r="D10" s="7" cm="1">
        <f t="array" ref="D10">IF(AND(YEAR(SepOffset+24)=calendarYear,MONTH(SepOffset+24)=9),SepOffset+24,"")</f>
        <v>44824</v>
      </c>
      <c r="E10" s="7" cm="1">
        <f t="array" ref="E10">IF(AND(YEAR(SepOffset+25)=calendarYear,MONTH(SepOffset+25)=9),SepOffset+25,"")</f>
        <v>44825</v>
      </c>
      <c r="F10" s="7" cm="1">
        <f t="array" ref="F10">IF(AND(YEAR(SepOffset+26)=calendarYear,MONTH(SepOffset+26)=9),SepOffset+26,"")</f>
        <v>44826</v>
      </c>
      <c r="G10" s="7" cm="1">
        <f t="array" ref="G10">IF(AND(YEAR(SepOffset+27)=calendarYear,MONTH(SepOffset+27)=9),SepOffset+27,"")</f>
        <v>44827</v>
      </c>
      <c r="H10" s="7" cm="1">
        <f t="array" ref="H10">IF(AND(YEAR(SepOffset+28)=calendarYear,MONTH(SepOffset+28)=9),SepOffset+28,"")</f>
        <v>44828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IF(AND(YEAR(SepOffset+29)=calendarYear,MONTH(SepOffset+29)=9),SepOffset+29,"")</f>
        <v>44829</v>
      </c>
      <c r="C12" s="7" cm="1">
        <f t="array" ref="C12">IF(AND(YEAR(SepOffset+30)=calendarYear,MONTH(SepOffset+30)=9),SepOffset+30,"")</f>
        <v>44830</v>
      </c>
      <c r="D12" s="7" cm="1">
        <f t="array" ref="D12">IF(AND(YEAR(SepOffset+31)=calendarYear,MONTH(SepOffset+31)=9),SepOffset+31,"")</f>
        <v>44831</v>
      </c>
      <c r="E12" s="7" cm="1">
        <f t="array" ref="E12">IF(AND(YEAR(SepOffset+32)=calendarYear,MONTH(SepOffset+32)=9),SepOffset+32,"")</f>
        <v>44832</v>
      </c>
      <c r="F12" s="7" cm="1">
        <f t="array" ref="F12">IF(AND(YEAR(SepOffset+33)=calendarYear,MONTH(SepOffset+33)=9),SepOffset+33,"")</f>
        <v>44833</v>
      </c>
      <c r="G12" s="7" cm="1">
        <f t="array" ref="G12">IF(AND(YEAR(SepOffset+34)=calendarYear,MONTH(SepOffset+34)=9),SepOffset+34,"")</f>
        <v>44834</v>
      </c>
      <c r="H12" s="7" t="str" cm="1">
        <f t="array" ref="H12">IF(AND(YEAR(SepOffset+35)=calendarYear,MONTH(SepOffset+35)=9),SepOffset+35,"")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IF(AND(YEAR(SepOffset+36)=calendarYear,MONTH(SepOffset+36)=9),SepOffset+36,"")</f>
        <v/>
      </c>
      <c r="C14" s="7" t="str" cm="1">
        <f t="array" ref="C14">IF(AND(YEAR(SepOffset+37)=calendarYear,MONTH(SepOffset+37)=9),SepOffset+37,"")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CONCATENATE("October " &amp; calendarYear)</f>
        <v>October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IF(AND(YEAR(OctOffset+1)=calendarYear,MONTH(OctOffset+1)=10),OctOffset+1,"")</f>
        <v/>
      </c>
      <c r="C4" s="7" t="str" cm="1">
        <f t="array" ref="C4">IF(AND(YEAR(OctOffset+2)=calendarYear,MONTH(OctOffset+2)=10),OctOffset+2,"")</f>
        <v/>
      </c>
      <c r="D4" s="7" t="str" cm="1">
        <f t="array" ref="D4">IF(AND(YEAR(OctOffset+3)=calendarYear,MONTH(OctOffset+3)=10),OctOffset+3,"")</f>
        <v/>
      </c>
      <c r="E4" s="7" t="str" cm="1">
        <f t="array" ref="E4">IF(AND(YEAR(OctOffset+4)=calendarYear,MONTH(OctOffset+4)=10),OctOffset+4,"")</f>
        <v/>
      </c>
      <c r="F4" s="7" t="str" cm="1">
        <f t="array" ref="F4">IF(AND(YEAR(OctOffset+5)=calendarYear,MONTH(OctOffset+5)=10),OctOffset+5,"")</f>
        <v/>
      </c>
      <c r="G4" s="7" t="str" cm="1">
        <f t="array" ref="G4">IF(AND(YEAR(OctOffset+6)=calendarYear,MONTH(OctOffset+6)=10),OctOffset+6,"")</f>
        <v/>
      </c>
      <c r="H4" s="7" cm="1">
        <f t="array" ref="H4">IF(AND(YEAR(OctOffset+7)=calendarYear,MONTH(OctOffset+7)=10),OctOffset+7,"")</f>
        <v>44835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IF(AND(YEAR(OctOffset+8)=calendarYear,MONTH(OctOffset+8)=10),OctOffset+8,"")</f>
        <v>44836</v>
      </c>
      <c r="C6" s="7" cm="1">
        <f t="array" ref="C6">IF(AND(YEAR(OctOffset+9)=calendarYear,MONTH(OctOffset+9)=10),OctOffset+9,"")</f>
        <v>44837</v>
      </c>
      <c r="D6" s="7" cm="1">
        <f t="array" ref="D6">IF(AND(YEAR(OctOffset+10)=calendarYear,MONTH(OctOffset+10)=10),OctOffset+10,"")</f>
        <v>44838</v>
      </c>
      <c r="E6" s="7" cm="1">
        <f t="array" ref="E6">IF(AND(YEAR(OctOffset+11)=calendarYear,MONTH(OctOffset+11)=10),OctOffset+11,"")</f>
        <v>44839</v>
      </c>
      <c r="F6" s="7" cm="1">
        <f t="array" ref="F6">IF(AND(YEAR(OctOffset+12)=calendarYear,MONTH(OctOffset+12)=10),OctOffset+12,"")</f>
        <v>44840</v>
      </c>
      <c r="G6" s="7" cm="1">
        <f t="array" ref="G6">IF(AND(YEAR(OctOffset+13)=calendarYear,MONTH(OctOffset+13)=10),OctOffset+13,"")</f>
        <v>44841</v>
      </c>
      <c r="H6" s="7" cm="1">
        <f t="array" ref="H6">IF(AND(YEAR(OctOffset+14)=calendarYear,MONTH(OctOffset+14)=10),OctOffset+14,"")</f>
        <v>44842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IF(AND(YEAR(OctOffset+15)=calendarYear,MONTH(OctOffset+15)=10),OctOffset+15,"")</f>
        <v>44843</v>
      </c>
      <c r="C8" s="7" cm="1">
        <f t="array" ref="C8">IF(AND(YEAR(OctOffset+16)=calendarYear,MONTH(OctOffset+16)=10),OctOffset+16,"")</f>
        <v>44844</v>
      </c>
      <c r="D8" s="7" cm="1">
        <f t="array" ref="D8">IF(AND(YEAR(OctOffset+17)=calendarYear,MONTH(OctOffset+17)=10),OctOffset+17,"")</f>
        <v>44845</v>
      </c>
      <c r="E8" s="7" cm="1">
        <f t="array" ref="E8">IF(AND(YEAR(OctOffset+18)=calendarYear,MONTH(OctOffset+18)=10),OctOffset+18,"")</f>
        <v>44846</v>
      </c>
      <c r="F8" s="7" cm="1">
        <f t="array" ref="F8">IF(AND(YEAR(OctOffset+19)=calendarYear,MONTH(OctOffset+19)=10),OctOffset+19,"")</f>
        <v>44847</v>
      </c>
      <c r="G8" s="7" cm="1">
        <f t="array" ref="G8">IF(AND(YEAR(OctOffset+20)=calendarYear,MONTH(OctOffset+20)=10),OctOffset+20,"")</f>
        <v>44848</v>
      </c>
      <c r="H8" s="7" cm="1">
        <f t="array" ref="H8">IF(AND(YEAR(OctOffset+21)=calendarYear,MONTH(OctOffset+21)=10),OctOffset+21,"")</f>
        <v>44849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IF(AND(YEAR(OctOffset+22)=calendarYear,MONTH(OctOffset+22)=10),OctOffset+22,"")</f>
        <v>44850</v>
      </c>
      <c r="C10" s="7" cm="1">
        <f t="array" ref="C10">IF(AND(YEAR(OctOffset+23)=calendarYear,MONTH(OctOffset+23)=10),OctOffset+23,"")</f>
        <v>44851</v>
      </c>
      <c r="D10" s="7" cm="1">
        <f t="array" ref="D10">IF(AND(YEAR(OctOffset+24)=calendarYear,MONTH(OctOffset+24)=10),OctOffset+24,"")</f>
        <v>44852</v>
      </c>
      <c r="E10" s="7" cm="1">
        <f t="array" ref="E10">IF(AND(YEAR(OctOffset+25)=calendarYear,MONTH(OctOffset+25)=10),OctOffset+25,"")</f>
        <v>44853</v>
      </c>
      <c r="F10" s="7" cm="1">
        <f t="array" ref="F10">IF(AND(YEAR(OctOffset+26)=calendarYear,MONTH(OctOffset+26)=10),OctOffset+26,"")</f>
        <v>44854</v>
      </c>
      <c r="G10" s="7" cm="1">
        <f t="array" ref="G10">IF(AND(YEAR(OctOffset+27)=calendarYear,MONTH(OctOffset+27)=10),OctOffset+27,"")</f>
        <v>44855</v>
      </c>
      <c r="H10" s="7" cm="1">
        <f t="array" ref="H10">IF(AND(YEAR(OctOffset+28)=calendarYear,MONTH(OctOffset+28)=10),OctOffset+28,"")</f>
        <v>44856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IF(AND(YEAR(OctOffset+29)=calendarYear,MONTH(OctOffset+29)=10),OctOffset+29,"")</f>
        <v>44857</v>
      </c>
      <c r="C12" s="7" cm="1">
        <f t="array" ref="C12">IF(AND(YEAR(OctOffset+30)=calendarYear,MONTH(OctOffset+30)=10),OctOffset+30,"")</f>
        <v>44858</v>
      </c>
      <c r="D12" s="7" cm="1">
        <f t="array" ref="D12">IF(AND(YEAR(OctOffset+31)=calendarYear,MONTH(OctOffset+31)=10),OctOffset+31,"")</f>
        <v>44859</v>
      </c>
      <c r="E12" s="7" cm="1">
        <f t="array" ref="E12">IF(AND(YEAR(OctOffset+32)=calendarYear,MONTH(OctOffset+32)=10),OctOffset+32,"")</f>
        <v>44860</v>
      </c>
      <c r="F12" s="7" cm="1">
        <f t="array" ref="F12">IF(AND(YEAR(OctOffset+33)=calendarYear,MONTH(OctOffset+33)=10),OctOffset+33,"")</f>
        <v>44861</v>
      </c>
      <c r="G12" s="7" cm="1">
        <f t="array" ref="G12">IF(AND(YEAR(OctOffset+34)=calendarYear,MONTH(OctOffset+34)=10),OctOffset+34,"")</f>
        <v>44862</v>
      </c>
      <c r="H12" s="7" cm="1">
        <f t="array" ref="H12">IF(AND(YEAR(OctOffset+35)=calendarYear,MONTH(OctOffset+35)=10),OctOffset+35,"")</f>
        <v>44863</v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cm="1">
        <f t="array" ref="B14">IF(AND(YEAR(OctOffset+36)=calendarYear,MONTH(OctOffset+36)=10),OctOffset+36,"")</f>
        <v>44864</v>
      </c>
      <c r="C14" s="7" cm="1">
        <f t="array" ref="C14">IF(AND(YEAR(OctOffset+37)=calendarYear,MONTH(OctOffset+37)=10),OctOffset+37,"")</f>
        <v>44865</v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CONCATENATE("November " &amp; calendarYear)</f>
        <v>November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IF(AND(YEAR(NovOffset+1)=calendarYear,MONTH(NovOffset+1)=11),NovOffset+1,"")</f>
        <v/>
      </c>
      <c r="C4" s="7" t="str" cm="1">
        <f t="array" ref="C4">IF(AND(YEAR(NovOffset+2)=calendarYear,MONTH(NovOffset+2)=11),NovOffset+2,"")</f>
        <v/>
      </c>
      <c r="D4" s="7" cm="1">
        <f t="array" ref="D4">IF(AND(YEAR(NovOffset+3)=calendarYear,MONTH(NovOffset+3)=11),NovOffset+3,"")</f>
        <v>44866</v>
      </c>
      <c r="E4" s="7" cm="1">
        <f t="array" ref="E4">IF(AND(YEAR(NovOffset+4)=calendarYear,MONTH(NovOffset+4)=11),NovOffset+4,"")</f>
        <v>44867</v>
      </c>
      <c r="F4" s="7" cm="1">
        <f t="array" ref="F4">IF(AND(YEAR(NovOffset+5)=calendarYear,MONTH(NovOffset+5)=11),NovOffset+5,"")</f>
        <v>44868</v>
      </c>
      <c r="G4" s="7" cm="1">
        <f t="array" ref="G4">IF(AND(YEAR(NovOffset+6)=calendarYear,MONTH(NovOffset+6)=11),NovOffset+6,"")</f>
        <v>44869</v>
      </c>
      <c r="H4" s="7" cm="1">
        <f t="array" ref="H4">IF(AND(YEAR(NovOffset+7)=calendarYear,MONTH(NovOffset+7)=11),NovOffset+7,"")</f>
        <v>44870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IF(AND(YEAR(NovOffset+8)=calendarYear,MONTH(NovOffset+8)=11),NovOffset+8,"")</f>
        <v>44871</v>
      </c>
      <c r="C6" s="7" cm="1">
        <f t="array" ref="C6">IF(AND(YEAR(NovOffset+9)=calendarYear,MONTH(NovOffset+9)=11),NovOffset+9,"")</f>
        <v>44872</v>
      </c>
      <c r="D6" s="7" cm="1">
        <f t="array" ref="D6">IF(AND(YEAR(NovOffset+10)=calendarYear,MONTH(NovOffset+10)=11),NovOffset+10,"")</f>
        <v>44873</v>
      </c>
      <c r="E6" s="7" cm="1">
        <f t="array" ref="E6">IF(AND(YEAR(NovOffset+11)=calendarYear,MONTH(NovOffset+11)=11),NovOffset+11,"")</f>
        <v>44874</v>
      </c>
      <c r="F6" s="7" cm="1">
        <f t="array" ref="F6">IF(AND(YEAR(NovOffset+12)=calendarYear,MONTH(NovOffset+12)=11),NovOffset+12,"")</f>
        <v>44875</v>
      </c>
      <c r="G6" s="7" cm="1">
        <f t="array" ref="G6">IF(AND(YEAR(NovOffset+13)=calendarYear,MONTH(NovOffset+13)=11),NovOffset+13,"")</f>
        <v>44876</v>
      </c>
      <c r="H6" s="7" cm="1">
        <f t="array" ref="H6">IF(AND(YEAR(NovOffset+14)=calendarYear,MONTH(NovOffset+14)=11),NovOffset+14,"")</f>
        <v>44877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IF(AND(YEAR(NovOffset+15)=calendarYear,MONTH(NovOffset+15)=11),NovOffset+15,"")</f>
        <v>44878</v>
      </c>
      <c r="C8" s="7" cm="1">
        <f t="array" ref="C8">IF(AND(YEAR(NovOffset+16)=calendarYear,MONTH(NovOffset+16)=11),NovOffset+16,"")</f>
        <v>44879</v>
      </c>
      <c r="D8" s="7" cm="1">
        <f t="array" ref="D8">IF(AND(YEAR(NovOffset+17)=calendarYear,MONTH(NovOffset+17)=11),NovOffset+17,"")</f>
        <v>44880</v>
      </c>
      <c r="E8" s="7" cm="1">
        <f t="array" ref="E8">IF(AND(YEAR(NovOffset+18)=calendarYear,MONTH(NovOffset+18)=11),NovOffset+18,"")</f>
        <v>44881</v>
      </c>
      <c r="F8" s="7" cm="1">
        <f t="array" ref="F8">IF(AND(YEAR(NovOffset+19)=calendarYear,MONTH(NovOffset+19)=11),NovOffset+19,"")</f>
        <v>44882</v>
      </c>
      <c r="G8" s="7" cm="1">
        <f t="array" ref="G8">IF(AND(YEAR(NovOffset+20)=calendarYear,MONTH(NovOffset+20)=11),NovOffset+20,"")</f>
        <v>44883</v>
      </c>
      <c r="H8" s="7" cm="1">
        <f t="array" ref="H8">IF(AND(YEAR(NovOffset+21)=calendarYear,MONTH(NovOffset+21)=11),NovOffset+21,"")</f>
        <v>44884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IF(AND(YEAR(NovOffset+22)=calendarYear,MONTH(NovOffset+22)=11),NovOffset+22,"")</f>
        <v>44885</v>
      </c>
      <c r="C10" s="7" cm="1">
        <f t="array" ref="C10">IF(AND(YEAR(NovOffset+23)=calendarYear,MONTH(NovOffset+23)=11),NovOffset+23,"")</f>
        <v>44886</v>
      </c>
      <c r="D10" s="7" cm="1">
        <f t="array" ref="D10">IF(AND(YEAR(NovOffset+24)=calendarYear,MONTH(NovOffset+24)=11),NovOffset+24,"")</f>
        <v>44887</v>
      </c>
      <c r="E10" s="7" cm="1">
        <f t="array" ref="E10">IF(AND(YEAR(NovOffset+25)=calendarYear,MONTH(NovOffset+25)=11),NovOffset+25,"")</f>
        <v>44888</v>
      </c>
      <c r="F10" s="7" cm="1">
        <f t="array" ref="F10">IF(AND(YEAR(NovOffset+26)=calendarYear,MONTH(NovOffset+26)=11),NovOffset+26,"")</f>
        <v>44889</v>
      </c>
      <c r="G10" s="7" cm="1">
        <f t="array" ref="G10">IF(AND(YEAR(NovOffset+27)=calendarYear,MONTH(NovOffset+27)=11),NovOffset+27,"")</f>
        <v>44890</v>
      </c>
      <c r="H10" s="7" cm="1">
        <f t="array" ref="H10">IF(AND(YEAR(NovOffset+28)=calendarYear,MONTH(NovOffset+28)=11),NovOffset+28,"")</f>
        <v>44891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IF(AND(YEAR(NovOffset+29)=calendarYear,MONTH(NovOffset+29)=11),NovOffset+29,"")</f>
        <v>44892</v>
      </c>
      <c r="C12" s="7" cm="1">
        <f t="array" ref="C12">IF(AND(YEAR(NovOffset+30)=calendarYear,MONTH(NovOffset+30)=11),NovOffset+30,"")</f>
        <v>44893</v>
      </c>
      <c r="D12" s="7" cm="1">
        <f t="array" ref="D12">IF(AND(YEAR(NovOffset+31)=calendarYear,MONTH(NovOffset+31)=11),NovOffset+31,"")</f>
        <v>44894</v>
      </c>
      <c r="E12" s="7" cm="1">
        <f t="array" ref="E12">IF(AND(YEAR(NovOffset+32)=calendarYear,MONTH(NovOffset+32)=11),NovOffset+32,"")</f>
        <v>44895</v>
      </c>
      <c r="F12" s="7" t="str" cm="1">
        <f t="array" ref="F12">IF(AND(YEAR(NovOffset+33)=calendarYear,MONTH(NovOffset+33)=11),NovOffset+33,"")</f>
        <v/>
      </c>
      <c r="G12" s="7" t="str" cm="1">
        <f t="array" ref="G12">IF(AND(YEAR(NovOffset+34)=calendarYear,MONTH(NovOffset+34)=11),NovOffset+34,"")</f>
        <v/>
      </c>
      <c r="H12" s="7" t="str" cm="1">
        <f t="array" ref="H12">IF(AND(YEAR(NovOffset+35)=calendarYear,MONTH(NovOffset+35)=11),NovOffset+35,"")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IF(AND(YEAR(NovOffset+36)=calendarYear,MONTH(NovOffset+36)=11),NovOffset+36,"")</f>
        <v/>
      </c>
      <c r="C14" s="7" t="str" cm="1">
        <f t="array" ref="C14">IF(AND(YEAR(NovOffset+37)=calendarYear,MONTH(NovOffset+37)=11),NovOffset+37,"")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CONCATENATE("December " &amp; calendarYear)</f>
        <v>December 2022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 cm="1">
        <f t="array" ref="B4">IF(AND(YEAR(DecOffset+1)=calendarYear,MONTH(DecOffset+1)=12),DecOffset+1,"")</f>
        <v/>
      </c>
      <c r="C4" s="7" t="str" cm="1">
        <f t="array" ref="C4">IF(AND(YEAR(DecOffset+2)=calendarYear,MONTH(DecOffset+2)=12),DecOffset+2,"")</f>
        <v/>
      </c>
      <c r="D4" s="7" t="str" cm="1">
        <f t="array" ref="D4">IF(AND(YEAR(DecOffset+3)=calendarYear,MONTH(DecOffset+3)=12),DecOffset+3,"")</f>
        <v/>
      </c>
      <c r="E4" s="7" t="str" cm="1">
        <f t="array" ref="E4">IF(AND(YEAR(DecOffset+4)=calendarYear,MONTH(DecOffset+4)=12),DecOffset+4,"")</f>
        <v/>
      </c>
      <c r="F4" s="7" cm="1">
        <f t="array" ref="F4">IF(AND(YEAR(DecOffset+5)=calendarYear,MONTH(DecOffset+5)=12),DecOffset+5,"")</f>
        <v>44896</v>
      </c>
      <c r="G4" s="7" cm="1">
        <f t="array" ref="G4">IF(AND(YEAR(DecOffset+6)=calendarYear,MONTH(DecOffset+6)=12),DecOffset+6,"")</f>
        <v>44897</v>
      </c>
      <c r="H4" s="7" cm="1">
        <f t="array" ref="H4">IF(AND(YEAR(DecOffset+7)=calendarYear,MONTH(DecOffset+7)=12),DecOffset+7,"")</f>
        <v>44898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 cm="1">
        <f t="array" ref="B6">IF(AND(YEAR(DecOffset+8)=calendarYear,MONTH(DecOffset+8)=12),DecOffset+8,"")</f>
        <v>44899</v>
      </c>
      <c r="C6" s="7" cm="1">
        <f t="array" ref="C6">IF(AND(YEAR(DecOffset+9)=calendarYear,MONTH(DecOffset+9)=12),DecOffset+9,"")</f>
        <v>44900</v>
      </c>
      <c r="D6" s="7" cm="1">
        <f t="array" ref="D6">IF(AND(YEAR(DecOffset+10)=calendarYear,MONTH(DecOffset+10)=12),DecOffset+10,"")</f>
        <v>44901</v>
      </c>
      <c r="E6" s="7" cm="1">
        <f t="array" ref="E6">IF(AND(YEAR(DecOffset+11)=calendarYear,MONTH(DecOffset+11)=12),DecOffset+11,"")</f>
        <v>44902</v>
      </c>
      <c r="F6" s="7" cm="1">
        <f t="array" ref="F6">IF(AND(YEAR(DecOffset+12)=calendarYear,MONTH(DecOffset+12)=12),DecOffset+12,"")</f>
        <v>44903</v>
      </c>
      <c r="G6" s="7" cm="1">
        <f t="array" ref="G6">IF(AND(YEAR(DecOffset+13)=calendarYear,MONTH(DecOffset+13)=12),DecOffset+13,"")</f>
        <v>44904</v>
      </c>
      <c r="H6" s="7" cm="1">
        <f t="array" ref="H6">IF(AND(YEAR(DecOffset+14)=calendarYear,MONTH(DecOffset+14)=12),DecOffset+14,"")</f>
        <v>44905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 cm="1">
        <f t="array" ref="B8">IF(AND(YEAR(DecOffset+15)=calendarYear,MONTH(DecOffset+15)=12),DecOffset+15,"")</f>
        <v>44906</v>
      </c>
      <c r="C8" s="7" cm="1">
        <f t="array" ref="C8">IF(AND(YEAR(DecOffset+16)=calendarYear,MONTH(DecOffset+16)=12),DecOffset+16,"")</f>
        <v>44907</v>
      </c>
      <c r="D8" s="7" cm="1">
        <f t="array" ref="D8">IF(AND(YEAR(DecOffset+17)=calendarYear,MONTH(DecOffset+17)=12),DecOffset+17,"")</f>
        <v>44908</v>
      </c>
      <c r="E8" s="7" cm="1">
        <f t="array" ref="E8">IF(AND(YEAR(DecOffset+18)=calendarYear,MONTH(DecOffset+18)=12),DecOffset+18,"")</f>
        <v>44909</v>
      </c>
      <c r="F8" s="7" cm="1">
        <f t="array" ref="F8">IF(AND(YEAR(DecOffset+19)=calendarYear,MONTH(DecOffset+19)=12),DecOffset+19,"")</f>
        <v>44910</v>
      </c>
      <c r="G8" s="7" cm="1">
        <f t="array" ref="G8">IF(AND(YEAR(DecOffset+20)=calendarYear,MONTH(DecOffset+20)=12),DecOffset+20,"")</f>
        <v>44911</v>
      </c>
      <c r="H8" s="7" cm="1">
        <f t="array" ref="H8">IF(AND(YEAR(DecOffset+21)=calendarYear,MONTH(DecOffset+21)=12),DecOffset+21,"")</f>
        <v>44912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 cm="1">
        <f t="array" ref="B10">IF(AND(YEAR(DecOffset+22)=calendarYear,MONTH(DecOffset+22)=12),DecOffset+22,"")</f>
        <v>44913</v>
      </c>
      <c r="C10" s="7" cm="1">
        <f t="array" ref="C10">IF(AND(YEAR(DecOffset+23)=calendarYear,MONTH(DecOffset+23)=12),DecOffset+23,"")</f>
        <v>44914</v>
      </c>
      <c r="D10" s="7" cm="1">
        <f t="array" ref="D10">IF(AND(YEAR(DecOffset+24)=calendarYear,MONTH(DecOffset+24)=12),DecOffset+24,"")</f>
        <v>44915</v>
      </c>
      <c r="E10" s="7" cm="1">
        <f t="array" ref="E10">IF(AND(YEAR(DecOffset+25)=calendarYear,MONTH(DecOffset+25)=12),DecOffset+25,"")</f>
        <v>44916</v>
      </c>
      <c r="F10" s="7" cm="1">
        <f t="array" ref="F10">IF(AND(YEAR(DecOffset+26)=calendarYear,MONTH(DecOffset+26)=12),DecOffset+26,"")</f>
        <v>44917</v>
      </c>
      <c r="G10" s="7" cm="1">
        <f t="array" ref="G10">IF(AND(YEAR(DecOffset+27)=calendarYear,MONTH(DecOffset+27)=12),DecOffset+27,"")</f>
        <v>44918</v>
      </c>
      <c r="H10" s="7" cm="1">
        <f t="array" ref="H10">IF(AND(YEAR(DecOffset+28)=calendarYear,MONTH(DecOffset+28)=12),DecOffset+28,"")</f>
        <v>44919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 cm="1">
        <f t="array" ref="B12">IF(AND(YEAR(DecOffset+29)=calendarYear,MONTH(DecOffset+29)=12),DecOffset+29,"")</f>
        <v>44920</v>
      </c>
      <c r="C12" s="7" cm="1">
        <f t="array" ref="C12">IF(AND(YEAR(DecOffset+30)=calendarYear,MONTH(DecOffset+30)=12),DecOffset+30,"")</f>
        <v>44921</v>
      </c>
      <c r="D12" s="7" cm="1">
        <f t="array" ref="D12">IF(AND(YEAR(DecOffset+31)=calendarYear,MONTH(DecOffset+31)=12),DecOffset+31,"")</f>
        <v>44922</v>
      </c>
      <c r="E12" s="7" cm="1">
        <f t="array" ref="E12">IF(AND(YEAR(DecOffset+32)=calendarYear,MONTH(DecOffset+32)=12),DecOffset+32,"")</f>
        <v>44923</v>
      </c>
      <c r="F12" s="7" cm="1">
        <f t="array" ref="F12">IF(AND(YEAR(DecOffset+33)=calendarYear,MONTH(DecOffset+33)=12),DecOffset+33,"")</f>
        <v>44924</v>
      </c>
      <c r="G12" s="7" cm="1">
        <f t="array" ref="G12">IF(AND(YEAR(DecOffset+34)=calendarYear,MONTH(DecOffset+34)=12),DecOffset+34,"")</f>
        <v>44925</v>
      </c>
      <c r="H12" s="7" cm="1">
        <f t="array" ref="H12">IF(AND(YEAR(DecOffset+35)=calendarYear,MONTH(DecOffset+35)=12),DecOffset+35,"")</f>
        <v>44926</v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 cm="1">
        <f t="array" ref="B14">IF(AND(YEAR(DecOffset+36)=calendarYear,MONTH(DecOffset+36)=12),DecOffset+36,"")</f>
        <v/>
      </c>
      <c r="C14" s="7" t="str" cm="1">
        <f t="array" ref="C14">IF(AND(YEAR(DecOffset+37)=calendarYear,MONTH(DecOffset+37)=12),DecOffset+37,"")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</vt:i4>
      </vt:variant>
    </vt:vector>
  </HeadingPairs>
  <TitlesOfParts>
    <vt:vector size="25" baseType="lpstr"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calendarYear</vt:lpstr>
      <vt:lpstr>Apr!Print_Area</vt:lpstr>
      <vt:lpstr>Aug!Print_Area</vt:lpstr>
      <vt:lpstr>Dec!Print_Area</vt:lpstr>
      <vt:lpstr>Feb!Print_Area</vt:lpstr>
      <vt:lpstr>Jan!Print_Area</vt:lpstr>
      <vt:lpstr>Jul!Print_Area</vt:lpstr>
      <vt:lpstr>Jun!Print_Area</vt:lpstr>
      <vt:lpstr>Mar!Print_Area</vt:lpstr>
      <vt:lpstr>May!Print_Area</vt:lpstr>
      <vt:lpstr>Nov!Print_Area</vt:lpstr>
      <vt:lpstr>Oct!Print_Area</vt:lpstr>
      <vt:lpstr>Sep!Print_Area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excel-easy.com</cp:lastModifiedBy>
  <cp:lastPrinted>2012-04-17T12:58:21Z</cp:lastPrinted>
  <dcterms:created xsi:type="dcterms:W3CDTF">2012-04-10T12:30:53Z</dcterms:created>
  <dcterms:modified xsi:type="dcterms:W3CDTF">2021-12-21T16:43:16Z</dcterms:modified>
</cp:coreProperties>
</file>