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Customers!$A$1:$F$1039</definedName>
    <definedName name="_xlnm._FilterDatabase" localSheetId="2" hidden="1">Orders!$A$1:$AC$1270</definedName>
    <definedName name="_xlnm._FilterDatabase" localSheetId="1" hidden="1">Products!$A$1:$F$60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2" i="2"/>
  <c r="AA3" i="1" l="1"/>
  <c r="AC3" i="1" s="1"/>
  <c r="AA4" i="1"/>
  <c r="AC4" i="1" s="1"/>
  <c r="AA5" i="1"/>
  <c r="AC5" i="1" s="1"/>
  <c r="AA6" i="1"/>
  <c r="AC6" i="1" s="1"/>
  <c r="AA7" i="1"/>
  <c r="AC7" i="1" s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C31" i="1" s="1"/>
  <c r="AA32" i="1"/>
  <c r="AC32" i="1" s="1"/>
  <c r="AA33" i="1"/>
  <c r="AC33" i="1" s="1"/>
  <c r="AA34" i="1"/>
  <c r="AC34" i="1" s="1"/>
  <c r="AA35" i="1"/>
  <c r="AC35" i="1" s="1"/>
  <c r="AA36" i="1"/>
  <c r="AC36" i="1" s="1"/>
  <c r="AA37" i="1"/>
  <c r="AC37" i="1" s="1"/>
  <c r="AA38" i="1"/>
  <c r="AC38" i="1" s="1"/>
  <c r="AA39" i="1"/>
  <c r="AC39" i="1" s="1"/>
  <c r="AA40" i="1"/>
  <c r="AC40" i="1" s="1"/>
  <c r="AA41" i="1"/>
  <c r="AC41" i="1" s="1"/>
  <c r="AA42" i="1"/>
  <c r="AC42" i="1" s="1"/>
  <c r="AA43" i="1"/>
  <c r="AC43" i="1" s="1"/>
  <c r="AA44" i="1"/>
  <c r="AC44" i="1" s="1"/>
  <c r="AA45" i="1"/>
  <c r="AC45" i="1" s="1"/>
  <c r="AA46" i="1"/>
  <c r="AC46" i="1" s="1"/>
  <c r="AA47" i="1"/>
  <c r="AC47" i="1" s="1"/>
  <c r="AA48" i="1"/>
  <c r="AC48" i="1" s="1"/>
  <c r="AA49" i="1"/>
  <c r="AC49" i="1" s="1"/>
  <c r="AA50" i="1"/>
  <c r="AC50" i="1" s="1"/>
  <c r="AA51" i="1"/>
  <c r="AC51" i="1" s="1"/>
  <c r="AA52" i="1"/>
  <c r="AC52" i="1" s="1"/>
  <c r="AA53" i="1"/>
  <c r="AC53" i="1" s="1"/>
  <c r="AA54" i="1"/>
  <c r="AC54" i="1" s="1"/>
  <c r="AA55" i="1"/>
  <c r="AC55" i="1" s="1"/>
  <c r="AA56" i="1"/>
  <c r="AC56" i="1" s="1"/>
  <c r="AA57" i="1"/>
  <c r="AC57" i="1" s="1"/>
  <c r="AA58" i="1"/>
  <c r="AC58" i="1" s="1"/>
  <c r="AA59" i="1"/>
  <c r="AC59" i="1" s="1"/>
  <c r="AA60" i="1"/>
  <c r="AC60" i="1" s="1"/>
  <c r="AA61" i="1"/>
  <c r="AC61" i="1" s="1"/>
  <c r="AA62" i="1"/>
  <c r="AC62" i="1" s="1"/>
  <c r="AA63" i="1"/>
  <c r="AC63" i="1" s="1"/>
  <c r="AA64" i="1"/>
  <c r="AC64" i="1" s="1"/>
  <c r="AA65" i="1"/>
  <c r="AC65" i="1" s="1"/>
  <c r="AA66" i="1"/>
  <c r="AC66" i="1" s="1"/>
  <c r="AA67" i="1"/>
  <c r="AC67" i="1" s="1"/>
  <c r="AA68" i="1"/>
  <c r="AC68" i="1" s="1"/>
  <c r="AA69" i="1"/>
  <c r="AC69" i="1" s="1"/>
  <c r="AA70" i="1"/>
  <c r="AC70" i="1" s="1"/>
  <c r="AA71" i="1"/>
  <c r="AC71" i="1" s="1"/>
  <c r="AA72" i="1"/>
  <c r="AC72" i="1" s="1"/>
  <c r="AA73" i="1"/>
  <c r="AC73" i="1" s="1"/>
  <c r="AA74" i="1"/>
  <c r="AC74" i="1" s="1"/>
  <c r="AA75" i="1"/>
  <c r="AC75" i="1" s="1"/>
  <c r="AA76" i="1"/>
  <c r="AC76" i="1" s="1"/>
  <c r="AA77" i="1"/>
  <c r="AC77" i="1" s="1"/>
  <c r="AA78" i="1"/>
  <c r="AC78" i="1" s="1"/>
  <c r="AA79" i="1"/>
  <c r="AC79" i="1" s="1"/>
  <c r="AA80" i="1"/>
  <c r="AC80" i="1" s="1"/>
  <c r="AA81" i="1"/>
  <c r="AC81" i="1" s="1"/>
  <c r="AA82" i="1"/>
  <c r="AC82" i="1" s="1"/>
  <c r="AA83" i="1"/>
  <c r="AC83" i="1" s="1"/>
  <c r="AA84" i="1"/>
  <c r="AC84" i="1" s="1"/>
  <c r="AA85" i="1"/>
  <c r="AC85" i="1" s="1"/>
  <c r="AA86" i="1"/>
  <c r="AC86" i="1" s="1"/>
  <c r="AA87" i="1"/>
  <c r="AC87" i="1" s="1"/>
  <c r="AA88" i="1"/>
  <c r="AC88" i="1" s="1"/>
  <c r="AA89" i="1"/>
  <c r="AC89" i="1" s="1"/>
  <c r="AA90" i="1"/>
  <c r="AC90" i="1" s="1"/>
  <c r="AA91" i="1"/>
  <c r="AC91" i="1" s="1"/>
  <c r="AA92" i="1"/>
  <c r="AC92" i="1" s="1"/>
  <c r="AA93" i="1"/>
  <c r="AC93" i="1" s="1"/>
  <c r="AA94" i="1"/>
  <c r="AC94" i="1" s="1"/>
  <c r="AA95" i="1"/>
  <c r="AC95" i="1" s="1"/>
  <c r="AA96" i="1"/>
  <c r="AC96" i="1" s="1"/>
  <c r="AA97" i="1"/>
  <c r="AC97" i="1" s="1"/>
  <c r="AA98" i="1"/>
  <c r="AC98" i="1" s="1"/>
  <c r="AA99" i="1"/>
  <c r="AC99" i="1" s="1"/>
  <c r="AA100" i="1"/>
  <c r="AC100" i="1" s="1"/>
  <c r="AA101" i="1"/>
  <c r="AC101" i="1" s="1"/>
  <c r="AA102" i="1"/>
  <c r="AC102" i="1" s="1"/>
  <c r="AA103" i="1"/>
  <c r="AC103" i="1" s="1"/>
  <c r="AA104" i="1"/>
  <c r="AC104" i="1" s="1"/>
  <c r="AA105" i="1"/>
  <c r="AC105" i="1" s="1"/>
  <c r="AA106" i="1"/>
  <c r="AC106" i="1" s="1"/>
  <c r="AA107" i="1"/>
  <c r="AC107" i="1" s="1"/>
  <c r="AA108" i="1"/>
  <c r="AC108" i="1" s="1"/>
  <c r="AA109" i="1"/>
  <c r="AC109" i="1" s="1"/>
  <c r="AA110" i="1"/>
  <c r="AC110" i="1" s="1"/>
  <c r="AA111" i="1"/>
  <c r="AC111" i="1" s="1"/>
  <c r="AA112" i="1"/>
  <c r="AC112" i="1" s="1"/>
  <c r="AA113" i="1"/>
  <c r="AC113" i="1" s="1"/>
  <c r="AA114" i="1"/>
  <c r="AC114" i="1" s="1"/>
  <c r="AA115" i="1"/>
  <c r="AC115" i="1" s="1"/>
  <c r="AA116" i="1"/>
  <c r="AC116" i="1" s="1"/>
  <c r="AA117" i="1"/>
  <c r="AC117" i="1" s="1"/>
  <c r="AA118" i="1"/>
  <c r="AC118" i="1" s="1"/>
  <c r="AA119" i="1"/>
  <c r="AC119" i="1" s="1"/>
  <c r="AA120" i="1"/>
  <c r="AC120" i="1" s="1"/>
  <c r="AA121" i="1"/>
  <c r="AC121" i="1" s="1"/>
  <c r="AA122" i="1"/>
  <c r="AC122" i="1" s="1"/>
  <c r="AA123" i="1"/>
  <c r="AC123" i="1" s="1"/>
  <c r="AA124" i="1"/>
  <c r="AC124" i="1" s="1"/>
  <c r="AA125" i="1"/>
  <c r="AC125" i="1" s="1"/>
  <c r="AA126" i="1"/>
  <c r="AC126" i="1" s="1"/>
  <c r="AA127" i="1"/>
  <c r="AC127" i="1" s="1"/>
  <c r="AA128" i="1"/>
  <c r="AC128" i="1" s="1"/>
  <c r="AA129" i="1"/>
  <c r="AC129" i="1" s="1"/>
  <c r="AA130" i="1"/>
  <c r="AC130" i="1" s="1"/>
  <c r="AA131" i="1"/>
  <c r="AC131" i="1" s="1"/>
  <c r="AA132" i="1"/>
  <c r="AC132" i="1" s="1"/>
  <c r="AA133" i="1"/>
  <c r="AC133" i="1" s="1"/>
  <c r="AA134" i="1"/>
  <c r="AC134" i="1" s="1"/>
  <c r="AA135" i="1"/>
  <c r="AC135" i="1" s="1"/>
  <c r="AA136" i="1"/>
  <c r="AC136" i="1" s="1"/>
  <c r="AA137" i="1"/>
  <c r="AC137" i="1" s="1"/>
  <c r="AA138" i="1"/>
  <c r="AC138" i="1" s="1"/>
  <c r="AA139" i="1"/>
  <c r="AC139" i="1" s="1"/>
  <c r="AA140" i="1"/>
  <c r="AC140" i="1" s="1"/>
  <c r="AA141" i="1"/>
  <c r="AC141" i="1" s="1"/>
  <c r="AA142" i="1"/>
  <c r="AC142" i="1" s="1"/>
  <c r="AA143" i="1"/>
  <c r="AC143" i="1" s="1"/>
  <c r="AA144" i="1"/>
  <c r="AC144" i="1" s="1"/>
  <c r="AA145" i="1"/>
  <c r="AC145" i="1" s="1"/>
  <c r="AA146" i="1"/>
  <c r="AC146" i="1" s="1"/>
  <c r="AA147" i="1"/>
  <c r="AC147" i="1" s="1"/>
  <c r="AA148" i="1"/>
  <c r="AC148" i="1" s="1"/>
  <c r="AA149" i="1"/>
  <c r="AC149" i="1" s="1"/>
  <c r="AA150" i="1"/>
  <c r="AC150" i="1" s="1"/>
  <c r="AA151" i="1"/>
  <c r="AC151" i="1" s="1"/>
  <c r="AA152" i="1"/>
  <c r="AC152" i="1" s="1"/>
  <c r="AA153" i="1"/>
  <c r="AC153" i="1" s="1"/>
  <c r="AA154" i="1"/>
  <c r="AC154" i="1" s="1"/>
  <c r="AA155" i="1"/>
  <c r="AC155" i="1" s="1"/>
  <c r="AA156" i="1"/>
  <c r="AC156" i="1" s="1"/>
  <c r="AA157" i="1"/>
  <c r="AC157" i="1" s="1"/>
  <c r="AA158" i="1"/>
  <c r="AC158" i="1" s="1"/>
  <c r="AA159" i="1"/>
  <c r="AC159" i="1" s="1"/>
  <c r="AA160" i="1"/>
  <c r="AC160" i="1" s="1"/>
  <c r="AA161" i="1"/>
  <c r="AC161" i="1" s="1"/>
  <c r="AA162" i="1"/>
  <c r="AC162" i="1" s="1"/>
  <c r="AA163" i="1"/>
  <c r="AC163" i="1" s="1"/>
  <c r="AA164" i="1"/>
  <c r="AC164" i="1" s="1"/>
  <c r="AA165" i="1"/>
  <c r="AC165" i="1" s="1"/>
  <c r="AA166" i="1"/>
  <c r="AC166" i="1" s="1"/>
  <c r="AA167" i="1"/>
  <c r="AC167" i="1" s="1"/>
  <c r="AA168" i="1"/>
  <c r="AC168" i="1" s="1"/>
  <c r="AA169" i="1"/>
  <c r="AC169" i="1" s="1"/>
  <c r="AA170" i="1"/>
  <c r="AC170" i="1" s="1"/>
  <c r="AA171" i="1"/>
  <c r="AC171" i="1" s="1"/>
  <c r="AA172" i="1"/>
  <c r="AC172" i="1" s="1"/>
  <c r="AA173" i="1"/>
  <c r="AC173" i="1" s="1"/>
  <c r="AA174" i="1"/>
  <c r="AC174" i="1" s="1"/>
  <c r="AA175" i="1"/>
  <c r="AC175" i="1" s="1"/>
  <c r="AA176" i="1"/>
  <c r="AC176" i="1" s="1"/>
  <c r="AA177" i="1"/>
  <c r="AC177" i="1" s="1"/>
  <c r="AA178" i="1"/>
  <c r="AC178" i="1" s="1"/>
  <c r="AA179" i="1"/>
  <c r="AC179" i="1" s="1"/>
  <c r="AA180" i="1"/>
  <c r="AC180" i="1" s="1"/>
  <c r="AA181" i="1"/>
  <c r="AC181" i="1" s="1"/>
  <c r="AA182" i="1"/>
  <c r="AC182" i="1" s="1"/>
  <c r="AA183" i="1"/>
  <c r="AC183" i="1" s="1"/>
  <c r="AA184" i="1"/>
  <c r="AC184" i="1" s="1"/>
  <c r="AA185" i="1"/>
  <c r="AC185" i="1" s="1"/>
  <c r="AA186" i="1"/>
  <c r="AC186" i="1" s="1"/>
  <c r="AA187" i="1"/>
  <c r="AC187" i="1" s="1"/>
  <c r="AA188" i="1"/>
  <c r="AC188" i="1" s="1"/>
  <c r="AA189" i="1"/>
  <c r="AC189" i="1" s="1"/>
  <c r="AA190" i="1"/>
  <c r="AC190" i="1" s="1"/>
  <c r="AA191" i="1"/>
  <c r="AC191" i="1" s="1"/>
  <c r="AA192" i="1"/>
  <c r="AC192" i="1" s="1"/>
  <c r="AA193" i="1"/>
  <c r="AC193" i="1" s="1"/>
  <c r="AA194" i="1"/>
  <c r="AC194" i="1" s="1"/>
  <c r="AA195" i="1"/>
  <c r="AC195" i="1" s="1"/>
  <c r="AA196" i="1"/>
  <c r="AC196" i="1" s="1"/>
  <c r="AA197" i="1"/>
  <c r="AC197" i="1" s="1"/>
  <c r="AA198" i="1"/>
  <c r="AC198" i="1" s="1"/>
  <c r="AA199" i="1"/>
  <c r="AC199" i="1" s="1"/>
  <c r="AA200" i="1"/>
  <c r="AC200" i="1" s="1"/>
  <c r="AA201" i="1"/>
  <c r="AC201" i="1" s="1"/>
  <c r="AA202" i="1"/>
  <c r="AC202" i="1" s="1"/>
  <c r="AA203" i="1"/>
  <c r="AC203" i="1" s="1"/>
  <c r="AA204" i="1"/>
  <c r="AC204" i="1" s="1"/>
  <c r="AA205" i="1"/>
  <c r="AC205" i="1" s="1"/>
  <c r="AA206" i="1"/>
  <c r="AC206" i="1" s="1"/>
  <c r="AA207" i="1"/>
  <c r="AC207" i="1" s="1"/>
  <c r="AA208" i="1"/>
  <c r="AC208" i="1" s="1"/>
  <c r="AA209" i="1"/>
  <c r="AC209" i="1" s="1"/>
  <c r="AA210" i="1"/>
  <c r="AC210" i="1" s="1"/>
  <c r="AA211" i="1"/>
  <c r="AC211" i="1" s="1"/>
  <c r="AA212" i="1"/>
  <c r="AC212" i="1" s="1"/>
  <c r="AA213" i="1"/>
  <c r="AC213" i="1" s="1"/>
  <c r="AA214" i="1"/>
  <c r="AC214" i="1" s="1"/>
  <c r="AA215" i="1"/>
  <c r="AC215" i="1" s="1"/>
  <c r="AA216" i="1"/>
  <c r="AC216" i="1" s="1"/>
  <c r="AA217" i="1"/>
  <c r="AC217" i="1" s="1"/>
  <c r="AA218" i="1"/>
  <c r="AC218" i="1" s="1"/>
  <c r="AA219" i="1"/>
  <c r="AC219" i="1" s="1"/>
  <c r="AA220" i="1"/>
  <c r="AC220" i="1" s="1"/>
  <c r="AA221" i="1"/>
  <c r="AC221" i="1" s="1"/>
  <c r="AA222" i="1"/>
  <c r="AC222" i="1" s="1"/>
  <c r="AA223" i="1"/>
  <c r="AC223" i="1" s="1"/>
  <c r="AA224" i="1"/>
  <c r="AC224" i="1" s="1"/>
  <c r="AA225" i="1"/>
  <c r="AC225" i="1" s="1"/>
  <c r="AA226" i="1"/>
  <c r="AC226" i="1" s="1"/>
  <c r="AA227" i="1"/>
  <c r="AC227" i="1" s="1"/>
  <c r="AA228" i="1"/>
  <c r="AC228" i="1" s="1"/>
  <c r="AA229" i="1"/>
  <c r="AC229" i="1" s="1"/>
  <c r="AA230" i="1"/>
  <c r="AC230" i="1" s="1"/>
  <c r="AA231" i="1"/>
  <c r="AC231" i="1" s="1"/>
  <c r="AA232" i="1"/>
  <c r="AC232" i="1" s="1"/>
  <c r="AA233" i="1"/>
  <c r="AC233" i="1" s="1"/>
  <c r="AA234" i="1"/>
  <c r="AC234" i="1" s="1"/>
  <c r="AA235" i="1"/>
  <c r="AC235" i="1" s="1"/>
  <c r="AA236" i="1"/>
  <c r="AC236" i="1" s="1"/>
  <c r="AA237" i="1"/>
  <c r="AC237" i="1" s="1"/>
  <c r="AA238" i="1"/>
  <c r="AC238" i="1" s="1"/>
  <c r="AA239" i="1"/>
  <c r="AC239" i="1" s="1"/>
  <c r="AA240" i="1"/>
  <c r="AC240" i="1" s="1"/>
  <c r="AA241" i="1"/>
  <c r="AC241" i="1" s="1"/>
  <c r="AA242" i="1"/>
  <c r="AC242" i="1" s="1"/>
  <c r="AA243" i="1"/>
  <c r="AC243" i="1" s="1"/>
  <c r="AA244" i="1"/>
  <c r="AC244" i="1" s="1"/>
  <c r="AA245" i="1"/>
  <c r="AC245" i="1" s="1"/>
  <c r="AA246" i="1"/>
  <c r="AC246" i="1" s="1"/>
  <c r="AA247" i="1"/>
  <c r="AC247" i="1" s="1"/>
  <c r="AA248" i="1"/>
  <c r="AC248" i="1" s="1"/>
  <c r="AA249" i="1"/>
  <c r="AC249" i="1" s="1"/>
  <c r="AA250" i="1"/>
  <c r="AC250" i="1" s="1"/>
  <c r="AA251" i="1"/>
  <c r="AC251" i="1" s="1"/>
  <c r="AA252" i="1"/>
  <c r="AC252" i="1" s="1"/>
  <c r="AA253" i="1"/>
  <c r="AC253" i="1" s="1"/>
  <c r="AA254" i="1"/>
  <c r="AC254" i="1" s="1"/>
  <c r="AA255" i="1"/>
  <c r="AC255" i="1" s="1"/>
  <c r="AA256" i="1"/>
  <c r="AC256" i="1" s="1"/>
  <c r="AA257" i="1"/>
  <c r="AC257" i="1" s="1"/>
  <c r="AA258" i="1"/>
  <c r="AC258" i="1" s="1"/>
  <c r="AA259" i="1"/>
  <c r="AC259" i="1" s="1"/>
  <c r="AA260" i="1"/>
  <c r="AC260" i="1" s="1"/>
  <c r="AA261" i="1"/>
  <c r="AC261" i="1" s="1"/>
  <c r="AA262" i="1"/>
  <c r="AC262" i="1" s="1"/>
  <c r="AA263" i="1"/>
  <c r="AC263" i="1" s="1"/>
  <c r="AA264" i="1"/>
  <c r="AC264" i="1" s="1"/>
  <c r="AA265" i="1"/>
  <c r="AC265" i="1" s="1"/>
  <c r="AA266" i="1"/>
  <c r="AC266" i="1" s="1"/>
  <c r="AA267" i="1"/>
  <c r="AC267" i="1" s="1"/>
  <c r="AA268" i="1"/>
  <c r="AC268" i="1" s="1"/>
  <c r="AA269" i="1"/>
  <c r="AC269" i="1" s="1"/>
  <c r="AA270" i="1"/>
  <c r="AC270" i="1" s="1"/>
  <c r="AA271" i="1"/>
  <c r="AC271" i="1" s="1"/>
  <c r="AA272" i="1"/>
  <c r="AC272" i="1" s="1"/>
  <c r="AA273" i="1"/>
  <c r="AC273" i="1" s="1"/>
  <c r="AA274" i="1"/>
  <c r="AC274" i="1" s="1"/>
  <c r="AA275" i="1"/>
  <c r="AC275" i="1" s="1"/>
  <c r="AA276" i="1"/>
  <c r="AC276" i="1" s="1"/>
  <c r="AA277" i="1"/>
  <c r="AC277" i="1" s="1"/>
  <c r="AA278" i="1"/>
  <c r="AC278" i="1" s="1"/>
  <c r="AA279" i="1"/>
  <c r="AC279" i="1" s="1"/>
  <c r="AA280" i="1"/>
  <c r="AC280" i="1" s="1"/>
  <c r="AA281" i="1"/>
  <c r="AC281" i="1" s="1"/>
  <c r="AA282" i="1"/>
  <c r="AC282" i="1" s="1"/>
  <c r="AA283" i="1"/>
  <c r="AC283" i="1" s="1"/>
  <c r="AA284" i="1"/>
  <c r="AC284" i="1" s="1"/>
  <c r="AA285" i="1"/>
  <c r="AC285" i="1" s="1"/>
  <c r="AA286" i="1"/>
  <c r="AC286" i="1" s="1"/>
  <c r="AA287" i="1"/>
  <c r="AC287" i="1" s="1"/>
  <c r="AA288" i="1"/>
  <c r="AC288" i="1" s="1"/>
  <c r="AA289" i="1"/>
  <c r="AC289" i="1" s="1"/>
  <c r="AA290" i="1"/>
  <c r="AC290" i="1" s="1"/>
  <c r="AA291" i="1"/>
  <c r="AC291" i="1" s="1"/>
  <c r="AA292" i="1"/>
  <c r="AC292" i="1" s="1"/>
  <c r="AA293" i="1"/>
  <c r="AC293" i="1" s="1"/>
  <c r="AA294" i="1"/>
  <c r="AC294" i="1" s="1"/>
  <c r="AA295" i="1"/>
  <c r="AC295" i="1" s="1"/>
  <c r="AA296" i="1"/>
  <c r="AC296" i="1" s="1"/>
  <c r="AA297" i="1"/>
  <c r="AC297" i="1" s="1"/>
  <c r="AA298" i="1"/>
  <c r="AC298" i="1" s="1"/>
  <c r="AA299" i="1"/>
  <c r="AC299" i="1" s="1"/>
  <c r="AA300" i="1"/>
  <c r="AC300" i="1" s="1"/>
  <c r="AA301" i="1"/>
  <c r="AC301" i="1" s="1"/>
  <c r="AA302" i="1"/>
  <c r="AC302" i="1" s="1"/>
  <c r="AA303" i="1"/>
  <c r="AC303" i="1" s="1"/>
  <c r="AA304" i="1"/>
  <c r="AC304" i="1" s="1"/>
  <c r="AA305" i="1"/>
  <c r="AC305" i="1" s="1"/>
  <c r="AA306" i="1"/>
  <c r="AC306" i="1" s="1"/>
  <c r="AA307" i="1"/>
  <c r="AC307" i="1" s="1"/>
  <c r="AA308" i="1"/>
  <c r="AC308" i="1" s="1"/>
  <c r="AA309" i="1"/>
  <c r="AC309" i="1" s="1"/>
  <c r="AA310" i="1"/>
  <c r="AC310" i="1" s="1"/>
  <c r="AA311" i="1"/>
  <c r="AC311" i="1" s="1"/>
  <c r="AA312" i="1"/>
  <c r="AC312" i="1" s="1"/>
  <c r="AA313" i="1"/>
  <c r="AC313" i="1" s="1"/>
  <c r="AA314" i="1"/>
  <c r="AC314" i="1" s="1"/>
  <c r="AA315" i="1"/>
  <c r="AC315" i="1" s="1"/>
  <c r="AA316" i="1"/>
  <c r="AC316" i="1" s="1"/>
  <c r="AA317" i="1"/>
  <c r="AC317" i="1" s="1"/>
  <c r="AA318" i="1"/>
  <c r="AC318" i="1" s="1"/>
  <c r="AA319" i="1"/>
  <c r="AC319" i="1" s="1"/>
  <c r="AA320" i="1"/>
  <c r="AC320" i="1" s="1"/>
  <c r="AA321" i="1"/>
  <c r="AC321" i="1" s="1"/>
  <c r="AA322" i="1"/>
  <c r="AC322" i="1" s="1"/>
  <c r="AA323" i="1"/>
  <c r="AC323" i="1" s="1"/>
  <c r="AA324" i="1"/>
  <c r="AC324" i="1" s="1"/>
  <c r="AA325" i="1"/>
  <c r="AC325" i="1" s="1"/>
  <c r="AA326" i="1"/>
  <c r="AC326" i="1" s="1"/>
  <c r="AA327" i="1"/>
  <c r="AC327" i="1" s="1"/>
  <c r="AA328" i="1"/>
  <c r="AC328" i="1" s="1"/>
  <c r="AA329" i="1"/>
  <c r="AC329" i="1" s="1"/>
  <c r="AA330" i="1"/>
  <c r="AC330" i="1" s="1"/>
  <c r="AA331" i="1"/>
  <c r="AC331" i="1" s="1"/>
  <c r="AA332" i="1"/>
  <c r="AC332" i="1" s="1"/>
  <c r="AA333" i="1"/>
  <c r="AC333" i="1" s="1"/>
  <c r="AA334" i="1"/>
  <c r="AC334" i="1" s="1"/>
  <c r="AA335" i="1"/>
  <c r="AC335" i="1" s="1"/>
  <c r="AA336" i="1"/>
  <c r="AC336" i="1" s="1"/>
  <c r="AA337" i="1"/>
  <c r="AC337" i="1" s="1"/>
  <c r="AA338" i="1"/>
  <c r="AC338" i="1" s="1"/>
  <c r="AA339" i="1"/>
  <c r="AC339" i="1" s="1"/>
  <c r="AA340" i="1"/>
  <c r="AC340" i="1" s="1"/>
  <c r="AA341" i="1"/>
  <c r="AC341" i="1" s="1"/>
  <c r="AA342" i="1"/>
  <c r="AC342" i="1" s="1"/>
  <c r="AA343" i="1"/>
  <c r="AC343" i="1" s="1"/>
  <c r="AA344" i="1"/>
  <c r="AC344" i="1" s="1"/>
  <c r="AA345" i="1"/>
  <c r="AC345" i="1" s="1"/>
  <c r="AA346" i="1"/>
  <c r="AC346" i="1" s="1"/>
  <c r="AA347" i="1"/>
  <c r="AC347" i="1" s="1"/>
  <c r="AA348" i="1"/>
  <c r="AC348" i="1" s="1"/>
  <c r="AA349" i="1"/>
  <c r="AC349" i="1" s="1"/>
  <c r="AA350" i="1"/>
  <c r="AC350" i="1" s="1"/>
  <c r="AA351" i="1"/>
  <c r="AC351" i="1" s="1"/>
  <c r="AA352" i="1"/>
  <c r="AC352" i="1" s="1"/>
  <c r="AA353" i="1"/>
  <c r="AC353" i="1" s="1"/>
  <c r="AA354" i="1"/>
  <c r="AC354" i="1" s="1"/>
  <c r="AA355" i="1"/>
  <c r="AC355" i="1" s="1"/>
  <c r="AA356" i="1"/>
  <c r="AC356" i="1" s="1"/>
  <c r="AA357" i="1"/>
  <c r="AC357" i="1" s="1"/>
  <c r="AA358" i="1"/>
  <c r="AC358" i="1" s="1"/>
  <c r="AA359" i="1"/>
  <c r="AC359" i="1" s="1"/>
  <c r="AA360" i="1"/>
  <c r="AC360" i="1" s="1"/>
  <c r="AA361" i="1"/>
  <c r="AC361" i="1" s="1"/>
  <c r="AA362" i="1"/>
  <c r="AC362" i="1" s="1"/>
  <c r="AA363" i="1"/>
  <c r="AC363" i="1" s="1"/>
  <c r="AA364" i="1"/>
  <c r="AC364" i="1" s="1"/>
  <c r="AA365" i="1"/>
  <c r="AC365" i="1" s="1"/>
  <c r="AA366" i="1"/>
  <c r="AC366" i="1" s="1"/>
  <c r="AA367" i="1"/>
  <c r="AC367" i="1" s="1"/>
  <c r="AA368" i="1"/>
  <c r="AC368" i="1" s="1"/>
  <c r="AA369" i="1"/>
  <c r="AC369" i="1" s="1"/>
  <c r="AA370" i="1"/>
  <c r="AC370" i="1" s="1"/>
  <c r="AA371" i="1"/>
  <c r="AC371" i="1" s="1"/>
  <c r="AA372" i="1"/>
  <c r="AC372" i="1" s="1"/>
  <c r="AA373" i="1"/>
  <c r="AC373" i="1" s="1"/>
  <c r="AA374" i="1"/>
  <c r="AC374" i="1" s="1"/>
  <c r="AA375" i="1"/>
  <c r="AC375" i="1" s="1"/>
  <c r="AA376" i="1"/>
  <c r="AC376" i="1" s="1"/>
  <c r="AA377" i="1"/>
  <c r="AC377" i="1" s="1"/>
  <c r="AA378" i="1"/>
  <c r="AC378" i="1" s="1"/>
  <c r="AA379" i="1"/>
  <c r="AC379" i="1" s="1"/>
  <c r="AA380" i="1"/>
  <c r="AC380" i="1" s="1"/>
  <c r="AA381" i="1"/>
  <c r="AC381" i="1" s="1"/>
  <c r="AA382" i="1"/>
  <c r="AC382" i="1" s="1"/>
  <c r="AA383" i="1"/>
  <c r="AC383" i="1" s="1"/>
  <c r="AA384" i="1"/>
  <c r="AC384" i="1" s="1"/>
  <c r="AA385" i="1"/>
  <c r="AC385" i="1" s="1"/>
  <c r="AA386" i="1"/>
  <c r="AC386" i="1" s="1"/>
  <c r="AA387" i="1"/>
  <c r="AC387" i="1" s="1"/>
  <c r="AA388" i="1"/>
  <c r="AC388" i="1" s="1"/>
  <c r="AA389" i="1"/>
  <c r="AC389" i="1" s="1"/>
  <c r="AA390" i="1"/>
  <c r="AC390" i="1" s="1"/>
  <c r="AA391" i="1"/>
  <c r="AC391" i="1" s="1"/>
  <c r="AA392" i="1"/>
  <c r="AC392" i="1" s="1"/>
  <c r="AA393" i="1"/>
  <c r="AC393" i="1" s="1"/>
  <c r="AA394" i="1"/>
  <c r="AC394" i="1" s="1"/>
  <c r="AA395" i="1"/>
  <c r="AC395" i="1" s="1"/>
  <c r="AA396" i="1"/>
  <c r="AC396" i="1" s="1"/>
  <c r="AA397" i="1"/>
  <c r="AC397" i="1" s="1"/>
  <c r="AA398" i="1"/>
  <c r="AC398" i="1" s="1"/>
  <c r="AA399" i="1"/>
  <c r="AC399" i="1" s="1"/>
  <c r="AA400" i="1"/>
  <c r="AC400" i="1" s="1"/>
  <c r="AA401" i="1"/>
  <c r="AC401" i="1" s="1"/>
  <c r="AA402" i="1"/>
  <c r="AC402" i="1" s="1"/>
  <c r="AA403" i="1"/>
  <c r="AC403" i="1" s="1"/>
  <c r="AA404" i="1"/>
  <c r="AC404" i="1" s="1"/>
  <c r="AA405" i="1"/>
  <c r="AC405" i="1" s="1"/>
  <c r="AA406" i="1"/>
  <c r="AC406" i="1" s="1"/>
  <c r="AA407" i="1"/>
  <c r="AC407" i="1" s="1"/>
  <c r="AA408" i="1"/>
  <c r="AC408" i="1" s="1"/>
  <c r="AA409" i="1"/>
  <c r="AC409" i="1" s="1"/>
  <c r="AA410" i="1"/>
  <c r="AC410" i="1" s="1"/>
  <c r="AA411" i="1"/>
  <c r="AC411" i="1" s="1"/>
  <c r="AA412" i="1"/>
  <c r="AC412" i="1" s="1"/>
  <c r="AA413" i="1"/>
  <c r="AC413" i="1" s="1"/>
  <c r="AA414" i="1"/>
  <c r="AC414" i="1" s="1"/>
  <c r="AA415" i="1"/>
  <c r="AC415" i="1" s="1"/>
  <c r="AA416" i="1"/>
  <c r="AC416" i="1" s="1"/>
  <c r="AA417" i="1"/>
  <c r="AC417" i="1" s="1"/>
  <c r="AA418" i="1"/>
  <c r="AC418" i="1" s="1"/>
  <c r="AA419" i="1"/>
  <c r="AC419" i="1" s="1"/>
  <c r="AA420" i="1"/>
  <c r="AC420" i="1" s="1"/>
  <c r="AA421" i="1"/>
  <c r="AC421" i="1" s="1"/>
  <c r="AA422" i="1"/>
  <c r="AC422" i="1" s="1"/>
  <c r="AA423" i="1"/>
  <c r="AC423" i="1" s="1"/>
  <c r="AA424" i="1"/>
  <c r="AC424" i="1" s="1"/>
  <c r="AA425" i="1"/>
  <c r="AC425" i="1" s="1"/>
  <c r="AA426" i="1"/>
  <c r="AC426" i="1" s="1"/>
  <c r="AA427" i="1"/>
  <c r="AC427" i="1" s="1"/>
  <c r="AA428" i="1"/>
  <c r="AC428" i="1" s="1"/>
  <c r="AA429" i="1"/>
  <c r="AC429" i="1" s="1"/>
  <c r="AA430" i="1"/>
  <c r="AC430" i="1" s="1"/>
  <c r="AA431" i="1"/>
  <c r="AC431" i="1" s="1"/>
  <c r="AA432" i="1"/>
  <c r="AC432" i="1" s="1"/>
  <c r="AA433" i="1"/>
  <c r="AC433" i="1" s="1"/>
  <c r="AA434" i="1"/>
  <c r="AC434" i="1" s="1"/>
  <c r="AA435" i="1"/>
  <c r="AC435" i="1" s="1"/>
  <c r="AA436" i="1"/>
  <c r="AC436" i="1" s="1"/>
  <c r="AA437" i="1"/>
  <c r="AC437" i="1" s="1"/>
  <c r="AA438" i="1"/>
  <c r="AC438" i="1" s="1"/>
  <c r="AA439" i="1"/>
  <c r="AC439" i="1" s="1"/>
  <c r="AA440" i="1"/>
  <c r="AC440" i="1" s="1"/>
  <c r="AA441" i="1"/>
  <c r="AC441" i="1" s="1"/>
  <c r="AA442" i="1"/>
  <c r="AC442" i="1" s="1"/>
  <c r="AA443" i="1"/>
  <c r="AC443" i="1" s="1"/>
  <c r="AA444" i="1"/>
  <c r="AC444" i="1" s="1"/>
  <c r="AA445" i="1"/>
  <c r="AC445" i="1" s="1"/>
  <c r="AA446" i="1"/>
  <c r="AC446" i="1" s="1"/>
  <c r="AA447" i="1"/>
  <c r="AC447" i="1" s="1"/>
  <c r="AA448" i="1"/>
  <c r="AC448" i="1" s="1"/>
  <c r="AA449" i="1"/>
  <c r="AC449" i="1" s="1"/>
  <c r="AA450" i="1"/>
  <c r="AC450" i="1" s="1"/>
  <c r="AA451" i="1"/>
  <c r="AC451" i="1" s="1"/>
  <c r="AA452" i="1"/>
  <c r="AC452" i="1" s="1"/>
  <c r="AA453" i="1"/>
  <c r="AC453" i="1" s="1"/>
  <c r="AA454" i="1"/>
  <c r="AC454" i="1" s="1"/>
  <c r="AA455" i="1"/>
  <c r="AC455" i="1" s="1"/>
  <c r="AA456" i="1"/>
  <c r="AC456" i="1" s="1"/>
  <c r="AA457" i="1"/>
  <c r="AC457" i="1" s="1"/>
  <c r="AA458" i="1"/>
  <c r="AC458" i="1" s="1"/>
  <c r="AA459" i="1"/>
  <c r="AC459" i="1" s="1"/>
  <c r="AA460" i="1"/>
  <c r="AC460" i="1" s="1"/>
  <c r="AA461" i="1"/>
  <c r="AC461" i="1" s="1"/>
  <c r="AA462" i="1"/>
  <c r="AC462" i="1" s="1"/>
  <c r="AA463" i="1"/>
  <c r="AC463" i="1" s="1"/>
  <c r="AA464" i="1"/>
  <c r="AC464" i="1" s="1"/>
  <c r="AA465" i="1"/>
  <c r="AC465" i="1" s="1"/>
  <c r="AA466" i="1"/>
  <c r="AC466" i="1" s="1"/>
  <c r="AA467" i="1"/>
  <c r="AC467" i="1" s="1"/>
  <c r="AA468" i="1"/>
  <c r="AC468" i="1" s="1"/>
  <c r="AA469" i="1"/>
  <c r="AC469" i="1" s="1"/>
  <c r="AA470" i="1"/>
  <c r="AC470" i="1" s="1"/>
  <c r="AA471" i="1"/>
  <c r="AC471" i="1" s="1"/>
  <c r="AA472" i="1"/>
  <c r="AC472" i="1" s="1"/>
  <c r="AA473" i="1"/>
  <c r="AC473" i="1" s="1"/>
  <c r="AA474" i="1"/>
  <c r="AC474" i="1" s="1"/>
  <c r="AA475" i="1"/>
  <c r="AC475" i="1" s="1"/>
  <c r="AA476" i="1"/>
  <c r="AC476" i="1" s="1"/>
  <c r="AA477" i="1"/>
  <c r="AC477" i="1" s="1"/>
  <c r="AA478" i="1"/>
  <c r="AC478" i="1" s="1"/>
  <c r="AA479" i="1"/>
  <c r="AC479" i="1" s="1"/>
  <c r="AA480" i="1"/>
  <c r="AC480" i="1" s="1"/>
  <c r="AA481" i="1"/>
  <c r="AC481" i="1" s="1"/>
  <c r="AA482" i="1"/>
  <c r="AC482" i="1" s="1"/>
  <c r="AA483" i="1"/>
  <c r="AC483" i="1" s="1"/>
  <c r="AA484" i="1"/>
  <c r="AC484" i="1" s="1"/>
  <c r="AA485" i="1"/>
  <c r="AC485" i="1" s="1"/>
  <c r="AA486" i="1"/>
  <c r="AC486" i="1" s="1"/>
  <c r="AA487" i="1"/>
  <c r="AC487" i="1" s="1"/>
  <c r="AA488" i="1"/>
  <c r="AC488" i="1" s="1"/>
  <c r="AA489" i="1"/>
  <c r="AC489" i="1" s="1"/>
  <c r="AA490" i="1"/>
  <c r="AC490" i="1" s="1"/>
  <c r="AA491" i="1"/>
  <c r="AC491" i="1" s="1"/>
  <c r="AA492" i="1"/>
  <c r="AC492" i="1" s="1"/>
  <c r="AA493" i="1"/>
  <c r="AC493" i="1" s="1"/>
  <c r="AA494" i="1"/>
  <c r="AC494" i="1" s="1"/>
  <c r="AA495" i="1"/>
  <c r="AC495" i="1" s="1"/>
  <c r="AA496" i="1"/>
  <c r="AC496" i="1" s="1"/>
  <c r="AA497" i="1"/>
  <c r="AC497" i="1" s="1"/>
  <c r="AA498" i="1"/>
  <c r="AC498" i="1" s="1"/>
  <c r="AA499" i="1"/>
  <c r="AC499" i="1" s="1"/>
  <c r="AA500" i="1"/>
  <c r="AC500" i="1" s="1"/>
  <c r="AA501" i="1"/>
  <c r="AC501" i="1" s="1"/>
  <c r="AA502" i="1"/>
  <c r="AC502" i="1" s="1"/>
  <c r="AA503" i="1"/>
  <c r="AC503" i="1" s="1"/>
  <c r="AA504" i="1"/>
  <c r="AC504" i="1" s="1"/>
  <c r="AA505" i="1"/>
  <c r="AC505" i="1" s="1"/>
  <c r="AA506" i="1"/>
  <c r="AC506" i="1" s="1"/>
  <c r="AA507" i="1"/>
  <c r="AC507" i="1" s="1"/>
  <c r="AA508" i="1"/>
  <c r="AC508" i="1" s="1"/>
  <c r="AA509" i="1"/>
  <c r="AC509" i="1" s="1"/>
  <c r="AA510" i="1"/>
  <c r="AC510" i="1" s="1"/>
  <c r="AA511" i="1"/>
  <c r="AC511" i="1" s="1"/>
  <c r="AA512" i="1"/>
  <c r="AC512" i="1" s="1"/>
  <c r="AA513" i="1"/>
  <c r="AC513" i="1" s="1"/>
  <c r="AA514" i="1"/>
  <c r="AC514" i="1" s="1"/>
  <c r="AA515" i="1"/>
  <c r="AC515" i="1" s="1"/>
  <c r="AA516" i="1"/>
  <c r="AC516" i="1" s="1"/>
  <c r="AA517" i="1"/>
  <c r="AC517" i="1" s="1"/>
  <c r="AA518" i="1"/>
  <c r="AC518" i="1" s="1"/>
  <c r="AA519" i="1"/>
  <c r="AC519" i="1" s="1"/>
  <c r="AA520" i="1"/>
  <c r="AC520" i="1" s="1"/>
  <c r="AA521" i="1"/>
  <c r="AC521" i="1" s="1"/>
  <c r="AA522" i="1"/>
  <c r="AC522" i="1" s="1"/>
  <c r="AA523" i="1"/>
  <c r="AC523" i="1" s="1"/>
  <c r="AA524" i="1"/>
  <c r="AC524" i="1" s="1"/>
  <c r="AA525" i="1"/>
  <c r="AC525" i="1" s="1"/>
  <c r="AA526" i="1"/>
  <c r="AC526" i="1" s="1"/>
  <c r="AA527" i="1"/>
  <c r="AC527" i="1" s="1"/>
  <c r="AA528" i="1"/>
  <c r="AC528" i="1" s="1"/>
  <c r="AA529" i="1"/>
  <c r="AC529" i="1" s="1"/>
  <c r="AA530" i="1"/>
  <c r="AC530" i="1" s="1"/>
  <c r="AA531" i="1"/>
  <c r="AC531" i="1" s="1"/>
  <c r="AA532" i="1"/>
  <c r="AC532" i="1" s="1"/>
  <c r="AA533" i="1"/>
  <c r="AC533" i="1" s="1"/>
  <c r="AA534" i="1"/>
  <c r="AC534" i="1" s="1"/>
  <c r="AA535" i="1"/>
  <c r="AC535" i="1" s="1"/>
  <c r="AA536" i="1"/>
  <c r="AC536" i="1" s="1"/>
  <c r="AA537" i="1"/>
  <c r="AC537" i="1" s="1"/>
  <c r="AA538" i="1"/>
  <c r="AC538" i="1" s="1"/>
  <c r="AA539" i="1"/>
  <c r="AC539" i="1" s="1"/>
  <c r="AA540" i="1"/>
  <c r="AC540" i="1" s="1"/>
  <c r="AA541" i="1"/>
  <c r="AC541" i="1" s="1"/>
  <c r="AA542" i="1"/>
  <c r="AC542" i="1" s="1"/>
  <c r="AA543" i="1"/>
  <c r="AC543" i="1" s="1"/>
  <c r="AA544" i="1"/>
  <c r="AC544" i="1" s="1"/>
  <c r="AA545" i="1"/>
  <c r="AC545" i="1" s="1"/>
  <c r="AA546" i="1"/>
  <c r="AC546" i="1" s="1"/>
  <c r="AA547" i="1"/>
  <c r="AC547" i="1" s="1"/>
  <c r="AA548" i="1"/>
  <c r="AC548" i="1" s="1"/>
  <c r="AA549" i="1"/>
  <c r="AC549" i="1" s="1"/>
  <c r="AA550" i="1"/>
  <c r="AC550" i="1" s="1"/>
  <c r="AA551" i="1"/>
  <c r="AC551" i="1" s="1"/>
  <c r="AA552" i="1"/>
  <c r="AC552" i="1" s="1"/>
  <c r="AA553" i="1"/>
  <c r="AC553" i="1" s="1"/>
  <c r="AA554" i="1"/>
  <c r="AC554" i="1" s="1"/>
  <c r="AA555" i="1"/>
  <c r="AC555" i="1" s="1"/>
  <c r="AA556" i="1"/>
  <c r="AC556" i="1" s="1"/>
  <c r="AA557" i="1"/>
  <c r="AC557" i="1" s="1"/>
  <c r="AA558" i="1"/>
  <c r="AC558" i="1" s="1"/>
  <c r="AA559" i="1"/>
  <c r="AC559" i="1" s="1"/>
  <c r="AA560" i="1"/>
  <c r="AC560" i="1" s="1"/>
  <c r="AA561" i="1"/>
  <c r="AC561" i="1" s="1"/>
  <c r="AA562" i="1"/>
  <c r="AC562" i="1" s="1"/>
  <c r="AA563" i="1"/>
  <c r="AC563" i="1" s="1"/>
  <c r="AA564" i="1"/>
  <c r="AC564" i="1" s="1"/>
  <c r="AA565" i="1"/>
  <c r="AC565" i="1" s="1"/>
  <c r="AA566" i="1"/>
  <c r="AC566" i="1" s="1"/>
  <c r="AA567" i="1"/>
  <c r="AC567" i="1" s="1"/>
  <c r="AA568" i="1"/>
  <c r="AC568" i="1" s="1"/>
  <c r="AA569" i="1"/>
  <c r="AC569" i="1" s="1"/>
  <c r="AA570" i="1"/>
  <c r="AC570" i="1" s="1"/>
  <c r="AA571" i="1"/>
  <c r="AC571" i="1" s="1"/>
  <c r="AA572" i="1"/>
  <c r="AC572" i="1" s="1"/>
  <c r="AA573" i="1"/>
  <c r="AC573" i="1" s="1"/>
  <c r="AA574" i="1"/>
  <c r="AC574" i="1" s="1"/>
  <c r="AA575" i="1"/>
  <c r="AC575" i="1" s="1"/>
  <c r="AA576" i="1"/>
  <c r="AC576" i="1" s="1"/>
  <c r="AA577" i="1"/>
  <c r="AC577" i="1" s="1"/>
  <c r="AA578" i="1"/>
  <c r="AC578" i="1" s="1"/>
  <c r="AA579" i="1"/>
  <c r="AC579" i="1" s="1"/>
  <c r="AA580" i="1"/>
  <c r="AC580" i="1" s="1"/>
  <c r="AA581" i="1"/>
  <c r="AC581" i="1" s="1"/>
  <c r="AA582" i="1"/>
  <c r="AC582" i="1" s="1"/>
  <c r="AA583" i="1"/>
  <c r="AC583" i="1" s="1"/>
  <c r="AA584" i="1"/>
  <c r="AC584" i="1" s="1"/>
  <c r="AA585" i="1"/>
  <c r="AC585" i="1" s="1"/>
  <c r="AA586" i="1"/>
  <c r="AC586" i="1" s="1"/>
  <c r="AA587" i="1"/>
  <c r="AC587" i="1" s="1"/>
  <c r="AA588" i="1"/>
  <c r="AC588" i="1" s="1"/>
  <c r="AA589" i="1"/>
  <c r="AC589" i="1" s="1"/>
  <c r="AA590" i="1"/>
  <c r="AC590" i="1" s="1"/>
  <c r="AA591" i="1"/>
  <c r="AC591" i="1" s="1"/>
  <c r="AA592" i="1"/>
  <c r="AC592" i="1" s="1"/>
  <c r="AA593" i="1"/>
  <c r="AC593" i="1" s="1"/>
  <c r="AA594" i="1"/>
  <c r="AC594" i="1" s="1"/>
  <c r="AA595" i="1"/>
  <c r="AC595" i="1" s="1"/>
  <c r="AA596" i="1"/>
  <c r="AC596" i="1" s="1"/>
  <c r="AA597" i="1"/>
  <c r="AC597" i="1" s="1"/>
  <c r="AA598" i="1"/>
  <c r="AC598" i="1" s="1"/>
  <c r="AA599" i="1"/>
  <c r="AC599" i="1" s="1"/>
  <c r="AA600" i="1"/>
  <c r="AC600" i="1" s="1"/>
  <c r="AA601" i="1"/>
  <c r="AC601" i="1" s="1"/>
  <c r="AA602" i="1"/>
  <c r="AC602" i="1" s="1"/>
  <c r="AA603" i="1"/>
  <c r="AC603" i="1" s="1"/>
  <c r="AA604" i="1"/>
  <c r="AC604" i="1" s="1"/>
  <c r="AA605" i="1"/>
  <c r="AC605" i="1" s="1"/>
  <c r="AA606" i="1"/>
  <c r="AC606" i="1" s="1"/>
  <c r="AA607" i="1"/>
  <c r="AC607" i="1" s="1"/>
  <c r="AA608" i="1"/>
  <c r="AC608" i="1" s="1"/>
  <c r="AA609" i="1"/>
  <c r="AC609" i="1" s="1"/>
  <c r="AA610" i="1"/>
  <c r="AC610" i="1" s="1"/>
  <c r="AA611" i="1"/>
  <c r="AC611" i="1" s="1"/>
  <c r="AA612" i="1"/>
  <c r="AC612" i="1" s="1"/>
  <c r="AA613" i="1"/>
  <c r="AC613" i="1" s="1"/>
  <c r="AA614" i="1"/>
  <c r="AC614" i="1" s="1"/>
  <c r="AA615" i="1"/>
  <c r="AC615" i="1" s="1"/>
  <c r="AA616" i="1"/>
  <c r="AC616" i="1" s="1"/>
  <c r="AA617" i="1"/>
  <c r="AC617" i="1" s="1"/>
  <c r="AA618" i="1"/>
  <c r="AC618" i="1" s="1"/>
  <c r="AA619" i="1"/>
  <c r="AC619" i="1" s="1"/>
  <c r="AA620" i="1"/>
  <c r="AC620" i="1" s="1"/>
  <c r="AA621" i="1"/>
  <c r="AC621" i="1" s="1"/>
  <c r="AA622" i="1"/>
  <c r="AC622" i="1" s="1"/>
  <c r="AA623" i="1"/>
  <c r="AC623" i="1" s="1"/>
  <c r="AA624" i="1"/>
  <c r="AC624" i="1" s="1"/>
  <c r="AA625" i="1"/>
  <c r="AC625" i="1" s="1"/>
  <c r="AA626" i="1"/>
  <c r="AC626" i="1" s="1"/>
  <c r="AA627" i="1"/>
  <c r="AC627" i="1" s="1"/>
  <c r="AA628" i="1"/>
  <c r="AC628" i="1" s="1"/>
  <c r="AA629" i="1"/>
  <c r="AC629" i="1" s="1"/>
  <c r="AA630" i="1"/>
  <c r="AC630" i="1" s="1"/>
  <c r="AA631" i="1"/>
  <c r="AC631" i="1" s="1"/>
  <c r="AA632" i="1"/>
  <c r="AC632" i="1" s="1"/>
  <c r="AA633" i="1"/>
  <c r="AC633" i="1" s="1"/>
  <c r="AA634" i="1"/>
  <c r="AC634" i="1" s="1"/>
  <c r="AA635" i="1"/>
  <c r="AC635" i="1" s="1"/>
  <c r="AA636" i="1"/>
  <c r="AC636" i="1" s="1"/>
  <c r="AA637" i="1"/>
  <c r="AC637" i="1" s="1"/>
  <c r="AA638" i="1"/>
  <c r="AC638" i="1" s="1"/>
  <c r="AA639" i="1"/>
  <c r="AC639" i="1" s="1"/>
  <c r="AA640" i="1"/>
  <c r="AC640" i="1" s="1"/>
  <c r="AA641" i="1"/>
  <c r="AC641" i="1" s="1"/>
  <c r="AA642" i="1"/>
  <c r="AC642" i="1" s="1"/>
  <c r="AA643" i="1"/>
  <c r="AC643" i="1" s="1"/>
  <c r="AA644" i="1"/>
  <c r="AC644" i="1" s="1"/>
  <c r="AA645" i="1"/>
  <c r="AC645" i="1" s="1"/>
  <c r="AA646" i="1"/>
  <c r="AC646" i="1" s="1"/>
  <c r="AA647" i="1"/>
  <c r="AC647" i="1" s="1"/>
  <c r="AA648" i="1"/>
  <c r="AC648" i="1" s="1"/>
  <c r="AA649" i="1"/>
  <c r="AC649" i="1" s="1"/>
  <c r="AA650" i="1"/>
  <c r="AC650" i="1" s="1"/>
  <c r="AA651" i="1"/>
  <c r="AC651" i="1" s="1"/>
  <c r="AA652" i="1"/>
  <c r="AC652" i="1" s="1"/>
  <c r="AA653" i="1"/>
  <c r="AC653" i="1" s="1"/>
  <c r="AA654" i="1"/>
  <c r="AC654" i="1" s="1"/>
  <c r="AA655" i="1"/>
  <c r="AC655" i="1" s="1"/>
  <c r="AA656" i="1"/>
  <c r="AC656" i="1" s="1"/>
  <c r="AA657" i="1"/>
  <c r="AC657" i="1" s="1"/>
  <c r="AA658" i="1"/>
  <c r="AC658" i="1" s="1"/>
  <c r="AA659" i="1"/>
  <c r="AC659" i="1" s="1"/>
  <c r="AA660" i="1"/>
  <c r="AC660" i="1" s="1"/>
  <c r="AA661" i="1"/>
  <c r="AC661" i="1" s="1"/>
  <c r="AA662" i="1"/>
  <c r="AC662" i="1" s="1"/>
  <c r="AA663" i="1"/>
  <c r="AC663" i="1" s="1"/>
  <c r="AA664" i="1"/>
  <c r="AC664" i="1" s="1"/>
  <c r="AA665" i="1"/>
  <c r="AC665" i="1" s="1"/>
  <c r="AA666" i="1"/>
  <c r="AC666" i="1" s="1"/>
  <c r="AA667" i="1"/>
  <c r="AC667" i="1" s="1"/>
  <c r="AA668" i="1"/>
  <c r="AC668" i="1" s="1"/>
  <c r="AA669" i="1"/>
  <c r="AC669" i="1" s="1"/>
  <c r="AA670" i="1"/>
  <c r="AC670" i="1" s="1"/>
  <c r="AA671" i="1"/>
  <c r="AC671" i="1" s="1"/>
  <c r="AA672" i="1"/>
  <c r="AC672" i="1" s="1"/>
  <c r="AA673" i="1"/>
  <c r="AC673" i="1" s="1"/>
  <c r="AA674" i="1"/>
  <c r="AC674" i="1" s="1"/>
  <c r="AA675" i="1"/>
  <c r="AC675" i="1" s="1"/>
  <c r="AA676" i="1"/>
  <c r="AC676" i="1" s="1"/>
  <c r="AA677" i="1"/>
  <c r="AC677" i="1" s="1"/>
  <c r="AA678" i="1"/>
  <c r="AC678" i="1" s="1"/>
  <c r="AA679" i="1"/>
  <c r="AC679" i="1" s="1"/>
  <c r="AA680" i="1"/>
  <c r="AC680" i="1" s="1"/>
  <c r="AA681" i="1"/>
  <c r="AC681" i="1" s="1"/>
  <c r="AA682" i="1"/>
  <c r="AC682" i="1" s="1"/>
  <c r="AA683" i="1"/>
  <c r="AC683" i="1" s="1"/>
  <c r="AA684" i="1"/>
  <c r="AC684" i="1" s="1"/>
  <c r="AA685" i="1"/>
  <c r="AC685" i="1" s="1"/>
  <c r="AA686" i="1"/>
  <c r="AC686" i="1" s="1"/>
  <c r="AA687" i="1"/>
  <c r="AC687" i="1" s="1"/>
  <c r="AA688" i="1"/>
  <c r="AC688" i="1" s="1"/>
  <c r="AA689" i="1"/>
  <c r="AC689" i="1" s="1"/>
  <c r="AA690" i="1"/>
  <c r="AC690" i="1" s="1"/>
  <c r="AA691" i="1"/>
  <c r="AC691" i="1" s="1"/>
  <c r="AA692" i="1"/>
  <c r="AC692" i="1" s="1"/>
  <c r="AA693" i="1"/>
  <c r="AC693" i="1" s="1"/>
  <c r="AA694" i="1"/>
  <c r="AC694" i="1" s="1"/>
  <c r="AA695" i="1"/>
  <c r="AC695" i="1" s="1"/>
  <c r="AA696" i="1"/>
  <c r="AC696" i="1" s="1"/>
  <c r="AA697" i="1"/>
  <c r="AC697" i="1" s="1"/>
  <c r="AA698" i="1"/>
  <c r="AC698" i="1" s="1"/>
  <c r="AA699" i="1"/>
  <c r="AC699" i="1" s="1"/>
  <c r="AA700" i="1"/>
  <c r="AC700" i="1" s="1"/>
  <c r="AA701" i="1"/>
  <c r="AC701" i="1" s="1"/>
  <c r="AA702" i="1"/>
  <c r="AC702" i="1" s="1"/>
  <c r="AA703" i="1"/>
  <c r="AC703" i="1" s="1"/>
  <c r="AA704" i="1"/>
  <c r="AC704" i="1" s="1"/>
  <c r="AA705" i="1"/>
  <c r="AC705" i="1" s="1"/>
  <c r="AA706" i="1"/>
  <c r="AC706" i="1" s="1"/>
  <c r="AA707" i="1"/>
  <c r="AC707" i="1" s="1"/>
  <c r="AA708" i="1"/>
  <c r="AC708" i="1" s="1"/>
  <c r="AA709" i="1"/>
  <c r="AC709" i="1" s="1"/>
  <c r="AA710" i="1"/>
  <c r="AC710" i="1" s="1"/>
  <c r="AA711" i="1"/>
  <c r="AC711" i="1" s="1"/>
  <c r="AA712" i="1"/>
  <c r="AC712" i="1" s="1"/>
  <c r="AA713" i="1"/>
  <c r="AC713" i="1" s="1"/>
  <c r="AA714" i="1"/>
  <c r="AC714" i="1" s="1"/>
  <c r="AA715" i="1"/>
  <c r="AC715" i="1" s="1"/>
  <c r="AA716" i="1"/>
  <c r="AC716" i="1" s="1"/>
  <c r="AA717" i="1"/>
  <c r="AC717" i="1" s="1"/>
  <c r="AA718" i="1"/>
  <c r="AC718" i="1" s="1"/>
  <c r="AA719" i="1"/>
  <c r="AC719" i="1" s="1"/>
  <c r="AA720" i="1"/>
  <c r="AC720" i="1" s="1"/>
  <c r="AA721" i="1"/>
  <c r="AC721" i="1" s="1"/>
  <c r="AA722" i="1"/>
  <c r="AC722" i="1" s="1"/>
  <c r="AA723" i="1"/>
  <c r="AC723" i="1" s="1"/>
  <c r="AA724" i="1"/>
  <c r="AC724" i="1" s="1"/>
  <c r="AA725" i="1"/>
  <c r="AC725" i="1" s="1"/>
  <c r="AA726" i="1"/>
  <c r="AC726" i="1" s="1"/>
  <c r="AA727" i="1"/>
  <c r="AC727" i="1" s="1"/>
  <c r="AA728" i="1"/>
  <c r="AC728" i="1" s="1"/>
  <c r="AA729" i="1"/>
  <c r="AC729" i="1" s="1"/>
  <c r="AA730" i="1"/>
  <c r="AC730" i="1" s="1"/>
  <c r="AA731" i="1"/>
  <c r="AC731" i="1" s="1"/>
  <c r="AA732" i="1"/>
  <c r="AC732" i="1" s="1"/>
  <c r="AA733" i="1"/>
  <c r="AC733" i="1" s="1"/>
  <c r="AA734" i="1"/>
  <c r="AC734" i="1" s="1"/>
  <c r="AA735" i="1"/>
  <c r="AC735" i="1" s="1"/>
  <c r="AA736" i="1"/>
  <c r="AC736" i="1" s="1"/>
  <c r="AA737" i="1"/>
  <c r="AC737" i="1" s="1"/>
  <c r="AA738" i="1"/>
  <c r="AC738" i="1" s="1"/>
  <c r="AA739" i="1"/>
  <c r="AC739" i="1" s="1"/>
  <c r="AA740" i="1"/>
  <c r="AC740" i="1" s="1"/>
  <c r="AA741" i="1"/>
  <c r="AC741" i="1" s="1"/>
  <c r="AA742" i="1"/>
  <c r="AC742" i="1" s="1"/>
  <c r="AA743" i="1"/>
  <c r="AC743" i="1" s="1"/>
  <c r="AA744" i="1"/>
  <c r="AC744" i="1" s="1"/>
  <c r="AA745" i="1"/>
  <c r="AC745" i="1" s="1"/>
  <c r="AA746" i="1"/>
  <c r="AC746" i="1" s="1"/>
  <c r="AA747" i="1"/>
  <c r="AC747" i="1" s="1"/>
  <c r="AA748" i="1"/>
  <c r="AC748" i="1" s="1"/>
  <c r="AA749" i="1"/>
  <c r="AC749" i="1" s="1"/>
  <c r="AA750" i="1"/>
  <c r="AC750" i="1" s="1"/>
  <c r="AA751" i="1"/>
  <c r="AC751" i="1" s="1"/>
  <c r="AA752" i="1"/>
  <c r="AC752" i="1" s="1"/>
  <c r="AA753" i="1"/>
  <c r="AC753" i="1" s="1"/>
  <c r="AA754" i="1"/>
  <c r="AC754" i="1" s="1"/>
  <c r="AA755" i="1"/>
  <c r="AC755" i="1" s="1"/>
  <c r="AA756" i="1"/>
  <c r="AC756" i="1" s="1"/>
  <c r="AA757" i="1"/>
  <c r="AC757" i="1" s="1"/>
  <c r="AA758" i="1"/>
  <c r="AC758" i="1" s="1"/>
  <c r="AA759" i="1"/>
  <c r="AC759" i="1" s="1"/>
  <c r="AA760" i="1"/>
  <c r="AC760" i="1" s="1"/>
  <c r="AA761" i="1"/>
  <c r="AC761" i="1" s="1"/>
  <c r="AA762" i="1"/>
  <c r="AC762" i="1" s="1"/>
  <c r="AA763" i="1"/>
  <c r="AC763" i="1" s="1"/>
  <c r="AA764" i="1"/>
  <c r="AC764" i="1" s="1"/>
  <c r="AA765" i="1"/>
  <c r="AC765" i="1" s="1"/>
  <c r="AA766" i="1"/>
  <c r="AC766" i="1" s="1"/>
  <c r="AA767" i="1"/>
  <c r="AC767" i="1" s="1"/>
  <c r="AA768" i="1"/>
  <c r="AC768" i="1" s="1"/>
  <c r="AA769" i="1"/>
  <c r="AC769" i="1" s="1"/>
  <c r="AA770" i="1"/>
  <c r="AC770" i="1" s="1"/>
  <c r="AA771" i="1"/>
  <c r="AC771" i="1" s="1"/>
  <c r="AA772" i="1"/>
  <c r="AC772" i="1" s="1"/>
  <c r="AA773" i="1"/>
  <c r="AC773" i="1" s="1"/>
  <c r="AA774" i="1"/>
  <c r="AC774" i="1" s="1"/>
  <c r="AA775" i="1"/>
  <c r="AC775" i="1" s="1"/>
  <c r="AA776" i="1"/>
  <c r="AC776" i="1" s="1"/>
  <c r="AA777" i="1"/>
  <c r="AC777" i="1" s="1"/>
  <c r="AA778" i="1"/>
  <c r="AC778" i="1" s="1"/>
  <c r="AA779" i="1"/>
  <c r="AC779" i="1" s="1"/>
  <c r="AA780" i="1"/>
  <c r="AC780" i="1" s="1"/>
  <c r="AA781" i="1"/>
  <c r="AC781" i="1" s="1"/>
  <c r="AA782" i="1"/>
  <c r="AC782" i="1" s="1"/>
  <c r="AA783" i="1"/>
  <c r="AC783" i="1" s="1"/>
  <c r="AA784" i="1"/>
  <c r="AC784" i="1" s="1"/>
  <c r="AA785" i="1"/>
  <c r="AC785" i="1" s="1"/>
  <c r="AA786" i="1"/>
  <c r="AC786" i="1" s="1"/>
  <c r="AA787" i="1"/>
  <c r="AC787" i="1" s="1"/>
  <c r="AA788" i="1"/>
  <c r="AC788" i="1" s="1"/>
  <c r="AA789" i="1"/>
  <c r="AC789" i="1" s="1"/>
  <c r="AA790" i="1"/>
  <c r="AC790" i="1" s="1"/>
  <c r="AA791" i="1"/>
  <c r="AC791" i="1" s="1"/>
  <c r="AA792" i="1"/>
  <c r="AC792" i="1" s="1"/>
  <c r="AA793" i="1"/>
  <c r="AC793" i="1" s="1"/>
  <c r="AA794" i="1"/>
  <c r="AC794" i="1" s="1"/>
  <c r="AA795" i="1"/>
  <c r="AC795" i="1" s="1"/>
  <c r="AA796" i="1"/>
  <c r="AC796" i="1" s="1"/>
  <c r="AA797" i="1"/>
  <c r="AC797" i="1" s="1"/>
  <c r="AA798" i="1"/>
  <c r="AC798" i="1" s="1"/>
  <c r="AA799" i="1"/>
  <c r="AC799" i="1" s="1"/>
  <c r="AA800" i="1"/>
  <c r="AC800" i="1" s="1"/>
  <c r="AA801" i="1"/>
  <c r="AC801" i="1" s="1"/>
  <c r="AA802" i="1"/>
  <c r="AC802" i="1" s="1"/>
  <c r="AA803" i="1"/>
  <c r="AC803" i="1" s="1"/>
  <c r="AA804" i="1"/>
  <c r="AC804" i="1" s="1"/>
  <c r="AA805" i="1"/>
  <c r="AC805" i="1" s="1"/>
  <c r="AA806" i="1"/>
  <c r="AC806" i="1" s="1"/>
  <c r="AA807" i="1"/>
  <c r="AC807" i="1" s="1"/>
  <c r="AA808" i="1"/>
  <c r="AC808" i="1" s="1"/>
  <c r="AA809" i="1"/>
  <c r="AC809" i="1" s="1"/>
  <c r="AA810" i="1"/>
  <c r="AC810" i="1" s="1"/>
  <c r="AA811" i="1"/>
  <c r="AC811" i="1" s="1"/>
  <c r="AA812" i="1"/>
  <c r="AC812" i="1" s="1"/>
  <c r="AA813" i="1"/>
  <c r="AC813" i="1" s="1"/>
  <c r="AA814" i="1"/>
  <c r="AC814" i="1" s="1"/>
  <c r="AA815" i="1"/>
  <c r="AC815" i="1" s="1"/>
  <c r="AA816" i="1"/>
  <c r="AC816" i="1" s="1"/>
  <c r="AA817" i="1"/>
  <c r="AC817" i="1" s="1"/>
  <c r="AA818" i="1"/>
  <c r="AC818" i="1" s="1"/>
  <c r="AA819" i="1"/>
  <c r="AC819" i="1" s="1"/>
  <c r="AA820" i="1"/>
  <c r="AC820" i="1" s="1"/>
  <c r="AA821" i="1"/>
  <c r="AC821" i="1" s="1"/>
  <c r="AA822" i="1"/>
  <c r="AC822" i="1" s="1"/>
  <c r="AA823" i="1"/>
  <c r="AC823" i="1" s="1"/>
  <c r="AA824" i="1"/>
  <c r="AC824" i="1" s="1"/>
  <c r="AA825" i="1"/>
  <c r="AC825" i="1" s="1"/>
  <c r="AA826" i="1"/>
  <c r="AC826" i="1" s="1"/>
  <c r="AA827" i="1"/>
  <c r="AC827" i="1" s="1"/>
  <c r="AA828" i="1"/>
  <c r="AC828" i="1" s="1"/>
  <c r="AA829" i="1"/>
  <c r="AC829" i="1" s="1"/>
  <c r="AA830" i="1"/>
  <c r="AC830" i="1" s="1"/>
  <c r="AA831" i="1"/>
  <c r="AC831" i="1" s="1"/>
  <c r="AA832" i="1"/>
  <c r="AC832" i="1" s="1"/>
  <c r="AA833" i="1"/>
  <c r="AC833" i="1" s="1"/>
  <c r="AA834" i="1"/>
  <c r="AC834" i="1" s="1"/>
  <c r="AA835" i="1"/>
  <c r="AC835" i="1" s="1"/>
  <c r="AA836" i="1"/>
  <c r="AC836" i="1" s="1"/>
  <c r="AA837" i="1"/>
  <c r="AC837" i="1" s="1"/>
  <c r="AA838" i="1"/>
  <c r="AC838" i="1" s="1"/>
  <c r="AA839" i="1"/>
  <c r="AC839" i="1" s="1"/>
  <c r="AA840" i="1"/>
  <c r="AC840" i="1" s="1"/>
  <c r="AA841" i="1"/>
  <c r="AC841" i="1" s="1"/>
  <c r="AA842" i="1"/>
  <c r="AC842" i="1" s="1"/>
  <c r="AA843" i="1"/>
  <c r="AC843" i="1" s="1"/>
  <c r="AA844" i="1"/>
  <c r="AC844" i="1" s="1"/>
  <c r="AA845" i="1"/>
  <c r="AC845" i="1" s="1"/>
  <c r="AA846" i="1"/>
  <c r="AC846" i="1" s="1"/>
  <c r="AA847" i="1"/>
  <c r="AC847" i="1" s="1"/>
  <c r="AA848" i="1"/>
  <c r="AC848" i="1" s="1"/>
  <c r="AA849" i="1"/>
  <c r="AC849" i="1" s="1"/>
  <c r="AA850" i="1"/>
  <c r="AC850" i="1" s="1"/>
  <c r="AA851" i="1"/>
  <c r="AC851" i="1" s="1"/>
  <c r="AA852" i="1"/>
  <c r="AC852" i="1" s="1"/>
  <c r="AA853" i="1"/>
  <c r="AC853" i="1" s="1"/>
  <c r="AA854" i="1"/>
  <c r="AC854" i="1" s="1"/>
  <c r="AA855" i="1"/>
  <c r="AC855" i="1" s="1"/>
  <c r="AA856" i="1"/>
  <c r="AC856" i="1" s="1"/>
  <c r="AA857" i="1"/>
  <c r="AC857" i="1" s="1"/>
  <c r="AA858" i="1"/>
  <c r="AC858" i="1" s="1"/>
  <c r="AA859" i="1"/>
  <c r="AC859" i="1" s="1"/>
  <c r="AA860" i="1"/>
  <c r="AC860" i="1" s="1"/>
  <c r="AA861" i="1"/>
  <c r="AC861" i="1" s="1"/>
  <c r="AA862" i="1"/>
  <c r="AC862" i="1" s="1"/>
  <c r="AA863" i="1"/>
  <c r="AC863" i="1" s="1"/>
  <c r="AA864" i="1"/>
  <c r="AC864" i="1" s="1"/>
  <c r="AA865" i="1"/>
  <c r="AC865" i="1" s="1"/>
  <c r="AA866" i="1"/>
  <c r="AC866" i="1" s="1"/>
  <c r="AA867" i="1"/>
  <c r="AC867" i="1" s="1"/>
  <c r="AA868" i="1"/>
  <c r="AC868" i="1" s="1"/>
  <c r="AA869" i="1"/>
  <c r="AC869" i="1" s="1"/>
  <c r="AA870" i="1"/>
  <c r="AC870" i="1" s="1"/>
  <c r="AA871" i="1"/>
  <c r="AC871" i="1" s="1"/>
  <c r="AA872" i="1"/>
  <c r="AC872" i="1" s="1"/>
  <c r="AA873" i="1"/>
  <c r="AC873" i="1" s="1"/>
  <c r="AA874" i="1"/>
  <c r="AC874" i="1" s="1"/>
  <c r="AA875" i="1"/>
  <c r="AC875" i="1" s="1"/>
  <c r="AA876" i="1"/>
  <c r="AC876" i="1" s="1"/>
  <c r="AA877" i="1"/>
  <c r="AC877" i="1" s="1"/>
  <c r="AA878" i="1"/>
  <c r="AC878" i="1" s="1"/>
  <c r="AA879" i="1"/>
  <c r="AC879" i="1" s="1"/>
  <c r="AA880" i="1"/>
  <c r="AC880" i="1" s="1"/>
  <c r="AA881" i="1"/>
  <c r="AC881" i="1" s="1"/>
  <c r="AA882" i="1"/>
  <c r="AC882" i="1" s="1"/>
  <c r="AA883" i="1"/>
  <c r="AC883" i="1" s="1"/>
  <c r="AA884" i="1"/>
  <c r="AC884" i="1" s="1"/>
  <c r="AA885" i="1"/>
  <c r="AC885" i="1" s="1"/>
  <c r="AA886" i="1"/>
  <c r="AC886" i="1" s="1"/>
  <c r="AA887" i="1"/>
  <c r="AC887" i="1" s="1"/>
  <c r="AA888" i="1"/>
  <c r="AC888" i="1" s="1"/>
  <c r="AA889" i="1"/>
  <c r="AC889" i="1" s="1"/>
  <c r="AA890" i="1"/>
  <c r="AC890" i="1" s="1"/>
  <c r="AA891" i="1"/>
  <c r="AC891" i="1" s="1"/>
  <c r="AA892" i="1"/>
  <c r="AC892" i="1" s="1"/>
  <c r="AA893" i="1"/>
  <c r="AC893" i="1" s="1"/>
  <c r="AA894" i="1"/>
  <c r="AC894" i="1" s="1"/>
  <c r="AA895" i="1"/>
  <c r="AC895" i="1" s="1"/>
  <c r="AA896" i="1"/>
  <c r="AC896" i="1" s="1"/>
  <c r="AA897" i="1"/>
  <c r="AC897" i="1" s="1"/>
  <c r="AA898" i="1"/>
  <c r="AC898" i="1" s="1"/>
  <c r="AA899" i="1"/>
  <c r="AC899" i="1" s="1"/>
  <c r="AA900" i="1"/>
  <c r="AC900" i="1" s="1"/>
  <c r="AA901" i="1"/>
  <c r="AC901" i="1" s="1"/>
  <c r="AA902" i="1"/>
  <c r="AC902" i="1" s="1"/>
  <c r="AA903" i="1"/>
  <c r="AC903" i="1" s="1"/>
  <c r="AA904" i="1"/>
  <c r="AC904" i="1" s="1"/>
  <c r="AA905" i="1"/>
  <c r="AC905" i="1" s="1"/>
  <c r="AA906" i="1"/>
  <c r="AC906" i="1" s="1"/>
  <c r="AA907" i="1"/>
  <c r="AC907" i="1" s="1"/>
  <c r="AA908" i="1"/>
  <c r="AC908" i="1" s="1"/>
  <c r="AA909" i="1"/>
  <c r="AC909" i="1" s="1"/>
  <c r="AA910" i="1"/>
  <c r="AC910" i="1" s="1"/>
  <c r="AA911" i="1"/>
  <c r="AC911" i="1" s="1"/>
  <c r="AA912" i="1"/>
  <c r="AC912" i="1" s="1"/>
  <c r="AA913" i="1"/>
  <c r="AC913" i="1" s="1"/>
  <c r="AA914" i="1"/>
  <c r="AC914" i="1" s="1"/>
  <c r="AA915" i="1"/>
  <c r="AC915" i="1" s="1"/>
  <c r="AA916" i="1"/>
  <c r="AC916" i="1" s="1"/>
  <c r="AA917" i="1"/>
  <c r="AC917" i="1" s="1"/>
  <c r="AA918" i="1"/>
  <c r="AC918" i="1" s="1"/>
  <c r="AA919" i="1"/>
  <c r="AC919" i="1" s="1"/>
  <c r="AA920" i="1"/>
  <c r="AC920" i="1" s="1"/>
  <c r="AA921" i="1"/>
  <c r="AC921" i="1" s="1"/>
  <c r="AA922" i="1"/>
  <c r="AC922" i="1" s="1"/>
  <c r="AA923" i="1"/>
  <c r="AC923" i="1" s="1"/>
  <c r="AA924" i="1"/>
  <c r="AC924" i="1" s="1"/>
  <c r="AA925" i="1"/>
  <c r="AC925" i="1" s="1"/>
  <c r="AA926" i="1"/>
  <c r="AC926" i="1" s="1"/>
  <c r="AA927" i="1"/>
  <c r="AC927" i="1" s="1"/>
  <c r="AA928" i="1"/>
  <c r="AC928" i="1" s="1"/>
  <c r="AA929" i="1"/>
  <c r="AC929" i="1" s="1"/>
  <c r="AA930" i="1"/>
  <c r="AC930" i="1" s="1"/>
  <c r="AA931" i="1"/>
  <c r="AC931" i="1" s="1"/>
  <c r="AA932" i="1"/>
  <c r="AC932" i="1" s="1"/>
  <c r="AA933" i="1"/>
  <c r="AC933" i="1" s="1"/>
  <c r="AA934" i="1"/>
  <c r="AC934" i="1" s="1"/>
  <c r="AA935" i="1"/>
  <c r="AC935" i="1" s="1"/>
  <c r="AA936" i="1"/>
  <c r="AC936" i="1" s="1"/>
  <c r="AA937" i="1"/>
  <c r="AC937" i="1" s="1"/>
  <c r="AA938" i="1"/>
  <c r="AC938" i="1" s="1"/>
  <c r="AA939" i="1"/>
  <c r="AC939" i="1" s="1"/>
  <c r="AA940" i="1"/>
  <c r="AC940" i="1" s="1"/>
  <c r="AA941" i="1"/>
  <c r="AC941" i="1" s="1"/>
  <c r="AA942" i="1"/>
  <c r="AC942" i="1" s="1"/>
  <c r="AA943" i="1"/>
  <c r="AC943" i="1" s="1"/>
  <c r="AA944" i="1"/>
  <c r="AC944" i="1" s="1"/>
  <c r="AA945" i="1"/>
  <c r="AC945" i="1" s="1"/>
  <c r="AA946" i="1"/>
  <c r="AC946" i="1" s="1"/>
  <c r="AA947" i="1"/>
  <c r="AC947" i="1" s="1"/>
  <c r="AA948" i="1"/>
  <c r="AC948" i="1" s="1"/>
  <c r="AA949" i="1"/>
  <c r="AC949" i="1" s="1"/>
  <c r="AA950" i="1"/>
  <c r="AC950" i="1" s="1"/>
  <c r="AA951" i="1"/>
  <c r="AC951" i="1" s="1"/>
  <c r="AA952" i="1"/>
  <c r="AC952" i="1" s="1"/>
  <c r="AA953" i="1"/>
  <c r="AC953" i="1" s="1"/>
  <c r="AA954" i="1"/>
  <c r="AC954" i="1" s="1"/>
  <c r="AA955" i="1"/>
  <c r="AC955" i="1" s="1"/>
  <c r="AA956" i="1"/>
  <c r="AC956" i="1" s="1"/>
  <c r="AA957" i="1"/>
  <c r="AC957" i="1" s="1"/>
  <c r="AA958" i="1"/>
  <c r="AC958" i="1" s="1"/>
  <c r="AA959" i="1"/>
  <c r="AC959" i="1" s="1"/>
  <c r="AA960" i="1"/>
  <c r="AC960" i="1" s="1"/>
  <c r="AA961" i="1"/>
  <c r="AC961" i="1" s="1"/>
  <c r="AA962" i="1"/>
  <c r="AC962" i="1" s="1"/>
  <c r="AA963" i="1"/>
  <c r="AC963" i="1" s="1"/>
  <c r="AA964" i="1"/>
  <c r="AC964" i="1" s="1"/>
  <c r="AA965" i="1"/>
  <c r="AC965" i="1" s="1"/>
  <c r="AA966" i="1"/>
  <c r="AC966" i="1" s="1"/>
  <c r="AA967" i="1"/>
  <c r="AC967" i="1" s="1"/>
  <c r="AA968" i="1"/>
  <c r="AC968" i="1" s="1"/>
  <c r="AA969" i="1"/>
  <c r="AC969" i="1" s="1"/>
  <c r="AA970" i="1"/>
  <c r="AC970" i="1" s="1"/>
  <c r="AA971" i="1"/>
  <c r="AC971" i="1" s="1"/>
  <c r="AA972" i="1"/>
  <c r="AC972" i="1" s="1"/>
  <c r="AA973" i="1"/>
  <c r="AC973" i="1" s="1"/>
  <c r="AA974" i="1"/>
  <c r="AC974" i="1" s="1"/>
  <c r="AA975" i="1"/>
  <c r="AC975" i="1" s="1"/>
  <c r="AA976" i="1"/>
  <c r="AC976" i="1" s="1"/>
  <c r="AA977" i="1"/>
  <c r="AC977" i="1" s="1"/>
  <c r="AA978" i="1"/>
  <c r="AC978" i="1" s="1"/>
  <c r="AA979" i="1"/>
  <c r="AC979" i="1" s="1"/>
  <c r="AA980" i="1"/>
  <c r="AC980" i="1" s="1"/>
  <c r="AA981" i="1"/>
  <c r="AC981" i="1" s="1"/>
  <c r="AA982" i="1"/>
  <c r="AC982" i="1" s="1"/>
  <c r="AA983" i="1"/>
  <c r="AC983" i="1" s="1"/>
  <c r="AA984" i="1"/>
  <c r="AC984" i="1" s="1"/>
  <c r="AA985" i="1"/>
  <c r="AC985" i="1" s="1"/>
  <c r="AA986" i="1"/>
  <c r="AC986" i="1" s="1"/>
  <c r="AA987" i="1"/>
  <c r="AC987" i="1" s="1"/>
  <c r="AA988" i="1"/>
  <c r="AC988" i="1" s="1"/>
  <c r="AA989" i="1"/>
  <c r="AC989" i="1" s="1"/>
  <c r="AA990" i="1"/>
  <c r="AC990" i="1" s="1"/>
  <c r="AA991" i="1"/>
  <c r="AC991" i="1" s="1"/>
  <c r="AA992" i="1"/>
  <c r="AC992" i="1" s="1"/>
  <c r="AA993" i="1"/>
  <c r="AC993" i="1" s="1"/>
  <c r="AA994" i="1"/>
  <c r="AC994" i="1" s="1"/>
  <c r="AA995" i="1"/>
  <c r="AC995" i="1" s="1"/>
  <c r="AA996" i="1"/>
  <c r="AC996" i="1" s="1"/>
  <c r="AA997" i="1"/>
  <c r="AC997" i="1" s="1"/>
  <c r="AA998" i="1"/>
  <c r="AC998" i="1" s="1"/>
  <c r="AA999" i="1"/>
  <c r="AC999" i="1" s="1"/>
  <c r="AA1000" i="1"/>
  <c r="AC1000" i="1" s="1"/>
  <c r="AA1001" i="1"/>
  <c r="AC1001" i="1" s="1"/>
  <c r="AA1002" i="1"/>
  <c r="AC1002" i="1" s="1"/>
  <c r="AA1003" i="1"/>
  <c r="AC1003" i="1" s="1"/>
  <c r="AA1004" i="1"/>
  <c r="AC1004" i="1" s="1"/>
  <c r="AA1005" i="1"/>
  <c r="AC1005" i="1" s="1"/>
  <c r="AA1006" i="1"/>
  <c r="AC1006" i="1" s="1"/>
  <c r="AA1007" i="1"/>
  <c r="AC1007" i="1" s="1"/>
  <c r="AA1008" i="1"/>
  <c r="AC1008" i="1" s="1"/>
  <c r="AA1009" i="1"/>
  <c r="AC1009" i="1" s="1"/>
  <c r="AA1010" i="1"/>
  <c r="AC1010" i="1" s="1"/>
  <c r="AA1011" i="1"/>
  <c r="AC1011" i="1" s="1"/>
  <c r="AA1012" i="1"/>
  <c r="AC1012" i="1" s="1"/>
  <c r="AA1013" i="1"/>
  <c r="AC1013" i="1" s="1"/>
  <c r="AA1014" i="1"/>
  <c r="AC1014" i="1" s="1"/>
  <c r="AA1015" i="1"/>
  <c r="AC1015" i="1" s="1"/>
  <c r="AA1016" i="1"/>
  <c r="AC1016" i="1" s="1"/>
  <c r="AA1017" i="1"/>
  <c r="AC1017" i="1" s="1"/>
  <c r="AA1018" i="1"/>
  <c r="AC1018" i="1" s="1"/>
  <c r="AA1019" i="1"/>
  <c r="AC1019" i="1" s="1"/>
  <c r="AA1020" i="1"/>
  <c r="AC1020" i="1" s="1"/>
  <c r="AA1021" i="1"/>
  <c r="AC1021" i="1" s="1"/>
  <c r="AA1022" i="1"/>
  <c r="AC1022" i="1" s="1"/>
  <c r="AA1023" i="1"/>
  <c r="AC1023" i="1" s="1"/>
  <c r="AA1024" i="1"/>
  <c r="AC1024" i="1" s="1"/>
  <c r="AA1025" i="1"/>
  <c r="AC1025" i="1" s="1"/>
  <c r="AA1026" i="1"/>
  <c r="AC1026" i="1" s="1"/>
  <c r="AA1027" i="1"/>
  <c r="AC1027" i="1" s="1"/>
  <c r="AA1028" i="1"/>
  <c r="AC1028" i="1" s="1"/>
  <c r="AA1029" i="1"/>
  <c r="AC1029" i="1" s="1"/>
  <c r="AA1030" i="1"/>
  <c r="AC1030" i="1" s="1"/>
  <c r="AA1031" i="1"/>
  <c r="AC1031" i="1" s="1"/>
  <c r="AA1032" i="1"/>
  <c r="AC1032" i="1" s="1"/>
  <c r="AA1033" i="1"/>
  <c r="AC1033" i="1" s="1"/>
  <c r="AA1034" i="1"/>
  <c r="AC1034" i="1" s="1"/>
  <c r="AA1035" i="1"/>
  <c r="AC1035" i="1" s="1"/>
  <c r="AA1036" i="1"/>
  <c r="AC1036" i="1" s="1"/>
  <c r="AA1037" i="1"/>
  <c r="AC1037" i="1" s="1"/>
  <c r="AA1038" i="1"/>
  <c r="AC1038" i="1" s="1"/>
  <c r="AA1039" i="1"/>
  <c r="AC1039" i="1" s="1"/>
  <c r="AA1040" i="1"/>
  <c r="AC1040" i="1" s="1"/>
  <c r="AA1041" i="1"/>
  <c r="AC1041" i="1" s="1"/>
  <c r="AA1042" i="1"/>
  <c r="AC1042" i="1" s="1"/>
  <c r="AA1043" i="1"/>
  <c r="AC1043" i="1" s="1"/>
  <c r="AA1044" i="1"/>
  <c r="AC1044" i="1" s="1"/>
  <c r="AA1045" i="1"/>
  <c r="AC1045" i="1" s="1"/>
  <c r="AA1046" i="1"/>
  <c r="AC1046" i="1" s="1"/>
  <c r="AA1047" i="1"/>
  <c r="AC1047" i="1" s="1"/>
  <c r="AA1048" i="1"/>
  <c r="AC1048" i="1" s="1"/>
  <c r="AA1049" i="1"/>
  <c r="AC1049" i="1" s="1"/>
  <c r="AA1050" i="1"/>
  <c r="AC1050" i="1" s="1"/>
  <c r="AA1051" i="1"/>
  <c r="AC1051" i="1" s="1"/>
  <c r="AA1052" i="1"/>
  <c r="AC1052" i="1" s="1"/>
  <c r="AA1053" i="1"/>
  <c r="AC1053" i="1" s="1"/>
  <c r="AA1054" i="1"/>
  <c r="AC1054" i="1" s="1"/>
  <c r="AA1055" i="1"/>
  <c r="AC1055" i="1" s="1"/>
  <c r="AA1056" i="1"/>
  <c r="AC1056" i="1" s="1"/>
  <c r="AA1057" i="1"/>
  <c r="AC1057" i="1" s="1"/>
  <c r="AA1058" i="1"/>
  <c r="AC1058" i="1" s="1"/>
  <c r="AA1059" i="1"/>
  <c r="AC1059" i="1" s="1"/>
  <c r="AA1060" i="1"/>
  <c r="AC1060" i="1" s="1"/>
  <c r="AA1061" i="1"/>
  <c r="AC1061" i="1" s="1"/>
  <c r="AA1062" i="1"/>
  <c r="AC1062" i="1" s="1"/>
  <c r="AA1063" i="1"/>
  <c r="AC1063" i="1" s="1"/>
  <c r="AA1064" i="1"/>
  <c r="AC1064" i="1" s="1"/>
  <c r="AA1065" i="1"/>
  <c r="AC1065" i="1" s="1"/>
  <c r="AA1066" i="1"/>
  <c r="AC1066" i="1" s="1"/>
  <c r="AA1067" i="1"/>
  <c r="AC1067" i="1" s="1"/>
  <c r="AA1068" i="1"/>
  <c r="AC1068" i="1" s="1"/>
  <c r="AA1069" i="1"/>
  <c r="AC1069" i="1" s="1"/>
  <c r="AA1070" i="1"/>
  <c r="AC1070" i="1" s="1"/>
  <c r="AA1071" i="1"/>
  <c r="AC1071" i="1" s="1"/>
  <c r="AA1072" i="1"/>
  <c r="AC1072" i="1" s="1"/>
  <c r="AA1073" i="1"/>
  <c r="AC1073" i="1" s="1"/>
  <c r="AA1074" i="1"/>
  <c r="AC1074" i="1" s="1"/>
  <c r="AA1075" i="1"/>
  <c r="AC1075" i="1" s="1"/>
  <c r="AA1076" i="1"/>
  <c r="AC1076" i="1" s="1"/>
  <c r="AA1077" i="1"/>
  <c r="AC1077" i="1" s="1"/>
  <c r="AA1078" i="1"/>
  <c r="AC1078" i="1" s="1"/>
  <c r="AA1079" i="1"/>
  <c r="AC1079" i="1" s="1"/>
  <c r="AA1080" i="1"/>
  <c r="AC1080" i="1" s="1"/>
  <c r="AA1081" i="1"/>
  <c r="AC1081" i="1" s="1"/>
  <c r="AA1082" i="1"/>
  <c r="AC1082" i="1" s="1"/>
  <c r="AA1083" i="1"/>
  <c r="AC1083" i="1" s="1"/>
  <c r="AA1084" i="1"/>
  <c r="AC1084" i="1" s="1"/>
  <c r="AA1085" i="1"/>
  <c r="AC1085" i="1" s="1"/>
  <c r="AA1086" i="1"/>
  <c r="AC1086" i="1" s="1"/>
  <c r="AA1087" i="1"/>
  <c r="AC1087" i="1" s="1"/>
  <c r="AA1088" i="1"/>
  <c r="AC1088" i="1" s="1"/>
  <c r="AA1089" i="1"/>
  <c r="AC1089" i="1" s="1"/>
  <c r="AA1090" i="1"/>
  <c r="AC1090" i="1" s="1"/>
  <c r="AA1091" i="1"/>
  <c r="AC1091" i="1" s="1"/>
  <c r="AA1092" i="1"/>
  <c r="AC1092" i="1" s="1"/>
  <c r="AA1093" i="1"/>
  <c r="AC1093" i="1" s="1"/>
  <c r="AA1094" i="1"/>
  <c r="AC1094" i="1" s="1"/>
  <c r="AA1095" i="1"/>
  <c r="AC1095" i="1" s="1"/>
  <c r="AA1096" i="1"/>
  <c r="AC1096" i="1" s="1"/>
  <c r="AA1097" i="1"/>
  <c r="AC1097" i="1" s="1"/>
  <c r="AA1098" i="1"/>
  <c r="AC1098" i="1" s="1"/>
  <c r="AA1099" i="1"/>
  <c r="AC1099" i="1" s="1"/>
  <c r="AA1100" i="1"/>
  <c r="AC1100" i="1" s="1"/>
  <c r="AA1101" i="1"/>
  <c r="AC1101" i="1" s="1"/>
  <c r="AA1102" i="1"/>
  <c r="AC1102" i="1" s="1"/>
  <c r="AA1103" i="1"/>
  <c r="AC1103" i="1" s="1"/>
  <c r="AA1104" i="1"/>
  <c r="AC1104" i="1" s="1"/>
  <c r="AA1105" i="1"/>
  <c r="AC1105" i="1" s="1"/>
  <c r="AA1106" i="1"/>
  <c r="AC1106" i="1" s="1"/>
  <c r="AA1107" i="1"/>
  <c r="AC1107" i="1" s="1"/>
  <c r="AA1108" i="1"/>
  <c r="AC1108" i="1" s="1"/>
  <c r="AA1109" i="1"/>
  <c r="AC1109" i="1" s="1"/>
  <c r="AA1110" i="1"/>
  <c r="AC1110" i="1" s="1"/>
  <c r="AA1111" i="1"/>
  <c r="AC1111" i="1" s="1"/>
  <c r="AA1112" i="1"/>
  <c r="AC1112" i="1" s="1"/>
  <c r="AA1113" i="1"/>
  <c r="AC1113" i="1" s="1"/>
  <c r="AA1114" i="1"/>
  <c r="AC1114" i="1" s="1"/>
  <c r="AA1115" i="1"/>
  <c r="AC1115" i="1" s="1"/>
  <c r="AA1116" i="1"/>
  <c r="AC1116" i="1" s="1"/>
  <c r="AA1117" i="1"/>
  <c r="AC1117" i="1" s="1"/>
  <c r="AA1118" i="1"/>
  <c r="AC1118" i="1" s="1"/>
  <c r="AA1119" i="1"/>
  <c r="AC1119" i="1" s="1"/>
  <c r="AA1120" i="1"/>
  <c r="AC1120" i="1" s="1"/>
  <c r="AA1121" i="1"/>
  <c r="AC1121" i="1" s="1"/>
  <c r="AA1122" i="1"/>
  <c r="AC1122" i="1" s="1"/>
  <c r="AA1123" i="1"/>
  <c r="AC1123" i="1" s="1"/>
  <c r="AA1124" i="1"/>
  <c r="AC1124" i="1" s="1"/>
  <c r="AA1125" i="1"/>
  <c r="AC1125" i="1" s="1"/>
  <c r="AA1126" i="1"/>
  <c r="AC1126" i="1" s="1"/>
  <c r="AA1127" i="1"/>
  <c r="AC1127" i="1" s="1"/>
  <c r="AA1128" i="1"/>
  <c r="AC1128" i="1" s="1"/>
  <c r="AA1129" i="1"/>
  <c r="AC1129" i="1" s="1"/>
  <c r="AA1130" i="1"/>
  <c r="AC1130" i="1" s="1"/>
  <c r="AA1131" i="1"/>
  <c r="AC1131" i="1" s="1"/>
  <c r="AA1132" i="1"/>
  <c r="AC1132" i="1" s="1"/>
  <c r="AA1133" i="1"/>
  <c r="AC1133" i="1" s="1"/>
  <c r="AA1134" i="1"/>
  <c r="AC1134" i="1" s="1"/>
  <c r="AA1135" i="1"/>
  <c r="AC1135" i="1" s="1"/>
  <c r="AA1136" i="1"/>
  <c r="AC1136" i="1" s="1"/>
  <c r="AA1137" i="1"/>
  <c r="AC1137" i="1" s="1"/>
  <c r="AA1138" i="1"/>
  <c r="AC1138" i="1" s="1"/>
  <c r="AA1139" i="1"/>
  <c r="AC1139" i="1" s="1"/>
  <c r="AA1140" i="1"/>
  <c r="AC1140" i="1" s="1"/>
  <c r="AA1141" i="1"/>
  <c r="AC1141" i="1" s="1"/>
  <c r="AA1142" i="1"/>
  <c r="AC1142" i="1" s="1"/>
  <c r="AA1143" i="1"/>
  <c r="AC1143" i="1" s="1"/>
  <c r="AA1144" i="1"/>
  <c r="AC1144" i="1" s="1"/>
  <c r="AA1145" i="1"/>
  <c r="AC1145" i="1" s="1"/>
  <c r="AA1146" i="1"/>
  <c r="AC1146" i="1" s="1"/>
  <c r="AA1147" i="1"/>
  <c r="AC1147" i="1" s="1"/>
  <c r="AA1148" i="1"/>
  <c r="AC1148" i="1" s="1"/>
  <c r="AA1149" i="1"/>
  <c r="AC1149" i="1" s="1"/>
  <c r="AA1150" i="1"/>
  <c r="AC1150" i="1" s="1"/>
  <c r="AA1151" i="1"/>
  <c r="AC1151" i="1" s="1"/>
  <c r="AA1152" i="1"/>
  <c r="AC1152" i="1" s="1"/>
  <c r="AA1153" i="1"/>
  <c r="AC1153" i="1" s="1"/>
  <c r="AA1154" i="1"/>
  <c r="AC1154" i="1" s="1"/>
  <c r="AA1155" i="1"/>
  <c r="AC1155" i="1" s="1"/>
  <c r="AA1156" i="1"/>
  <c r="AC1156" i="1" s="1"/>
  <c r="AA1157" i="1"/>
  <c r="AC1157" i="1" s="1"/>
  <c r="AA1158" i="1"/>
  <c r="AC1158" i="1" s="1"/>
  <c r="AA1159" i="1"/>
  <c r="AC1159" i="1" s="1"/>
  <c r="AA1160" i="1"/>
  <c r="AC1160" i="1" s="1"/>
  <c r="AA1161" i="1"/>
  <c r="AC1161" i="1" s="1"/>
  <c r="AA1162" i="1"/>
  <c r="AC1162" i="1" s="1"/>
  <c r="AA1163" i="1"/>
  <c r="AC1163" i="1" s="1"/>
  <c r="AA1164" i="1"/>
  <c r="AC1164" i="1" s="1"/>
  <c r="AA1165" i="1"/>
  <c r="AC1165" i="1" s="1"/>
  <c r="AA1166" i="1"/>
  <c r="AC1166" i="1" s="1"/>
  <c r="AA1167" i="1"/>
  <c r="AC1167" i="1" s="1"/>
  <c r="AA1168" i="1"/>
  <c r="AC1168" i="1" s="1"/>
  <c r="AA1169" i="1"/>
  <c r="AC1169" i="1" s="1"/>
  <c r="AA1170" i="1"/>
  <c r="AC1170" i="1" s="1"/>
  <c r="AA1171" i="1"/>
  <c r="AC1171" i="1" s="1"/>
  <c r="AA1172" i="1"/>
  <c r="AC1172" i="1" s="1"/>
  <c r="AA1173" i="1"/>
  <c r="AC1173" i="1" s="1"/>
  <c r="AA1174" i="1"/>
  <c r="AC1174" i="1" s="1"/>
  <c r="AA1175" i="1"/>
  <c r="AC1175" i="1" s="1"/>
  <c r="AA1176" i="1"/>
  <c r="AC1176" i="1" s="1"/>
  <c r="AA1177" i="1"/>
  <c r="AC1177" i="1" s="1"/>
  <c r="AA1178" i="1"/>
  <c r="AC1178" i="1" s="1"/>
  <c r="AA1179" i="1"/>
  <c r="AC1179" i="1" s="1"/>
  <c r="AA1180" i="1"/>
  <c r="AC1180" i="1" s="1"/>
  <c r="AA1181" i="1"/>
  <c r="AC1181" i="1" s="1"/>
  <c r="AA1182" i="1"/>
  <c r="AC1182" i="1" s="1"/>
  <c r="AA1183" i="1"/>
  <c r="AC1183" i="1" s="1"/>
  <c r="AA1184" i="1"/>
  <c r="AC1184" i="1" s="1"/>
  <c r="AA1185" i="1"/>
  <c r="AC1185" i="1" s="1"/>
  <c r="AA1186" i="1"/>
  <c r="AC1186" i="1" s="1"/>
  <c r="AA1187" i="1"/>
  <c r="AC1187" i="1" s="1"/>
  <c r="AA1188" i="1"/>
  <c r="AC1188" i="1" s="1"/>
  <c r="AA1189" i="1"/>
  <c r="AC1189" i="1" s="1"/>
  <c r="AA1190" i="1"/>
  <c r="AC1190" i="1" s="1"/>
  <c r="AA1191" i="1"/>
  <c r="AC1191" i="1" s="1"/>
  <c r="AA1192" i="1"/>
  <c r="AC1192" i="1" s="1"/>
  <c r="AA1193" i="1"/>
  <c r="AC1193" i="1" s="1"/>
  <c r="AA1194" i="1"/>
  <c r="AC1194" i="1" s="1"/>
  <c r="AA1195" i="1"/>
  <c r="AC1195" i="1" s="1"/>
  <c r="AA1196" i="1"/>
  <c r="AC1196" i="1" s="1"/>
  <c r="AA1197" i="1"/>
  <c r="AC1197" i="1" s="1"/>
  <c r="AA1198" i="1"/>
  <c r="AC1198" i="1" s="1"/>
  <c r="AA1199" i="1"/>
  <c r="AC1199" i="1" s="1"/>
  <c r="AA1200" i="1"/>
  <c r="AC1200" i="1" s="1"/>
  <c r="AA1201" i="1"/>
  <c r="AC1201" i="1" s="1"/>
  <c r="AA1202" i="1"/>
  <c r="AC1202" i="1" s="1"/>
  <c r="AA1203" i="1"/>
  <c r="AC1203" i="1" s="1"/>
  <c r="AA1204" i="1"/>
  <c r="AC1204" i="1" s="1"/>
  <c r="AA1205" i="1"/>
  <c r="AC1205" i="1" s="1"/>
  <c r="AA1206" i="1"/>
  <c r="AC1206" i="1" s="1"/>
  <c r="AA1207" i="1"/>
  <c r="AC1207" i="1" s="1"/>
  <c r="AA1208" i="1"/>
  <c r="AC1208" i="1" s="1"/>
  <c r="AA1209" i="1"/>
  <c r="AC1209" i="1" s="1"/>
  <c r="AA1210" i="1"/>
  <c r="AC1210" i="1" s="1"/>
  <c r="AA1211" i="1"/>
  <c r="AC1211" i="1" s="1"/>
  <c r="AA1212" i="1"/>
  <c r="AC1212" i="1" s="1"/>
  <c r="AA1213" i="1"/>
  <c r="AC1213" i="1" s="1"/>
  <c r="AA1214" i="1"/>
  <c r="AC1214" i="1" s="1"/>
  <c r="AA1215" i="1"/>
  <c r="AC1215" i="1" s="1"/>
  <c r="AA1216" i="1"/>
  <c r="AC1216" i="1" s="1"/>
  <c r="AA1217" i="1"/>
  <c r="AC1217" i="1" s="1"/>
  <c r="AA1218" i="1"/>
  <c r="AC1218" i="1" s="1"/>
  <c r="AA1219" i="1"/>
  <c r="AC1219" i="1" s="1"/>
  <c r="AA1220" i="1"/>
  <c r="AC1220" i="1" s="1"/>
  <c r="AA1221" i="1"/>
  <c r="AC1221" i="1" s="1"/>
  <c r="AA1222" i="1"/>
  <c r="AC1222" i="1" s="1"/>
  <c r="AA1223" i="1"/>
  <c r="AC1223" i="1" s="1"/>
  <c r="AA1224" i="1"/>
  <c r="AC1224" i="1" s="1"/>
  <c r="AA1225" i="1"/>
  <c r="AC1225" i="1" s="1"/>
  <c r="AA1226" i="1"/>
  <c r="AC1226" i="1" s="1"/>
  <c r="AA1227" i="1"/>
  <c r="AC1227" i="1" s="1"/>
  <c r="AA1228" i="1"/>
  <c r="AC1228" i="1" s="1"/>
  <c r="AA1229" i="1"/>
  <c r="AC1229" i="1" s="1"/>
  <c r="AA1230" i="1"/>
  <c r="AC1230" i="1" s="1"/>
  <c r="AA1231" i="1"/>
  <c r="AC1231" i="1" s="1"/>
  <c r="AA1232" i="1"/>
  <c r="AC1232" i="1" s="1"/>
  <c r="AA1233" i="1"/>
  <c r="AC1233" i="1" s="1"/>
  <c r="AA1234" i="1"/>
  <c r="AC1234" i="1" s="1"/>
  <c r="AA1235" i="1"/>
  <c r="AC1235" i="1" s="1"/>
  <c r="AA1236" i="1"/>
  <c r="AC1236" i="1" s="1"/>
  <c r="AA1237" i="1"/>
  <c r="AC1237" i="1" s="1"/>
  <c r="AA1238" i="1"/>
  <c r="AC1238" i="1" s="1"/>
  <c r="AA1239" i="1"/>
  <c r="AC1239" i="1" s="1"/>
  <c r="AA1240" i="1"/>
  <c r="AC1240" i="1" s="1"/>
  <c r="AA1241" i="1"/>
  <c r="AC1241" i="1" s="1"/>
  <c r="AA1242" i="1"/>
  <c r="AC1242" i="1" s="1"/>
  <c r="AA1243" i="1"/>
  <c r="AC1243" i="1" s="1"/>
  <c r="AA1244" i="1"/>
  <c r="AC1244" i="1" s="1"/>
  <c r="AA1245" i="1"/>
  <c r="AC1245" i="1" s="1"/>
  <c r="AA1246" i="1"/>
  <c r="AC1246" i="1" s="1"/>
  <c r="AA1247" i="1"/>
  <c r="AC1247" i="1" s="1"/>
  <c r="AA1248" i="1"/>
  <c r="AC1248" i="1" s="1"/>
  <c r="AA1249" i="1"/>
  <c r="AC1249" i="1" s="1"/>
  <c r="AA1250" i="1"/>
  <c r="AC1250" i="1" s="1"/>
  <c r="AA1251" i="1"/>
  <c r="AC1251" i="1" s="1"/>
  <c r="AA1252" i="1"/>
  <c r="AC1252" i="1" s="1"/>
  <c r="AA1253" i="1"/>
  <c r="AC1253" i="1" s="1"/>
  <c r="AA1254" i="1"/>
  <c r="AC1254" i="1" s="1"/>
  <c r="AA1255" i="1"/>
  <c r="AC1255" i="1" s="1"/>
  <c r="AA1256" i="1"/>
  <c r="AC1256" i="1" s="1"/>
  <c r="AA1257" i="1"/>
  <c r="AC1257" i="1" s="1"/>
  <c r="AA1258" i="1"/>
  <c r="AC1258" i="1" s="1"/>
  <c r="AA1259" i="1"/>
  <c r="AC1259" i="1" s="1"/>
  <c r="AA1260" i="1"/>
  <c r="AC1260" i="1" s="1"/>
  <c r="AA1261" i="1"/>
  <c r="AC1261" i="1" s="1"/>
  <c r="AA1262" i="1"/>
  <c r="AC1262" i="1" s="1"/>
  <c r="AA1263" i="1"/>
  <c r="AC1263" i="1" s="1"/>
  <c r="AA1264" i="1"/>
  <c r="AC1264" i="1" s="1"/>
  <c r="AA1265" i="1"/>
  <c r="AC1265" i="1" s="1"/>
  <c r="AA1266" i="1"/>
  <c r="AC1266" i="1" s="1"/>
  <c r="AA1267" i="1"/>
  <c r="AC1267" i="1" s="1"/>
  <c r="AA1268" i="1"/>
  <c r="AC1268" i="1" s="1"/>
  <c r="AA1269" i="1"/>
  <c r="AC1269" i="1" s="1"/>
  <c r="AA1270" i="1"/>
  <c r="AC1270" i="1" s="1"/>
  <c r="AA2" i="1"/>
  <c r="AC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2" i="1"/>
  <c r="H3" i="2"/>
  <c r="F3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mments1.xml><?xml version="1.0" encoding="utf-8"?>
<comments xmlns="http://schemas.openxmlformats.org/spreadsheetml/2006/main">
  <authors>
    <author>tc={1079E109-0963-4E8B-BC33-CB481111CDAF}</author>
  </authors>
  <commentList>
    <comment ref="H3" authorId="0" shape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 there a different aggregation type that can be used to create the Expensive Product categories?</t>
        </r>
      </text>
    </comment>
  </commentList>
</comments>
</file>

<file path=xl/comments2.xml><?xml version="1.0" encoding="utf-8"?>
<comments xmlns="http://schemas.openxmlformats.org/spreadsheetml/2006/main">
  <authors>
    <author>iason.prassides</author>
  </authors>
  <commentList>
    <comment ref="AC1" authorId="0" shapeId="0">
      <text>
        <r>
          <rPr>
            <b/>
            <sz val="9"/>
            <color indexed="81"/>
            <rFont val="Tahoma"/>
            <family val="2"/>
          </rPr>
          <t>iason.prassides:</t>
        </r>
        <r>
          <rPr>
            <sz val="9"/>
            <color indexed="81"/>
            <rFont val="Tahoma"/>
            <family val="2"/>
          </rPr>
          <t xml:space="preserve">
Calculated using Payment Type and Total Order Sales columns.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<sst xmlns="http://schemas.openxmlformats.org/spreadsheetml/2006/main" count="16774" uniqueCount="3032">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</sst>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64" fontId="1" fillId="2" borderId="0" xfId="1" applyFont="1" applyFill="1"/>
    <xf numFmtId="164" fontId="0" fillId="0" borderId="0" xfId="1" applyFon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son Prassides" id="{FE041D20-1259-4FC1-8925-D46032638216}" userId="a3ff67bbf082815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7-27T09:16:48.16" personId="{FE041D20-1259-4FC1-8925-D46032638216}" id="{1079E109-0963-4E8B-BC33-CB481111CDAF}">
    <text>Is there a different aggregation type that can be used to create the Expensive Product categories?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0"/>
  <sheetViews>
    <sheetView workbookViewId="0">
      <selection activeCell="D3" sqref="D3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5.875" style="5" bestFit="1" customWidth="1"/>
    <col min="6" max="6" width="18.75" bestFit="1" customWidth="1"/>
    <col min="8" max="8" width="15.625" bestFit="1" customWidth="1"/>
  </cols>
  <sheetData>
    <row r="1" spans="1:19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19" x14ac:dyDescent="0.2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  <c r="S2" t="e">
        <f>VLOOKUP(R2,Orders!B1:F60,Products!D20)</f>
        <v>#N/A</v>
      </c>
    </row>
    <row r="3" spans="1:19" x14ac:dyDescent="0.2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19" x14ac:dyDescent="0.2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19" x14ac:dyDescent="0.2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19" x14ac:dyDescent="0.2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19" x14ac:dyDescent="0.2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19" x14ac:dyDescent="0.2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19" x14ac:dyDescent="0.2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19" x14ac:dyDescent="0.2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19" x14ac:dyDescent="0.2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19" x14ac:dyDescent="0.2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19" x14ac:dyDescent="0.2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19" x14ac:dyDescent="0.2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19" x14ac:dyDescent="0.2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19" x14ac:dyDescent="0.2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/>
  <conditionalFormatting sqref="A1:A60 A1271:A1048576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270"/>
  <sheetViews>
    <sheetView tabSelected="1" topLeftCell="O1" workbookViewId="0">
      <selection activeCell="U316" sqref="U316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24.125" style="2" bestFit="1" customWidth="1"/>
    <col min="5" max="5" width="18.5" bestFit="1" customWidth="1"/>
    <col min="6" max="6" width="16" bestFit="1" customWidth="1"/>
    <col min="7" max="7" width="26.125" bestFit="1" customWidth="1"/>
    <col min="8" max="8" width="12.625" bestFit="1" customWidth="1"/>
    <col min="9" max="9" width="13.125" bestFit="1" customWidth="1"/>
    <col min="10" max="10" width="15.5" bestFit="1" customWidth="1"/>
    <col min="11" max="11" width="18.875" bestFit="1" customWidth="1"/>
    <col min="12" max="12" width="10.25" bestFit="1" customWidth="1"/>
    <col min="13" max="13" width="22.75" bestFit="1" customWidth="1"/>
    <col min="14" max="14" width="31.75" bestFit="1" customWidth="1"/>
    <col min="15" max="15" width="15.25" bestFit="1" customWidth="1"/>
    <col min="16" max="16" width="29" bestFit="1" customWidth="1"/>
    <col min="17" max="17" width="14.25" bestFit="1" customWidth="1"/>
    <col min="18" max="18" width="20.25" bestFit="1" customWidth="1"/>
    <col min="19" max="19" width="20.25" customWidth="1"/>
    <col min="20" max="20" width="11.875" bestFit="1" customWidth="1"/>
    <col min="21" max="21" width="42.625" bestFit="1" customWidth="1"/>
    <col min="22" max="22" width="15.875" style="7" bestFit="1" customWidth="1"/>
    <col min="23" max="23" width="15.25" style="7" bestFit="1" customWidth="1"/>
    <col min="24" max="24" width="16.125" bestFit="1" customWidth="1"/>
    <col min="25" max="25" width="22.25" style="7" bestFit="1" customWidth="1"/>
    <col min="26" max="26" width="10.125" style="7" bestFit="1" customWidth="1"/>
    <col min="27" max="27" width="18.875" style="7" bestFit="1" customWidth="1"/>
    <col min="28" max="28" width="15.25" bestFit="1" customWidth="1"/>
    <col min="29" max="29" width="17.375" bestFit="1" customWidth="1"/>
  </cols>
  <sheetData>
    <row r="1" spans="1:29" x14ac:dyDescent="0.25">
      <c r="A1" s="1" t="s">
        <v>0</v>
      </c>
      <c r="B1" s="3" t="s">
        <v>1</v>
      </c>
      <c r="C1" s="1" t="s">
        <v>2</v>
      </c>
      <c r="D1" s="3" t="s">
        <v>3025</v>
      </c>
      <c r="E1" s="1" t="s">
        <v>3</v>
      </c>
      <c r="F1" s="1" t="s">
        <v>4</v>
      </c>
      <c r="G1" s="1" t="s">
        <v>3028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3031</v>
      </c>
      <c r="T1" s="1" t="s">
        <v>16</v>
      </c>
      <c r="U1" s="1" t="s">
        <v>1042</v>
      </c>
      <c r="V1" s="6" t="s">
        <v>17</v>
      </c>
      <c r="W1" s="6" t="s">
        <v>18</v>
      </c>
      <c r="X1" s="1" t="s">
        <v>19</v>
      </c>
      <c r="Y1" s="6" t="s">
        <v>20</v>
      </c>
      <c r="Z1" s="6" t="s">
        <v>21</v>
      </c>
      <c r="AA1" s="6" t="s">
        <v>3029</v>
      </c>
      <c r="AB1" s="1" t="s">
        <v>22</v>
      </c>
      <c r="AC1" s="6" t="s">
        <v>3030</v>
      </c>
    </row>
    <row r="2" spans="1:29" x14ac:dyDescent="0.25">
      <c r="A2">
        <v>44046</v>
      </c>
      <c r="B2" s="2">
        <v>42470</v>
      </c>
      <c r="C2">
        <v>2</v>
      </c>
      <c r="D2" s="2">
        <f>WORKDAY(B2,C2)</f>
        <v>42472</v>
      </c>
      <c r="E2">
        <v>0</v>
      </c>
      <c r="F2" t="s">
        <v>23</v>
      </c>
      <c r="G2" t="str">
        <f>IF(AND(E2=0,F2="Same Day"),"Same Day - On Time","Other")</f>
        <v>Other</v>
      </c>
      <c r="H2">
        <v>9</v>
      </c>
      <c r="I2">
        <v>5197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>
        <v>9</v>
      </c>
      <c r="S2" t="e">
        <f>VLOOKUP(R2,Products!$A$1:$F$60,4,FALSE)</f>
        <v>#N/A</v>
      </c>
      <c r="T2">
        <v>191</v>
      </c>
      <c r="U2" t="s">
        <v>1044</v>
      </c>
      <c r="V2" s="7">
        <v>99.989997860000003</v>
      </c>
      <c r="W2" s="7">
        <v>95.114003926871064</v>
      </c>
      <c r="X2">
        <v>3</v>
      </c>
      <c r="Y2" s="7">
        <v>36</v>
      </c>
      <c r="Z2" s="7">
        <v>299.96999357999999</v>
      </c>
      <c r="AA2" s="7">
        <f>Z2-Y2</f>
        <v>263.96999357999999</v>
      </c>
      <c r="AB2" t="s">
        <v>30</v>
      </c>
      <c r="AC2" t="str">
        <f>IF(AND(AA2&gt;200,AB2="CASH"),"Cash Over 200",IF(AB2="CASH","Cash Not Over 200","Non-Cash Payments"))</f>
        <v>Cash Over 200</v>
      </c>
    </row>
    <row r="3" spans="1:29" x14ac:dyDescent="0.25">
      <c r="A3">
        <v>46414</v>
      </c>
      <c r="B3" s="2">
        <v>42593</v>
      </c>
      <c r="C3">
        <v>2</v>
      </c>
      <c r="D3" s="2">
        <f t="shared" ref="D3:D66" si="0">WORKDAY(B3,C3)</f>
        <v>42597</v>
      </c>
      <c r="E3">
        <v>1</v>
      </c>
      <c r="F3" t="s">
        <v>23</v>
      </c>
      <c r="G3" t="str">
        <f t="shared" ref="G3:G66" si="1">IF(AND(E3=0,F3="Same Day"),"Same Day - On Time","Other")</f>
        <v>Other</v>
      </c>
      <c r="H3">
        <v>29</v>
      </c>
      <c r="I3">
        <v>1535</v>
      </c>
      <c r="J3">
        <v>5</v>
      </c>
      <c r="K3" t="s">
        <v>31</v>
      </c>
      <c r="L3" t="s">
        <v>25</v>
      </c>
      <c r="M3" t="s">
        <v>32</v>
      </c>
      <c r="N3" t="s">
        <v>32</v>
      </c>
      <c r="P3" t="s">
        <v>33</v>
      </c>
      <c r="Q3" t="s">
        <v>34</v>
      </c>
      <c r="R3">
        <v>29</v>
      </c>
      <c r="T3">
        <v>627</v>
      </c>
      <c r="U3" t="s">
        <v>1046</v>
      </c>
      <c r="V3" s="7">
        <v>39.990001679999999</v>
      </c>
      <c r="W3" s="7">
        <v>34.198098313835338</v>
      </c>
      <c r="X3">
        <v>3</v>
      </c>
      <c r="Y3" s="7">
        <v>6</v>
      </c>
      <c r="Z3" s="7">
        <v>119.97000503999999</v>
      </c>
      <c r="AA3" s="7">
        <f t="shared" ref="AA3:AA66" si="2">Z3-Y3</f>
        <v>113.97000503999999</v>
      </c>
      <c r="AB3" t="s">
        <v>30</v>
      </c>
      <c r="AC3" t="str">
        <f t="shared" ref="AC3:AC66" si="3">IF(AND(AA3&gt;200,AB3="CASH"),"Cash Over 200",IF(AB3="CASH","Cash Not Over 200","Non-Cash Payments"))</f>
        <v>Cash Not Over 200</v>
      </c>
    </row>
    <row r="4" spans="1:29" x14ac:dyDescent="0.25">
      <c r="A4">
        <v>46599</v>
      </c>
      <c r="B4" s="2">
        <v>42685</v>
      </c>
      <c r="C4">
        <v>2</v>
      </c>
      <c r="D4" s="2">
        <f t="shared" si="0"/>
        <v>42689</v>
      </c>
      <c r="E4">
        <v>1</v>
      </c>
      <c r="F4" t="s">
        <v>23</v>
      </c>
      <c r="G4" t="str">
        <f t="shared" si="1"/>
        <v>Other</v>
      </c>
      <c r="H4">
        <v>41</v>
      </c>
      <c r="I4">
        <v>6122</v>
      </c>
      <c r="J4">
        <v>6</v>
      </c>
      <c r="K4" t="s">
        <v>35</v>
      </c>
      <c r="L4" t="s">
        <v>25</v>
      </c>
      <c r="M4" t="s">
        <v>36</v>
      </c>
      <c r="N4" t="s">
        <v>36</v>
      </c>
      <c r="P4" t="s">
        <v>37</v>
      </c>
      <c r="Q4" t="s">
        <v>29</v>
      </c>
      <c r="R4">
        <v>41</v>
      </c>
      <c r="T4">
        <v>917</v>
      </c>
      <c r="U4" t="s">
        <v>1048</v>
      </c>
      <c r="V4" s="7">
        <v>21.989999770000001</v>
      </c>
      <c r="W4" s="7">
        <v>20.391999720066668</v>
      </c>
      <c r="X4">
        <v>3</v>
      </c>
      <c r="Y4" s="7">
        <v>1.980000019</v>
      </c>
      <c r="Z4" s="7">
        <v>65.969999310000006</v>
      </c>
      <c r="AA4" s="7">
        <f t="shared" si="2"/>
        <v>63.989999291000004</v>
      </c>
      <c r="AB4" t="s">
        <v>30</v>
      </c>
      <c r="AC4" t="str">
        <f t="shared" si="3"/>
        <v>Cash Not Over 200</v>
      </c>
    </row>
    <row r="5" spans="1:29" x14ac:dyDescent="0.25">
      <c r="A5">
        <v>48434</v>
      </c>
      <c r="B5" s="2">
        <v>42594</v>
      </c>
      <c r="C5">
        <v>2</v>
      </c>
      <c r="D5" s="2">
        <f t="shared" si="0"/>
        <v>42598</v>
      </c>
      <c r="E5">
        <v>1</v>
      </c>
      <c r="F5" t="s">
        <v>23</v>
      </c>
      <c r="G5" t="str">
        <f t="shared" si="1"/>
        <v>Other</v>
      </c>
      <c r="H5">
        <v>37</v>
      </c>
      <c r="I5">
        <v>9451</v>
      </c>
      <c r="J5">
        <v>6</v>
      </c>
      <c r="K5" t="s">
        <v>35</v>
      </c>
      <c r="L5" t="s">
        <v>25</v>
      </c>
      <c r="M5" t="s">
        <v>38</v>
      </c>
      <c r="N5" t="s">
        <v>39</v>
      </c>
      <c r="P5" t="s">
        <v>40</v>
      </c>
      <c r="Q5" t="s">
        <v>41</v>
      </c>
      <c r="R5">
        <v>37</v>
      </c>
      <c r="T5">
        <v>828</v>
      </c>
      <c r="U5" t="s">
        <v>1050</v>
      </c>
      <c r="V5" s="7">
        <v>31.989999770000001</v>
      </c>
      <c r="W5" s="7">
        <v>24.284221986666665</v>
      </c>
      <c r="X5">
        <v>3</v>
      </c>
      <c r="Y5" s="7">
        <v>16.309999470000001</v>
      </c>
      <c r="Z5" s="7">
        <v>95.969999310000006</v>
      </c>
      <c r="AA5" s="7">
        <f t="shared" si="2"/>
        <v>79.659999840000012</v>
      </c>
      <c r="AB5" t="s">
        <v>30</v>
      </c>
      <c r="AC5" t="str">
        <f t="shared" si="3"/>
        <v>Cash Not Over 200</v>
      </c>
    </row>
    <row r="6" spans="1:29" x14ac:dyDescent="0.25">
      <c r="A6">
        <v>51050</v>
      </c>
      <c r="B6" s="2">
        <v>42750</v>
      </c>
      <c r="C6">
        <v>2</v>
      </c>
      <c r="D6" s="2">
        <f t="shared" si="0"/>
        <v>42752</v>
      </c>
      <c r="E6">
        <v>1</v>
      </c>
      <c r="F6" t="s">
        <v>23</v>
      </c>
      <c r="G6" t="str">
        <f t="shared" si="1"/>
        <v>Other</v>
      </c>
      <c r="H6">
        <v>9</v>
      </c>
      <c r="I6">
        <v>1840</v>
      </c>
      <c r="J6">
        <v>3</v>
      </c>
      <c r="K6" t="s">
        <v>24</v>
      </c>
      <c r="L6" t="s">
        <v>25</v>
      </c>
      <c r="M6" t="s">
        <v>42</v>
      </c>
      <c r="N6" t="s">
        <v>43</v>
      </c>
      <c r="P6" t="s">
        <v>44</v>
      </c>
      <c r="Q6" t="s">
        <v>34</v>
      </c>
      <c r="R6">
        <v>9</v>
      </c>
      <c r="T6">
        <v>191</v>
      </c>
      <c r="U6" t="s">
        <v>1044</v>
      </c>
      <c r="V6" s="7">
        <v>99.989997860000003</v>
      </c>
      <c r="W6" s="7">
        <v>95.114003926871064</v>
      </c>
      <c r="X6">
        <v>1</v>
      </c>
      <c r="Y6" s="7">
        <v>13</v>
      </c>
      <c r="Z6" s="7">
        <v>99.989997860000003</v>
      </c>
      <c r="AA6" s="7">
        <f t="shared" si="2"/>
        <v>86.989997860000003</v>
      </c>
      <c r="AB6" t="s">
        <v>45</v>
      </c>
      <c r="AC6" t="str">
        <f t="shared" si="3"/>
        <v>Non-Cash Payments</v>
      </c>
    </row>
    <row r="7" spans="1:29" x14ac:dyDescent="0.25">
      <c r="A7">
        <v>45680</v>
      </c>
      <c r="B7" s="2">
        <v>42671</v>
      </c>
      <c r="C7">
        <v>2</v>
      </c>
      <c r="D7" s="2">
        <f t="shared" si="0"/>
        <v>42675</v>
      </c>
      <c r="E7">
        <v>1</v>
      </c>
      <c r="F7" t="s">
        <v>23</v>
      </c>
      <c r="G7" t="str">
        <f t="shared" si="1"/>
        <v>Other</v>
      </c>
      <c r="H7">
        <v>18</v>
      </c>
      <c r="I7">
        <v>6757</v>
      </c>
      <c r="J7">
        <v>4</v>
      </c>
      <c r="K7" t="s">
        <v>46</v>
      </c>
      <c r="L7" t="s">
        <v>25</v>
      </c>
      <c r="M7" t="s">
        <v>47</v>
      </c>
      <c r="N7" t="s">
        <v>47</v>
      </c>
      <c r="P7" t="s">
        <v>48</v>
      </c>
      <c r="Q7" t="s">
        <v>41</v>
      </c>
      <c r="R7">
        <v>18</v>
      </c>
      <c r="T7">
        <v>403</v>
      </c>
      <c r="U7" t="s">
        <v>1052</v>
      </c>
      <c r="V7" s="7">
        <v>129.9900055</v>
      </c>
      <c r="W7" s="7">
        <v>110.80340837177086</v>
      </c>
      <c r="X7">
        <v>1</v>
      </c>
      <c r="Y7" s="7">
        <v>2.5999999049999998</v>
      </c>
      <c r="Z7" s="7">
        <v>129.9900055</v>
      </c>
      <c r="AA7" s="7">
        <f t="shared" si="2"/>
        <v>127.39000559499999</v>
      </c>
      <c r="AB7" t="s">
        <v>45</v>
      </c>
      <c r="AC7" t="str">
        <f t="shared" si="3"/>
        <v>Non-Cash Payments</v>
      </c>
    </row>
    <row r="8" spans="1:29" x14ac:dyDescent="0.25">
      <c r="A8">
        <v>42992</v>
      </c>
      <c r="B8" s="2">
        <v>42632</v>
      </c>
      <c r="C8">
        <v>2</v>
      </c>
      <c r="D8" s="2">
        <f t="shared" si="0"/>
        <v>42634</v>
      </c>
      <c r="E8">
        <v>1</v>
      </c>
      <c r="F8" t="s">
        <v>23</v>
      </c>
      <c r="G8" t="str">
        <f t="shared" si="1"/>
        <v>Other</v>
      </c>
      <c r="H8">
        <v>18</v>
      </c>
      <c r="I8">
        <v>3972</v>
      </c>
      <c r="J8">
        <v>4</v>
      </c>
      <c r="K8" t="s">
        <v>46</v>
      </c>
      <c r="L8" t="s">
        <v>25</v>
      </c>
      <c r="M8" t="s">
        <v>49</v>
      </c>
      <c r="N8" t="s">
        <v>50</v>
      </c>
      <c r="P8" t="s">
        <v>51</v>
      </c>
      <c r="Q8" t="s">
        <v>52</v>
      </c>
      <c r="R8">
        <v>18</v>
      </c>
      <c r="T8">
        <v>403</v>
      </c>
      <c r="U8" t="s">
        <v>1052</v>
      </c>
      <c r="V8" s="7">
        <v>129.9900055</v>
      </c>
      <c r="W8" s="7">
        <v>110.80340837177086</v>
      </c>
      <c r="X8">
        <v>1</v>
      </c>
      <c r="Y8" s="7">
        <v>11.69999981</v>
      </c>
      <c r="Z8" s="7">
        <v>129.9900055</v>
      </c>
      <c r="AA8" s="7">
        <f t="shared" si="2"/>
        <v>118.29000569</v>
      </c>
      <c r="AB8" t="s">
        <v>45</v>
      </c>
      <c r="AC8" t="str">
        <f t="shared" si="3"/>
        <v>Non-Cash Payments</v>
      </c>
    </row>
    <row r="9" spans="1:29" x14ac:dyDescent="0.25">
      <c r="A9">
        <v>41304</v>
      </c>
      <c r="B9" s="2">
        <v>42607</v>
      </c>
      <c r="C9">
        <v>2</v>
      </c>
      <c r="D9" s="2">
        <f t="shared" si="0"/>
        <v>42611</v>
      </c>
      <c r="E9">
        <v>1</v>
      </c>
      <c r="F9" t="s">
        <v>23</v>
      </c>
      <c r="G9" t="str">
        <f t="shared" si="1"/>
        <v>Other</v>
      </c>
      <c r="H9">
        <v>18</v>
      </c>
      <c r="I9">
        <v>9316</v>
      </c>
      <c r="J9">
        <v>4</v>
      </c>
      <c r="K9" t="s">
        <v>46</v>
      </c>
      <c r="L9" t="s">
        <v>25</v>
      </c>
      <c r="M9" t="s">
        <v>53</v>
      </c>
      <c r="N9" t="s">
        <v>54</v>
      </c>
      <c r="P9" t="s">
        <v>40</v>
      </c>
      <c r="Q9" t="s">
        <v>41</v>
      </c>
      <c r="R9">
        <v>18</v>
      </c>
      <c r="T9">
        <v>403</v>
      </c>
      <c r="U9" t="s">
        <v>1052</v>
      </c>
      <c r="V9" s="7">
        <v>129.9900055</v>
      </c>
      <c r="W9" s="7">
        <v>110.80340837177086</v>
      </c>
      <c r="X9">
        <v>1</v>
      </c>
      <c r="Y9" s="7">
        <v>13</v>
      </c>
      <c r="Z9" s="7">
        <v>129.9900055</v>
      </c>
      <c r="AA9" s="7">
        <f t="shared" si="2"/>
        <v>116.9900055</v>
      </c>
      <c r="AB9" t="s">
        <v>45</v>
      </c>
      <c r="AC9" t="str">
        <f t="shared" si="3"/>
        <v>Non-Cash Payments</v>
      </c>
    </row>
    <row r="10" spans="1:29" x14ac:dyDescent="0.25">
      <c r="A10">
        <v>45680</v>
      </c>
      <c r="B10" s="2">
        <v>42671</v>
      </c>
      <c r="C10">
        <v>2</v>
      </c>
      <c r="D10" s="2">
        <f t="shared" si="0"/>
        <v>42675</v>
      </c>
      <c r="E10">
        <v>1</v>
      </c>
      <c r="F10" t="s">
        <v>23</v>
      </c>
      <c r="G10" t="str">
        <f t="shared" si="1"/>
        <v>Other</v>
      </c>
      <c r="H10">
        <v>17</v>
      </c>
      <c r="I10">
        <v>6757</v>
      </c>
      <c r="J10">
        <v>4</v>
      </c>
      <c r="K10" t="s">
        <v>46</v>
      </c>
      <c r="L10" t="s">
        <v>25</v>
      </c>
      <c r="M10" t="s">
        <v>47</v>
      </c>
      <c r="N10" t="s">
        <v>47</v>
      </c>
      <c r="P10" t="s">
        <v>48</v>
      </c>
      <c r="Q10" t="s">
        <v>41</v>
      </c>
      <c r="R10">
        <v>17</v>
      </c>
      <c r="T10">
        <v>365</v>
      </c>
      <c r="U10" t="s">
        <v>1054</v>
      </c>
      <c r="V10" s="7">
        <v>59.990001679999999</v>
      </c>
      <c r="W10" s="7">
        <v>54.488929209402009</v>
      </c>
      <c r="X10">
        <v>1</v>
      </c>
      <c r="Y10" s="7">
        <v>10.80000019</v>
      </c>
      <c r="Z10" s="7">
        <v>59.990001679999999</v>
      </c>
      <c r="AA10" s="7">
        <f t="shared" si="2"/>
        <v>49.19000149</v>
      </c>
      <c r="AB10" t="s">
        <v>45</v>
      </c>
      <c r="AC10" t="str">
        <f t="shared" si="3"/>
        <v>Non-Cash Payments</v>
      </c>
    </row>
    <row r="11" spans="1:29" x14ac:dyDescent="0.25">
      <c r="A11">
        <v>44253</v>
      </c>
      <c r="B11" s="2">
        <v>42561</v>
      </c>
      <c r="C11">
        <v>2</v>
      </c>
      <c r="D11" s="2">
        <f t="shared" si="0"/>
        <v>42563</v>
      </c>
      <c r="E11">
        <v>1</v>
      </c>
      <c r="F11" t="s">
        <v>23</v>
      </c>
      <c r="G11" t="str">
        <f t="shared" si="1"/>
        <v>Other</v>
      </c>
      <c r="H11">
        <v>18</v>
      </c>
      <c r="I11">
        <v>11213</v>
      </c>
      <c r="J11">
        <v>4</v>
      </c>
      <c r="K11" t="s">
        <v>46</v>
      </c>
      <c r="L11" t="s">
        <v>25</v>
      </c>
      <c r="M11" t="s">
        <v>55</v>
      </c>
      <c r="N11" t="s">
        <v>56</v>
      </c>
      <c r="P11" t="s">
        <v>57</v>
      </c>
      <c r="Q11" t="s">
        <v>29</v>
      </c>
      <c r="R11">
        <v>18</v>
      </c>
      <c r="T11">
        <v>403</v>
      </c>
      <c r="U11" t="s">
        <v>1052</v>
      </c>
      <c r="V11" s="7">
        <v>129.9900055</v>
      </c>
      <c r="W11" s="7">
        <v>110.80340837177086</v>
      </c>
      <c r="X11">
        <v>1</v>
      </c>
      <c r="Y11" s="7">
        <v>26</v>
      </c>
      <c r="Z11" s="7">
        <v>129.9900055</v>
      </c>
      <c r="AA11" s="7">
        <f t="shared" si="2"/>
        <v>103.9900055</v>
      </c>
      <c r="AB11" t="s">
        <v>45</v>
      </c>
      <c r="AC11" t="str">
        <f t="shared" si="3"/>
        <v>Non-Cash Payments</v>
      </c>
    </row>
    <row r="12" spans="1:29" x14ac:dyDescent="0.25">
      <c r="A12">
        <v>46098</v>
      </c>
      <c r="B12" s="2">
        <v>42440</v>
      </c>
      <c r="C12">
        <v>2</v>
      </c>
      <c r="D12" s="2">
        <f t="shared" si="0"/>
        <v>42444</v>
      </c>
      <c r="E12">
        <v>1</v>
      </c>
      <c r="F12" t="s">
        <v>23</v>
      </c>
      <c r="G12" t="str">
        <f t="shared" si="1"/>
        <v>Other</v>
      </c>
      <c r="H12">
        <v>43</v>
      </c>
      <c r="I12">
        <v>3474</v>
      </c>
      <c r="J12">
        <v>7</v>
      </c>
      <c r="K12" t="s">
        <v>58</v>
      </c>
      <c r="L12" t="s">
        <v>25</v>
      </c>
      <c r="M12" t="s">
        <v>59</v>
      </c>
      <c r="N12" t="s">
        <v>60</v>
      </c>
      <c r="P12" t="s">
        <v>61</v>
      </c>
      <c r="Q12" t="s">
        <v>41</v>
      </c>
      <c r="R12">
        <v>43</v>
      </c>
      <c r="T12">
        <v>957</v>
      </c>
      <c r="U12" t="s">
        <v>1056</v>
      </c>
      <c r="V12" s="7">
        <v>299.98001099999999</v>
      </c>
      <c r="W12" s="7">
        <v>295.0300103351052</v>
      </c>
      <c r="X12">
        <v>1</v>
      </c>
      <c r="Y12" s="7">
        <v>3</v>
      </c>
      <c r="Z12" s="7">
        <v>299.98001099999999</v>
      </c>
      <c r="AA12" s="7">
        <f t="shared" si="2"/>
        <v>296.98001099999999</v>
      </c>
      <c r="AB12" t="s">
        <v>45</v>
      </c>
      <c r="AC12" t="str">
        <f t="shared" si="3"/>
        <v>Non-Cash Payments</v>
      </c>
    </row>
    <row r="13" spans="1:29" x14ac:dyDescent="0.25">
      <c r="A13">
        <v>41304</v>
      </c>
      <c r="B13" s="2">
        <v>42607</v>
      </c>
      <c r="C13">
        <v>2</v>
      </c>
      <c r="D13" s="2">
        <f t="shared" si="0"/>
        <v>42611</v>
      </c>
      <c r="E13">
        <v>1</v>
      </c>
      <c r="F13" t="s">
        <v>23</v>
      </c>
      <c r="G13" t="str">
        <f t="shared" si="1"/>
        <v>Other</v>
      </c>
      <c r="H13">
        <v>43</v>
      </c>
      <c r="I13">
        <v>9316</v>
      </c>
      <c r="J13">
        <v>7</v>
      </c>
      <c r="K13" t="s">
        <v>58</v>
      </c>
      <c r="L13" t="s">
        <v>25</v>
      </c>
      <c r="M13" t="s">
        <v>53</v>
      </c>
      <c r="N13" t="s">
        <v>54</v>
      </c>
      <c r="P13" t="s">
        <v>40</v>
      </c>
      <c r="Q13" t="s">
        <v>41</v>
      </c>
      <c r="R13">
        <v>43</v>
      </c>
      <c r="T13">
        <v>957</v>
      </c>
      <c r="U13" t="s">
        <v>1056</v>
      </c>
      <c r="V13" s="7">
        <v>299.98001099999999</v>
      </c>
      <c r="W13" s="7">
        <v>295.0300103351052</v>
      </c>
      <c r="X13">
        <v>1</v>
      </c>
      <c r="Y13" s="7">
        <v>6</v>
      </c>
      <c r="Z13" s="7">
        <v>299.98001099999999</v>
      </c>
      <c r="AA13" s="7">
        <f t="shared" si="2"/>
        <v>293.98001099999999</v>
      </c>
      <c r="AB13" t="s">
        <v>45</v>
      </c>
      <c r="AC13" t="str">
        <f t="shared" si="3"/>
        <v>Non-Cash Payments</v>
      </c>
    </row>
    <row r="14" spans="1:29" x14ac:dyDescent="0.25">
      <c r="A14">
        <v>42331</v>
      </c>
      <c r="B14" s="2">
        <v>42622</v>
      </c>
      <c r="C14">
        <v>4</v>
      </c>
      <c r="D14" s="2">
        <f t="shared" si="0"/>
        <v>42628</v>
      </c>
      <c r="E14">
        <v>0</v>
      </c>
      <c r="F14" t="s">
        <v>62</v>
      </c>
      <c r="G14" t="str">
        <f t="shared" si="1"/>
        <v>Other</v>
      </c>
      <c r="H14">
        <v>17</v>
      </c>
      <c r="I14">
        <v>6246</v>
      </c>
      <c r="J14">
        <v>4</v>
      </c>
      <c r="K14" t="s">
        <v>46</v>
      </c>
      <c r="L14" t="s">
        <v>25</v>
      </c>
      <c r="M14" t="s">
        <v>63</v>
      </c>
      <c r="N14" t="s">
        <v>64</v>
      </c>
      <c r="P14" t="s">
        <v>65</v>
      </c>
      <c r="Q14" t="s">
        <v>52</v>
      </c>
      <c r="R14">
        <v>17</v>
      </c>
      <c r="T14">
        <v>365</v>
      </c>
      <c r="U14" t="s">
        <v>1054</v>
      </c>
      <c r="V14" s="7">
        <v>59.990001679999999</v>
      </c>
      <c r="W14" s="7">
        <v>54.488929209402009</v>
      </c>
      <c r="X14">
        <v>4</v>
      </c>
      <c r="Y14" s="7">
        <v>12</v>
      </c>
      <c r="Z14" s="7">
        <v>239.96000672</v>
      </c>
      <c r="AA14" s="7">
        <f t="shared" si="2"/>
        <v>227.96000672</v>
      </c>
      <c r="AB14" t="s">
        <v>66</v>
      </c>
      <c r="AC14" t="str">
        <f t="shared" si="3"/>
        <v>Non-Cash Payments</v>
      </c>
    </row>
    <row r="15" spans="1:29" x14ac:dyDescent="0.25">
      <c r="A15">
        <v>41345</v>
      </c>
      <c r="B15" s="2">
        <v>42608</v>
      </c>
      <c r="C15">
        <v>4</v>
      </c>
      <c r="D15" s="2">
        <f t="shared" si="0"/>
        <v>42614</v>
      </c>
      <c r="E15">
        <v>0</v>
      </c>
      <c r="F15" t="s">
        <v>62</v>
      </c>
      <c r="G15" t="str">
        <f t="shared" si="1"/>
        <v>Other</v>
      </c>
      <c r="H15">
        <v>17</v>
      </c>
      <c r="I15">
        <v>8741</v>
      </c>
      <c r="J15">
        <v>4</v>
      </c>
      <c r="K15" t="s">
        <v>46</v>
      </c>
      <c r="L15" t="s">
        <v>25</v>
      </c>
      <c r="M15" t="s">
        <v>67</v>
      </c>
      <c r="N15" t="s">
        <v>67</v>
      </c>
      <c r="P15" t="s">
        <v>68</v>
      </c>
      <c r="Q15" t="s">
        <v>41</v>
      </c>
      <c r="R15">
        <v>17</v>
      </c>
      <c r="T15">
        <v>365</v>
      </c>
      <c r="U15" t="s">
        <v>1054</v>
      </c>
      <c r="V15" s="7">
        <v>59.990001679999999</v>
      </c>
      <c r="W15" s="7">
        <v>54.488929209402009</v>
      </c>
      <c r="X15">
        <v>4</v>
      </c>
      <c r="Y15" s="7">
        <v>35.990001679999999</v>
      </c>
      <c r="Z15" s="7">
        <v>239.96000672</v>
      </c>
      <c r="AA15" s="7">
        <f t="shared" si="2"/>
        <v>203.97000503999999</v>
      </c>
      <c r="AB15" t="s">
        <v>66</v>
      </c>
      <c r="AC15" t="str">
        <f t="shared" si="3"/>
        <v>Non-Cash Payments</v>
      </c>
    </row>
    <row r="16" spans="1:29" x14ac:dyDescent="0.25">
      <c r="A16">
        <v>51168</v>
      </c>
      <c r="B16" s="2">
        <v>42751</v>
      </c>
      <c r="C16">
        <v>4</v>
      </c>
      <c r="D16" s="2">
        <f t="shared" si="0"/>
        <v>42755</v>
      </c>
      <c r="E16">
        <v>0</v>
      </c>
      <c r="F16" t="s">
        <v>62</v>
      </c>
      <c r="G16" t="str">
        <f t="shared" si="1"/>
        <v>Other</v>
      </c>
      <c r="H16">
        <v>24</v>
      </c>
      <c r="I16">
        <v>8050</v>
      </c>
      <c r="J16">
        <v>5</v>
      </c>
      <c r="K16" t="s">
        <v>31</v>
      </c>
      <c r="L16" t="s">
        <v>25</v>
      </c>
      <c r="M16" t="s">
        <v>69</v>
      </c>
      <c r="N16" t="s">
        <v>70</v>
      </c>
      <c r="P16" t="s">
        <v>71</v>
      </c>
      <c r="Q16" t="s">
        <v>29</v>
      </c>
      <c r="R16">
        <v>24</v>
      </c>
      <c r="T16">
        <v>502</v>
      </c>
      <c r="U16" t="s">
        <v>1058</v>
      </c>
      <c r="V16" s="7">
        <v>50</v>
      </c>
      <c r="W16" s="7">
        <v>43.678035218757444</v>
      </c>
      <c r="X16">
        <v>4</v>
      </c>
      <c r="Y16" s="7">
        <v>0</v>
      </c>
      <c r="Z16" s="7">
        <v>200</v>
      </c>
      <c r="AA16" s="7">
        <f t="shared" si="2"/>
        <v>200</v>
      </c>
      <c r="AB16" t="s">
        <v>66</v>
      </c>
      <c r="AC16" t="str">
        <f t="shared" si="3"/>
        <v>Non-Cash Payments</v>
      </c>
    </row>
    <row r="17" spans="1:29" x14ac:dyDescent="0.25">
      <c r="A17">
        <v>51168</v>
      </c>
      <c r="B17" s="2">
        <v>42751</v>
      </c>
      <c r="C17">
        <v>4</v>
      </c>
      <c r="D17" s="2">
        <f t="shared" si="0"/>
        <v>42755</v>
      </c>
      <c r="E17">
        <v>0</v>
      </c>
      <c r="F17" t="s">
        <v>62</v>
      </c>
      <c r="G17" t="str">
        <f t="shared" si="1"/>
        <v>Other</v>
      </c>
      <c r="H17">
        <v>29</v>
      </c>
      <c r="I17">
        <v>8050</v>
      </c>
      <c r="J17">
        <v>5</v>
      </c>
      <c r="K17" t="s">
        <v>31</v>
      </c>
      <c r="L17" t="s">
        <v>25</v>
      </c>
      <c r="M17" t="s">
        <v>69</v>
      </c>
      <c r="N17" t="s">
        <v>70</v>
      </c>
      <c r="P17" t="s">
        <v>71</v>
      </c>
      <c r="Q17" t="s">
        <v>29</v>
      </c>
      <c r="R17">
        <v>29</v>
      </c>
      <c r="T17">
        <v>627</v>
      </c>
      <c r="U17" t="s">
        <v>1046</v>
      </c>
      <c r="V17" s="7">
        <v>39.990001679999999</v>
      </c>
      <c r="W17" s="7">
        <v>34.198098313835338</v>
      </c>
      <c r="X17">
        <v>4</v>
      </c>
      <c r="Y17" s="7">
        <v>3.2000000480000002</v>
      </c>
      <c r="Z17" s="7">
        <v>159.96000672</v>
      </c>
      <c r="AA17" s="7">
        <f t="shared" si="2"/>
        <v>156.760006672</v>
      </c>
      <c r="AB17" t="s">
        <v>66</v>
      </c>
      <c r="AC17" t="str">
        <f t="shared" si="3"/>
        <v>Non-Cash Payments</v>
      </c>
    </row>
    <row r="18" spans="1:29" x14ac:dyDescent="0.25">
      <c r="A18">
        <v>43599</v>
      </c>
      <c r="B18" s="2">
        <v>42641</v>
      </c>
      <c r="C18">
        <v>4</v>
      </c>
      <c r="D18" s="2">
        <f t="shared" si="0"/>
        <v>42647</v>
      </c>
      <c r="E18">
        <v>0</v>
      </c>
      <c r="F18" t="s">
        <v>62</v>
      </c>
      <c r="G18" t="str">
        <f t="shared" si="1"/>
        <v>Other</v>
      </c>
      <c r="H18">
        <v>24</v>
      </c>
      <c r="I18">
        <v>5474</v>
      </c>
      <c r="J18">
        <v>5</v>
      </c>
      <c r="K18" t="s">
        <v>31</v>
      </c>
      <c r="L18" t="s">
        <v>25</v>
      </c>
      <c r="M18" t="s">
        <v>47</v>
      </c>
      <c r="N18" t="s">
        <v>47</v>
      </c>
      <c r="P18" t="s">
        <v>48</v>
      </c>
      <c r="Q18" t="s">
        <v>41</v>
      </c>
      <c r="R18">
        <v>24</v>
      </c>
      <c r="T18">
        <v>502</v>
      </c>
      <c r="U18" t="s">
        <v>1058</v>
      </c>
      <c r="V18" s="7">
        <v>50</v>
      </c>
      <c r="W18" s="7">
        <v>43.678035218757444</v>
      </c>
      <c r="X18">
        <v>4</v>
      </c>
      <c r="Y18" s="7">
        <v>11</v>
      </c>
      <c r="Z18" s="7">
        <v>200</v>
      </c>
      <c r="AA18" s="7">
        <f t="shared" si="2"/>
        <v>189</v>
      </c>
      <c r="AB18" t="s">
        <v>66</v>
      </c>
      <c r="AC18" t="str">
        <f t="shared" si="3"/>
        <v>Non-Cash Payments</v>
      </c>
    </row>
    <row r="19" spans="1:29" x14ac:dyDescent="0.25">
      <c r="A19">
        <v>41901</v>
      </c>
      <c r="B19" s="2">
        <v>42438</v>
      </c>
      <c r="C19">
        <v>4</v>
      </c>
      <c r="D19" s="2">
        <f t="shared" si="0"/>
        <v>42444</v>
      </c>
      <c r="E19">
        <v>0</v>
      </c>
      <c r="F19" t="s">
        <v>62</v>
      </c>
      <c r="G19" t="str">
        <f t="shared" si="1"/>
        <v>Other</v>
      </c>
      <c r="H19">
        <v>40</v>
      </c>
      <c r="I19">
        <v>474</v>
      </c>
      <c r="J19">
        <v>6</v>
      </c>
      <c r="K19" t="s">
        <v>35</v>
      </c>
      <c r="L19" t="s">
        <v>25</v>
      </c>
      <c r="M19" t="s">
        <v>72</v>
      </c>
      <c r="N19" t="s">
        <v>73</v>
      </c>
      <c r="P19" t="s">
        <v>57</v>
      </c>
      <c r="Q19" t="s">
        <v>29</v>
      </c>
      <c r="R19">
        <v>40</v>
      </c>
      <c r="T19">
        <v>905</v>
      </c>
      <c r="U19" t="s">
        <v>1060</v>
      </c>
      <c r="V19" s="7">
        <v>24.989999770000001</v>
      </c>
      <c r="W19" s="7">
        <v>20.52742837007143</v>
      </c>
      <c r="X19">
        <v>4</v>
      </c>
      <c r="Y19" s="7">
        <v>19.989999770000001</v>
      </c>
      <c r="Z19" s="7">
        <v>99.959999080000003</v>
      </c>
      <c r="AA19" s="7">
        <f t="shared" si="2"/>
        <v>79.969999310000006</v>
      </c>
      <c r="AB19" t="s">
        <v>66</v>
      </c>
      <c r="AC19" t="str">
        <f t="shared" si="3"/>
        <v>Non-Cash Payments</v>
      </c>
    </row>
    <row r="20" spans="1:29" x14ac:dyDescent="0.25">
      <c r="A20">
        <v>42751</v>
      </c>
      <c r="B20" s="2">
        <v>42629</v>
      </c>
      <c r="C20">
        <v>4</v>
      </c>
      <c r="D20" s="2">
        <f t="shared" si="0"/>
        <v>42635</v>
      </c>
      <c r="E20">
        <v>0</v>
      </c>
      <c r="F20" t="s">
        <v>62</v>
      </c>
      <c r="G20" t="str">
        <f t="shared" si="1"/>
        <v>Other</v>
      </c>
      <c r="H20">
        <v>9</v>
      </c>
      <c r="I20">
        <v>12255</v>
      </c>
      <c r="J20">
        <v>3</v>
      </c>
      <c r="K20" t="s">
        <v>24</v>
      </c>
      <c r="L20" t="s">
        <v>25</v>
      </c>
      <c r="M20" t="s">
        <v>74</v>
      </c>
      <c r="N20" t="s">
        <v>75</v>
      </c>
      <c r="P20" t="s">
        <v>76</v>
      </c>
      <c r="Q20" t="s">
        <v>52</v>
      </c>
      <c r="R20">
        <v>9</v>
      </c>
      <c r="T20">
        <v>191</v>
      </c>
      <c r="U20" t="s">
        <v>1044</v>
      </c>
      <c r="V20" s="7">
        <v>99.989997860000003</v>
      </c>
      <c r="W20" s="7">
        <v>95.114003926871064</v>
      </c>
      <c r="X20">
        <v>4</v>
      </c>
      <c r="Y20" s="7">
        <v>36</v>
      </c>
      <c r="Z20" s="7">
        <v>399.95999144000001</v>
      </c>
      <c r="AA20" s="7">
        <f t="shared" si="2"/>
        <v>363.95999144000001</v>
      </c>
      <c r="AB20" t="s">
        <v>66</v>
      </c>
      <c r="AC20" t="str">
        <f t="shared" si="3"/>
        <v>Non-Cash Payments</v>
      </c>
    </row>
    <row r="21" spans="1:29" x14ac:dyDescent="0.25">
      <c r="A21">
        <v>45088</v>
      </c>
      <c r="B21" s="2">
        <v>42663</v>
      </c>
      <c r="C21">
        <v>4</v>
      </c>
      <c r="D21" s="2">
        <f t="shared" si="0"/>
        <v>42669</v>
      </c>
      <c r="E21">
        <v>0</v>
      </c>
      <c r="F21" t="s">
        <v>62</v>
      </c>
      <c r="G21" t="str">
        <f t="shared" si="1"/>
        <v>Other</v>
      </c>
      <c r="H21">
        <v>17</v>
      </c>
      <c r="I21">
        <v>10288</v>
      </c>
      <c r="J21">
        <v>4</v>
      </c>
      <c r="K21" t="s">
        <v>46</v>
      </c>
      <c r="L21" t="s">
        <v>25</v>
      </c>
      <c r="M21" t="s">
        <v>77</v>
      </c>
      <c r="N21" t="s">
        <v>78</v>
      </c>
      <c r="P21" t="s">
        <v>40</v>
      </c>
      <c r="Q21" t="s">
        <v>41</v>
      </c>
      <c r="R21">
        <v>17</v>
      </c>
      <c r="T21">
        <v>365</v>
      </c>
      <c r="U21" t="s">
        <v>1054</v>
      </c>
      <c r="V21" s="7">
        <v>59.990001679999999</v>
      </c>
      <c r="W21" s="7">
        <v>54.488929209402009</v>
      </c>
      <c r="X21">
        <v>4</v>
      </c>
      <c r="Y21" s="7">
        <v>0</v>
      </c>
      <c r="Z21" s="7">
        <v>239.96000672</v>
      </c>
      <c r="AA21" s="7">
        <f t="shared" si="2"/>
        <v>239.96000672</v>
      </c>
      <c r="AB21" t="s">
        <v>66</v>
      </c>
      <c r="AC21" t="str">
        <f t="shared" si="3"/>
        <v>Non-Cash Payments</v>
      </c>
    </row>
    <row r="22" spans="1:29" x14ac:dyDescent="0.25">
      <c r="A22">
        <v>50489</v>
      </c>
      <c r="B22" s="2">
        <v>42917</v>
      </c>
      <c r="C22">
        <v>4</v>
      </c>
      <c r="D22" s="2">
        <f t="shared" si="0"/>
        <v>42922</v>
      </c>
      <c r="E22">
        <v>1</v>
      </c>
      <c r="F22" t="s">
        <v>62</v>
      </c>
      <c r="G22" t="str">
        <f t="shared" si="1"/>
        <v>Other</v>
      </c>
      <c r="H22">
        <v>17</v>
      </c>
      <c r="I22">
        <v>4717</v>
      </c>
      <c r="J22">
        <v>4</v>
      </c>
      <c r="K22" t="s">
        <v>46</v>
      </c>
      <c r="L22" t="s">
        <v>25</v>
      </c>
      <c r="M22" t="s">
        <v>79</v>
      </c>
      <c r="N22" t="s">
        <v>79</v>
      </c>
      <c r="P22" t="s">
        <v>61</v>
      </c>
      <c r="Q22" t="s">
        <v>41</v>
      </c>
      <c r="R22">
        <v>17</v>
      </c>
      <c r="T22">
        <v>365</v>
      </c>
      <c r="U22" t="s">
        <v>1054</v>
      </c>
      <c r="V22" s="7">
        <v>59.990001679999999</v>
      </c>
      <c r="W22" s="7">
        <v>54.488929209402009</v>
      </c>
      <c r="X22">
        <v>4</v>
      </c>
      <c r="Y22" s="7">
        <v>9.6000003809999992</v>
      </c>
      <c r="Z22" s="7">
        <v>239.96000672</v>
      </c>
      <c r="AA22" s="7">
        <f t="shared" si="2"/>
        <v>230.36000633899999</v>
      </c>
      <c r="AB22" t="s">
        <v>66</v>
      </c>
      <c r="AC22" t="str">
        <f t="shared" si="3"/>
        <v>Non-Cash Payments</v>
      </c>
    </row>
    <row r="23" spans="1:29" x14ac:dyDescent="0.25">
      <c r="A23">
        <v>44409</v>
      </c>
      <c r="B23" s="2">
        <v>42653</v>
      </c>
      <c r="C23">
        <v>4</v>
      </c>
      <c r="D23" s="2">
        <f t="shared" si="0"/>
        <v>42657</v>
      </c>
      <c r="E23">
        <v>1</v>
      </c>
      <c r="F23" t="s">
        <v>62</v>
      </c>
      <c r="G23" t="str">
        <f t="shared" si="1"/>
        <v>Other</v>
      </c>
      <c r="H23">
        <v>17</v>
      </c>
      <c r="I23">
        <v>4799</v>
      </c>
      <c r="J23">
        <v>4</v>
      </c>
      <c r="K23" t="s">
        <v>46</v>
      </c>
      <c r="L23" t="s">
        <v>25</v>
      </c>
      <c r="M23" t="s">
        <v>36</v>
      </c>
      <c r="N23" t="s">
        <v>36</v>
      </c>
      <c r="P23" t="s">
        <v>37</v>
      </c>
      <c r="Q23" t="s">
        <v>29</v>
      </c>
      <c r="R23">
        <v>17</v>
      </c>
      <c r="T23">
        <v>365</v>
      </c>
      <c r="U23" t="s">
        <v>1054</v>
      </c>
      <c r="V23" s="7">
        <v>59.990001679999999</v>
      </c>
      <c r="W23" s="7">
        <v>54.488929209402009</v>
      </c>
      <c r="X23">
        <v>4</v>
      </c>
      <c r="Y23" s="7">
        <v>12</v>
      </c>
      <c r="Z23" s="7">
        <v>239.96000672</v>
      </c>
      <c r="AA23" s="7">
        <f t="shared" si="2"/>
        <v>227.96000672</v>
      </c>
      <c r="AB23" t="s">
        <v>66</v>
      </c>
      <c r="AC23" t="str">
        <f t="shared" si="3"/>
        <v>Non-Cash Payments</v>
      </c>
    </row>
    <row r="24" spans="1:29" x14ac:dyDescent="0.25">
      <c r="A24">
        <v>42101</v>
      </c>
      <c r="B24" s="2">
        <v>42530</v>
      </c>
      <c r="C24">
        <v>4</v>
      </c>
      <c r="D24" s="2">
        <f t="shared" si="0"/>
        <v>42536</v>
      </c>
      <c r="E24">
        <v>0</v>
      </c>
      <c r="F24" t="s">
        <v>62</v>
      </c>
      <c r="G24" t="str">
        <f t="shared" si="1"/>
        <v>Other</v>
      </c>
      <c r="H24">
        <v>17</v>
      </c>
      <c r="I24">
        <v>4533</v>
      </c>
      <c r="J24">
        <v>4</v>
      </c>
      <c r="K24" t="s">
        <v>46</v>
      </c>
      <c r="L24" t="s">
        <v>25</v>
      </c>
      <c r="M24" t="s">
        <v>80</v>
      </c>
      <c r="N24" t="s">
        <v>81</v>
      </c>
      <c r="P24" t="s">
        <v>61</v>
      </c>
      <c r="Q24" t="s">
        <v>41</v>
      </c>
      <c r="R24">
        <v>17</v>
      </c>
      <c r="T24">
        <v>365</v>
      </c>
      <c r="U24" t="s">
        <v>1054</v>
      </c>
      <c r="V24" s="7">
        <v>59.990001679999999</v>
      </c>
      <c r="W24" s="7">
        <v>54.488929209402009</v>
      </c>
      <c r="X24">
        <v>4</v>
      </c>
      <c r="Y24" s="7">
        <v>13.19999981</v>
      </c>
      <c r="Z24" s="7">
        <v>239.96000672</v>
      </c>
      <c r="AA24" s="7">
        <f t="shared" si="2"/>
        <v>226.76000690999999</v>
      </c>
      <c r="AB24" t="s">
        <v>66</v>
      </c>
      <c r="AC24" t="str">
        <f t="shared" si="3"/>
        <v>Non-Cash Payments</v>
      </c>
    </row>
    <row r="25" spans="1:29" x14ac:dyDescent="0.25">
      <c r="A25">
        <v>50424</v>
      </c>
      <c r="B25" s="2">
        <v>42887</v>
      </c>
      <c r="C25">
        <v>4</v>
      </c>
      <c r="D25" s="2">
        <f t="shared" si="0"/>
        <v>42893</v>
      </c>
      <c r="E25">
        <v>1</v>
      </c>
      <c r="F25" t="s">
        <v>62</v>
      </c>
      <c r="G25" t="str">
        <f t="shared" si="1"/>
        <v>Other</v>
      </c>
      <c r="H25">
        <v>17</v>
      </c>
      <c r="I25">
        <v>12383</v>
      </c>
      <c r="J25">
        <v>4</v>
      </c>
      <c r="K25" t="s">
        <v>46</v>
      </c>
      <c r="L25" t="s">
        <v>25</v>
      </c>
      <c r="M25" t="s">
        <v>53</v>
      </c>
      <c r="N25" t="s">
        <v>54</v>
      </c>
      <c r="P25" t="s">
        <v>40</v>
      </c>
      <c r="Q25" t="s">
        <v>41</v>
      </c>
      <c r="R25">
        <v>17</v>
      </c>
      <c r="T25">
        <v>365</v>
      </c>
      <c r="U25" t="s">
        <v>1054</v>
      </c>
      <c r="V25" s="7">
        <v>59.990001679999999</v>
      </c>
      <c r="W25" s="7">
        <v>54.488929209402009</v>
      </c>
      <c r="X25">
        <v>4</v>
      </c>
      <c r="Y25" s="7">
        <v>31.190000529999999</v>
      </c>
      <c r="Z25" s="7">
        <v>239.96000672</v>
      </c>
      <c r="AA25" s="7">
        <f t="shared" si="2"/>
        <v>208.77000619</v>
      </c>
      <c r="AB25" t="s">
        <v>66</v>
      </c>
      <c r="AC25" t="str">
        <f t="shared" si="3"/>
        <v>Non-Cash Payments</v>
      </c>
    </row>
    <row r="26" spans="1:29" x14ac:dyDescent="0.25">
      <c r="A26">
        <v>49825</v>
      </c>
      <c r="B26" s="2">
        <v>42732</v>
      </c>
      <c r="C26">
        <v>4</v>
      </c>
      <c r="D26" s="2">
        <f t="shared" si="0"/>
        <v>42738</v>
      </c>
      <c r="E26">
        <v>1</v>
      </c>
      <c r="F26" t="s">
        <v>62</v>
      </c>
      <c r="G26" t="str">
        <f t="shared" si="1"/>
        <v>Other</v>
      </c>
      <c r="H26">
        <v>24</v>
      </c>
      <c r="I26">
        <v>3518</v>
      </c>
      <c r="J26">
        <v>5</v>
      </c>
      <c r="K26" t="s">
        <v>31</v>
      </c>
      <c r="L26" t="s">
        <v>25</v>
      </c>
      <c r="M26" t="s">
        <v>55</v>
      </c>
      <c r="N26" t="s">
        <v>56</v>
      </c>
      <c r="P26" t="s">
        <v>57</v>
      </c>
      <c r="Q26" t="s">
        <v>29</v>
      </c>
      <c r="R26">
        <v>24</v>
      </c>
      <c r="T26">
        <v>502</v>
      </c>
      <c r="U26" t="s">
        <v>1058</v>
      </c>
      <c r="V26" s="7">
        <v>50</v>
      </c>
      <c r="W26" s="7">
        <v>43.678035218757444</v>
      </c>
      <c r="X26">
        <v>4</v>
      </c>
      <c r="Y26" s="7">
        <v>0</v>
      </c>
      <c r="Z26" s="7">
        <v>200</v>
      </c>
      <c r="AA26" s="7">
        <f t="shared" si="2"/>
        <v>200</v>
      </c>
      <c r="AB26" t="s">
        <v>66</v>
      </c>
      <c r="AC26" t="str">
        <f t="shared" si="3"/>
        <v>Non-Cash Payments</v>
      </c>
    </row>
    <row r="27" spans="1:29" x14ac:dyDescent="0.25">
      <c r="A27">
        <v>41294</v>
      </c>
      <c r="B27" s="2">
        <v>42607</v>
      </c>
      <c r="C27">
        <v>4</v>
      </c>
      <c r="D27" s="2">
        <f t="shared" si="0"/>
        <v>42613</v>
      </c>
      <c r="E27">
        <v>1</v>
      </c>
      <c r="F27" t="s">
        <v>62</v>
      </c>
      <c r="G27" t="str">
        <f t="shared" si="1"/>
        <v>Other</v>
      </c>
      <c r="H27">
        <v>24</v>
      </c>
      <c r="I27">
        <v>4674</v>
      </c>
      <c r="J27">
        <v>5</v>
      </c>
      <c r="K27" t="s">
        <v>31</v>
      </c>
      <c r="L27" t="s">
        <v>25</v>
      </c>
      <c r="M27" t="s">
        <v>80</v>
      </c>
      <c r="N27" t="s">
        <v>81</v>
      </c>
      <c r="P27" t="s">
        <v>61</v>
      </c>
      <c r="Q27" t="s">
        <v>41</v>
      </c>
      <c r="R27">
        <v>24</v>
      </c>
      <c r="T27">
        <v>502</v>
      </c>
      <c r="U27" t="s">
        <v>1058</v>
      </c>
      <c r="V27" s="7">
        <v>50</v>
      </c>
      <c r="W27" s="7">
        <v>43.678035218757444</v>
      </c>
      <c r="X27">
        <v>4</v>
      </c>
      <c r="Y27" s="7">
        <v>2</v>
      </c>
      <c r="Z27" s="7">
        <v>200</v>
      </c>
      <c r="AA27" s="7">
        <f t="shared" si="2"/>
        <v>198</v>
      </c>
      <c r="AB27" t="s">
        <v>66</v>
      </c>
      <c r="AC27" t="str">
        <f t="shared" si="3"/>
        <v>Non-Cash Payments</v>
      </c>
    </row>
    <row r="28" spans="1:29" x14ac:dyDescent="0.25">
      <c r="A28">
        <v>42023</v>
      </c>
      <c r="B28" s="2">
        <v>42499</v>
      </c>
      <c r="C28">
        <v>4</v>
      </c>
      <c r="D28" s="2">
        <f t="shared" si="0"/>
        <v>42503</v>
      </c>
      <c r="E28">
        <v>0</v>
      </c>
      <c r="F28" t="s">
        <v>62</v>
      </c>
      <c r="G28" t="str">
        <f t="shared" si="1"/>
        <v>Other</v>
      </c>
      <c r="H28">
        <v>29</v>
      </c>
      <c r="I28">
        <v>8519</v>
      </c>
      <c r="J28">
        <v>5</v>
      </c>
      <c r="K28" t="s">
        <v>31</v>
      </c>
      <c r="L28" t="s">
        <v>25</v>
      </c>
      <c r="M28" t="s">
        <v>82</v>
      </c>
      <c r="N28" t="s">
        <v>82</v>
      </c>
      <c r="P28" t="s">
        <v>83</v>
      </c>
      <c r="Q28" t="s">
        <v>29</v>
      </c>
      <c r="R28">
        <v>29</v>
      </c>
      <c r="T28">
        <v>627</v>
      </c>
      <c r="U28" t="s">
        <v>1046</v>
      </c>
      <c r="V28" s="7">
        <v>39.990001679999999</v>
      </c>
      <c r="W28" s="7">
        <v>34.198098313835338</v>
      </c>
      <c r="X28">
        <v>4</v>
      </c>
      <c r="Y28" s="7">
        <v>4.8000001909999996</v>
      </c>
      <c r="Z28" s="7">
        <v>159.96000672</v>
      </c>
      <c r="AA28" s="7">
        <f t="shared" si="2"/>
        <v>155.16000652899999</v>
      </c>
      <c r="AB28" t="s">
        <v>66</v>
      </c>
      <c r="AC28" t="str">
        <f t="shared" si="3"/>
        <v>Non-Cash Payments</v>
      </c>
    </row>
    <row r="29" spans="1:29" x14ac:dyDescent="0.25">
      <c r="A29">
        <v>47774</v>
      </c>
      <c r="B29" s="2">
        <v>42702</v>
      </c>
      <c r="C29">
        <v>4</v>
      </c>
      <c r="D29" s="2">
        <f t="shared" si="0"/>
        <v>42706</v>
      </c>
      <c r="E29">
        <v>1</v>
      </c>
      <c r="F29" t="s">
        <v>62</v>
      </c>
      <c r="G29" t="str">
        <f t="shared" si="1"/>
        <v>Other</v>
      </c>
      <c r="H29">
        <v>29</v>
      </c>
      <c r="I29">
        <v>5302</v>
      </c>
      <c r="J29">
        <v>5</v>
      </c>
      <c r="K29" t="s">
        <v>31</v>
      </c>
      <c r="L29" t="s">
        <v>25</v>
      </c>
      <c r="M29" t="s">
        <v>84</v>
      </c>
      <c r="N29" t="s">
        <v>85</v>
      </c>
      <c r="P29" t="s">
        <v>40</v>
      </c>
      <c r="Q29" t="s">
        <v>41</v>
      </c>
      <c r="R29">
        <v>29</v>
      </c>
      <c r="T29">
        <v>627</v>
      </c>
      <c r="U29" t="s">
        <v>1046</v>
      </c>
      <c r="V29" s="7">
        <v>39.990001679999999</v>
      </c>
      <c r="W29" s="7">
        <v>34.198098313835338</v>
      </c>
      <c r="X29">
        <v>4</v>
      </c>
      <c r="Y29" s="7">
        <v>8.8000001910000005</v>
      </c>
      <c r="Z29" s="7">
        <v>159.96000672</v>
      </c>
      <c r="AA29" s="7">
        <f t="shared" si="2"/>
        <v>151.16000652899999</v>
      </c>
      <c r="AB29" t="s">
        <v>66</v>
      </c>
      <c r="AC29" t="str">
        <f t="shared" si="3"/>
        <v>Non-Cash Payments</v>
      </c>
    </row>
    <row r="30" spans="1:29" x14ac:dyDescent="0.25">
      <c r="A30">
        <v>41827</v>
      </c>
      <c r="B30" s="2">
        <v>42409</v>
      </c>
      <c r="C30">
        <v>4</v>
      </c>
      <c r="D30" s="2">
        <f t="shared" si="0"/>
        <v>42415</v>
      </c>
      <c r="E30">
        <v>0</v>
      </c>
      <c r="F30" t="s">
        <v>62</v>
      </c>
      <c r="G30" t="str">
        <f t="shared" si="1"/>
        <v>Other</v>
      </c>
      <c r="H30">
        <v>26</v>
      </c>
      <c r="I30">
        <v>3594</v>
      </c>
      <c r="J30">
        <v>5</v>
      </c>
      <c r="K30" t="s">
        <v>31</v>
      </c>
      <c r="L30" t="s">
        <v>25</v>
      </c>
      <c r="M30" t="s">
        <v>86</v>
      </c>
      <c r="N30" t="s">
        <v>87</v>
      </c>
      <c r="P30" t="s">
        <v>88</v>
      </c>
      <c r="Q30" t="s">
        <v>89</v>
      </c>
      <c r="R30">
        <v>26</v>
      </c>
      <c r="T30">
        <v>564</v>
      </c>
      <c r="U30" t="s">
        <v>1062</v>
      </c>
      <c r="V30" s="7">
        <v>30</v>
      </c>
      <c r="W30" s="7">
        <v>45.158749390000004</v>
      </c>
      <c r="X30">
        <v>4</v>
      </c>
      <c r="Y30" s="7">
        <v>8.3999996190000008</v>
      </c>
      <c r="Z30" s="7">
        <v>120</v>
      </c>
      <c r="AA30" s="7">
        <f t="shared" si="2"/>
        <v>111.600000381</v>
      </c>
      <c r="AB30" t="s">
        <v>66</v>
      </c>
      <c r="AC30" t="str">
        <f t="shared" si="3"/>
        <v>Non-Cash Payments</v>
      </c>
    </row>
    <row r="31" spans="1:29" x14ac:dyDescent="0.25">
      <c r="A31">
        <v>47193</v>
      </c>
      <c r="B31" s="2">
        <v>42693</v>
      </c>
      <c r="C31">
        <v>4</v>
      </c>
      <c r="D31" s="2">
        <f t="shared" si="0"/>
        <v>42698</v>
      </c>
      <c r="E31">
        <v>0</v>
      </c>
      <c r="F31" t="s">
        <v>62</v>
      </c>
      <c r="G31" t="str">
        <f t="shared" si="1"/>
        <v>Other</v>
      </c>
      <c r="H31">
        <v>24</v>
      </c>
      <c r="I31">
        <v>9890</v>
      </c>
      <c r="J31">
        <v>5</v>
      </c>
      <c r="K31" t="s">
        <v>31</v>
      </c>
      <c r="L31" t="s">
        <v>25</v>
      </c>
      <c r="M31" t="s">
        <v>90</v>
      </c>
      <c r="N31" t="s">
        <v>91</v>
      </c>
      <c r="P31" t="s">
        <v>40</v>
      </c>
      <c r="Q31" t="s">
        <v>41</v>
      </c>
      <c r="R31">
        <v>24</v>
      </c>
      <c r="T31">
        <v>502</v>
      </c>
      <c r="U31" t="s">
        <v>1058</v>
      </c>
      <c r="V31" s="7">
        <v>50</v>
      </c>
      <c r="W31" s="7">
        <v>43.678035218757444</v>
      </c>
      <c r="X31">
        <v>4</v>
      </c>
      <c r="Y31" s="7">
        <v>30</v>
      </c>
      <c r="Z31" s="7">
        <v>200</v>
      </c>
      <c r="AA31" s="7">
        <f t="shared" si="2"/>
        <v>170</v>
      </c>
      <c r="AB31" t="s">
        <v>66</v>
      </c>
      <c r="AC31" t="str">
        <f t="shared" si="3"/>
        <v>Non-Cash Payments</v>
      </c>
    </row>
    <row r="32" spans="1:29" x14ac:dyDescent="0.25">
      <c r="A32">
        <v>42626</v>
      </c>
      <c r="B32" s="2">
        <v>42627</v>
      </c>
      <c r="C32">
        <v>4</v>
      </c>
      <c r="D32" s="2">
        <f t="shared" si="0"/>
        <v>42633</v>
      </c>
      <c r="E32">
        <v>0</v>
      </c>
      <c r="F32" t="s">
        <v>62</v>
      </c>
      <c r="G32" t="str">
        <f t="shared" si="1"/>
        <v>Other</v>
      </c>
      <c r="H32">
        <v>24</v>
      </c>
      <c r="I32">
        <v>1410</v>
      </c>
      <c r="J32">
        <v>5</v>
      </c>
      <c r="K32" t="s">
        <v>31</v>
      </c>
      <c r="L32" t="s">
        <v>25</v>
      </c>
      <c r="M32" t="s">
        <v>92</v>
      </c>
      <c r="N32" t="s">
        <v>81</v>
      </c>
      <c r="P32" t="s">
        <v>48</v>
      </c>
      <c r="Q32" t="s">
        <v>41</v>
      </c>
      <c r="R32">
        <v>24</v>
      </c>
      <c r="T32">
        <v>502</v>
      </c>
      <c r="U32" t="s">
        <v>1058</v>
      </c>
      <c r="V32" s="7">
        <v>50</v>
      </c>
      <c r="W32" s="7">
        <v>43.678035218757444</v>
      </c>
      <c r="X32">
        <v>4</v>
      </c>
      <c r="Y32" s="7">
        <v>40</v>
      </c>
      <c r="Z32" s="7">
        <v>200</v>
      </c>
      <c r="AA32" s="7">
        <f t="shared" si="2"/>
        <v>160</v>
      </c>
      <c r="AB32" t="s">
        <v>66</v>
      </c>
      <c r="AC32" t="str">
        <f t="shared" si="3"/>
        <v>Non-Cash Payments</v>
      </c>
    </row>
    <row r="33" spans="1:29" x14ac:dyDescent="0.25">
      <c r="A33">
        <v>46199</v>
      </c>
      <c r="B33" s="2">
        <v>42501</v>
      </c>
      <c r="C33">
        <v>4</v>
      </c>
      <c r="D33" s="2">
        <f t="shared" si="0"/>
        <v>42507</v>
      </c>
      <c r="E33">
        <v>1</v>
      </c>
      <c r="F33" t="s">
        <v>62</v>
      </c>
      <c r="G33" t="str">
        <f t="shared" si="1"/>
        <v>Other</v>
      </c>
      <c r="H33">
        <v>24</v>
      </c>
      <c r="I33">
        <v>7521</v>
      </c>
      <c r="J33">
        <v>5</v>
      </c>
      <c r="K33" t="s">
        <v>31</v>
      </c>
      <c r="L33" t="s">
        <v>25</v>
      </c>
      <c r="M33" t="s">
        <v>93</v>
      </c>
      <c r="N33" t="s">
        <v>93</v>
      </c>
      <c r="P33" t="s">
        <v>28</v>
      </c>
      <c r="Q33" t="s">
        <v>29</v>
      </c>
      <c r="R33">
        <v>24</v>
      </c>
      <c r="T33">
        <v>502</v>
      </c>
      <c r="U33" t="s">
        <v>1058</v>
      </c>
      <c r="V33" s="7">
        <v>50</v>
      </c>
      <c r="W33" s="7">
        <v>43.678035218757444</v>
      </c>
      <c r="X33">
        <v>4</v>
      </c>
      <c r="Y33" s="7">
        <v>50</v>
      </c>
      <c r="Z33" s="7">
        <v>200</v>
      </c>
      <c r="AA33" s="7">
        <f t="shared" si="2"/>
        <v>150</v>
      </c>
      <c r="AB33" t="s">
        <v>66</v>
      </c>
      <c r="AC33" t="str">
        <f t="shared" si="3"/>
        <v>Non-Cash Payments</v>
      </c>
    </row>
    <row r="34" spans="1:29" x14ac:dyDescent="0.25">
      <c r="A34">
        <v>48468</v>
      </c>
      <c r="B34" s="2">
        <v>42594</v>
      </c>
      <c r="C34">
        <v>4</v>
      </c>
      <c r="D34" s="2">
        <f t="shared" si="0"/>
        <v>42600</v>
      </c>
      <c r="E34">
        <v>0</v>
      </c>
      <c r="F34" t="s">
        <v>62</v>
      </c>
      <c r="G34" t="str">
        <f t="shared" si="1"/>
        <v>Other</v>
      </c>
      <c r="H34">
        <v>40</v>
      </c>
      <c r="I34">
        <v>2106</v>
      </c>
      <c r="J34">
        <v>6</v>
      </c>
      <c r="K34" t="s">
        <v>35</v>
      </c>
      <c r="L34" t="s">
        <v>25</v>
      </c>
      <c r="M34" t="s">
        <v>93</v>
      </c>
      <c r="N34" t="s">
        <v>93</v>
      </c>
      <c r="P34" t="s">
        <v>28</v>
      </c>
      <c r="Q34" t="s">
        <v>29</v>
      </c>
      <c r="R34">
        <v>40</v>
      </c>
      <c r="T34">
        <v>885</v>
      </c>
      <c r="U34" t="s">
        <v>1064</v>
      </c>
      <c r="V34" s="7">
        <v>24.989999770000001</v>
      </c>
      <c r="W34" s="7">
        <v>29.483249567625002</v>
      </c>
      <c r="X34">
        <v>4</v>
      </c>
      <c r="Y34" s="7">
        <v>5.5</v>
      </c>
      <c r="Z34" s="7">
        <v>99.959999080000003</v>
      </c>
      <c r="AA34" s="7">
        <f t="shared" si="2"/>
        <v>94.459999080000003</v>
      </c>
      <c r="AB34" t="s">
        <v>66</v>
      </c>
      <c r="AC34" t="str">
        <f t="shared" si="3"/>
        <v>Non-Cash Payments</v>
      </c>
    </row>
    <row r="35" spans="1:29" x14ac:dyDescent="0.25">
      <c r="A35">
        <v>51009</v>
      </c>
      <c r="B35" s="2">
        <v>42749</v>
      </c>
      <c r="C35">
        <v>4</v>
      </c>
      <c r="D35" s="2">
        <f t="shared" si="0"/>
        <v>42754</v>
      </c>
      <c r="E35">
        <v>1</v>
      </c>
      <c r="F35" t="s">
        <v>62</v>
      </c>
      <c r="G35" t="str">
        <f t="shared" si="1"/>
        <v>Other</v>
      </c>
      <c r="H35">
        <v>9</v>
      </c>
      <c r="I35">
        <v>8144</v>
      </c>
      <c r="J35">
        <v>3</v>
      </c>
      <c r="K35" t="s">
        <v>24</v>
      </c>
      <c r="L35" t="s">
        <v>25</v>
      </c>
      <c r="M35" t="s">
        <v>94</v>
      </c>
      <c r="N35" t="s">
        <v>95</v>
      </c>
      <c r="P35" t="s">
        <v>96</v>
      </c>
      <c r="Q35" t="s">
        <v>52</v>
      </c>
      <c r="R35">
        <v>9</v>
      </c>
      <c r="T35">
        <v>191</v>
      </c>
      <c r="U35" t="s">
        <v>1044</v>
      </c>
      <c r="V35" s="7">
        <v>99.989997860000003</v>
      </c>
      <c r="W35" s="7">
        <v>95.114003926871064</v>
      </c>
      <c r="X35">
        <v>4</v>
      </c>
      <c r="Y35" s="7">
        <v>4</v>
      </c>
      <c r="Z35" s="7">
        <v>399.95999144000001</v>
      </c>
      <c r="AA35" s="7">
        <f t="shared" si="2"/>
        <v>395.95999144000001</v>
      </c>
      <c r="AB35" t="s">
        <v>66</v>
      </c>
      <c r="AC35" t="str">
        <f t="shared" si="3"/>
        <v>Non-Cash Payments</v>
      </c>
    </row>
    <row r="36" spans="1:29" x14ac:dyDescent="0.25">
      <c r="A36">
        <v>46229</v>
      </c>
      <c r="B36" s="2">
        <v>42501</v>
      </c>
      <c r="C36">
        <v>4</v>
      </c>
      <c r="D36" s="2">
        <f t="shared" si="0"/>
        <v>42507</v>
      </c>
      <c r="E36">
        <v>1</v>
      </c>
      <c r="F36" t="s">
        <v>62</v>
      </c>
      <c r="G36" t="str">
        <f t="shared" si="1"/>
        <v>Other</v>
      </c>
      <c r="H36">
        <v>9</v>
      </c>
      <c r="I36">
        <v>5643</v>
      </c>
      <c r="J36">
        <v>3</v>
      </c>
      <c r="K36" t="s">
        <v>24</v>
      </c>
      <c r="L36" t="s">
        <v>25</v>
      </c>
      <c r="M36" t="s">
        <v>97</v>
      </c>
      <c r="N36" t="s">
        <v>98</v>
      </c>
      <c r="P36" t="s">
        <v>88</v>
      </c>
      <c r="Q36" t="s">
        <v>89</v>
      </c>
      <c r="R36">
        <v>9</v>
      </c>
      <c r="T36">
        <v>191</v>
      </c>
      <c r="U36" t="s">
        <v>1044</v>
      </c>
      <c r="V36" s="7">
        <v>99.989997860000003</v>
      </c>
      <c r="W36" s="7">
        <v>95.114003926871064</v>
      </c>
      <c r="X36">
        <v>4</v>
      </c>
      <c r="Y36" s="7">
        <v>8</v>
      </c>
      <c r="Z36" s="7">
        <v>399.95999144000001</v>
      </c>
      <c r="AA36" s="7">
        <f t="shared" si="2"/>
        <v>391.95999144000001</v>
      </c>
      <c r="AB36" t="s">
        <v>66</v>
      </c>
      <c r="AC36" t="str">
        <f t="shared" si="3"/>
        <v>Non-Cash Payments</v>
      </c>
    </row>
    <row r="37" spans="1:29" x14ac:dyDescent="0.25">
      <c r="A37">
        <v>42882</v>
      </c>
      <c r="B37" s="2">
        <v>42630</v>
      </c>
      <c r="C37">
        <v>4</v>
      </c>
      <c r="D37" s="2">
        <f t="shared" si="0"/>
        <v>42635</v>
      </c>
      <c r="E37">
        <v>0</v>
      </c>
      <c r="F37" t="s">
        <v>62</v>
      </c>
      <c r="G37" t="str">
        <f t="shared" si="1"/>
        <v>Other</v>
      </c>
      <c r="H37">
        <v>9</v>
      </c>
      <c r="I37">
        <v>2041</v>
      </c>
      <c r="J37">
        <v>3</v>
      </c>
      <c r="K37" t="s">
        <v>24</v>
      </c>
      <c r="L37" t="s">
        <v>25</v>
      </c>
      <c r="M37" t="s">
        <v>99</v>
      </c>
      <c r="N37" t="s">
        <v>99</v>
      </c>
      <c r="P37" t="s">
        <v>100</v>
      </c>
      <c r="Q37" t="s">
        <v>52</v>
      </c>
      <c r="R37">
        <v>9</v>
      </c>
      <c r="T37">
        <v>191</v>
      </c>
      <c r="U37" t="s">
        <v>1044</v>
      </c>
      <c r="V37" s="7">
        <v>99.989997860000003</v>
      </c>
      <c r="W37" s="7">
        <v>95.114003926871064</v>
      </c>
      <c r="X37">
        <v>4</v>
      </c>
      <c r="Y37" s="7">
        <v>20</v>
      </c>
      <c r="Z37" s="7">
        <v>399.95999144000001</v>
      </c>
      <c r="AA37" s="7">
        <f t="shared" si="2"/>
        <v>379.95999144000001</v>
      </c>
      <c r="AB37" t="s">
        <v>66</v>
      </c>
      <c r="AC37" t="str">
        <f t="shared" si="3"/>
        <v>Non-Cash Payments</v>
      </c>
    </row>
    <row r="38" spans="1:29" x14ac:dyDescent="0.25">
      <c r="A38">
        <v>46827</v>
      </c>
      <c r="B38" s="2">
        <v>42688</v>
      </c>
      <c r="C38">
        <v>4</v>
      </c>
      <c r="D38" s="2">
        <f t="shared" si="0"/>
        <v>42692</v>
      </c>
      <c r="E38">
        <v>0</v>
      </c>
      <c r="F38" t="s">
        <v>62</v>
      </c>
      <c r="G38" t="str">
        <f t="shared" si="1"/>
        <v>Other</v>
      </c>
      <c r="H38">
        <v>9</v>
      </c>
      <c r="I38">
        <v>7537</v>
      </c>
      <c r="J38">
        <v>3</v>
      </c>
      <c r="K38" t="s">
        <v>24</v>
      </c>
      <c r="L38" t="s">
        <v>25</v>
      </c>
      <c r="M38" t="s">
        <v>101</v>
      </c>
      <c r="N38" t="s">
        <v>102</v>
      </c>
      <c r="P38" t="s">
        <v>51</v>
      </c>
      <c r="Q38" t="s">
        <v>52</v>
      </c>
      <c r="R38">
        <v>9</v>
      </c>
      <c r="T38">
        <v>191</v>
      </c>
      <c r="U38" t="s">
        <v>1044</v>
      </c>
      <c r="V38" s="7">
        <v>99.989997860000003</v>
      </c>
      <c r="W38" s="7">
        <v>95.114003926871064</v>
      </c>
      <c r="X38">
        <v>4</v>
      </c>
      <c r="Y38" s="7">
        <v>36</v>
      </c>
      <c r="Z38" s="7">
        <v>399.95999144000001</v>
      </c>
      <c r="AA38" s="7">
        <f t="shared" si="2"/>
        <v>363.95999144000001</v>
      </c>
      <c r="AB38" t="s">
        <v>66</v>
      </c>
      <c r="AC38" t="str">
        <f t="shared" si="3"/>
        <v>Non-Cash Payments</v>
      </c>
    </row>
    <row r="39" spans="1:29" x14ac:dyDescent="0.25">
      <c r="A39">
        <v>48684</v>
      </c>
      <c r="B39" s="2">
        <v>42686</v>
      </c>
      <c r="C39">
        <v>4</v>
      </c>
      <c r="D39" s="2">
        <f t="shared" si="0"/>
        <v>42691</v>
      </c>
      <c r="E39">
        <v>1</v>
      </c>
      <c r="F39" t="s">
        <v>62</v>
      </c>
      <c r="G39" t="str">
        <f t="shared" si="1"/>
        <v>Other</v>
      </c>
      <c r="H39">
        <v>9</v>
      </c>
      <c r="I39">
        <v>3056</v>
      </c>
      <c r="J39">
        <v>3</v>
      </c>
      <c r="K39" t="s">
        <v>24</v>
      </c>
      <c r="L39" t="s">
        <v>25</v>
      </c>
      <c r="M39" t="s">
        <v>103</v>
      </c>
      <c r="N39" t="s">
        <v>75</v>
      </c>
      <c r="P39" t="s">
        <v>104</v>
      </c>
      <c r="Q39" t="s">
        <v>52</v>
      </c>
      <c r="R39">
        <v>9</v>
      </c>
      <c r="T39">
        <v>191</v>
      </c>
      <c r="U39" t="s">
        <v>1044</v>
      </c>
      <c r="V39" s="7">
        <v>99.989997860000003</v>
      </c>
      <c r="W39" s="7">
        <v>95.114003926871064</v>
      </c>
      <c r="X39">
        <v>4</v>
      </c>
      <c r="Y39" s="7">
        <v>40</v>
      </c>
      <c r="Z39" s="7">
        <v>399.95999144000001</v>
      </c>
      <c r="AA39" s="7">
        <f t="shared" si="2"/>
        <v>359.95999144000001</v>
      </c>
      <c r="AB39" t="s">
        <v>66</v>
      </c>
      <c r="AC39" t="str">
        <f t="shared" si="3"/>
        <v>Non-Cash Payments</v>
      </c>
    </row>
    <row r="40" spans="1:29" x14ac:dyDescent="0.25">
      <c r="A40">
        <v>48684</v>
      </c>
      <c r="B40" s="2">
        <v>42686</v>
      </c>
      <c r="C40">
        <v>4</v>
      </c>
      <c r="D40" s="2">
        <f t="shared" si="0"/>
        <v>42691</v>
      </c>
      <c r="E40">
        <v>1</v>
      </c>
      <c r="F40" t="s">
        <v>62</v>
      </c>
      <c r="G40" t="str">
        <f t="shared" si="1"/>
        <v>Other</v>
      </c>
      <c r="H40">
        <v>9</v>
      </c>
      <c r="I40">
        <v>3056</v>
      </c>
      <c r="J40">
        <v>3</v>
      </c>
      <c r="K40" t="s">
        <v>24</v>
      </c>
      <c r="L40" t="s">
        <v>25</v>
      </c>
      <c r="M40" t="s">
        <v>103</v>
      </c>
      <c r="N40" t="s">
        <v>75</v>
      </c>
      <c r="P40" t="s">
        <v>104</v>
      </c>
      <c r="Q40" t="s">
        <v>52</v>
      </c>
      <c r="R40">
        <v>9</v>
      </c>
      <c r="T40">
        <v>191</v>
      </c>
      <c r="U40" t="s">
        <v>1044</v>
      </c>
      <c r="V40" s="7">
        <v>99.989997860000003</v>
      </c>
      <c r="W40" s="7">
        <v>95.114003926871064</v>
      </c>
      <c r="X40">
        <v>4</v>
      </c>
      <c r="Y40" s="7">
        <v>48</v>
      </c>
      <c r="Z40" s="7">
        <v>399.95999144000001</v>
      </c>
      <c r="AA40" s="7">
        <f t="shared" si="2"/>
        <v>351.95999144000001</v>
      </c>
      <c r="AB40" t="s">
        <v>66</v>
      </c>
      <c r="AC40" t="str">
        <f t="shared" si="3"/>
        <v>Non-Cash Payments</v>
      </c>
    </row>
    <row r="41" spans="1:29" x14ac:dyDescent="0.25">
      <c r="A41">
        <v>46416</v>
      </c>
      <c r="B41" s="2">
        <v>42593</v>
      </c>
      <c r="C41">
        <v>4</v>
      </c>
      <c r="D41" s="2">
        <f t="shared" si="0"/>
        <v>42599</v>
      </c>
      <c r="E41">
        <v>0</v>
      </c>
      <c r="F41" t="s">
        <v>62</v>
      </c>
      <c r="G41" t="str">
        <f t="shared" si="1"/>
        <v>Other</v>
      </c>
      <c r="H41">
        <v>9</v>
      </c>
      <c r="I41">
        <v>7967</v>
      </c>
      <c r="J41">
        <v>3</v>
      </c>
      <c r="K41" t="s">
        <v>24</v>
      </c>
      <c r="L41" t="s">
        <v>25</v>
      </c>
      <c r="M41" t="s">
        <v>79</v>
      </c>
      <c r="N41" t="s">
        <v>79</v>
      </c>
      <c r="P41" t="s">
        <v>61</v>
      </c>
      <c r="Q41" t="s">
        <v>41</v>
      </c>
      <c r="R41">
        <v>9</v>
      </c>
      <c r="T41">
        <v>191</v>
      </c>
      <c r="U41" t="s">
        <v>1044</v>
      </c>
      <c r="V41" s="7">
        <v>99.989997860000003</v>
      </c>
      <c r="W41" s="7">
        <v>95.114003926871064</v>
      </c>
      <c r="X41">
        <v>4</v>
      </c>
      <c r="Y41" s="7">
        <v>48</v>
      </c>
      <c r="Z41" s="7">
        <v>399.95999144000001</v>
      </c>
      <c r="AA41" s="7">
        <f t="shared" si="2"/>
        <v>351.95999144000001</v>
      </c>
      <c r="AB41" t="s">
        <v>66</v>
      </c>
      <c r="AC41" t="str">
        <f t="shared" si="3"/>
        <v>Non-Cash Payments</v>
      </c>
    </row>
    <row r="42" spans="1:29" x14ac:dyDescent="0.25">
      <c r="A42">
        <v>47343</v>
      </c>
      <c r="B42" s="2">
        <v>42696</v>
      </c>
      <c r="C42">
        <v>4</v>
      </c>
      <c r="D42" s="2">
        <f t="shared" si="0"/>
        <v>42702</v>
      </c>
      <c r="E42">
        <v>0</v>
      </c>
      <c r="F42" t="s">
        <v>62</v>
      </c>
      <c r="G42" t="str">
        <f t="shared" si="1"/>
        <v>Other</v>
      </c>
      <c r="H42">
        <v>9</v>
      </c>
      <c r="I42">
        <v>1758</v>
      </c>
      <c r="J42">
        <v>3</v>
      </c>
      <c r="K42" t="s">
        <v>24</v>
      </c>
      <c r="L42" t="s">
        <v>25</v>
      </c>
      <c r="M42" t="s">
        <v>105</v>
      </c>
      <c r="N42" t="s">
        <v>106</v>
      </c>
      <c r="P42" t="s">
        <v>88</v>
      </c>
      <c r="Q42" t="s">
        <v>89</v>
      </c>
      <c r="R42">
        <v>9</v>
      </c>
      <c r="T42">
        <v>191</v>
      </c>
      <c r="U42" t="s">
        <v>1044</v>
      </c>
      <c r="V42" s="7">
        <v>99.989997860000003</v>
      </c>
      <c r="W42" s="7">
        <v>95.114003926871064</v>
      </c>
      <c r="X42">
        <v>4</v>
      </c>
      <c r="Y42" s="7">
        <v>59.990001679999999</v>
      </c>
      <c r="Z42" s="7">
        <v>399.95999144000001</v>
      </c>
      <c r="AA42" s="7">
        <f t="shared" si="2"/>
        <v>339.96998976000003</v>
      </c>
      <c r="AB42" t="s">
        <v>66</v>
      </c>
      <c r="AC42" t="str">
        <f t="shared" si="3"/>
        <v>Non-Cash Payments</v>
      </c>
    </row>
    <row r="43" spans="1:29" x14ac:dyDescent="0.25">
      <c r="A43">
        <v>48608</v>
      </c>
      <c r="B43" s="2">
        <v>42655</v>
      </c>
      <c r="C43">
        <v>4</v>
      </c>
      <c r="D43" s="2">
        <f t="shared" si="0"/>
        <v>42661</v>
      </c>
      <c r="E43">
        <v>0</v>
      </c>
      <c r="F43" t="s">
        <v>62</v>
      </c>
      <c r="G43" t="str">
        <f t="shared" si="1"/>
        <v>Other</v>
      </c>
      <c r="H43">
        <v>24</v>
      </c>
      <c r="I43">
        <v>4398</v>
      </c>
      <c r="J43">
        <v>5</v>
      </c>
      <c r="K43" t="s">
        <v>31</v>
      </c>
      <c r="L43" t="s">
        <v>25</v>
      </c>
      <c r="M43" t="s">
        <v>107</v>
      </c>
      <c r="N43" t="s">
        <v>108</v>
      </c>
      <c r="P43" t="s">
        <v>109</v>
      </c>
      <c r="Q43" t="s">
        <v>29</v>
      </c>
      <c r="R43">
        <v>24</v>
      </c>
      <c r="T43">
        <v>502</v>
      </c>
      <c r="U43" t="s">
        <v>1058</v>
      </c>
      <c r="V43" s="7">
        <v>50</v>
      </c>
      <c r="W43" s="7">
        <v>43.678035218757444</v>
      </c>
      <c r="X43">
        <v>5</v>
      </c>
      <c r="Y43" s="7">
        <v>25</v>
      </c>
      <c r="Z43" s="7">
        <v>250</v>
      </c>
      <c r="AA43" s="7">
        <f t="shared" si="2"/>
        <v>225</v>
      </c>
      <c r="AB43" t="s">
        <v>45</v>
      </c>
      <c r="AC43" t="str">
        <f t="shared" si="3"/>
        <v>Non-Cash Payments</v>
      </c>
    </row>
    <row r="44" spans="1:29" x14ac:dyDescent="0.25">
      <c r="A44">
        <v>45506</v>
      </c>
      <c r="B44" s="2">
        <v>42669</v>
      </c>
      <c r="C44">
        <v>4</v>
      </c>
      <c r="D44" s="2">
        <f t="shared" si="0"/>
        <v>42675</v>
      </c>
      <c r="E44">
        <v>0</v>
      </c>
      <c r="F44" t="s">
        <v>62</v>
      </c>
      <c r="G44" t="str">
        <f t="shared" si="1"/>
        <v>Other</v>
      </c>
      <c r="H44">
        <v>24</v>
      </c>
      <c r="I44">
        <v>5687</v>
      </c>
      <c r="J44">
        <v>5</v>
      </c>
      <c r="K44" t="s">
        <v>31</v>
      </c>
      <c r="L44" t="s">
        <v>25</v>
      </c>
      <c r="M44" t="s">
        <v>110</v>
      </c>
      <c r="N44" t="s">
        <v>111</v>
      </c>
      <c r="P44" t="s">
        <v>28</v>
      </c>
      <c r="Q44" t="s">
        <v>29</v>
      </c>
      <c r="R44">
        <v>24</v>
      </c>
      <c r="T44">
        <v>502</v>
      </c>
      <c r="U44" t="s">
        <v>1058</v>
      </c>
      <c r="V44" s="7">
        <v>50</v>
      </c>
      <c r="W44" s="7">
        <v>43.678035218757444</v>
      </c>
      <c r="X44">
        <v>5</v>
      </c>
      <c r="Y44" s="7">
        <v>30</v>
      </c>
      <c r="Z44" s="7">
        <v>250</v>
      </c>
      <c r="AA44" s="7">
        <f t="shared" si="2"/>
        <v>220</v>
      </c>
      <c r="AB44" t="s">
        <v>45</v>
      </c>
      <c r="AC44" t="str">
        <f t="shared" si="3"/>
        <v>Non-Cash Payments</v>
      </c>
    </row>
    <row r="45" spans="1:29" x14ac:dyDescent="0.25">
      <c r="A45">
        <v>45027</v>
      </c>
      <c r="B45" s="2">
        <v>42662</v>
      </c>
      <c r="C45">
        <v>4</v>
      </c>
      <c r="D45" s="2">
        <f t="shared" si="0"/>
        <v>42668</v>
      </c>
      <c r="E45">
        <v>0</v>
      </c>
      <c r="F45" t="s">
        <v>62</v>
      </c>
      <c r="G45" t="str">
        <f t="shared" si="1"/>
        <v>Other</v>
      </c>
      <c r="H45">
        <v>29</v>
      </c>
      <c r="I45">
        <v>8534</v>
      </c>
      <c r="J45">
        <v>5</v>
      </c>
      <c r="K45" t="s">
        <v>31</v>
      </c>
      <c r="L45" t="s">
        <v>25</v>
      </c>
      <c r="M45" t="s">
        <v>112</v>
      </c>
      <c r="N45" t="s">
        <v>113</v>
      </c>
      <c r="P45" t="s">
        <v>28</v>
      </c>
      <c r="Q45" t="s">
        <v>29</v>
      </c>
      <c r="R45">
        <v>29</v>
      </c>
      <c r="T45">
        <v>627</v>
      </c>
      <c r="U45" t="s">
        <v>1046</v>
      </c>
      <c r="V45" s="7">
        <v>39.990001679999999</v>
      </c>
      <c r="W45" s="7">
        <v>34.198098313835338</v>
      </c>
      <c r="X45">
        <v>5</v>
      </c>
      <c r="Y45" s="7">
        <v>25.989999770000001</v>
      </c>
      <c r="Z45" s="7">
        <v>199.9500084</v>
      </c>
      <c r="AA45" s="7">
        <f t="shared" si="2"/>
        <v>173.96000863</v>
      </c>
      <c r="AB45" t="s">
        <v>45</v>
      </c>
      <c r="AC45" t="str">
        <f t="shared" si="3"/>
        <v>Non-Cash Payments</v>
      </c>
    </row>
    <row r="46" spans="1:29" x14ac:dyDescent="0.25">
      <c r="A46">
        <v>46308</v>
      </c>
      <c r="B46" s="2">
        <v>42532</v>
      </c>
      <c r="C46">
        <v>4</v>
      </c>
      <c r="D46" s="2">
        <f t="shared" si="0"/>
        <v>42537</v>
      </c>
      <c r="E46">
        <v>0</v>
      </c>
      <c r="F46" t="s">
        <v>62</v>
      </c>
      <c r="G46" t="str">
        <f t="shared" si="1"/>
        <v>Other</v>
      </c>
      <c r="H46">
        <v>29</v>
      </c>
      <c r="I46">
        <v>3372</v>
      </c>
      <c r="J46">
        <v>5</v>
      </c>
      <c r="K46" t="s">
        <v>31</v>
      </c>
      <c r="L46" t="s">
        <v>25</v>
      </c>
      <c r="M46" t="s">
        <v>114</v>
      </c>
      <c r="N46" t="s">
        <v>114</v>
      </c>
      <c r="P46" t="s">
        <v>33</v>
      </c>
      <c r="Q46" t="s">
        <v>34</v>
      </c>
      <c r="R46">
        <v>29</v>
      </c>
      <c r="T46">
        <v>627</v>
      </c>
      <c r="U46" t="s">
        <v>1046</v>
      </c>
      <c r="V46" s="7">
        <v>39.990001679999999</v>
      </c>
      <c r="W46" s="7">
        <v>34.198098313835338</v>
      </c>
      <c r="X46">
        <v>5</v>
      </c>
      <c r="Y46" s="7">
        <v>29.989999770000001</v>
      </c>
      <c r="Z46" s="7">
        <v>199.9500084</v>
      </c>
      <c r="AA46" s="7">
        <f t="shared" si="2"/>
        <v>169.96000863</v>
      </c>
      <c r="AB46" t="s">
        <v>45</v>
      </c>
      <c r="AC46" t="str">
        <f t="shared" si="3"/>
        <v>Non-Cash Payments</v>
      </c>
    </row>
    <row r="47" spans="1:29" x14ac:dyDescent="0.25">
      <c r="A47">
        <v>43685</v>
      </c>
      <c r="B47" s="2">
        <v>42642</v>
      </c>
      <c r="C47">
        <v>4</v>
      </c>
      <c r="D47" s="2">
        <f t="shared" si="0"/>
        <v>42648</v>
      </c>
      <c r="E47">
        <v>1</v>
      </c>
      <c r="F47" t="s">
        <v>62</v>
      </c>
      <c r="G47" t="str">
        <f t="shared" si="1"/>
        <v>Other</v>
      </c>
      <c r="H47">
        <v>24</v>
      </c>
      <c r="I47">
        <v>10927</v>
      </c>
      <c r="J47">
        <v>5</v>
      </c>
      <c r="K47" t="s">
        <v>31</v>
      </c>
      <c r="L47" t="s">
        <v>25</v>
      </c>
      <c r="M47" t="s">
        <v>93</v>
      </c>
      <c r="N47" t="s">
        <v>93</v>
      </c>
      <c r="P47" t="s">
        <v>28</v>
      </c>
      <c r="Q47" t="s">
        <v>29</v>
      </c>
      <c r="R47">
        <v>24</v>
      </c>
      <c r="T47">
        <v>502</v>
      </c>
      <c r="U47" t="s">
        <v>1058</v>
      </c>
      <c r="V47" s="7">
        <v>50</v>
      </c>
      <c r="W47" s="7">
        <v>43.678035218757444</v>
      </c>
      <c r="X47">
        <v>5</v>
      </c>
      <c r="Y47" s="7">
        <v>40</v>
      </c>
      <c r="Z47" s="7">
        <v>250</v>
      </c>
      <c r="AA47" s="7">
        <f t="shared" si="2"/>
        <v>210</v>
      </c>
      <c r="AB47" t="s">
        <v>45</v>
      </c>
      <c r="AC47" t="str">
        <f t="shared" si="3"/>
        <v>Non-Cash Payments</v>
      </c>
    </row>
    <row r="48" spans="1:29" x14ac:dyDescent="0.25">
      <c r="A48">
        <v>41893</v>
      </c>
      <c r="B48" s="2">
        <v>42438</v>
      </c>
      <c r="C48">
        <v>4</v>
      </c>
      <c r="D48" s="2">
        <f t="shared" si="0"/>
        <v>42444</v>
      </c>
      <c r="E48">
        <v>0</v>
      </c>
      <c r="F48" t="s">
        <v>62</v>
      </c>
      <c r="G48" t="str">
        <f t="shared" si="1"/>
        <v>Other</v>
      </c>
      <c r="H48">
        <v>24</v>
      </c>
      <c r="I48">
        <v>3597</v>
      </c>
      <c r="J48">
        <v>5</v>
      </c>
      <c r="K48" t="s">
        <v>31</v>
      </c>
      <c r="L48" t="s">
        <v>25</v>
      </c>
      <c r="M48" t="s">
        <v>115</v>
      </c>
      <c r="N48" t="s">
        <v>116</v>
      </c>
      <c r="P48" t="s">
        <v>117</v>
      </c>
      <c r="Q48" t="s">
        <v>34</v>
      </c>
      <c r="R48">
        <v>24</v>
      </c>
      <c r="T48">
        <v>502</v>
      </c>
      <c r="U48" t="s">
        <v>1058</v>
      </c>
      <c r="V48" s="7">
        <v>50</v>
      </c>
      <c r="W48" s="7">
        <v>43.678035218757444</v>
      </c>
      <c r="X48">
        <v>5</v>
      </c>
      <c r="Y48" s="7">
        <v>42.5</v>
      </c>
      <c r="Z48" s="7">
        <v>250</v>
      </c>
      <c r="AA48" s="7">
        <f t="shared" si="2"/>
        <v>207.5</v>
      </c>
      <c r="AB48" t="s">
        <v>45</v>
      </c>
      <c r="AC48" t="str">
        <f t="shared" si="3"/>
        <v>Non-Cash Payments</v>
      </c>
    </row>
    <row r="49" spans="1:29" x14ac:dyDescent="0.25">
      <c r="A49">
        <v>46339</v>
      </c>
      <c r="B49" s="2">
        <v>42562</v>
      </c>
      <c r="C49">
        <v>4</v>
      </c>
      <c r="D49" s="2">
        <f t="shared" si="0"/>
        <v>42566</v>
      </c>
      <c r="E49">
        <v>1</v>
      </c>
      <c r="F49" t="s">
        <v>62</v>
      </c>
      <c r="G49" t="str">
        <f t="shared" si="1"/>
        <v>Other</v>
      </c>
      <c r="H49">
        <v>24</v>
      </c>
      <c r="I49">
        <v>2052</v>
      </c>
      <c r="J49">
        <v>5</v>
      </c>
      <c r="K49" t="s">
        <v>31</v>
      </c>
      <c r="L49" t="s">
        <v>25</v>
      </c>
      <c r="M49" t="s">
        <v>118</v>
      </c>
      <c r="N49" t="s">
        <v>118</v>
      </c>
      <c r="P49" t="s">
        <v>44</v>
      </c>
      <c r="Q49" t="s">
        <v>34</v>
      </c>
      <c r="R49">
        <v>24</v>
      </c>
      <c r="T49">
        <v>502</v>
      </c>
      <c r="U49" t="s">
        <v>1058</v>
      </c>
      <c r="V49" s="7">
        <v>50</v>
      </c>
      <c r="W49" s="7">
        <v>43.678035218757444</v>
      </c>
      <c r="X49">
        <v>5</v>
      </c>
      <c r="Y49" s="7">
        <v>42.5</v>
      </c>
      <c r="Z49" s="7">
        <v>250</v>
      </c>
      <c r="AA49" s="7">
        <f t="shared" si="2"/>
        <v>207.5</v>
      </c>
      <c r="AB49" t="s">
        <v>45</v>
      </c>
      <c r="AC49" t="str">
        <f t="shared" si="3"/>
        <v>Non-Cash Payments</v>
      </c>
    </row>
    <row r="50" spans="1:29" x14ac:dyDescent="0.25">
      <c r="A50">
        <v>46667</v>
      </c>
      <c r="B50" s="2">
        <v>42715</v>
      </c>
      <c r="C50">
        <v>4</v>
      </c>
      <c r="D50" s="2">
        <f t="shared" si="0"/>
        <v>42719</v>
      </c>
      <c r="E50">
        <v>0</v>
      </c>
      <c r="F50" t="s">
        <v>62</v>
      </c>
      <c r="G50" t="str">
        <f t="shared" si="1"/>
        <v>Other</v>
      </c>
      <c r="H50">
        <v>24</v>
      </c>
      <c r="I50">
        <v>4399</v>
      </c>
      <c r="J50">
        <v>5</v>
      </c>
      <c r="K50" t="s">
        <v>31</v>
      </c>
      <c r="L50" t="s">
        <v>25</v>
      </c>
      <c r="M50" t="s">
        <v>119</v>
      </c>
      <c r="N50" t="s">
        <v>120</v>
      </c>
      <c r="P50" t="s">
        <v>28</v>
      </c>
      <c r="Q50" t="s">
        <v>29</v>
      </c>
      <c r="R50">
        <v>24</v>
      </c>
      <c r="T50">
        <v>502</v>
      </c>
      <c r="U50" t="s">
        <v>1058</v>
      </c>
      <c r="V50" s="7">
        <v>50</v>
      </c>
      <c r="W50" s="7">
        <v>43.678035218757444</v>
      </c>
      <c r="X50">
        <v>5</v>
      </c>
      <c r="Y50" s="7">
        <v>42.5</v>
      </c>
      <c r="Z50" s="7">
        <v>250</v>
      </c>
      <c r="AA50" s="7">
        <f t="shared" si="2"/>
        <v>207.5</v>
      </c>
      <c r="AB50" t="s">
        <v>45</v>
      </c>
      <c r="AC50" t="str">
        <f t="shared" si="3"/>
        <v>Non-Cash Payments</v>
      </c>
    </row>
    <row r="51" spans="1:29" x14ac:dyDescent="0.25">
      <c r="A51">
        <v>47647</v>
      </c>
      <c r="B51" s="2">
        <v>42700</v>
      </c>
      <c r="C51">
        <v>4</v>
      </c>
      <c r="D51" s="2">
        <f t="shared" si="0"/>
        <v>42705</v>
      </c>
      <c r="E51">
        <v>0</v>
      </c>
      <c r="F51" t="s">
        <v>62</v>
      </c>
      <c r="G51" t="str">
        <f t="shared" si="1"/>
        <v>Other</v>
      </c>
      <c r="H51">
        <v>24</v>
      </c>
      <c r="I51">
        <v>185</v>
      </c>
      <c r="J51">
        <v>5</v>
      </c>
      <c r="K51" t="s">
        <v>31</v>
      </c>
      <c r="L51" t="s">
        <v>25</v>
      </c>
      <c r="M51" t="s">
        <v>121</v>
      </c>
      <c r="N51" t="s">
        <v>121</v>
      </c>
      <c r="P51" t="s">
        <v>122</v>
      </c>
      <c r="Q51" t="s">
        <v>52</v>
      </c>
      <c r="R51">
        <v>24</v>
      </c>
      <c r="T51">
        <v>502</v>
      </c>
      <c r="U51" t="s">
        <v>1058</v>
      </c>
      <c r="V51" s="7">
        <v>50</v>
      </c>
      <c r="W51" s="7">
        <v>43.678035218757444</v>
      </c>
      <c r="X51">
        <v>5</v>
      </c>
      <c r="Y51" s="7">
        <v>45</v>
      </c>
      <c r="Z51" s="7">
        <v>250</v>
      </c>
      <c r="AA51" s="7">
        <f t="shared" si="2"/>
        <v>205</v>
      </c>
      <c r="AB51" t="s">
        <v>45</v>
      </c>
      <c r="AC51" t="str">
        <f t="shared" si="3"/>
        <v>Non-Cash Payments</v>
      </c>
    </row>
    <row r="52" spans="1:29" x14ac:dyDescent="0.25">
      <c r="A52">
        <v>48565</v>
      </c>
      <c r="B52" s="2">
        <v>42625</v>
      </c>
      <c r="C52">
        <v>4</v>
      </c>
      <c r="D52" s="2">
        <f t="shared" si="0"/>
        <v>42629</v>
      </c>
      <c r="E52">
        <v>1</v>
      </c>
      <c r="F52" t="s">
        <v>62</v>
      </c>
      <c r="G52" t="str">
        <f t="shared" si="1"/>
        <v>Other</v>
      </c>
      <c r="H52">
        <v>24</v>
      </c>
      <c r="I52">
        <v>3441</v>
      </c>
      <c r="J52">
        <v>5</v>
      </c>
      <c r="K52" t="s">
        <v>31</v>
      </c>
      <c r="L52" t="s">
        <v>25</v>
      </c>
      <c r="M52" t="s">
        <v>123</v>
      </c>
      <c r="N52" t="s">
        <v>124</v>
      </c>
      <c r="P52" t="s">
        <v>76</v>
      </c>
      <c r="Q52" t="s">
        <v>52</v>
      </c>
      <c r="R52">
        <v>24</v>
      </c>
      <c r="T52">
        <v>502</v>
      </c>
      <c r="U52" t="s">
        <v>1058</v>
      </c>
      <c r="V52" s="7">
        <v>50</v>
      </c>
      <c r="W52" s="7">
        <v>43.678035218757444</v>
      </c>
      <c r="X52">
        <v>5</v>
      </c>
      <c r="Y52" s="7">
        <v>45</v>
      </c>
      <c r="Z52" s="7">
        <v>250</v>
      </c>
      <c r="AA52" s="7">
        <f t="shared" si="2"/>
        <v>205</v>
      </c>
      <c r="AB52" t="s">
        <v>45</v>
      </c>
      <c r="AC52" t="str">
        <f t="shared" si="3"/>
        <v>Non-Cash Payments</v>
      </c>
    </row>
    <row r="53" spans="1:29" x14ac:dyDescent="0.25">
      <c r="A53">
        <v>43889</v>
      </c>
      <c r="B53" s="2">
        <v>42410</v>
      </c>
      <c r="C53">
        <v>4</v>
      </c>
      <c r="D53" s="2">
        <f t="shared" si="0"/>
        <v>42416</v>
      </c>
      <c r="E53">
        <v>1</v>
      </c>
      <c r="F53" t="s">
        <v>62</v>
      </c>
      <c r="G53" t="str">
        <f t="shared" si="1"/>
        <v>Other</v>
      </c>
      <c r="H53">
        <v>24</v>
      </c>
      <c r="I53">
        <v>11947</v>
      </c>
      <c r="J53">
        <v>5</v>
      </c>
      <c r="K53" t="s">
        <v>31</v>
      </c>
      <c r="L53" t="s">
        <v>25</v>
      </c>
      <c r="M53" t="s">
        <v>93</v>
      </c>
      <c r="N53" t="s">
        <v>93</v>
      </c>
      <c r="P53" t="s">
        <v>28</v>
      </c>
      <c r="Q53" t="s">
        <v>29</v>
      </c>
      <c r="R53">
        <v>24</v>
      </c>
      <c r="T53">
        <v>502</v>
      </c>
      <c r="U53" t="s">
        <v>1058</v>
      </c>
      <c r="V53" s="7">
        <v>50</v>
      </c>
      <c r="W53" s="7">
        <v>43.678035218757444</v>
      </c>
      <c r="X53">
        <v>5</v>
      </c>
      <c r="Y53" s="7">
        <v>45</v>
      </c>
      <c r="Z53" s="7">
        <v>250</v>
      </c>
      <c r="AA53" s="7">
        <f t="shared" si="2"/>
        <v>205</v>
      </c>
      <c r="AB53" t="s">
        <v>45</v>
      </c>
      <c r="AC53" t="str">
        <f t="shared" si="3"/>
        <v>Non-Cash Payments</v>
      </c>
    </row>
    <row r="54" spans="1:29" x14ac:dyDescent="0.25">
      <c r="A54">
        <v>45138</v>
      </c>
      <c r="B54" s="2">
        <v>42663</v>
      </c>
      <c r="C54">
        <v>4</v>
      </c>
      <c r="D54" s="2">
        <f t="shared" si="0"/>
        <v>42669</v>
      </c>
      <c r="E54">
        <v>0</v>
      </c>
      <c r="F54" t="s">
        <v>62</v>
      </c>
      <c r="G54" t="str">
        <f t="shared" si="1"/>
        <v>Other</v>
      </c>
      <c r="H54">
        <v>24</v>
      </c>
      <c r="I54">
        <v>1555</v>
      </c>
      <c r="J54">
        <v>5</v>
      </c>
      <c r="K54" t="s">
        <v>31</v>
      </c>
      <c r="L54" t="s">
        <v>25</v>
      </c>
      <c r="M54" t="s">
        <v>125</v>
      </c>
      <c r="N54" t="s">
        <v>126</v>
      </c>
      <c r="P54" t="s">
        <v>117</v>
      </c>
      <c r="Q54" t="s">
        <v>34</v>
      </c>
      <c r="R54">
        <v>24</v>
      </c>
      <c r="T54">
        <v>502</v>
      </c>
      <c r="U54" t="s">
        <v>1058</v>
      </c>
      <c r="V54" s="7">
        <v>50</v>
      </c>
      <c r="W54" s="7">
        <v>43.678035218757444</v>
      </c>
      <c r="X54">
        <v>5</v>
      </c>
      <c r="Y54" s="7">
        <v>50</v>
      </c>
      <c r="Z54" s="7">
        <v>250</v>
      </c>
      <c r="AA54" s="7">
        <f t="shared" si="2"/>
        <v>200</v>
      </c>
      <c r="AB54" t="s">
        <v>45</v>
      </c>
      <c r="AC54" t="str">
        <f t="shared" si="3"/>
        <v>Non-Cash Payments</v>
      </c>
    </row>
    <row r="55" spans="1:29" x14ac:dyDescent="0.25">
      <c r="A55">
        <v>44160</v>
      </c>
      <c r="B55" s="2">
        <v>42531</v>
      </c>
      <c r="C55">
        <v>4</v>
      </c>
      <c r="D55" s="2">
        <f t="shared" si="0"/>
        <v>42537</v>
      </c>
      <c r="E55">
        <v>1</v>
      </c>
      <c r="F55" t="s">
        <v>62</v>
      </c>
      <c r="G55" t="str">
        <f t="shared" si="1"/>
        <v>Other</v>
      </c>
      <c r="H55">
        <v>29</v>
      </c>
      <c r="I55">
        <v>9399</v>
      </c>
      <c r="J55">
        <v>5</v>
      </c>
      <c r="K55" t="s">
        <v>31</v>
      </c>
      <c r="L55" t="s">
        <v>25</v>
      </c>
      <c r="M55" t="s">
        <v>127</v>
      </c>
      <c r="N55" t="s">
        <v>128</v>
      </c>
      <c r="P55" t="s">
        <v>33</v>
      </c>
      <c r="Q55" t="s">
        <v>34</v>
      </c>
      <c r="R55">
        <v>29</v>
      </c>
      <c r="T55">
        <v>627</v>
      </c>
      <c r="U55" t="s">
        <v>1046</v>
      </c>
      <c r="V55" s="7">
        <v>39.990001679999999</v>
      </c>
      <c r="W55" s="7">
        <v>34.198098313835338</v>
      </c>
      <c r="X55">
        <v>5</v>
      </c>
      <c r="Y55" s="7">
        <v>49.990001679999999</v>
      </c>
      <c r="Z55" s="7">
        <v>199.9500084</v>
      </c>
      <c r="AA55" s="7">
        <f t="shared" si="2"/>
        <v>149.96000672</v>
      </c>
      <c r="AB55" t="s">
        <v>45</v>
      </c>
      <c r="AC55" t="str">
        <f t="shared" si="3"/>
        <v>Non-Cash Payments</v>
      </c>
    </row>
    <row r="56" spans="1:29" x14ac:dyDescent="0.25">
      <c r="A56">
        <v>49214</v>
      </c>
      <c r="B56" s="2">
        <v>42723</v>
      </c>
      <c r="C56">
        <v>4</v>
      </c>
      <c r="D56" s="2">
        <f t="shared" si="0"/>
        <v>42727</v>
      </c>
      <c r="E56">
        <v>1</v>
      </c>
      <c r="F56" t="s">
        <v>62</v>
      </c>
      <c r="G56" t="str">
        <f t="shared" si="1"/>
        <v>Other</v>
      </c>
      <c r="H56">
        <v>24</v>
      </c>
      <c r="I56">
        <v>2792</v>
      </c>
      <c r="J56">
        <v>5</v>
      </c>
      <c r="K56" t="s">
        <v>31</v>
      </c>
      <c r="L56" t="s">
        <v>25</v>
      </c>
      <c r="M56" t="s">
        <v>129</v>
      </c>
      <c r="N56" t="s">
        <v>130</v>
      </c>
      <c r="P56" t="s">
        <v>131</v>
      </c>
      <c r="Q56" t="s">
        <v>29</v>
      </c>
      <c r="R56">
        <v>24</v>
      </c>
      <c r="T56">
        <v>502</v>
      </c>
      <c r="U56" t="s">
        <v>1058</v>
      </c>
      <c r="V56" s="7">
        <v>50</v>
      </c>
      <c r="W56" s="7">
        <v>43.678035218757444</v>
      </c>
      <c r="X56">
        <v>5</v>
      </c>
      <c r="Y56" s="7">
        <v>62.5</v>
      </c>
      <c r="Z56" s="7">
        <v>250</v>
      </c>
      <c r="AA56" s="7">
        <f t="shared" si="2"/>
        <v>187.5</v>
      </c>
      <c r="AB56" t="s">
        <v>45</v>
      </c>
      <c r="AC56" t="str">
        <f t="shared" si="3"/>
        <v>Non-Cash Payments</v>
      </c>
    </row>
    <row r="57" spans="1:29" x14ac:dyDescent="0.25">
      <c r="A57">
        <v>41825</v>
      </c>
      <c r="B57" s="2">
        <v>42409</v>
      </c>
      <c r="C57">
        <v>4</v>
      </c>
      <c r="D57" s="2">
        <f t="shared" si="0"/>
        <v>42415</v>
      </c>
      <c r="E57">
        <v>1</v>
      </c>
      <c r="F57" t="s">
        <v>62</v>
      </c>
      <c r="G57" t="str">
        <f t="shared" si="1"/>
        <v>Other</v>
      </c>
      <c r="H57">
        <v>40</v>
      </c>
      <c r="I57">
        <v>10118</v>
      </c>
      <c r="J57">
        <v>6</v>
      </c>
      <c r="K57" t="s">
        <v>35</v>
      </c>
      <c r="L57" t="s">
        <v>25</v>
      </c>
      <c r="M57" t="s">
        <v>86</v>
      </c>
      <c r="N57" t="s">
        <v>87</v>
      </c>
      <c r="P57" t="s">
        <v>88</v>
      </c>
      <c r="Q57" t="s">
        <v>89</v>
      </c>
      <c r="R57">
        <v>40</v>
      </c>
      <c r="T57">
        <v>906</v>
      </c>
      <c r="U57" t="s">
        <v>1065</v>
      </c>
      <c r="V57" s="7">
        <v>24.989999770000001</v>
      </c>
      <c r="W57" s="7">
        <v>16.911999892000001</v>
      </c>
      <c r="X57">
        <v>5</v>
      </c>
      <c r="Y57" s="7">
        <v>0</v>
      </c>
      <c r="Z57" s="7">
        <v>124.94999885</v>
      </c>
      <c r="AA57" s="7">
        <f t="shared" si="2"/>
        <v>124.94999885</v>
      </c>
      <c r="AB57" t="s">
        <v>45</v>
      </c>
      <c r="AC57" t="str">
        <f t="shared" si="3"/>
        <v>Non-Cash Payments</v>
      </c>
    </row>
    <row r="58" spans="1:29" x14ac:dyDescent="0.25">
      <c r="A58">
        <v>44504</v>
      </c>
      <c r="B58" s="2">
        <v>42684</v>
      </c>
      <c r="C58">
        <v>4</v>
      </c>
      <c r="D58" s="2">
        <f t="shared" si="0"/>
        <v>42690</v>
      </c>
      <c r="E58">
        <v>1</v>
      </c>
      <c r="F58" t="s">
        <v>62</v>
      </c>
      <c r="G58" t="str">
        <f t="shared" si="1"/>
        <v>Other</v>
      </c>
      <c r="H58">
        <v>40</v>
      </c>
      <c r="I58">
        <v>8544</v>
      </c>
      <c r="J58">
        <v>6</v>
      </c>
      <c r="K58" t="s">
        <v>35</v>
      </c>
      <c r="L58" t="s">
        <v>25</v>
      </c>
      <c r="M58" t="s">
        <v>36</v>
      </c>
      <c r="N58" t="s">
        <v>36</v>
      </c>
      <c r="P58" t="s">
        <v>37</v>
      </c>
      <c r="Q58" t="s">
        <v>29</v>
      </c>
      <c r="R58">
        <v>40</v>
      </c>
      <c r="T58">
        <v>885</v>
      </c>
      <c r="U58" t="s">
        <v>1064</v>
      </c>
      <c r="V58" s="7">
        <v>24.989999770000001</v>
      </c>
      <c r="W58" s="7">
        <v>29.483249567625002</v>
      </c>
      <c r="X58">
        <v>5</v>
      </c>
      <c r="Y58" s="7">
        <v>6.25</v>
      </c>
      <c r="Z58" s="7">
        <v>124.94999885</v>
      </c>
      <c r="AA58" s="7">
        <f t="shared" si="2"/>
        <v>118.69999885</v>
      </c>
      <c r="AB58" t="s">
        <v>45</v>
      </c>
      <c r="AC58" t="str">
        <f t="shared" si="3"/>
        <v>Non-Cash Payments</v>
      </c>
    </row>
    <row r="59" spans="1:29" x14ac:dyDescent="0.25">
      <c r="A59">
        <v>44496</v>
      </c>
      <c r="B59" s="2">
        <v>42684</v>
      </c>
      <c r="C59">
        <v>4</v>
      </c>
      <c r="D59" s="2">
        <f t="shared" si="0"/>
        <v>42690</v>
      </c>
      <c r="E59">
        <v>0</v>
      </c>
      <c r="F59" t="s">
        <v>62</v>
      </c>
      <c r="G59" t="str">
        <f t="shared" si="1"/>
        <v>Other</v>
      </c>
      <c r="H59">
        <v>40</v>
      </c>
      <c r="I59">
        <v>4296</v>
      </c>
      <c r="J59">
        <v>6</v>
      </c>
      <c r="K59" t="s">
        <v>35</v>
      </c>
      <c r="L59" t="s">
        <v>25</v>
      </c>
      <c r="M59" t="s">
        <v>132</v>
      </c>
      <c r="N59" t="s">
        <v>133</v>
      </c>
      <c r="P59" t="s">
        <v>65</v>
      </c>
      <c r="Q59" t="s">
        <v>52</v>
      </c>
      <c r="R59">
        <v>40</v>
      </c>
      <c r="T59">
        <v>886</v>
      </c>
      <c r="U59" t="s">
        <v>1066</v>
      </c>
      <c r="V59" s="7">
        <v>24.989999770000001</v>
      </c>
      <c r="W59" s="7">
        <v>18.459749817000002</v>
      </c>
      <c r="X59">
        <v>5</v>
      </c>
      <c r="Y59" s="7">
        <v>6.8699998860000004</v>
      </c>
      <c r="Z59" s="7">
        <v>124.94999885</v>
      </c>
      <c r="AA59" s="7">
        <f t="shared" si="2"/>
        <v>118.079998964</v>
      </c>
      <c r="AB59" t="s">
        <v>45</v>
      </c>
      <c r="AC59" t="str">
        <f t="shared" si="3"/>
        <v>Non-Cash Payments</v>
      </c>
    </row>
    <row r="60" spans="1:29" x14ac:dyDescent="0.25">
      <c r="A60">
        <v>45559</v>
      </c>
      <c r="B60" s="2">
        <v>42670</v>
      </c>
      <c r="C60">
        <v>4</v>
      </c>
      <c r="D60" s="2">
        <f t="shared" si="0"/>
        <v>42676</v>
      </c>
      <c r="E60">
        <v>1</v>
      </c>
      <c r="F60" t="s">
        <v>62</v>
      </c>
      <c r="G60" t="str">
        <f t="shared" si="1"/>
        <v>Other</v>
      </c>
      <c r="H60">
        <v>41</v>
      </c>
      <c r="I60">
        <v>4391</v>
      </c>
      <c r="J60">
        <v>6</v>
      </c>
      <c r="K60" t="s">
        <v>35</v>
      </c>
      <c r="L60" t="s">
        <v>25</v>
      </c>
      <c r="M60" t="s">
        <v>129</v>
      </c>
      <c r="N60" t="s">
        <v>130</v>
      </c>
      <c r="P60" t="s">
        <v>131</v>
      </c>
      <c r="Q60" t="s">
        <v>29</v>
      </c>
      <c r="R60">
        <v>41</v>
      </c>
      <c r="T60">
        <v>926</v>
      </c>
      <c r="U60" t="s">
        <v>1067</v>
      </c>
      <c r="V60" s="7">
        <v>15.989999770000001</v>
      </c>
      <c r="W60" s="7">
        <v>12.230249713200003</v>
      </c>
      <c r="X60">
        <v>5</v>
      </c>
      <c r="Y60" s="7">
        <v>5.5999999049999998</v>
      </c>
      <c r="Z60" s="7">
        <v>79.94999885</v>
      </c>
      <c r="AA60" s="7">
        <f t="shared" si="2"/>
        <v>74.349998944999996</v>
      </c>
      <c r="AB60" t="s">
        <v>45</v>
      </c>
      <c r="AC60" t="str">
        <f t="shared" si="3"/>
        <v>Non-Cash Payments</v>
      </c>
    </row>
    <row r="61" spans="1:29" x14ac:dyDescent="0.25">
      <c r="A61">
        <v>44074</v>
      </c>
      <c r="B61" s="2">
        <v>42500</v>
      </c>
      <c r="C61">
        <v>4</v>
      </c>
      <c r="D61" s="2">
        <f t="shared" si="0"/>
        <v>42506</v>
      </c>
      <c r="E61">
        <v>1</v>
      </c>
      <c r="F61" t="s">
        <v>62</v>
      </c>
      <c r="G61" t="str">
        <f t="shared" si="1"/>
        <v>Other</v>
      </c>
      <c r="H61">
        <v>41</v>
      </c>
      <c r="I61">
        <v>2882</v>
      </c>
      <c r="J61">
        <v>6</v>
      </c>
      <c r="K61" t="s">
        <v>35</v>
      </c>
      <c r="L61" t="s">
        <v>25</v>
      </c>
      <c r="M61" t="s">
        <v>134</v>
      </c>
      <c r="N61" t="s">
        <v>134</v>
      </c>
      <c r="P61" t="s">
        <v>28</v>
      </c>
      <c r="Q61" t="s">
        <v>29</v>
      </c>
      <c r="R61">
        <v>41</v>
      </c>
      <c r="T61">
        <v>924</v>
      </c>
      <c r="U61" t="s">
        <v>1068</v>
      </c>
      <c r="V61" s="7">
        <v>15.989999770000001</v>
      </c>
      <c r="W61" s="7">
        <v>16.143866608000003</v>
      </c>
      <c r="X61">
        <v>5</v>
      </c>
      <c r="Y61" s="7">
        <v>12.789999959999999</v>
      </c>
      <c r="Z61" s="7">
        <v>79.94999885</v>
      </c>
      <c r="AA61" s="7">
        <f t="shared" si="2"/>
        <v>67.159998889999997</v>
      </c>
      <c r="AB61" t="s">
        <v>45</v>
      </c>
      <c r="AC61" t="str">
        <f t="shared" si="3"/>
        <v>Non-Cash Payments</v>
      </c>
    </row>
    <row r="62" spans="1:29" x14ac:dyDescent="0.25">
      <c r="A62">
        <v>49857</v>
      </c>
      <c r="B62" s="2">
        <v>42732</v>
      </c>
      <c r="C62">
        <v>4</v>
      </c>
      <c r="D62" s="2">
        <f t="shared" si="0"/>
        <v>42738</v>
      </c>
      <c r="E62">
        <v>0</v>
      </c>
      <c r="F62" t="s">
        <v>62</v>
      </c>
      <c r="G62" t="str">
        <f t="shared" si="1"/>
        <v>Other</v>
      </c>
      <c r="H62">
        <v>37</v>
      </c>
      <c r="I62">
        <v>3283</v>
      </c>
      <c r="J62">
        <v>6</v>
      </c>
      <c r="K62" t="s">
        <v>35</v>
      </c>
      <c r="L62" t="s">
        <v>25</v>
      </c>
      <c r="M62" t="s">
        <v>135</v>
      </c>
      <c r="N62" t="s">
        <v>135</v>
      </c>
      <c r="P62" t="s">
        <v>68</v>
      </c>
      <c r="Q62" t="s">
        <v>41</v>
      </c>
      <c r="R62">
        <v>37</v>
      </c>
      <c r="T62">
        <v>825</v>
      </c>
      <c r="U62" t="s">
        <v>1069</v>
      </c>
      <c r="V62" s="7">
        <v>31.989999770000001</v>
      </c>
      <c r="W62" s="7">
        <v>23.973333102666668</v>
      </c>
      <c r="X62">
        <v>5</v>
      </c>
      <c r="Y62" s="7">
        <v>28.790000920000001</v>
      </c>
      <c r="Z62" s="7">
        <v>159.94999885000001</v>
      </c>
      <c r="AA62" s="7">
        <f t="shared" si="2"/>
        <v>131.15999793</v>
      </c>
      <c r="AB62" t="s">
        <v>45</v>
      </c>
      <c r="AC62" t="str">
        <f t="shared" si="3"/>
        <v>Non-Cash Payments</v>
      </c>
    </row>
    <row r="63" spans="1:29" x14ac:dyDescent="0.25">
      <c r="A63">
        <v>41786</v>
      </c>
      <c r="B63" s="2">
        <v>42378</v>
      </c>
      <c r="C63">
        <v>4</v>
      </c>
      <c r="D63" s="2">
        <f t="shared" si="0"/>
        <v>42383</v>
      </c>
      <c r="E63">
        <v>0</v>
      </c>
      <c r="F63" t="s">
        <v>62</v>
      </c>
      <c r="G63" t="str">
        <f t="shared" si="1"/>
        <v>Other</v>
      </c>
      <c r="H63">
        <v>44</v>
      </c>
      <c r="I63">
        <v>397</v>
      </c>
      <c r="J63">
        <v>7</v>
      </c>
      <c r="K63" t="s">
        <v>58</v>
      </c>
      <c r="L63" t="s">
        <v>25</v>
      </c>
      <c r="M63" t="s">
        <v>38</v>
      </c>
      <c r="N63" t="s">
        <v>39</v>
      </c>
      <c r="P63" t="s">
        <v>40</v>
      </c>
      <c r="Q63" t="s">
        <v>41</v>
      </c>
      <c r="R63">
        <v>44</v>
      </c>
      <c r="T63">
        <v>977</v>
      </c>
      <c r="U63" t="s">
        <v>1070</v>
      </c>
      <c r="V63" s="7">
        <v>29.989999770000001</v>
      </c>
      <c r="W63" s="7">
        <v>21.106999969000004</v>
      </c>
      <c r="X63">
        <v>5</v>
      </c>
      <c r="Y63" s="7">
        <v>29.989999770000001</v>
      </c>
      <c r="Z63" s="7">
        <v>149.94999885000001</v>
      </c>
      <c r="AA63" s="7">
        <f t="shared" si="2"/>
        <v>119.95999908000002</v>
      </c>
      <c r="AB63" t="s">
        <v>45</v>
      </c>
      <c r="AC63" t="str">
        <f t="shared" si="3"/>
        <v>Non-Cash Payments</v>
      </c>
    </row>
    <row r="64" spans="1:29" x14ac:dyDescent="0.25">
      <c r="A64">
        <v>48042</v>
      </c>
      <c r="B64" s="2">
        <v>42412</v>
      </c>
      <c r="C64">
        <v>4</v>
      </c>
      <c r="D64" s="2">
        <f t="shared" si="0"/>
        <v>42418</v>
      </c>
      <c r="E64">
        <v>0</v>
      </c>
      <c r="F64" t="s">
        <v>62</v>
      </c>
      <c r="G64" t="str">
        <f t="shared" si="1"/>
        <v>Other</v>
      </c>
      <c r="H64">
        <v>6</v>
      </c>
      <c r="I64">
        <v>4104</v>
      </c>
      <c r="J64">
        <v>2</v>
      </c>
      <c r="K64" t="s">
        <v>136</v>
      </c>
      <c r="L64" t="s">
        <v>25</v>
      </c>
      <c r="M64" t="s">
        <v>137</v>
      </c>
      <c r="N64" t="s">
        <v>126</v>
      </c>
      <c r="P64" t="s">
        <v>109</v>
      </c>
      <c r="Q64" t="s">
        <v>29</v>
      </c>
      <c r="R64">
        <v>6</v>
      </c>
      <c r="T64">
        <v>116</v>
      </c>
      <c r="U64" t="s">
        <v>1072</v>
      </c>
      <c r="V64" s="7">
        <v>44.990001679999999</v>
      </c>
      <c r="W64" s="7">
        <v>30.409585080374999</v>
      </c>
      <c r="X64">
        <v>5</v>
      </c>
      <c r="Y64" s="7">
        <v>38.240001679999999</v>
      </c>
      <c r="Z64" s="7">
        <v>224.9500084</v>
      </c>
      <c r="AA64" s="7">
        <f t="shared" si="2"/>
        <v>186.71000672</v>
      </c>
      <c r="AB64" t="s">
        <v>45</v>
      </c>
      <c r="AC64" t="str">
        <f t="shared" si="3"/>
        <v>Non-Cash Payments</v>
      </c>
    </row>
    <row r="65" spans="1:29" x14ac:dyDescent="0.25">
      <c r="A65">
        <v>44301</v>
      </c>
      <c r="B65" s="2">
        <v>42592</v>
      </c>
      <c r="C65">
        <v>4</v>
      </c>
      <c r="D65" s="2">
        <f t="shared" si="0"/>
        <v>42598</v>
      </c>
      <c r="E65">
        <v>0</v>
      </c>
      <c r="F65" t="s">
        <v>62</v>
      </c>
      <c r="G65" t="str">
        <f t="shared" si="1"/>
        <v>Other</v>
      </c>
      <c r="H65">
        <v>9</v>
      </c>
      <c r="I65">
        <v>12214</v>
      </c>
      <c r="J65">
        <v>3</v>
      </c>
      <c r="K65" t="s">
        <v>24</v>
      </c>
      <c r="L65" t="s">
        <v>25</v>
      </c>
      <c r="M65" t="s">
        <v>47</v>
      </c>
      <c r="N65" t="s">
        <v>47</v>
      </c>
      <c r="P65" t="s">
        <v>48</v>
      </c>
      <c r="Q65" t="s">
        <v>41</v>
      </c>
      <c r="R65">
        <v>9</v>
      </c>
      <c r="T65">
        <v>191</v>
      </c>
      <c r="U65" t="s">
        <v>1044</v>
      </c>
      <c r="V65" s="7">
        <v>99.989997860000003</v>
      </c>
      <c r="W65" s="7">
        <v>95.114003926871064</v>
      </c>
      <c r="X65">
        <v>5</v>
      </c>
      <c r="Y65" s="7">
        <v>25</v>
      </c>
      <c r="Z65" s="7">
        <v>499.94998930000003</v>
      </c>
      <c r="AA65" s="7">
        <f t="shared" si="2"/>
        <v>474.94998930000003</v>
      </c>
      <c r="AB65" t="s">
        <v>45</v>
      </c>
      <c r="AC65" t="str">
        <f t="shared" si="3"/>
        <v>Non-Cash Payments</v>
      </c>
    </row>
    <row r="66" spans="1:29" x14ac:dyDescent="0.25">
      <c r="A66">
        <v>41591</v>
      </c>
      <c r="B66" s="2">
        <v>42612</v>
      </c>
      <c r="C66">
        <v>4</v>
      </c>
      <c r="D66" s="2">
        <f t="shared" si="0"/>
        <v>42618</v>
      </c>
      <c r="E66">
        <v>0</v>
      </c>
      <c r="F66" t="s">
        <v>62</v>
      </c>
      <c r="G66" t="str">
        <f t="shared" si="1"/>
        <v>Other</v>
      </c>
      <c r="H66">
        <v>17</v>
      </c>
      <c r="I66">
        <v>10699</v>
      </c>
      <c r="J66">
        <v>4</v>
      </c>
      <c r="K66" t="s">
        <v>46</v>
      </c>
      <c r="L66" t="s">
        <v>25</v>
      </c>
      <c r="M66" t="s">
        <v>138</v>
      </c>
      <c r="N66" t="s">
        <v>138</v>
      </c>
      <c r="P66" t="s">
        <v>100</v>
      </c>
      <c r="Q66" t="s">
        <v>52</v>
      </c>
      <c r="R66">
        <v>17</v>
      </c>
      <c r="T66">
        <v>365</v>
      </c>
      <c r="U66" t="s">
        <v>1054</v>
      </c>
      <c r="V66" s="7">
        <v>59.990001679999999</v>
      </c>
      <c r="W66" s="7">
        <v>54.488929209402009</v>
      </c>
      <c r="X66">
        <v>5</v>
      </c>
      <c r="Y66" s="7">
        <v>0</v>
      </c>
      <c r="Z66" s="7">
        <v>299.9500084</v>
      </c>
      <c r="AA66" s="7">
        <f t="shared" si="2"/>
        <v>299.9500084</v>
      </c>
      <c r="AB66" t="s">
        <v>45</v>
      </c>
      <c r="AC66" t="str">
        <f t="shared" si="3"/>
        <v>Non-Cash Payments</v>
      </c>
    </row>
    <row r="67" spans="1:29" x14ac:dyDescent="0.25">
      <c r="A67">
        <v>44981</v>
      </c>
      <c r="B67" s="2">
        <v>42661</v>
      </c>
      <c r="C67">
        <v>4</v>
      </c>
      <c r="D67" s="2">
        <f t="shared" ref="D67:D130" si="4">WORKDAY(B67,C67)</f>
        <v>42667</v>
      </c>
      <c r="E67">
        <v>0</v>
      </c>
      <c r="F67" t="s">
        <v>62</v>
      </c>
      <c r="G67" t="str">
        <f t="shared" ref="G67:G130" si="5">IF(AND(E67=0,F67="Same Day"),"Same Day - On Time","Other")</f>
        <v>Other</v>
      </c>
      <c r="H67">
        <v>29</v>
      </c>
      <c r="I67">
        <v>2091</v>
      </c>
      <c r="J67">
        <v>5</v>
      </c>
      <c r="K67" t="s">
        <v>31</v>
      </c>
      <c r="L67" t="s">
        <v>25</v>
      </c>
      <c r="M67" t="s">
        <v>79</v>
      </c>
      <c r="N67" t="s">
        <v>79</v>
      </c>
      <c r="P67" t="s">
        <v>61</v>
      </c>
      <c r="Q67" t="s">
        <v>41</v>
      </c>
      <c r="R67">
        <v>29</v>
      </c>
      <c r="T67">
        <v>627</v>
      </c>
      <c r="U67" t="s">
        <v>1046</v>
      </c>
      <c r="V67" s="7">
        <v>39.990001679999999</v>
      </c>
      <c r="W67" s="7">
        <v>34.198098313835338</v>
      </c>
      <c r="X67">
        <v>5</v>
      </c>
      <c r="Y67" s="7">
        <v>33.990001679999999</v>
      </c>
      <c r="Z67" s="7">
        <v>199.9500084</v>
      </c>
      <c r="AA67" s="7">
        <f t="shared" ref="AA67:AA130" si="6">Z67-Y67</f>
        <v>165.96000672</v>
      </c>
      <c r="AB67" t="s">
        <v>45</v>
      </c>
      <c r="AC67" t="str">
        <f t="shared" ref="AC67:AC130" si="7">IF(AND(AA67&gt;200,AB67="CASH"),"Cash Over 200",IF(AB67="CASH","Cash Not Over 200","Non-Cash Payments"))</f>
        <v>Non-Cash Payments</v>
      </c>
    </row>
    <row r="68" spans="1:29" x14ac:dyDescent="0.25">
      <c r="A68">
        <v>41545</v>
      </c>
      <c r="B68" s="2">
        <v>42611</v>
      </c>
      <c r="C68">
        <v>4</v>
      </c>
      <c r="D68" s="2">
        <f t="shared" si="4"/>
        <v>42615</v>
      </c>
      <c r="E68">
        <v>1</v>
      </c>
      <c r="F68" t="s">
        <v>62</v>
      </c>
      <c r="G68" t="str">
        <f t="shared" si="5"/>
        <v>Other</v>
      </c>
      <c r="H68">
        <v>24</v>
      </c>
      <c r="I68">
        <v>10474</v>
      </c>
      <c r="J68">
        <v>5</v>
      </c>
      <c r="K68" t="s">
        <v>31</v>
      </c>
      <c r="L68" t="s">
        <v>25</v>
      </c>
      <c r="M68" t="s">
        <v>139</v>
      </c>
      <c r="N68" t="s">
        <v>140</v>
      </c>
      <c r="P68" t="s">
        <v>88</v>
      </c>
      <c r="Q68" t="s">
        <v>89</v>
      </c>
      <c r="R68">
        <v>24</v>
      </c>
      <c r="T68">
        <v>502</v>
      </c>
      <c r="U68" t="s">
        <v>1058</v>
      </c>
      <c r="V68" s="7">
        <v>50</v>
      </c>
      <c r="W68" s="7">
        <v>43.678035218757444</v>
      </c>
      <c r="X68">
        <v>5</v>
      </c>
      <c r="Y68" s="7">
        <v>50</v>
      </c>
      <c r="Z68" s="7">
        <v>250</v>
      </c>
      <c r="AA68" s="7">
        <f t="shared" si="6"/>
        <v>200</v>
      </c>
      <c r="AB68" t="s">
        <v>45</v>
      </c>
      <c r="AC68" t="str">
        <f t="shared" si="7"/>
        <v>Non-Cash Payments</v>
      </c>
    </row>
    <row r="69" spans="1:29" x14ac:dyDescent="0.25">
      <c r="A69">
        <v>49910</v>
      </c>
      <c r="B69" s="2">
        <v>42733</v>
      </c>
      <c r="C69">
        <v>4</v>
      </c>
      <c r="D69" s="2">
        <f t="shared" si="4"/>
        <v>42739</v>
      </c>
      <c r="E69">
        <v>1</v>
      </c>
      <c r="F69" t="s">
        <v>62</v>
      </c>
      <c r="G69" t="str">
        <f t="shared" si="5"/>
        <v>Other</v>
      </c>
      <c r="H69">
        <v>37</v>
      </c>
      <c r="I69">
        <v>7504</v>
      </c>
      <c r="J69">
        <v>6</v>
      </c>
      <c r="K69" t="s">
        <v>35</v>
      </c>
      <c r="L69" t="s">
        <v>25</v>
      </c>
      <c r="M69" t="s">
        <v>139</v>
      </c>
      <c r="N69" t="s">
        <v>140</v>
      </c>
      <c r="P69" t="s">
        <v>88</v>
      </c>
      <c r="Q69" t="s">
        <v>89</v>
      </c>
      <c r="R69">
        <v>37</v>
      </c>
      <c r="T69">
        <v>818</v>
      </c>
      <c r="U69" t="s">
        <v>1074</v>
      </c>
      <c r="V69" s="7">
        <v>47.990001679999999</v>
      </c>
      <c r="W69" s="7">
        <v>51.274287170714288</v>
      </c>
      <c r="X69">
        <v>5</v>
      </c>
      <c r="Y69" s="7">
        <v>43.189998629999998</v>
      </c>
      <c r="Z69" s="7">
        <v>239.9500084</v>
      </c>
      <c r="AA69" s="7">
        <f t="shared" si="6"/>
        <v>196.76000977000001</v>
      </c>
      <c r="AB69" t="s">
        <v>45</v>
      </c>
      <c r="AC69" t="str">
        <f t="shared" si="7"/>
        <v>Non-Cash Payments</v>
      </c>
    </row>
    <row r="70" spans="1:29" x14ac:dyDescent="0.25">
      <c r="A70">
        <v>47262</v>
      </c>
      <c r="B70" s="2">
        <v>42694</v>
      </c>
      <c r="C70">
        <v>2</v>
      </c>
      <c r="D70" s="2">
        <f t="shared" si="4"/>
        <v>42696</v>
      </c>
      <c r="E70">
        <v>1</v>
      </c>
      <c r="F70" t="s">
        <v>23</v>
      </c>
      <c r="G70" t="str">
        <f t="shared" si="5"/>
        <v>Other</v>
      </c>
      <c r="H70">
        <v>9</v>
      </c>
      <c r="I70">
        <v>8133</v>
      </c>
      <c r="J70">
        <v>3</v>
      </c>
      <c r="K70" t="s">
        <v>24</v>
      </c>
      <c r="L70" t="s">
        <v>25</v>
      </c>
      <c r="M70" t="s">
        <v>141</v>
      </c>
      <c r="N70" t="s">
        <v>142</v>
      </c>
      <c r="P70" t="s">
        <v>88</v>
      </c>
      <c r="Q70" t="s">
        <v>89</v>
      </c>
      <c r="R70">
        <v>9</v>
      </c>
      <c r="T70">
        <v>191</v>
      </c>
      <c r="U70" t="s">
        <v>1044</v>
      </c>
      <c r="V70" s="7">
        <v>99.989997860000003</v>
      </c>
      <c r="W70" s="7">
        <v>95.114003926871064</v>
      </c>
      <c r="X70">
        <v>4</v>
      </c>
      <c r="Y70" s="7">
        <v>63.990001679999999</v>
      </c>
      <c r="Z70" s="7">
        <v>399.95999144000001</v>
      </c>
      <c r="AA70" s="7">
        <f t="shared" si="6"/>
        <v>335.96998976000003</v>
      </c>
      <c r="AB70" t="s">
        <v>30</v>
      </c>
      <c r="AC70" t="str">
        <f t="shared" si="7"/>
        <v>Cash Over 200</v>
      </c>
    </row>
    <row r="71" spans="1:29" x14ac:dyDescent="0.25">
      <c r="A71">
        <v>44771</v>
      </c>
      <c r="B71" s="2">
        <v>42658</v>
      </c>
      <c r="C71">
        <v>2</v>
      </c>
      <c r="D71" s="2">
        <f t="shared" si="4"/>
        <v>42661</v>
      </c>
      <c r="E71">
        <v>0</v>
      </c>
      <c r="F71" t="s">
        <v>23</v>
      </c>
      <c r="G71" t="str">
        <f t="shared" si="5"/>
        <v>Other</v>
      </c>
      <c r="H71">
        <v>37</v>
      </c>
      <c r="I71">
        <v>1429</v>
      </c>
      <c r="J71">
        <v>6</v>
      </c>
      <c r="K71" t="s">
        <v>35</v>
      </c>
      <c r="L71" t="s">
        <v>25</v>
      </c>
      <c r="M71" t="s">
        <v>139</v>
      </c>
      <c r="N71" t="s">
        <v>140</v>
      </c>
      <c r="P71" t="s">
        <v>88</v>
      </c>
      <c r="Q71" t="s">
        <v>89</v>
      </c>
      <c r="R71">
        <v>37</v>
      </c>
      <c r="T71">
        <v>835</v>
      </c>
      <c r="U71" t="s">
        <v>1075</v>
      </c>
      <c r="V71" s="7">
        <v>31.989999770000001</v>
      </c>
      <c r="W71" s="7">
        <v>21.242499350000003</v>
      </c>
      <c r="X71">
        <v>4</v>
      </c>
      <c r="Y71" s="7">
        <v>5.1199998860000004</v>
      </c>
      <c r="Z71" s="7">
        <v>127.95999908</v>
      </c>
      <c r="AA71" s="7">
        <f t="shared" si="6"/>
        <v>122.839999194</v>
      </c>
      <c r="AB71" t="s">
        <v>30</v>
      </c>
      <c r="AC71" t="str">
        <f t="shared" si="7"/>
        <v>Cash Not Over 200</v>
      </c>
    </row>
    <row r="72" spans="1:29" x14ac:dyDescent="0.25">
      <c r="A72">
        <v>48374</v>
      </c>
      <c r="B72" s="2">
        <v>42563</v>
      </c>
      <c r="C72">
        <v>2</v>
      </c>
      <c r="D72" s="2">
        <f t="shared" si="4"/>
        <v>42565</v>
      </c>
      <c r="E72">
        <v>1</v>
      </c>
      <c r="F72" t="s">
        <v>23</v>
      </c>
      <c r="G72" t="str">
        <f t="shared" si="5"/>
        <v>Other</v>
      </c>
      <c r="H72">
        <v>9</v>
      </c>
      <c r="I72">
        <v>1834</v>
      </c>
      <c r="J72">
        <v>3</v>
      </c>
      <c r="K72" t="s">
        <v>24</v>
      </c>
      <c r="L72" t="s">
        <v>25</v>
      </c>
      <c r="M72" t="s">
        <v>32</v>
      </c>
      <c r="N72" t="s">
        <v>32</v>
      </c>
      <c r="P72" t="s">
        <v>33</v>
      </c>
      <c r="Q72" t="s">
        <v>34</v>
      </c>
      <c r="R72">
        <v>9</v>
      </c>
      <c r="T72">
        <v>191</v>
      </c>
      <c r="U72" t="s">
        <v>1044</v>
      </c>
      <c r="V72" s="7">
        <v>99.989997860000003</v>
      </c>
      <c r="W72" s="7">
        <v>95.114003926871064</v>
      </c>
      <c r="X72">
        <v>5</v>
      </c>
      <c r="Y72" s="7">
        <v>64.989997860000003</v>
      </c>
      <c r="Z72" s="7">
        <v>499.94998930000003</v>
      </c>
      <c r="AA72" s="7">
        <f t="shared" si="6"/>
        <v>434.95999144000001</v>
      </c>
      <c r="AB72" t="s">
        <v>30</v>
      </c>
      <c r="AC72" t="str">
        <f t="shared" si="7"/>
        <v>Cash Over 200</v>
      </c>
    </row>
    <row r="73" spans="1:29" x14ac:dyDescent="0.25">
      <c r="A73">
        <v>48434</v>
      </c>
      <c r="B73" s="2">
        <v>42594</v>
      </c>
      <c r="C73">
        <v>2</v>
      </c>
      <c r="D73" s="2">
        <f t="shared" si="4"/>
        <v>42598</v>
      </c>
      <c r="E73">
        <v>1</v>
      </c>
      <c r="F73" t="s">
        <v>23</v>
      </c>
      <c r="G73" t="str">
        <f t="shared" si="5"/>
        <v>Other</v>
      </c>
      <c r="H73">
        <v>24</v>
      </c>
      <c r="I73">
        <v>9451</v>
      </c>
      <c r="J73">
        <v>5</v>
      </c>
      <c r="K73" t="s">
        <v>31</v>
      </c>
      <c r="L73" t="s">
        <v>25</v>
      </c>
      <c r="M73" t="s">
        <v>38</v>
      </c>
      <c r="N73" t="s">
        <v>39</v>
      </c>
      <c r="P73" t="s">
        <v>40</v>
      </c>
      <c r="Q73" t="s">
        <v>41</v>
      </c>
      <c r="R73">
        <v>24</v>
      </c>
      <c r="T73">
        <v>502</v>
      </c>
      <c r="U73" t="s">
        <v>1058</v>
      </c>
      <c r="V73" s="7">
        <v>50</v>
      </c>
      <c r="W73" s="7">
        <v>43.678035218757444</v>
      </c>
      <c r="X73">
        <v>5</v>
      </c>
      <c r="Y73" s="7">
        <v>22.5</v>
      </c>
      <c r="Z73" s="7">
        <v>250</v>
      </c>
      <c r="AA73" s="7">
        <f t="shared" si="6"/>
        <v>227.5</v>
      </c>
      <c r="AB73" t="s">
        <v>30</v>
      </c>
      <c r="AC73" t="str">
        <f t="shared" si="7"/>
        <v>Cash Over 200</v>
      </c>
    </row>
    <row r="74" spans="1:29" x14ac:dyDescent="0.25">
      <c r="A74">
        <v>44425</v>
      </c>
      <c r="B74" s="2">
        <v>42653</v>
      </c>
      <c r="C74">
        <v>4</v>
      </c>
      <c r="D74" s="2">
        <f t="shared" si="4"/>
        <v>42657</v>
      </c>
      <c r="E74">
        <v>1</v>
      </c>
      <c r="F74" t="s">
        <v>62</v>
      </c>
      <c r="G74" t="str">
        <f t="shared" si="5"/>
        <v>Other</v>
      </c>
      <c r="H74">
        <v>9</v>
      </c>
      <c r="I74">
        <v>3497</v>
      </c>
      <c r="J74">
        <v>3</v>
      </c>
      <c r="K74" t="s">
        <v>24</v>
      </c>
      <c r="L74" t="s">
        <v>25</v>
      </c>
      <c r="M74" t="s">
        <v>143</v>
      </c>
      <c r="N74" t="s">
        <v>144</v>
      </c>
      <c r="P74" t="s">
        <v>40</v>
      </c>
      <c r="Q74" t="s">
        <v>41</v>
      </c>
      <c r="R74">
        <v>9</v>
      </c>
      <c r="T74">
        <v>191</v>
      </c>
      <c r="U74" t="s">
        <v>1044</v>
      </c>
      <c r="V74" s="7">
        <v>99.989997860000003</v>
      </c>
      <c r="W74" s="7">
        <v>95.114003926871064</v>
      </c>
      <c r="X74">
        <v>4</v>
      </c>
      <c r="Y74" s="7">
        <v>67.989997860000003</v>
      </c>
      <c r="Z74" s="7">
        <v>399.95999144000001</v>
      </c>
      <c r="AA74" s="7">
        <f t="shared" si="6"/>
        <v>331.96999357999999</v>
      </c>
      <c r="AB74" t="s">
        <v>66</v>
      </c>
      <c r="AC74" t="str">
        <f t="shared" si="7"/>
        <v>Non-Cash Payments</v>
      </c>
    </row>
    <row r="75" spans="1:29" x14ac:dyDescent="0.25">
      <c r="A75">
        <v>49570</v>
      </c>
      <c r="B75" s="2">
        <v>42728</v>
      </c>
      <c r="C75">
        <v>4</v>
      </c>
      <c r="D75" s="2">
        <f t="shared" si="4"/>
        <v>42733</v>
      </c>
      <c r="E75">
        <v>1</v>
      </c>
      <c r="F75" t="s">
        <v>62</v>
      </c>
      <c r="G75" t="str">
        <f t="shared" si="5"/>
        <v>Other</v>
      </c>
      <c r="H75">
        <v>9</v>
      </c>
      <c r="I75">
        <v>10066</v>
      </c>
      <c r="J75">
        <v>3</v>
      </c>
      <c r="K75" t="s">
        <v>24</v>
      </c>
      <c r="L75" t="s">
        <v>25</v>
      </c>
      <c r="M75" t="s">
        <v>93</v>
      </c>
      <c r="N75" t="s">
        <v>93</v>
      </c>
      <c r="P75" t="s">
        <v>28</v>
      </c>
      <c r="Q75" t="s">
        <v>29</v>
      </c>
      <c r="R75">
        <v>9</v>
      </c>
      <c r="T75">
        <v>191</v>
      </c>
      <c r="U75" t="s">
        <v>1044</v>
      </c>
      <c r="V75" s="7">
        <v>99.989997860000003</v>
      </c>
      <c r="W75" s="7">
        <v>95.114003926871064</v>
      </c>
      <c r="X75">
        <v>4</v>
      </c>
      <c r="Y75" s="7">
        <v>67.989997860000003</v>
      </c>
      <c r="Z75" s="7">
        <v>399.95999144000001</v>
      </c>
      <c r="AA75" s="7">
        <f t="shared" si="6"/>
        <v>331.96999357999999</v>
      </c>
      <c r="AB75" t="s">
        <v>66</v>
      </c>
      <c r="AC75" t="str">
        <f t="shared" si="7"/>
        <v>Non-Cash Payments</v>
      </c>
    </row>
    <row r="76" spans="1:29" x14ac:dyDescent="0.25">
      <c r="A76">
        <v>42099</v>
      </c>
      <c r="B76" s="2">
        <v>42530</v>
      </c>
      <c r="C76">
        <v>4</v>
      </c>
      <c r="D76" s="2">
        <f t="shared" si="4"/>
        <v>42536</v>
      </c>
      <c r="E76">
        <v>1</v>
      </c>
      <c r="F76" t="s">
        <v>62</v>
      </c>
      <c r="G76" t="str">
        <f t="shared" si="5"/>
        <v>Other</v>
      </c>
      <c r="H76">
        <v>17</v>
      </c>
      <c r="I76">
        <v>4248</v>
      </c>
      <c r="J76">
        <v>4</v>
      </c>
      <c r="K76" t="s">
        <v>46</v>
      </c>
      <c r="L76" t="s">
        <v>25</v>
      </c>
      <c r="M76" t="s">
        <v>80</v>
      </c>
      <c r="N76" t="s">
        <v>81</v>
      </c>
      <c r="P76" t="s">
        <v>61</v>
      </c>
      <c r="Q76" t="s">
        <v>41</v>
      </c>
      <c r="R76">
        <v>17</v>
      </c>
      <c r="T76">
        <v>365</v>
      </c>
      <c r="U76" t="s">
        <v>1054</v>
      </c>
      <c r="V76" s="7">
        <v>59.990001679999999</v>
      </c>
      <c r="W76" s="7">
        <v>54.488929209402009</v>
      </c>
      <c r="X76">
        <v>4</v>
      </c>
      <c r="Y76" s="7">
        <v>21.600000380000001</v>
      </c>
      <c r="Z76" s="7">
        <v>239.96000672</v>
      </c>
      <c r="AA76" s="7">
        <f t="shared" si="6"/>
        <v>218.36000633999998</v>
      </c>
      <c r="AB76" t="s">
        <v>66</v>
      </c>
      <c r="AC76" t="str">
        <f t="shared" si="7"/>
        <v>Non-Cash Payments</v>
      </c>
    </row>
    <row r="77" spans="1:29" x14ac:dyDescent="0.25">
      <c r="A77">
        <v>47731</v>
      </c>
      <c r="B77" s="2">
        <v>42701</v>
      </c>
      <c r="C77">
        <v>4</v>
      </c>
      <c r="D77" s="2">
        <f t="shared" si="4"/>
        <v>42705</v>
      </c>
      <c r="E77">
        <v>0</v>
      </c>
      <c r="F77" t="s">
        <v>62</v>
      </c>
      <c r="G77" t="str">
        <f t="shared" si="5"/>
        <v>Other</v>
      </c>
      <c r="H77">
        <v>17</v>
      </c>
      <c r="I77">
        <v>6473</v>
      </c>
      <c r="J77">
        <v>4</v>
      </c>
      <c r="K77" t="s">
        <v>46</v>
      </c>
      <c r="L77" t="s">
        <v>25</v>
      </c>
      <c r="M77" t="s">
        <v>145</v>
      </c>
      <c r="N77" t="s">
        <v>146</v>
      </c>
      <c r="P77" t="s">
        <v>147</v>
      </c>
      <c r="Q77" t="s">
        <v>29</v>
      </c>
      <c r="R77">
        <v>17</v>
      </c>
      <c r="T77">
        <v>365</v>
      </c>
      <c r="U77" t="s">
        <v>1054</v>
      </c>
      <c r="V77" s="7">
        <v>59.990001679999999</v>
      </c>
      <c r="W77" s="7">
        <v>54.488929209402009</v>
      </c>
      <c r="X77">
        <v>4</v>
      </c>
      <c r="Y77" s="7">
        <v>21.600000380000001</v>
      </c>
      <c r="Z77" s="7">
        <v>239.96000672</v>
      </c>
      <c r="AA77" s="7">
        <f t="shared" si="6"/>
        <v>218.36000633999998</v>
      </c>
      <c r="AB77" t="s">
        <v>66</v>
      </c>
      <c r="AC77" t="str">
        <f t="shared" si="7"/>
        <v>Non-Cash Payments</v>
      </c>
    </row>
    <row r="78" spans="1:29" x14ac:dyDescent="0.25">
      <c r="A78">
        <v>46062</v>
      </c>
      <c r="B78" s="2">
        <v>42440</v>
      </c>
      <c r="C78">
        <v>4</v>
      </c>
      <c r="D78" s="2">
        <f t="shared" si="4"/>
        <v>42446</v>
      </c>
      <c r="E78">
        <v>0</v>
      </c>
      <c r="F78" t="s">
        <v>62</v>
      </c>
      <c r="G78" t="str">
        <f t="shared" si="5"/>
        <v>Other</v>
      </c>
      <c r="H78">
        <v>17</v>
      </c>
      <c r="I78">
        <v>12288</v>
      </c>
      <c r="J78">
        <v>4</v>
      </c>
      <c r="K78" t="s">
        <v>46</v>
      </c>
      <c r="L78" t="s">
        <v>25</v>
      </c>
      <c r="M78" t="s">
        <v>148</v>
      </c>
      <c r="N78" t="s">
        <v>149</v>
      </c>
      <c r="P78" t="s">
        <v>68</v>
      </c>
      <c r="Q78" t="s">
        <v>41</v>
      </c>
      <c r="R78">
        <v>17</v>
      </c>
      <c r="T78">
        <v>365</v>
      </c>
      <c r="U78" t="s">
        <v>1054</v>
      </c>
      <c r="V78" s="7">
        <v>59.990001679999999</v>
      </c>
      <c r="W78" s="7">
        <v>54.488929209402009</v>
      </c>
      <c r="X78">
        <v>4</v>
      </c>
      <c r="Y78" s="7">
        <v>28.799999239999998</v>
      </c>
      <c r="Z78" s="7">
        <v>239.96000672</v>
      </c>
      <c r="AA78" s="7">
        <f t="shared" si="6"/>
        <v>211.16000747999999</v>
      </c>
      <c r="AB78" t="s">
        <v>66</v>
      </c>
      <c r="AC78" t="str">
        <f t="shared" si="7"/>
        <v>Non-Cash Payments</v>
      </c>
    </row>
    <row r="79" spans="1:29" x14ac:dyDescent="0.25">
      <c r="A79">
        <v>44938</v>
      </c>
      <c r="B79" s="2">
        <v>42660</v>
      </c>
      <c r="C79">
        <v>4</v>
      </c>
      <c r="D79" s="2">
        <f t="shared" si="4"/>
        <v>42664</v>
      </c>
      <c r="E79">
        <v>0</v>
      </c>
      <c r="F79" t="s">
        <v>62</v>
      </c>
      <c r="G79" t="str">
        <f t="shared" si="5"/>
        <v>Other</v>
      </c>
      <c r="H79">
        <v>17</v>
      </c>
      <c r="I79">
        <v>7764</v>
      </c>
      <c r="J79">
        <v>4</v>
      </c>
      <c r="K79" t="s">
        <v>46</v>
      </c>
      <c r="L79" t="s">
        <v>25</v>
      </c>
      <c r="M79" t="s">
        <v>150</v>
      </c>
      <c r="N79" t="s">
        <v>151</v>
      </c>
      <c r="P79" t="s">
        <v>40</v>
      </c>
      <c r="Q79" t="s">
        <v>41</v>
      </c>
      <c r="R79">
        <v>17</v>
      </c>
      <c r="T79">
        <v>365</v>
      </c>
      <c r="U79" t="s">
        <v>1054</v>
      </c>
      <c r="V79" s="7">
        <v>59.990001679999999</v>
      </c>
      <c r="W79" s="7">
        <v>54.488929209402009</v>
      </c>
      <c r="X79">
        <v>4</v>
      </c>
      <c r="Y79" s="7">
        <v>28.799999239999998</v>
      </c>
      <c r="Z79" s="7">
        <v>239.96000672</v>
      </c>
      <c r="AA79" s="7">
        <f t="shared" si="6"/>
        <v>211.16000747999999</v>
      </c>
      <c r="AB79" t="s">
        <v>66</v>
      </c>
      <c r="AC79" t="str">
        <f t="shared" si="7"/>
        <v>Non-Cash Payments</v>
      </c>
    </row>
    <row r="80" spans="1:29" x14ac:dyDescent="0.25">
      <c r="A80">
        <v>50688</v>
      </c>
      <c r="B80" s="2">
        <v>42979</v>
      </c>
      <c r="C80">
        <v>4</v>
      </c>
      <c r="D80" s="2">
        <f t="shared" si="4"/>
        <v>42985</v>
      </c>
      <c r="E80">
        <v>0</v>
      </c>
      <c r="F80" t="s">
        <v>62</v>
      </c>
      <c r="G80" t="str">
        <f t="shared" si="5"/>
        <v>Other</v>
      </c>
      <c r="H80">
        <v>17</v>
      </c>
      <c r="I80">
        <v>11720</v>
      </c>
      <c r="J80">
        <v>4</v>
      </c>
      <c r="K80" t="s">
        <v>46</v>
      </c>
      <c r="L80" t="s">
        <v>25</v>
      </c>
      <c r="M80" t="s">
        <v>55</v>
      </c>
      <c r="N80" t="s">
        <v>56</v>
      </c>
      <c r="P80" t="s">
        <v>57</v>
      </c>
      <c r="Q80" t="s">
        <v>29</v>
      </c>
      <c r="R80">
        <v>17</v>
      </c>
      <c r="T80">
        <v>365</v>
      </c>
      <c r="U80" t="s">
        <v>1054</v>
      </c>
      <c r="V80" s="7">
        <v>59.990001679999999</v>
      </c>
      <c r="W80" s="7">
        <v>54.488929209402009</v>
      </c>
      <c r="X80">
        <v>4</v>
      </c>
      <c r="Y80" s="7">
        <v>35.990001679999999</v>
      </c>
      <c r="Z80" s="7">
        <v>239.96000672</v>
      </c>
      <c r="AA80" s="7">
        <f t="shared" si="6"/>
        <v>203.97000503999999</v>
      </c>
      <c r="AB80" t="s">
        <v>66</v>
      </c>
      <c r="AC80" t="str">
        <f t="shared" si="7"/>
        <v>Non-Cash Payments</v>
      </c>
    </row>
    <row r="81" spans="1:29" x14ac:dyDescent="0.25">
      <c r="A81">
        <v>49445</v>
      </c>
      <c r="B81" s="2">
        <v>42726</v>
      </c>
      <c r="C81">
        <v>4</v>
      </c>
      <c r="D81" s="2">
        <f t="shared" si="4"/>
        <v>42732</v>
      </c>
      <c r="E81">
        <v>1</v>
      </c>
      <c r="F81" t="s">
        <v>62</v>
      </c>
      <c r="G81" t="str">
        <f t="shared" si="5"/>
        <v>Other</v>
      </c>
      <c r="H81">
        <v>17</v>
      </c>
      <c r="I81">
        <v>3935</v>
      </c>
      <c r="J81">
        <v>4</v>
      </c>
      <c r="K81" t="s">
        <v>46</v>
      </c>
      <c r="L81" t="s">
        <v>25</v>
      </c>
      <c r="M81" t="s">
        <v>152</v>
      </c>
      <c r="N81" t="s">
        <v>153</v>
      </c>
      <c r="P81" t="s">
        <v>122</v>
      </c>
      <c r="Q81" t="s">
        <v>52</v>
      </c>
      <c r="R81">
        <v>17</v>
      </c>
      <c r="T81">
        <v>365</v>
      </c>
      <c r="U81" t="s">
        <v>1054</v>
      </c>
      <c r="V81" s="7">
        <v>59.990001679999999</v>
      </c>
      <c r="W81" s="7">
        <v>54.488929209402009</v>
      </c>
      <c r="X81">
        <v>4</v>
      </c>
      <c r="Y81" s="7">
        <v>38.38999939</v>
      </c>
      <c r="Z81" s="7">
        <v>239.96000672</v>
      </c>
      <c r="AA81" s="7">
        <f t="shared" si="6"/>
        <v>201.57000733000001</v>
      </c>
      <c r="AB81" t="s">
        <v>66</v>
      </c>
      <c r="AC81" t="str">
        <f t="shared" si="7"/>
        <v>Non-Cash Payments</v>
      </c>
    </row>
    <row r="82" spans="1:29" x14ac:dyDescent="0.25">
      <c r="A82">
        <v>47938</v>
      </c>
      <c r="B82" s="2">
        <v>42704</v>
      </c>
      <c r="C82">
        <v>4</v>
      </c>
      <c r="D82" s="2">
        <f t="shared" si="4"/>
        <v>42710</v>
      </c>
      <c r="E82">
        <v>0</v>
      </c>
      <c r="F82" t="s">
        <v>62</v>
      </c>
      <c r="G82" t="str">
        <f t="shared" si="5"/>
        <v>Other</v>
      </c>
      <c r="H82">
        <v>29</v>
      </c>
      <c r="I82">
        <v>8792</v>
      </c>
      <c r="J82">
        <v>5</v>
      </c>
      <c r="K82" t="s">
        <v>31</v>
      </c>
      <c r="L82" t="s">
        <v>25</v>
      </c>
      <c r="M82" t="s">
        <v>79</v>
      </c>
      <c r="N82" t="s">
        <v>79</v>
      </c>
      <c r="P82" t="s">
        <v>61</v>
      </c>
      <c r="Q82" t="s">
        <v>41</v>
      </c>
      <c r="R82">
        <v>29</v>
      </c>
      <c r="T82">
        <v>627</v>
      </c>
      <c r="U82" t="s">
        <v>1046</v>
      </c>
      <c r="V82" s="7">
        <v>39.990001679999999</v>
      </c>
      <c r="W82" s="7">
        <v>34.198098313835338</v>
      </c>
      <c r="X82">
        <v>4</v>
      </c>
      <c r="Y82" s="7">
        <v>1.6000000240000001</v>
      </c>
      <c r="Z82" s="7">
        <v>159.96000672</v>
      </c>
      <c r="AA82" s="7">
        <f t="shared" si="6"/>
        <v>158.360006696</v>
      </c>
      <c r="AB82" t="s">
        <v>66</v>
      </c>
      <c r="AC82" t="str">
        <f t="shared" si="7"/>
        <v>Non-Cash Payments</v>
      </c>
    </row>
    <row r="83" spans="1:29" x14ac:dyDescent="0.25">
      <c r="A83">
        <v>45249</v>
      </c>
      <c r="B83" s="2">
        <v>42665</v>
      </c>
      <c r="C83">
        <v>4</v>
      </c>
      <c r="D83" s="2">
        <f t="shared" si="4"/>
        <v>42670</v>
      </c>
      <c r="E83">
        <v>1</v>
      </c>
      <c r="F83" t="s">
        <v>62</v>
      </c>
      <c r="G83" t="str">
        <f t="shared" si="5"/>
        <v>Other</v>
      </c>
      <c r="H83">
        <v>29</v>
      </c>
      <c r="I83">
        <v>10416</v>
      </c>
      <c r="J83">
        <v>5</v>
      </c>
      <c r="K83" t="s">
        <v>31</v>
      </c>
      <c r="L83" t="s">
        <v>25</v>
      </c>
      <c r="M83" t="s">
        <v>154</v>
      </c>
      <c r="N83" t="s">
        <v>155</v>
      </c>
      <c r="P83" t="s">
        <v>48</v>
      </c>
      <c r="Q83" t="s">
        <v>41</v>
      </c>
      <c r="R83">
        <v>29</v>
      </c>
      <c r="T83">
        <v>627</v>
      </c>
      <c r="U83" t="s">
        <v>1046</v>
      </c>
      <c r="V83" s="7">
        <v>39.990001679999999</v>
      </c>
      <c r="W83" s="7">
        <v>34.198098313835338</v>
      </c>
      <c r="X83">
        <v>4</v>
      </c>
      <c r="Y83" s="7">
        <v>1.6000000240000001</v>
      </c>
      <c r="Z83" s="7">
        <v>159.96000672</v>
      </c>
      <c r="AA83" s="7">
        <f t="shared" si="6"/>
        <v>158.360006696</v>
      </c>
      <c r="AB83" t="s">
        <v>66</v>
      </c>
      <c r="AC83" t="str">
        <f t="shared" si="7"/>
        <v>Non-Cash Payments</v>
      </c>
    </row>
    <row r="84" spans="1:29" x14ac:dyDescent="0.25">
      <c r="A84">
        <v>41874</v>
      </c>
      <c r="B84" s="2">
        <v>42438</v>
      </c>
      <c r="C84">
        <v>4</v>
      </c>
      <c r="D84" s="2">
        <f t="shared" si="4"/>
        <v>42444</v>
      </c>
      <c r="E84">
        <v>1</v>
      </c>
      <c r="F84" t="s">
        <v>62</v>
      </c>
      <c r="G84" t="str">
        <f t="shared" si="5"/>
        <v>Other</v>
      </c>
      <c r="H84">
        <v>24</v>
      </c>
      <c r="I84">
        <v>424</v>
      </c>
      <c r="J84">
        <v>5</v>
      </c>
      <c r="K84" t="s">
        <v>31</v>
      </c>
      <c r="L84" t="s">
        <v>25</v>
      </c>
      <c r="M84" t="s">
        <v>59</v>
      </c>
      <c r="N84" t="s">
        <v>60</v>
      </c>
      <c r="P84" t="s">
        <v>61</v>
      </c>
      <c r="Q84" t="s">
        <v>41</v>
      </c>
      <c r="R84">
        <v>24</v>
      </c>
      <c r="T84">
        <v>502</v>
      </c>
      <c r="U84" t="s">
        <v>1058</v>
      </c>
      <c r="V84" s="7">
        <v>50</v>
      </c>
      <c r="W84" s="7">
        <v>43.678035218757444</v>
      </c>
      <c r="X84">
        <v>4</v>
      </c>
      <c r="Y84" s="7">
        <v>6</v>
      </c>
      <c r="Z84" s="7">
        <v>200</v>
      </c>
      <c r="AA84" s="7">
        <f t="shared" si="6"/>
        <v>194</v>
      </c>
      <c r="AB84" t="s">
        <v>66</v>
      </c>
      <c r="AC84" t="str">
        <f t="shared" si="7"/>
        <v>Non-Cash Payments</v>
      </c>
    </row>
    <row r="85" spans="1:29" x14ac:dyDescent="0.25">
      <c r="A85">
        <v>41572</v>
      </c>
      <c r="B85" s="2">
        <v>42611</v>
      </c>
      <c r="C85">
        <v>4</v>
      </c>
      <c r="D85" s="2">
        <f t="shared" si="4"/>
        <v>42615</v>
      </c>
      <c r="E85">
        <v>0</v>
      </c>
      <c r="F85" t="s">
        <v>62</v>
      </c>
      <c r="G85" t="str">
        <f t="shared" si="5"/>
        <v>Other</v>
      </c>
      <c r="H85">
        <v>24</v>
      </c>
      <c r="I85">
        <v>10031</v>
      </c>
      <c r="J85">
        <v>5</v>
      </c>
      <c r="K85" t="s">
        <v>31</v>
      </c>
      <c r="L85" t="s">
        <v>25</v>
      </c>
      <c r="M85" t="s">
        <v>156</v>
      </c>
      <c r="N85" t="s">
        <v>156</v>
      </c>
      <c r="P85" t="s">
        <v>61</v>
      </c>
      <c r="Q85" t="s">
        <v>41</v>
      </c>
      <c r="R85">
        <v>24</v>
      </c>
      <c r="T85">
        <v>502</v>
      </c>
      <c r="U85" t="s">
        <v>1058</v>
      </c>
      <c r="V85" s="7">
        <v>50</v>
      </c>
      <c r="W85" s="7">
        <v>43.678035218757444</v>
      </c>
      <c r="X85">
        <v>4</v>
      </c>
      <c r="Y85" s="7">
        <v>14</v>
      </c>
      <c r="Z85" s="7">
        <v>200</v>
      </c>
      <c r="AA85" s="7">
        <f t="shared" si="6"/>
        <v>186</v>
      </c>
      <c r="AB85" t="s">
        <v>66</v>
      </c>
      <c r="AC85" t="str">
        <f t="shared" si="7"/>
        <v>Non-Cash Payments</v>
      </c>
    </row>
    <row r="86" spans="1:29" x14ac:dyDescent="0.25">
      <c r="A86">
        <v>46062</v>
      </c>
      <c r="B86" s="2">
        <v>42440</v>
      </c>
      <c r="C86">
        <v>4</v>
      </c>
      <c r="D86" s="2">
        <f t="shared" si="4"/>
        <v>42446</v>
      </c>
      <c r="E86">
        <v>0</v>
      </c>
      <c r="F86" t="s">
        <v>62</v>
      </c>
      <c r="G86" t="str">
        <f t="shared" si="5"/>
        <v>Other</v>
      </c>
      <c r="H86">
        <v>24</v>
      </c>
      <c r="I86">
        <v>12288</v>
      </c>
      <c r="J86">
        <v>5</v>
      </c>
      <c r="K86" t="s">
        <v>31</v>
      </c>
      <c r="L86" t="s">
        <v>25</v>
      </c>
      <c r="M86" t="s">
        <v>148</v>
      </c>
      <c r="N86" t="s">
        <v>149</v>
      </c>
      <c r="P86" t="s">
        <v>68</v>
      </c>
      <c r="Q86" t="s">
        <v>41</v>
      </c>
      <c r="R86">
        <v>24</v>
      </c>
      <c r="T86">
        <v>502</v>
      </c>
      <c r="U86" t="s">
        <v>1058</v>
      </c>
      <c r="V86" s="7">
        <v>50</v>
      </c>
      <c r="W86" s="7">
        <v>43.678035218757444</v>
      </c>
      <c r="X86">
        <v>4</v>
      </c>
      <c r="Y86" s="7">
        <v>20</v>
      </c>
      <c r="Z86" s="7">
        <v>200</v>
      </c>
      <c r="AA86" s="7">
        <f t="shared" si="6"/>
        <v>180</v>
      </c>
      <c r="AB86" t="s">
        <v>66</v>
      </c>
      <c r="AC86" t="str">
        <f t="shared" si="7"/>
        <v>Non-Cash Payments</v>
      </c>
    </row>
    <row r="87" spans="1:29" x14ac:dyDescent="0.25">
      <c r="A87">
        <v>41785</v>
      </c>
      <c r="B87" s="2">
        <v>42378</v>
      </c>
      <c r="C87">
        <v>4</v>
      </c>
      <c r="D87" s="2">
        <f t="shared" si="4"/>
        <v>42383</v>
      </c>
      <c r="E87">
        <v>1</v>
      </c>
      <c r="F87" t="s">
        <v>62</v>
      </c>
      <c r="G87" t="str">
        <f t="shared" si="5"/>
        <v>Other</v>
      </c>
      <c r="H87">
        <v>29</v>
      </c>
      <c r="I87">
        <v>10819</v>
      </c>
      <c r="J87">
        <v>5</v>
      </c>
      <c r="K87" t="s">
        <v>31</v>
      </c>
      <c r="L87" t="s">
        <v>25</v>
      </c>
      <c r="M87" t="s">
        <v>38</v>
      </c>
      <c r="N87" t="s">
        <v>39</v>
      </c>
      <c r="P87" t="s">
        <v>40</v>
      </c>
      <c r="Q87" t="s">
        <v>41</v>
      </c>
      <c r="R87">
        <v>29</v>
      </c>
      <c r="T87">
        <v>627</v>
      </c>
      <c r="U87" t="s">
        <v>1046</v>
      </c>
      <c r="V87" s="7">
        <v>39.990001679999999</v>
      </c>
      <c r="W87" s="7">
        <v>34.198098313835338</v>
      </c>
      <c r="X87">
        <v>4</v>
      </c>
      <c r="Y87" s="7">
        <v>20.790000920000001</v>
      </c>
      <c r="Z87" s="7">
        <v>159.96000672</v>
      </c>
      <c r="AA87" s="7">
        <f t="shared" si="6"/>
        <v>139.17000579999998</v>
      </c>
      <c r="AB87" t="s">
        <v>66</v>
      </c>
      <c r="AC87" t="str">
        <f t="shared" si="7"/>
        <v>Non-Cash Payments</v>
      </c>
    </row>
    <row r="88" spans="1:29" x14ac:dyDescent="0.25">
      <c r="A88">
        <v>42971</v>
      </c>
      <c r="B88" s="2">
        <v>42632</v>
      </c>
      <c r="C88">
        <v>4</v>
      </c>
      <c r="D88" s="2">
        <f t="shared" si="4"/>
        <v>42636</v>
      </c>
      <c r="E88">
        <v>0</v>
      </c>
      <c r="F88" t="s">
        <v>62</v>
      </c>
      <c r="G88" t="str">
        <f t="shared" si="5"/>
        <v>Other</v>
      </c>
      <c r="H88">
        <v>29</v>
      </c>
      <c r="I88">
        <v>5418</v>
      </c>
      <c r="J88">
        <v>5</v>
      </c>
      <c r="K88" t="s">
        <v>31</v>
      </c>
      <c r="L88" t="s">
        <v>25</v>
      </c>
      <c r="M88" t="s">
        <v>84</v>
      </c>
      <c r="N88" t="s">
        <v>85</v>
      </c>
      <c r="P88" t="s">
        <v>40</v>
      </c>
      <c r="Q88" t="s">
        <v>41</v>
      </c>
      <c r="R88">
        <v>29</v>
      </c>
      <c r="T88">
        <v>627</v>
      </c>
      <c r="U88" t="s">
        <v>1046</v>
      </c>
      <c r="V88" s="7">
        <v>39.990001679999999</v>
      </c>
      <c r="W88" s="7">
        <v>34.198098313835338</v>
      </c>
      <c r="X88">
        <v>4</v>
      </c>
      <c r="Y88" s="7">
        <v>20.790000920000001</v>
      </c>
      <c r="Z88" s="7">
        <v>159.96000672</v>
      </c>
      <c r="AA88" s="7">
        <f t="shared" si="6"/>
        <v>139.17000579999998</v>
      </c>
      <c r="AB88" t="s">
        <v>66</v>
      </c>
      <c r="AC88" t="str">
        <f t="shared" si="7"/>
        <v>Non-Cash Payments</v>
      </c>
    </row>
    <row r="89" spans="1:29" x14ac:dyDescent="0.25">
      <c r="A89">
        <v>44677</v>
      </c>
      <c r="B89" s="2">
        <v>42657</v>
      </c>
      <c r="C89">
        <v>4</v>
      </c>
      <c r="D89" s="2">
        <f t="shared" si="4"/>
        <v>42663</v>
      </c>
      <c r="E89">
        <v>0</v>
      </c>
      <c r="F89" t="s">
        <v>62</v>
      </c>
      <c r="G89" t="str">
        <f t="shared" si="5"/>
        <v>Other</v>
      </c>
      <c r="H89">
        <v>24</v>
      </c>
      <c r="I89">
        <v>7272</v>
      </c>
      <c r="J89">
        <v>5</v>
      </c>
      <c r="K89" t="s">
        <v>31</v>
      </c>
      <c r="L89" t="s">
        <v>25</v>
      </c>
      <c r="M89" t="s">
        <v>157</v>
      </c>
      <c r="N89" t="s">
        <v>158</v>
      </c>
      <c r="P89" t="s">
        <v>33</v>
      </c>
      <c r="Q89" t="s">
        <v>34</v>
      </c>
      <c r="R89">
        <v>24</v>
      </c>
      <c r="T89">
        <v>502</v>
      </c>
      <c r="U89" t="s">
        <v>1058</v>
      </c>
      <c r="V89" s="7">
        <v>50</v>
      </c>
      <c r="W89" s="7">
        <v>43.678035218757444</v>
      </c>
      <c r="X89">
        <v>4</v>
      </c>
      <c r="Y89" s="7">
        <v>34</v>
      </c>
      <c r="Z89" s="7">
        <v>200</v>
      </c>
      <c r="AA89" s="7">
        <f t="shared" si="6"/>
        <v>166</v>
      </c>
      <c r="AB89" t="s">
        <v>66</v>
      </c>
      <c r="AC89" t="str">
        <f t="shared" si="7"/>
        <v>Non-Cash Payments</v>
      </c>
    </row>
    <row r="90" spans="1:29" x14ac:dyDescent="0.25">
      <c r="A90">
        <v>43266</v>
      </c>
      <c r="B90" s="2">
        <v>42636</v>
      </c>
      <c r="C90">
        <v>4</v>
      </c>
      <c r="D90" s="2">
        <f t="shared" si="4"/>
        <v>42642</v>
      </c>
      <c r="E90">
        <v>0</v>
      </c>
      <c r="F90" t="s">
        <v>62</v>
      </c>
      <c r="G90" t="str">
        <f t="shared" si="5"/>
        <v>Other</v>
      </c>
      <c r="H90">
        <v>24</v>
      </c>
      <c r="I90">
        <v>5329</v>
      </c>
      <c r="J90">
        <v>5</v>
      </c>
      <c r="K90" t="s">
        <v>31</v>
      </c>
      <c r="L90" t="s">
        <v>25</v>
      </c>
      <c r="M90" t="s">
        <v>159</v>
      </c>
      <c r="N90" t="s">
        <v>160</v>
      </c>
      <c r="P90" t="s">
        <v>48</v>
      </c>
      <c r="Q90" t="s">
        <v>41</v>
      </c>
      <c r="R90">
        <v>24</v>
      </c>
      <c r="T90">
        <v>502</v>
      </c>
      <c r="U90" t="s">
        <v>1058</v>
      </c>
      <c r="V90" s="7">
        <v>50</v>
      </c>
      <c r="W90" s="7">
        <v>43.678035218757444</v>
      </c>
      <c r="X90">
        <v>4</v>
      </c>
      <c r="Y90" s="7">
        <v>34</v>
      </c>
      <c r="Z90" s="7">
        <v>200</v>
      </c>
      <c r="AA90" s="7">
        <f t="shared" si="6"/>
        <v>166</v>
      </c>
      <c r="AB90" t="s">
        <v>66</v>
      </c>
      <c r="AC90" t="str">
        <f t="shared" si="7"/>
        <v>Non-Cash Payments</v>
      </c>
    </row>
    <row r="91" spans="1:29" x14ac:dyDescent="0.25">
      <c r="A91">
        <v>50688</v>
      </c>
      <c r="B91" s="2">
        <v>42979</v>
      </c>
      <c r="C91">
        <v>4</v>
      </c>
      <c r="D91" s="2">
        <f t="shared" si="4"/>
        <v>42985</v>
      </c>
      <c r="E91">
        <v>0</v>
      </c>
      <c r="F91" t="s">
        <v>62</v>
      </c>
      <c r="G91" t="str">
        <f t="shared" si="5"/>
        <v>Other</v>
      </c>
      <c r="H91">
        <v>29</v>
      </c>
      <c r="I91">
        <v>11720</v>
      </c>
      <c r="J91">
        <v>5</v>
      </c>
      <c r="K91" t="s">
        <v>31</v>
      </c>
      <c r="L91" t="s">
        <v>25</v>
      </c>
      <c r="M91" t="s">
        <v>55</v>
      </c>
      <c r="N91" t="s">
        <v>56</v>
      </c>
      <c r="P91" t="s">
        <v>57</v>
      </c>
      <c r="Q91" t="s">
        <v>29</v>
      </c>
      <c r="R91">
        <v>29</v>
      </c>
      <c r="T91">
        <v>627</v>
      </c>
      <c r="U91" t="s">
        <v>1046</v>
      </c>
      <c r="V91" s="7">
        <v>39.990001679999999</v>
      </c>
      <c r="W91" s="7">
        <v>34.198098313835338</v>
      </c>
      <c r="X91">
        <v>4</v>
      </c>
      <c r="Y91" s="7">
        <v>27.190000529999999</v>
      </c>
      <c r="Z91" s="7">
        <v>159.96000672</v>
      </c>
      <c r="AA91" s="7">
        <f t="shared" si="6"/>
        <v>132.77000619</v>
      </c>
      <c r="AB91" t="s">
        <v>66</v>
      </c>
      <c r="AC91" t="str">
        <f t="shared" si="7"/>
        <v>Non-Cash Payments</v>
      </c>
    </row>
    <row r="92" spans="1:29" x14ac:dyDescent="0.25">
      <c r="A92">
        <v>47917</v>
      </c>
      <c r="B92" s="2">
        <v>42704</v>
      </c>
      <c r="C92">
        <v>4</v>
      </c>
      <c r="D92" s="2">
        <f t="shared" si="4"/>
        <v>42710</v>
      </c>
      <c r="E92">
        <v>0</v>
      </c>
      <c r="F92" t="s">
        <v>62</v>
      </c>
      <c r="G92" t="str">
        <f t="shared" si="5"/>
        <v>Other</v>
      </c>
      <c r="H92">
        <v>24</v>
      </c>
      <c r="I92">
        <v>7810</v>
      </c>
      <c r="J92">
        <v>5</v>
      </c>
      <c r="K92" t="s">
        <v>31</v>
      </c>
      <c r="L92" t="s">
        <v>25</v>
      </c>
      <c r="M92" t="s">
        <v>32</v>
      </c>
      <c r="N92" t="s">
        <v>32</v>
      </c>
      <c r="P92" t="s">
        <v>33</v>
      </c>
      <c r="Q92" t="s">
        <v>34</v>
      </c>
      <c r="R92">
        <v>24</v>
      </c>
      <c r="T92">
        <v>502</v>
      </c>
      <c r="U92" t="s">
        <v>1058</v>
      </c>
      <c r="V92" s="7">
        <v>50</v>
      </c>
      <c r="W92" s="7">
        <v>43.678035218757444</v>
      </c>
      <c r="X92">
        <v>4</v>
      </c>
      <c r="Y92" s="7">
        <v>36</v>
      </c>
      <c r="Z92" s="7">
        <v>200</v>
      </c>
      <c r="AA92" s="7">
        <f t="shared" si="6"/>
        <v>164</v>
      </c>
      <c r="AB92" t="s">
        <v>66</v>
      </c>
      <c r="AC92" t="str">
        <f t="shared" si="7"/>
        <v>Non-Cash Payments</v>
      </c>
    </row>
    <row r="93" spans="1:29" x14ac:dyDescent="0.25">
      <c r="A93">
        <v>48901</v>
      </c>
      <c r="B93" s="2">
        <v>42718</v>
      </c>
      <c r="C93">
        <v>4</v>
      </c>
      <c r="D93" s="2">
        <f t="shared" si="4"/>
        <v>42724</v>
      </c>
      <c r="E93">
        <v>0</v>
      </c>
      <c r="F93" t="s">
        <v>62</v>
      </c>
      <c r="G93" t="str">
        <f t="shared" si="5"/>
        <v>Other</v>
      </c>
      <c r="H93">
        <v>36</v>
      </c>
      <c r="I93">
        <v>3624</v>
      </c>
      <c r="J93">
        <v>6</v>
      </c>
      <c r="K93" t="s">
        <v>35</v>
      </c>
      <c r="L93" t="s">
        <v>25</v>
      </c>
      <c r="M93" t="s">
        <v>161</v>
      </c>
      <c r="N93" t="s">
        <v>162</v>
      </c>
      <c r="P93" t="s">
        <v>51</v>
      </c>
      <c r="Q93" t="s">
        <v>52</v>
      </c>
      <c r="R93">
        <v>36</v>
      </c>
      <c r="T93">
        <v>810</v>
      </c>
      <c r="U93" t="s">
        <v>1076</v>
      </c>
      <c r="V93" s="7">
        <v>19.989999770000001</v>
      </c>
      <c r="W93" s="7">
        <v>13.40499973</v>
      </c>
      <c r="X93">
        <v>4</v>
      </c>
      <c r="Y93" s="7">
        <v>12.789999959999999</v>
      </c>
      <c r="Z93" s="7">
        <v>79.959999080000003</v>
      </c>
      <c r="AA93" s="7">
        <f t="shared" si="6"/>
        <v>67.16999912</v>
      </c>
      <c r="AB93" t="s">
        <v>66</v>
      </c>
      <c r="AC93" t="str">
        <f t="shared" si="7"/>
        <v>Non-Cash Payments</v>
      </c>
    </row>
    <row r="94" spans="1:29" x14ac:dyDescent="0.25">
      <c r="A94">
        <v>44265</v>
      </c>
      <c r="B94" s="2">
        <v>42592</v>
      </c>
      <c r="C94">
        <v>4</v>
      </c>
      <c r="D94" s="2">
        <f t="shared" si="4"/>
        <v>42598</v>
      </c>
      <c r="E94">
        <v>0</v>
      </c>
      <c r="F94" t="s">
        <v>62</v>
      </c>
      <c r="G94" t="str">
        <f t="shared" si="5"/>
        <v>Other</v>
      </c>
      <c r="H94">
        <v>6</v>
      </c>
      <c r="I94">
        <v>7331</v>
      </c>
      <c r="J94">
        <v>2</v>
      </c>
      <c r="K94" t="s">
        <v>136</v>
      </c>
      <c r="L94" t="s">
        <v>25</v>
      </c>
      <c r="M94" t="s">
        <v>118</v>
      </c>
      <c r="N94" t="s">
        <v>118</v>
      </c>
      <c r="P94" t="s">
        <v>44</v>
      </c>
      <c r="Q94" t="s">
        <v>34</v>
      </c>
      <c r="R94">
        <v>6</v>
      </c>
      <c r="T94">
        <v>116</v>
      </c>
      <c r="U94" t="s">
        <v>1072</v>
      </c>
      <c r="V94" s="7">
        <v>44.990001679999999</v>
      </c>
      <c r="W94" s="7">
        <v>30.409585080374999</v>
      </c>
      <c r="X94">
        <v>4</v>
      </c>
      <c r="Y94" s="7">
        <v>9</v>
      </c>
      <c r="Z94" s="7">
        <v>179.96000672</v>
      </c>
      <c r="AA94" s="7">
        <f t="shared" si="6"/>
        <v>170.96000672</v>
      </c>
      <c r="AB94" t="s">
        <v>66</v>
      </c>
      <c r="AC94" t="str">
        <f t="shared" si="7"/>
        <v>Non-Cash Payments</v>
      </c>
    </row>
    <row r="95" spans="1:29" x14ac:dyDescent="0.25">
      <c r="A95">
        <v>41590</v>
      </c>
      <c r="B95" s="2">
        <v>42612</v>
      </c>
      <c r="C95">
        <v>4</v>
      </c>
      <c r="D95" s="2">
        <f t="shared" si="4"/>
        <v>42618</v>
      </c>
      <c r="E95">
        <v>0</v>
      </c>
      <c r="F95" t="s">
        <v>62</v>
      </c>
      <c r="G95" t="str">
        <f t="shared" si="5"/>
        <v>Other</v>
      </c>
      <c r="H95">
        <v>9</v>
      </c>
      <c r="I95">
        <v>125</v>
      </c>
      <c r="J95">
        <v>3</v>
      </c>
      <c r="K95" t="s">
        <v>24</v>
      </c>
      <c r="L95" t="s">
        <v>25</v>
      </c>
      <c r="M95" t="s">
        <v>138</v>
      </c>
      <c r="N95" t="s">
        <v>138</v>
      </c>
      <c r="P95" t="s">
        <v>100</v>
      </c>
      <c r="Q95" t="s">
        <v>52</v>
      </c>
      <c r="R95">
        <v>9</v>
      </c>
      <c r="T95">
        <v>191</v>
      </c>
      <c r="U95" t="s">
        <v>1044</v>
      </c>
      <c r="V95" s="7">
        <v>99.989997860000003</v>
      </c>
      <c r="W95" s="7">
        <v>95.114003926871064</v>
      </c>
      <c r="X95">
        <v>4</v>
      </c>
      <c r="Y95" s="7">
        <v>12</v>
      </c>
      <c r="Z95" s="7">
        <v>399.95999144000001</v>
      </c>
      <c r="AA95" s="7">
        <f t="shared" si="6"/>
        <v>387.95999144000001</v>
      </c>
      <c r="AB95" t="s">
        <v>66</v>
      </c>
      <c r="AC95" t="str">
        <f t="shared" si="7"/>
        <v>Non-Cash Payments</v>
      </c>
    </row>
    <row r="96" spans="1:29" x14ac:dyDescent="0.25">
      <c r="A96">
        <v>45987</v>
      </c>
      <c r="B96" s="2">
        <v>42411</v>
      </c>
      <c r="C96">
        <v>4</v>
      </c>
      <c r="D96" s="2">
        <f t="shared" si="4"/>
        <v>42417</v>
      </c>
      <c r="E96">
        <v>0</v>
      </c>
      <c r="F96" t="s">
        <v>62</v>
      </c>
      <c r="G96" t="str">
        <f t="shared" si="5"/>
        <v>Other</v>
      </c>
      <c r="H96">
        <v>17</v>
      </c>
      <c r="I96">
        <v>9419</v>
      </c>
      <c r="J96">
        <v>4</v>
      </c>
      <c r="K96" t="s">
        <v>46</v>
      </c>
      <c r="L96" t="s">
        <v>25</v>
      </c>
      <c r="M96" t="s">
        <v>79</v>
      </c>
      <c r="N96" t="s">
        <v>79</v>
      </c>
      <c r="P96" t="s">
        <v>61</v>
      </c>
      <c r="Q96" t="s">
        <v>41</v>
      </c>
      <c r="R96">
        <v>17</v>
      </c>
      <c r="T96">
        <v>365</v>
      </c>
      <c r="U96" t="s">
        <v>1054</v>
      </c>
      <c r="V96" s="7">
        <v>59.990001679999999</v>
      </c>
      <c r="W96" s="7">
        <v>54.488929209402009</v>
      </c>
      <c r="X96">
        <v>4</v>
      </c>
      <c r="Y96" s="7">
        <v>47.990001679999999</v>
      </c>
      <c r="Z96" s="7">
        <v>239.96000672</v>
      </c>
      <c r="AA96" s="7">
        <f t="shared" si="6"/>
        <v>191.97000503999999</v>
      </c>
      <c r="AB96" t="s">
        <v>66</v>
      </c>
      <c r="AC96" t="str">
        <f t="shared" si="7"/>
        <v>Non-Cash Payments</v>
      </c>
    </row>
    <row r="97" spans="1:29" x14ac:dyDescent="0.25">
      <c r="A97">
        <v>44452</v>
      </c>
      <c r="B97" s="2">
        <v>42653</v>
      </c>
      <c r="C97">
        <v>4</v>
      </c>
      <c r="D97" s="2">
        <f t="shared" si="4"/>
        <v>42657</v>
      </c>
      <c r="E97">
        <v>0</v>
      </c>
      <c r="F97" t="s">
        <v>62</v>
      </c>
      <c r="G97" t="str">
        <f t="shared" si="5"/>
        <v>Other</v>
      </c>
      <c r="H97">
        <v>24</v>
      </c>
      <c r="I97">
        <v>1250</v>
      </c>
      <c r="J97">
        <v>5</v>
      </c>
      <c r="K97" t="s">
        <v>31</v>
      </c>
      <c r="L97" t="s">
        <v>25</v>
      </c>
      <c r="M97" t="s">
        <v>154</v>
      </c>
      <c r="N97" t="s">
        <v>155</v>
      </c>
      <c r="P97" t="s">
        <v>48</v>
      </c>
      <c r="Q97" t="s">
        <v>41</v>
      </c>
      <c r="R97">
        <v>24</v>
      </c>
      <c r="T97">
        <v>502</v>
      </c>
      <c r="U97" t="s">
        <v>1058</v>
      </c>
      <c r="V97" s="7">
        <v>50</v>
      </c>
      <c r="W97" s="7">
        <v>43.678035218757444</v>
      </c>
      <c r="X97">
        <v>4</v>
      </c>
      <c r="Y97" s="7">
        <v>24</v>
      </c>
      <c r="Z97" s="7">
        <v>200</v>
      </c>
      <c r="AA97" s="7">
        <f t="shared" si="6"/>
        <v>176</v>
      </c>
      <c r="AB97" t="s">
        <v>66</v>
      </c>
      <c r="AC97" t="str">
        <f t="shared" si="7"/>
        <v>Non-Cash Payments</v>
      </c>
    </row>
    <row r="98" spans="1:29" x14ac:dyDescent="0.25">
      <c r="A98">
        <v>49218</v>
      </c>
      <c r="B98" s="2">
        <v>42723</v>
      </c>
      <c r="C98">
        <v>4</v>
      </c>
      <c r="D98" s="2">
        <f t="shared" si="4"/>
        <v>42727</v>
      </c>
      <c r="E98">
        <v>0</v>
      </c>
      <c r="F98" t="s">
        <v>62</v>
      </c>
      <c r="G98" t="str">
        <f t="shared" si="5"/>
        <v>Other</v>
      </c>
      <c r="H98">
        <v>29</v>
      </c>
      <c r="I98">
        <v>7683</v>
      </c>
      <c r="J98">
        <v>5</v>
      </c>
      <c r="K98" t="s">
        <v>31</v>
      </c>
      <c r="L98" t="s">
        <v>25</v>
      </c>
      <c r="M98" t="s">
        <v>163</v>
      </c>
      <c r="N98" t="s">
        <v>163</v>
      </c>
      <c r="P98" t="s">
        <v>164</v>
      </c>
      <c r="Q98" t="s">
        <v>29</v>
      </c>
      <c r="R98">
        <v>29</v>
      </c>
      <c r="T98">
        <v>627</v>
      </c>
      <c r="U98" t="s">
        <v>1046</v>
      </c>
      <c r="V98" s="7">
        <v>39.990001679999999</v>
      </c>
      <c r="W98" s="7">
        <v>34.198098313835338</v>
      </c>
      <c r="X98">
        <v>4</v>
      </c>
      <c r="Y98" s="7">
        <v>20.790000920000001</v>
      </c>
      <c r="Z98" s="7">
        <v>159.96000672</v>
      </c>
      <c r="AA98" s="7">
        <f t="shared" si="6"/>
        <v>139.17000579999998</v>
      </c>
      <c r="AB98" t="s">
        <v>66</v>
      </c>
      <c r="AC98" t="str">
        <f t="shared" si="7"/>
        <v>Non-Cash Payments</v>
      </c>
    </row>
    <row r="99" spans="1:29" x14ac:dyDescent="0.25">
      <c r="A99">
        <v>47840</v>
      </c>
      <c r="B99" s="2">
        <v>42703</v>
      </c>
      <c r="C99">
        <v>4</v>
      </c>
      <c r="D99" s="2">
        <f t="shared" si="4"/>
        <v>42709</v>
      </c>
      <c r="E99">
        <v>0</v>
      </c>
      <c r="F99" t="s">
        <v>62</v>
      </c>
      <c r="G99" t="str">
        <f t="shared" si="5"/>
        <v>Other</v>
      </c>
      <c r="H99">
        <v>26</v>
      </c>
      <c r="I99">
        <v>2728</v>
      </c>
      <c r="J99">
        <v>5</v>
      </c>
      <c r="K99" t="s">
        <v>31</v>
      </c>
      <c r="L99" t="s">
        <v>25</v>
      </c>
      <c r="M99" t="s">
        <v>165</v>
      </c>
      <c r="N99" t="s">
        <v>166</v>
      </c>
      <c r="P99" t="s">
        <v>40</v>
      </c>
      <c r="Q99" t="s">
        <v>41</v>
      </c>
      <c r="R99">
        <v>26</v>
      </c>
      <c r="T99">
        <v>565</v>
      </c>
      <c r="U99" t="s">
        <v>1078</v>
      </c>
      <c r="V99" s="7">
        <v>70</v>
      </c>
      <c r="W99" s="7">
        <v>62.759999940857142</v>
      </c>
      <c r="X99">
        <v>4</v>
      </c>
      <c r="Y99" s="7">
        <v>44.799999239999998</v>
      </c>
      <c r="Z99" s="7">
        <v>280</v>
      </c>
      <c r="AA99" s="7">
        <f t="shared" si="6"/>
        <v>235.20000075999999</v>
      </c>
      <c r="AB99" t="s">
        <v>66</v>
      </c>
      <c r="AC99" t="str">
        <f t="shared" si="7"/>
        <v>Non-Cash Payments</v>
      </c>
    </row>
    <row r="100" spans="1:29" x14ac:dyDescent="0.25">
      <c r="A100">
        <v>47493</v>
      </c>
      <c r="B100" s="2">
        <v>42698</v>
      </c>
      <c r="C100">
        <v>4</v>
      </c>
      <c r="D100" s="2">
        <f t="shared" si="4"/>
        <v>42704</v>
      </c>
      <c r="E100">
        <v>0</v>
      </c>
      <c r="F100" t="s">
        <v>62</v>
      </c>
      <c r="G100" t="str">
        <f t="shared" si="5"/>
        <v>Other</v>
      </c>
      <c r="H100">
        <v>29</v>
      </c>
      <c r="I100">
        <v>4612</v>
      </c>
      <c r="J100">
        <v>5</v>
      </c>
      <c r="K100" t="s">
        <v>31</v>
      </c>
      <c r="L100" t="s">
        <v>25</v>
      </c>
      <c r="M100" t="s">
        <v>167</v>
      </c>
      <c r="N100" t="s">
        <v>167</v>
      </c>
      <c r="P100" t="s">
        <v>168</v>
      </c>
      <c r="Q100" t="s">
        <v>52</v>
      </c>
      <c r="R100">
        <v>29</v>
      </c>
      <c r="T100">
        <v>627</v>
      </c>
      <c r="U100" t="s">
        <v>1046</v>
      </c>
      <c r="V100" s="7">
        <v>39.990001679999999</v>
      </c>
      <c r="W100" s="7">
        <v>34.198098313835338</v>
      </c>
      <c r="X100">
        <v>4</v>
      </c>
      <c r="Y100" s="7">
        <v>28.790000920000001</v>
      </c>
      <c r="Z100" s="7">
        <v>159.96000672</v>
      </c>
      <c r="AA100" s="7">
        <f t="shared" si="6"/>
        <v>131.17000579999998</v>
      </c>
      <c r="AB100" t="s">
        <v>66</v>
      </c>
      <c r="AC100" t="str">
        <f t="shared" si="7"/>
        <v>Non-Cash Payments</v>
      </c>
    </row>
    <row r="101" spans="1:29" x14ac:dyDescent="0.25">
      <c r="A101">
        <v>45987</v>
      </c>
      <c r="B101" s="2">
        <v>42411</v>
      </c>
      <c r="C101">
        <v>4</v>
      </c>
      <c r="D101" s="2">
        <f t="shared" si="4"/>
        <v>42417</v>
      </c>
      <c r="E101">
        <v>0</v>
      </c>
      <c r="F101" t="s">
        <v>62</v>
      </c>
      <c r="G101" t="str">
        <f t="shared" si="5"/>
        <v>Other</v>
      </c>
      <c r="H101">
        <v>24</v>
      </c>
      <c r="I101">
        <v>9419</v>
      </c>
      <c r="J101">
        <v>5</v>
      </c>
      <c r="K101" t="s">
        <v>31</v>
      </c>
      <c r="L101" t="s">
        <v>25</v>
      </c>
      <c r="M101" t="s">
        <v>79</v>
      </c>
      <c r="N101" t="s">
        <v>79</v>
      </c>
      <c r="P101" t="s">
        <v>61</v>
      </c>
      <c r="Q101" t="s">
        <v>41</v>
      </c>
      <c r="R101">
        <v>24</v>
      </c>
      <c r="T101">
        <v>502</v>
      </c>
      <c r="U101" t="s">
        <v>1058</v>
      </c>
      <c r="V101" s="7">
        <v>50</v>
      </c>
      <c r="W101" s="7">
        <v>43.678035218757444</v>
      </c>
      <c r="X101">
        <v>4</v>
      </c>
      <c r="Y101" s="7">
        <v>40</v>
      </c>
      <c r="Z101" s="7">
        <v>200</v>
      </c>
      <c r="AA101" s="7">
        <f t="shared" si="6"/>
        <v>160</v>
      </c>
      <c r="AB101" t="s">
        <v>66</v>
      </c>
      <c r="AC101" t="str">
        <f t="shared" si="7"/>
        <v>Non-Cash Payments</v>
      </c>
    </row>
    <row r="102" spans="1:29" x14ac:dyDescent="0.25">
      <c r="A102">
        <v>41590</v>
      </c>
      <c r="B102" s="2">
        <v>42612</v>
      </c>
      <c r="C102">
        <v>4</v>
      </c>
      <c r="D102" s="2">
        <f t="shared" si="4"/>
        <v>42618</v>
      </c>
      <c r="E102">
        <v>0</v>
      </c>
      <c r="F102" t="s">
        <v>62</v>
      </c>
      <c r="G102" t="str">
        <f t="shared" si="5"/>
        <v>Other</v>
      </c>
      <c r="H102">
        <v>37</v>
      </c>
      <c r="I102">
        <v>125</v>
      </c>
      <c r="J102">
        <v>6</v>
      </c>
      <c r="K102" t="s">
        <v>35</v>
      </c>
      <c r="L102" t="s">
        <v>25</v>
      </c>
      <c r="M102" t="s">
        <v>138</v>
      </c>
      <c r="N102" t="s">
        <v>138</v>
      </c>
      <c r="P102" t="s">
        <v>100</v>
      </c>
      <c r="Q102" t="s">
        <v>52</v>
      </c>
      <c r="R102">
        <v>37</v>
      </c>
      <c r="T102">
        <v>821</v>
      </c>
      <c r="U102" t="s">
        <v>1079</v>
      </c>
      <c r="V102" s="7">
        <v>51.990001679999999</v>
      </c>
      <c r="W102" s="7">
        <v>36.5500021</v>
      </c>
      <c r="X102">
        <v>4</v>
      </c>
      <c r="Y102" s="7">
        <v>2.079999924</v>
      </c>
      <c r="Z102" s="7">
        <v>207.96000672</v>
      </c>
      <c r="AA102" s="7">
        <f t="shared" si="6"/>
        <v>205.880006796</v>
      </c>
      <c r="AB102" t="s">
        <v>66</v>
      </c>
      <c r="AC102" t="str">
        <f t="shared" si="7"/>
        <v>Non-Cash Payments</v>
      </c>
    </row>
    <row r="103" spans="1:29" x14ac:dyDescent="0.25">
      <c r="A103">
        <v>46951</v>
      </c>
      <c r="B103" s="2">
        <v>42690</v>
      </c>
      <c r="C103">
        <v>4</v>
      </c>
      <c r="D103" s="2">
        <f t="shared" si="4"/>
        <v>42696</v>
      </c>
      <c r="E103">
        <v>0</v>
      </c>
      <c r="F103" t="s">
        <v>62</v>
      </c>
      <c r="G103" t="str">
        <f t="shared" si="5"/>
        <v>Other</v>
      </c>
      <c r="H103">
        <v>24</v>
      </c>
      <c r="I103">
        <v>6408</v>
      </c>
      <c r="J103">
        <v>5</v>
      </c>
      <c r="K103" t="s">
        <v>31</v>
      </c>
      <c r="L103" t="s">
        <v>25</v>
      </c>
      <c r="M103" t="s">
        <v>169</v>
      </c>
      <c r="N103" t="s">
        <v>170</v>
      </c>
      <c r="P103" t="s">
        <v>28</v>
      </c>
      <c r="Q103" t="s">
        <v>29</v>
      </c>
      <c r="R103">
        <v>24</v>
      </c>
      <c r="T103">
        <v>502</v>
      </c>
      <c r="U103" t="s">
        <v>1058</v>
      </c>
      <c r="V103" s="7">
        <v>50</v>
      </c>
      <c r="W103" s="7">
        <v>43.678035218757444</v>
      </c>
      <c r="X103">
        <v>1</v>
      </c>
      <c r="Y103" s="7">
        <v>12.5</v>
      </c>
      <c r="Z103" s="7">
        <v>50</v>
      </c>
      <c r="AA103" s="7">
        <f t="shared" si="6"/>
        <v>37.5</v>
      </c>
      <c r="AB103" t="s">
        <v>30</v>
      </c>
      <c r="AC103" t="str">
        <f t="shared" si="7"/>
        <v>Cash Not Over 200</v>
      </c>
    </row>
    <row r="104" spans="1:29" x14ac:dyDescent="0.25">
      <c r="A104">
        <v>46725</v>
      </c>
      <c r="B104" s="2">
        <v>42687</v>
      </c>
      <c r="C104">
        <v>4</v>
      </c>
      <c r="D104" s="2">
        <f t="shared" si="4"/>
        <v>42691</v>
      </c>
      <c r="E104">
        <v>1</v>
      </c>
      <c r="F104" t="s">
        <v>62</v>
      </c>
      <c r="G104" t="str">
        <f t="shared" si="5"/>
        <v>Other</v>
      </c>
      <c r="H104">
        <v>9</v>
      </c>
      <c r="I104">
        <v>2431</v>
      </c>
      <c r="J104">
        <v>3</v>
      </c>
      <c r="K104" t="s">
        <v>24</v>
      </c>
      <c r="L104" t="s">
        <v>25</v>
      </c>
      <c r="M104" t="s">
        <v>32</v>
      </c>
      <c r="N104" t="s">
        <v>32</v>
      </c>
      <c r="P104" t="s">
        <v>33</v>
      </c>
      <c r="Q104" t="s">
        <v>34</v>
      </c>
      <c r="R104">
        <v>9</v>
      </c>
      <c r="T104">
        <v>191</v>
      </c>
      <c r="U104" t="s">
        <v>1044</v>
      </c>
      <c r="V104" s="7">
        <v>99.989997860000003</v>
      </c>
      <c r="W104" s="7">
        <v>95.114003926871064</v>
      </c>
      <c r="X104">
        <v>1</v>
      </c>
      <c r="Y104" s="7">
        <v>25</v>
      </c>
      <c r="Z104" s="7">
        <v>99.989997860000003</v>
      </c>
      <c r="AA104" s="7">
        <f t="shared" si="6"/>
        <v>74.989997860000003</v>
      </c>
      <c r="AB104" t="s">
        <v>30</v>
      </c>
      <c r="AC104" t="str">
        <f t="shared" si="7"/>
        <v>Cash Not Over 200</v>
      </c>
    </row>
    <row r="105" spans="1:29" x14ac:dyDescent="0.25">
      <c r="A105">
        <v>45198</v>
      </c>
      <c r="B105" s="2">
        <v>42664</v>
      </c>
      <c r="C105">
        <v>4</v>
      </c>
      <c r="D105" s="2">
        <f t="shared" si="4"/>
        <v>42670</v>
      </c>
      <c r="E105">
        <v>0</v>
      </c>
      <c r="F105" t="s">
        <v>62</v>
      </c>
      <c r="G105" t="str">
        <f t="shared" si="5"/>
        <v>Other</v>
      </c>
      <c r="H105">
        <v>18</v>
      </c>
      <c r="I105">
        <v>6497</v>
      </c>
      <c r="J105">
        <v>4</v>
      </c>
      <c r="K105" t="s">
        <v>46</v>
      </c>
      <c r="L105" t="s">
        <v>25</v>
      </c>
      <c r="M105" t="s">
        <v>118</v>
      </c>
      <c r="N105" t="s">
        <v>118</v>
      </c>
      <c r="P105" t="s">
        <v>44</v>
      </c>
      <c r="Q105" t="s">
        <v>34</v>
      </c>
      <c r="R105">
        <v>18</v>
      </c>
      <c r="T105">
        <v>403</v>
      </c>
      <c r="U105" t="s">
        <v>1052</v>
      </c>
      <c r="V105" s="7">
        <v>129.9900055</v>
      </c>
      <c r="W105" s="7">
        <v>110.80340837177086</v>
      </c>
      <c r="X105">
        <v>1</v>
      </c>
      <c r="Y105" s="7">
        <v>0</v>
      </c>
      <c r="Z105" s="7">
        <v>129.9900055</v>
      </c>
      <c r="AA105" s="7">
        <f t="shared" si="6"/>
        <v>129.9900055</v>
      </c>
      <c r="AB105" t="s">
        <v>30</v>
      </c>
      <c r="AC105" t="str">
        <f t="shared" si="7"/>
        <v>Cash Not Over 200</v>
      </c>
    </row>
    <row r="106" spans="1:29" x14ac:dyDescent="0.25">
      <c r="A106">
        <v>45418</v>
      </c>
      <c r="B106" s="2">
        <v>42667</v>
      </c>
      <c r="C106">
        <v>4</v>
      </c>
      <c r="D106" s="2">
        <f t="shared" si="4"/>
        <v>42671</v>
      </c>
      <c r="E106">
        <v>0</v>
      </c>
      <c r="F106" t="s">
        <v>62</v>
      </c>
      <c r="G106" t="str">
        <f t="shared" si="5"/>
        <v>Other</v>
      </c>
      <c r="H106">
        <v>18</v>
      </c>
      <c r="I106">
        <v>9011</v>
      </c>
      <c r="J106">
        <v>4</v>
      </c>
      <c r="K106" t="s">
        <v>46</v>
      </c>
      <c r="L106" t="s">
        <v>25</v>
      </c>
      <c r="M106" t="s">
        <v>171</v>
      </c>
      <c r="N106" t="s">
        <v>171</v>
      </c>
      <c r="P106" t="s">
        <v>172</v>
      </c>
      <c r="Q106" t="s">
        <v>52</v>
      </c>
      <c r="R106">
        <v>18</v>
      </c>
      <c r="T106">
        <v>403</v>
      </c>
      <c r="U106" t="s">
        <v>1052</v>
      </c>
      <c r="V106" s="7">
        <v>129.9900055</v>
      </c>
      <c r="W106" s="7">
        <v>110.80340837177086</v>
      </c>
      <c r="X106">
        <v>1</v>
      </c>
      <c r="Y106" s="7">
        <v>0</v>
      </c>
      <c r="Z106" s="7">
        <v>129.9900055</v>
      </c>
      <c r="AA106" s="7">
        <f t="shared" si="6"/>
        <v>129.9900055</v>
      </c>
      <c r="AB106" t="s">
        <v>30</v>
      </c>
      <c r="AC106" t="str">
        <f t="shared" si="7"/>
        <v>Cash Not Over 200</v>
      </c>
    </row>
    <row r="107" spans="1:29" x14ac:dyDescent="0.25">
      <c r="A107">
        <v>45198</v>
      </c>
      <c r="B107" s="2">
        <v>42664</v>
      </c>
      <c r="C107">
        <v>4</v>
      </c>
      <c r="D107" s="2">
        <f t="shared" si="4"/>
        <v>42670</v>
      </c>
      <c r="E107">
        <v>0</v>
      </c>
      <c r="F107" t="s">
        <v>62</v>
      </c>
      <c r="G107" t="str">
        <f t="shared" si="5"/>
        <v>Other</v>
      </c>
      <c r="H107">
        <v>18</v>
      </c>
      <c r="I107">
        <v>6497</v>
      </c>
      <c r="J107">
        <v>4</v>
      </c>
      <c r="K107" t="s">
        <v>46</v>
      </c>
      <c r="L107" t="s">
        <v>25</v>
      </c>
      <c r="M107" t="s">
        <v>118</v>
      </c>
      <c r="N107" t="s">
        <v>118</v>
      </c>
      <c r="P107" t="s">
        <v>44</v>
      </c>
      <c r="Q107" t="s">
        <v>34</v>
      </c>
      <c r="R107">
        <v>18</v>
      </c>
      <c r="T107">
        <v>403</v>
      </c>
      <c r="U107" t="s">
        <v>1052</v>
      </c>
      <c r="V107" s="7">
        <v>129.9900055</v>
      </c>
      <c r="W107" s="7">
        <v>110.80340837177086</v>
      </c>
      <c r="X107">
        <v>1</v>
      </c>
      <c r="Y107" s="7">
        <v>1.2999999520000001</v>
      </c>
      <c r="Z107" s="7">
        <v>129.9900055</v>
      </c>
      <c r="AA107" s="7">
        <f t="shared" si="6"/>
        <v>128.69000554799999</v>
      </c>
      <c r="AB107" t="s">
        <v>30</v>
      </c>
      <c r="AC107" t="str">
        <f t="shared" si="7"/>
        <v>Cash Not Over 200</v>
      </c>
    </row>
    <row r="108" spans="1:29" x14ac:dyDescent="0.25">
      <c r="A108">
        <v>42920</v>
      </c>
      <c r="B108" s="2">
        <v>42631</v>
      </c>
      <c r="C108">
        <v>4</v>
      </c>
      <c r="D108" s="2">
        <f t="shared" si="4"/>
        <v>42635</v>
      </c>
      <c r="E108">
        <v>1</v>
      </c>
      <c r="F108" t="s">
        <v>62</v>
      </c>
      <c r="G108" t="str">
        <f t="shared" si="5"/>
        <v>Other</v>
      </c>
      <c r="H108">
        <v>18</v>
      </c>
      <c r="I108">
        <v>716</v>
      </c>
      <c r="J108">
        <v>4</v>
      </c>
      <c r="K108" t="s">
        <v>46</v>
      </c>
      <c r="L108" t="s">
        <v>25</v>
      </c>
      <c r="M108" t="s">
        <v>173</v>
      </c>
      <c r="N108" t="s">
        <v>174</v>
      </c>
      <c r="P108" t="s">
        <v>28</v>
      </c>
      <c r="Q108" t="s">
        <v>29</v>
      </c>
      <c r="R108">
        <v>18</v>
      </c>
      <c r="T108">
        <v>403</v>
      </c>
      <c r="U108" t="s">
        <v>1052</v>
      </c>
      <c r="V108" s="7">
        <v>129.9900055</v>
      </c>
      <c r="W108" s="7">
        <v>110.80340837177086</v>
      </c>
      <c r="X108">
        <v>1</v>
      </c>
      <c r="Y108" s="7">
        <v>2.5999999049999998</v>
      </c>
      <c r="Z108" s="7">
        <v>129.9900055</v>
      </c>
      <c r="AA108" s="7">
        <f t="shared" si="6"/>
        <v>127.39000559499999</v>
      </c>
      <c r="AB108" t="s">
        <v>30</v>
      </c>
      <c r="AC108" t="str">
        <f t="shared" si="7"/>
        <v>Cash Not Over 200</v>
      </c>
    </row>
    <row r="109" spans="1:29" x14ac:dyDescent="0.25">
      <c r="A109">
        <v>44485</v>
      </c>
      <c r="B109" s="2">
        <v>42684</v>
      </c>
      <c r="C109">
        <v>4</v>
      </c>
      <c r="D109" s="2">
        <f t="shared" si="4"/>
        <v>42690</v>
      </c>
      <c r="E109">
        <v>1</v>
      </c>
      <c r="F109" t="s">
        <v>62</v>
      </c>
      <c r="G109" t="str">
        <f t="shared" si="5"/>
        <v>Other</v>
      </c>
      <c r="H109">
        <v>18</v>
      </c>
      <c r="I109">
        <v>7393</v>
      </c>
      <c r="J109">
        <v>4</v>
      </c>
      <c r="K109" t="s">
        <v>46</v>
      </c>
      <c r="L109" t="s">
        <v>25</v>
      </c>
      <c r="M109" t="s">
        <v>175</v>
      </c>
      <c r="N109" t="s">
        <v>87</v>
      </c>
      <c r="P109" t="s">
        <v>88</v>
      </c>
      <c r="Q109" t="s">
        <v>89</v>
      </c>
      <c r="R109">
        <v>18</v>
      </c>
      <c r="T109">
        <v>403</v>
      </c>
      <c r="U109" t="s">
        <v>1052</v>
      </c>
      <c r="V109" s="7">
        <v>129.9900055</v>
      </c>
      <c r="W109" s="7">
        <v>110.80340837177086</v>
      </c>
      <c r="X109">
        <v>1</v>
      </c>
      <c r="Y109" s="7">
        <v>3.9000000950000002</v>
      </c>
      <c r="Z109" s="7">
        <v>129.9900055</v>
      </c>
      <c r="AA109" s="7">
        <f t="shared" si="6"/>
        <v>126.090005405</v>
      </c>
      <c r="AB109" t="s">
        <v>30</v>
      </c>
      <c r="AC109" t="str">
        <f t="shared" si="7"/>
        <v>Cash Not Over 200</v>
      </c>
    </row>
    <row r="110" spans="1:29" x14ac:dyDescent="0.25">
      <c r="A110">
        <v>50213</v>
      </c>
      <c r="B110" s="2">
        <v>42767</v>
      </c>
      <c r="C110">
        <v>4</v>
      </c>
      <c r="D110" s="2">
        <f t="shared" si="4"/>
        <v>42773</v>
      </c>
      <c r="E110">
        <v>0</v>
      </c>
      <c r="F110" t="s">
        <v>62</v>
      </c>
      <c r="G110" t="str">
        <f t="shared" si="5"/>
        <v>Other</v>
      </c>
      <c r="H110">
        <v>17</v>
      </c>
      <c r="I110">
        <v>3405</v>
      </c>
      <c r="J110">
        <v>4</v>
      </c>
      <c r="K110" t="s">
        <v>46</v>
      </c>
      <c r="L110" t="s">
        <v>25</v>
      </c>
      <c r="M110" t="s">
        <v>176</v>
      </c>
      <c r="N110" t="s">
        <v>83</v>
      </c>
      <c r="P110" t="s">
        <v>28</v>
      </c>
      <c r="Q110" t="s">
        <v>29</v>
      </c>
      <c r="R110">
        <v>17</v>
      </c>
      <c r="T110">
        <v>365</v>
      </c>
      <c r="U110" t="s">
        <v>1054</v>
      </c>
      <c r="V110" s="7">
        <v>59.990001679999999</v>
      </c>
      <c r="W110" s="7">
        <v>54.488929209402009</v>
      </c>
      <c r="X110">
        <v>1</v>
      </c>
      <c r="Y110" s="7">
        <v>1.7999999520000001</v>
      </c>
      <c r="Z110" s="7">
        <v>59.990001679999999</v>
      </c>
      <c r="AA110" s="7">
        <f t="shared" si="6"/>
        <v>58.190001727999999</v>
      </c>
      <c r="AB110" t="s">
        <v>30</v>
      </c>
      <c r="AC110" t="str">
        <f t="shared" si="7"/>
        <v>Cash Not Over 200</v>
      </c>
    </row>
    <row r="111" spans="1:29" x14ac:dyDescent="0.25">
      <c r="A111">
        <v>48622</v>
      </c>
      <c r="B111" s="2">
        <v>42655</v>
      </c>
      <c r="C111">
        <v>4</v>
      </c>
      <c r="D111" s="2">
        <f t="shared" si="4"/>
        <v>42661</v>
      </c>
      <c r="E111">
        <v>0</v>
      </c>
      <c r="F111" t="s">
        <v>62</v>
      </c>
      <c r="G111" t="str">
        <f t="shared" si="5"/>
        <v>Other</v>
      </c>
      <c r="H111">
        <v>18</v>
      </c>
      <c r="I111">
        <v>3150</v>
      </c>
      <c r="J111">
        <v>4</v>
      </c>
      <c r="K111" t="s">
        <v>46</v>
      </c>
      <c r="L111" t="s">
        <v>25</v>
      </c>
      <c r="M111" t="s">
        <v>32</v>
      </c>
      <c r="N111" t="s">
        <v>32</v>
      </c>
      <c r="P111" t="s">
        <v>33</v>
      </c>
      <c r="Q111" t="s">
        <v>34</v>
      </c>
      <c r="R111">
        <v>18</v>
      </c>
      <c r="T111">
        <v>403</v>
      </c>
      <c r="U111" t="s">
        <v>1052</v>
      </c>
      <c r="V111" s="7">
        <v>129.9900055</v>
      </c>
      <c r="W111" s="7">
        <v>110.80340837177086</v>
      </c>
      <c r="X111">
        <v>1</v>
      </c>
      <c r="Y111" s="7">
        <v>5.1999998090000004</v>
      </c>
      <c r="Z111" s="7">
        <v>129.9900055</v>
      </c>
      <c r="AA111" s="7">
        <f t="shared" si="6"/>
        <v>124.79000569099999</v>
      </c>
      <c r="AB111" t="s">
        <v>30</v>
      </c>
      <c r="AC111" t="str">
        <f t="shared" si="7"/>
        <v>Cash Not Over 200</v>
      </c>
    </row>
    <row r="112" spans="1:29" x14ac:dyDescent="0.25">
      <c r="A112">
        <v>49172</v>
      </c>
      <c r="B112" s="2">
        <v>42722</v>
      </c>
      <c r="C112">
        <v>4</v>
      </c>
      <c r="D112" s="2">
        <f t="shared" si="4"/>
        <v>42726</v>
      </c>
      <c r="E112">
        <v>0</v>
      </c>
      <c r="F112" t="s">
        <v>62</v>
      </c>
      <c r="G112" t="str">
        <f t="shared" si="5"/>
        <v>Other</v>
      </c>
      <c r="H112">
        <v>17</v>
      </c>
      <c r="I112">
        <v>7687</v>
      </c>
      <c r="J112">
        <v>4</v>
      </c>
      <c r="K112" t="s">
        <v>46</v>
      </c>
      <c r="L112" t="s">
        <v>25</v>
      </c>
      <c r="M112" t="s">
        <v>177</v>
      </c>
      <c r="N112" t="s">
        <v>178</v>
      </c>
      <c r="P112" t="s">
        <v>68</v>
      </c>
      <c r="Q112" t="s">
        <v>41</v>
      </c>
      <c r="R112">
        <v>17</v>
      </c>
      <c r="T112">
        <v>365</v>
      </c>
      <c r="U112" t="s">
        <v>1054</v>
      </c>
      <c r="V112" s="7">
        <v>59.990001679999999</v>
      </c>
      <c r="W112" s="7">
        <v>54.488929209402009</v>
      </c>
      <c r="X112">
        <v>1</v>
      </c>
      <c r="Y112" s="7">
        <v>5.4000000950000002</v>
      </c>
      <c r="Z112" s="7">
        <v>59.990001679999999</v>
      </c>
      <c r="AA112" s="7">
        <f t="shared" si="6"/>
        <v>54.590001584999996</v>
      </c>
      <c r="AB112" t="s">
        <v>30</v>
      </c>
      <c r="AC112" t="str">
        <f t="shared" si="7"/>
        <v>Cash Not Over 200</v>
      </c>
    </row>
    <row r="113" spans="1:29" x14ac:dyDescent="0.25">
      <c r="A113">
        <v>46907</v>
      </c>
      <c r="B113" s="2">
        <v>42689</v>
      </c>
      <c r="C113">
        <v>4</v>
      </c>
      <c r="D113" s="2">
        <f t="shared" si="4"/>
        <v>42695</v>
      </c>
      <c r="E113">
        <v>0</v>
      </c>
      <c r="F113" t="s">
        <v>62</v>
      </c>
      <c r="G113" t="str">
        <f t="shared" si="5"/>
        <v>Other</v>
      </c>
      <c r="H113">
        <v>18</v>
      </c>
      <c r="I113">
        <v>2324</v>
      </c>
      <c r="J113">
        <v>4</v>
      </c>
      <c r="K113" t="s">
        <v>46</v>
      </c>
      <c r="L113" t="s">
        <v>25</v>
      </c>
      <c r="M113" t="s">
        <v>179</v>
      </c>
      <c r="N113" t="s">
        <v>180</v>
      </c>
      <c r="P113" t="s">
        <v>28</v>
      </c>
      <c r="Q113" t="s">
        <v>29</v>
      </c>
      <c r="R113">
        <v>18</v>
      </c>
      <c r="T113">
        <v>403</v>
      </c>
      <c r="U113" t="s">
        <v>1052</v>
      </c>
      <c r="V113" s="7">
        <v>129.9900055</v>
      </c>
      <c r="W113" s="7">
        <v>110.80340837177086</v>
      </c>
      <c r="X113">
        <v>1</v>
      </c>
      <c r="Y113" s="7">
        <v>19.5</v>
      </c>
      <c r="Z113" s="7">
        <v>129.9900055</v>
      </c>
      <c r="AA113" s="7">
        <f t="shared" si="6"/>
        <v>110.4900055</v>
      </c>
      <c r="AB113" t="s">
        <v>30</v>
      </c>
      <c r="AC113" t="str">
        <f t="shared" si="7"/>
        <v>Cash Not Over 200</v>
      </c>
    </row>
    <row r="114" spans="1:29" x14ac:dyDescent="0.25">
      <c r="A114">
        <v>44485</v>
      </c>
      <c r="B114" s="2">
        <v>42684</v>
      </c>
      <c r="C114">
        <v>4</v>
      </c>
      <c r="D114" s="2">
        <f t="shared" si="4"/>
        <v>42690</v>
      </c>
      <c r="E114">
        <v>1</v>
      </c>
      <c r="F114" t="s">
        <v>62</v>
      </c>
      <c r="G114" t="str">
        <f t="shared" si="5"/>
        <v>Other</v>
      </c>
      <c r="H114">
        <v>17</v>
      </c>
      <c r="I114">
        <v>7393</v>
      </c>
      <c r="J114">
        <v>4</v>
      </c>
      <c r="K114" t="s">
        <v>46</v>
      </c>
      <c r="L114" t="s">
        <v>25</v>
      </c>
      <c r="M114" t="s">
        <v>175</v>
      </c>
      <c r="N114" t="s">
        <v>87</v>
      </c>
      <c r="P114" t="s">
        <v>88</v>
      </c>
      <c r="Q114" t="s">
        <v>89</v>
      </c>
      <c r="R114">
        <v>17</v>
      </c>
      <c r="T114">
        <v>365</v>
      </c>
      <c r="U114" t="s">
        <v>1054</v>
      </c>
      <c r="V114" s="7">
        <v>59.990001679999999</v>
      </c>
      <c r="W114" s="7">
        <v>54.488929209402009</v>
      </c>
      <c r="X114">
        <v>1</v>
      </c>
      <c r="Y114" s="7">
        <v>9.6000003809999992</v>
      </c>
      <c r="Z114" s="7">
        <v>59.990001679999999</v>
      </c>
      <c r="AA114" s="7">
        <f t="shared" si="6"/>
        <v>50.390001298999998</v>
      </c>
      <c r="AB114" t="s">
        <v>30</v>
      </c>
      <c r="AC114" t="str">
        <f t="shared" si="7"/>
        <v>Cash Not Over 200</v>
      </c>
    </row>
    <row r="115" spans="1:29" x14ac:dyDescent="0.25">
      <c r="A115">
        <v>44027</v>
      </c>
      <c r="B115" s="2">
        <v>42470</v>
      </c>
      <c r="C115">
        <v>4</v>
      </c>
      <c r="D115" s="2">
        <f t="shared" si="4"/>
        <v>42474</v>
      </c>
      <c r="E115">
        <v>0</v>
      </c>
      <c r="F115" t="s">
        <v>62</v>
      </c>
      <c r="G115" t="str">
        <f t="shared" si="5"/>
        <v>Other</v>
      </c>
      <c r="H115">
        <v>18</v>
      </c>
      <c r="I115">
        <v>4594</v>
      </c>
      <c r="J115">
        <v>4</v>
      </c>
      <c r="K115" t="s">
        <v>46</v>
      </c>
      <c r="L115" t="s">
        <v>25</v>
      </c>
      <c r="M115" t="s">
        <v>134</v>
      </c>
      <c r="N115" t="s">
        <v>134</v>
      </c>
      <c r="P115" t="s">
        <v>28</v>
      </c>
      <c r="Q115" t="s">
        <v>29</v>
      </c>
      <c r="R115">
        <v>18</v>
      </c>
      <c r="T115">
        <v>403</v>
      </c>
      <c r="U115" t="s">
        <v>1052</v>
      </c>
      <c r="V115" s="7">
        <v>129.9900055</v>
      </c>
      <c r="W115" s="7">
        <v>110.80340837177086</v>
      </c>
      <c r="X115">
        <v>1</v>
      </c>
      <c r="Y115" s="7">
        <v>20.799999239999998</v>
      </c>
      <c r="Z115" s="7">
        <v>129.9900055</v>
      </c>
      <c r="AA115" s="7">
        <f t="shared" si="6"/>
        <v>109.19000625999999</v>
      </c>
      <c r="AB115" t="s">
        <v>30</v>
      </c>
      <c r="AC115" t="str">
        <f t="shared" si="7"/>
        <v>Cash Not Over 200</v>
      </c>
    </row>
    <row r="116" spans="1:29" x14ac:dyDescent="0.25">
      <c r="A116">
        <v>43976</v>
      </c>
      <c r="B116" s="2">
        <v>42439</v>
      </c>
      <c r="C116">
        <v>4</v>
      </c>
      <c r="D116" s="2">
        <f t="shared" si="4"/>
        <v>42445</v>
      </c>
      <c r="E116">
        <v>0</v>
      </c>
      <c r="F116" t="s">
        <v>62</v>
      </c>
      <c r="G116" t="str">
        <f t="shared" si="5"/>
        <v>Other</v>
      </c>
      <c r="H116">
        <v>18</v>
      </c>
      <c r="I116">
        <v>1171</v>
      </c>
      <c r="J116">
        <v>4</v>
      </c>
      <c r="K116" t="s">
        <v>46</v>
      </c>
      <c r="L116" t="s">
        <v>25</v>
      </c>
      <c r="M116" t="s">
        <v>181</v>
      </c>
      <c r="N116" t="s">
        <v>140</v>
      </c>
      <c r="P116" t="s">
        <v>88</v>
      </c>
      <c r="Q116" t="s">
        <v>89</v>
      </c>
      <c r="R116">
        <v>18</v>
      </c>
      <c r="T116">
        <v>403</v>
      </c>
      <c r="U116" t="s">
        <v>1052</v>
      </c>
      <c r="V116" s="7">
        <v>129.9900055</v>
      </c>
      <c r="W116" s="7">
        <v>110.80340837177086</v>
      </c>
      <c r="X116">
        <v>1</v>
      </c>
      <c r="Y116" s="7">
        <v>22.100000380000001</v>
      </c>
      <c r="Z116" s="7">
        <v>129.9900055</v>
      </c>
      <c r="AA116" s="7">
        <f t="shared" si="6"/>
        <v>107.89000512</v>
      </c>
      <c r="AB116" t="s">
        <v>30</v>
      </c>
      <c r="AC116" t="str">
        <f t="shared" si="7"/>
        <v>Cash Not Over 200</v>
      </c>
    </row>
    <row r="117" spans="1:29" x14ac:dyDescent="0.25">
      <c r="A117">
        <v>41404</v>
      </c>
      <c r="B117" s="2">
        <v>42609</v>
      </c>
      <c r="C117">
        <v>4</v>
      </c>
      <c r="D117" s="2">
        <f t="shared" si="4"/>
        <v>42614</v>
      </c>
      <c r="E117">
        <v>1</v>
      </c>
      <c r="F117" t="s">
        <v>62</v>
      </c>
      <c r="G117" t="str">
        <f t="shared" si="5"/>
        <v>Other</v>
      </c>
      <c r="H117">
        <v>18</v>
      </c>
      <c r="I117">
        <v>2851</v>
      </c>
      <c r="J117">
        <v>4</v>
      </c>
      <c r="K117" t="s">
        <v>46</v>
      </c>
      <c r="L117" t="s">
        <v>25</v>
      </c>
      <c r="M117" t="s">
        <v>38</v>
      </c>
      <c r="N117" t="s">
        <v>39</v>
      </c>
      <c r="P117" t="s">
        <v>40</v>
      </c>
      <c r="Q117" t="s">
        <v>41</v>
      </c>
      <c r="R117">
        <v>18</v>
      </c>
      <c r="T117">
        <v>403</v>
      </c>
      <c r="U117" t="s">
        <v>1052</v>
      </c>
      <c r="V117" s="7">
        <v>129.9900055</v>
      </c>
      <c r="W117" s="7">
        <v>110.80340837177086</v>
      </c>
      <c r="X117">
        <v>1</v>
      </c>
      <c r="Y117" s="7">
        <v>23.399999619999999</v>
      </c>
      <c r="Z117" s="7">
        <v>129.9900055</v>
      </c>
      <c r="AA117" s="7">
        <f t="shared" si="6"/>
        <v>106.59000587999999</v>
      </c>
      <c r="AB117" t="s">
        <v>30</v>
      </c>
      <c r="AC117" t="str">
        <f t="shared" si="7"/>
        <v>Cash Not Over 200</v>
      </c>
    </row>
    <row r="118" spans="1:29" x14ac:dyDescent="0.25">
      <c r="A118">
        <v>46725</v>
      </c>
      <c r="B118" s="2">
        <v>42687</v>
      </c>
      <c r="C118">
        <v>4</v>
      </c>
      <c r="D118" s="2">
        <f t="shared" si="4"/>
        <v>42691</v>
      </c>
      <c r="E118">
        <v>1</v>
      </c>
      <c r="F118" t="s">
        <v>62</v>
      </c>
      <c r="G118" t="str">
        <f t="shared" si="5"/>
        <v>Other</v>
      </c>
      <c r="H118">
        <v>18</v>
      </c>
      <c r="I118">
        <v>2431</v>
      </c>
      <c r="J118">
        <v>4</v>
      </c>
      <c r="K118" t="s">
        <v>46</v>
      </c>
      <c r="L118" t="s">
        <v>25</v>
      </c>
      <c r="M118" t="s">
        <v>32</v>
      </c>
      <c r="N118" t="s">
        <v>32</v>
      </c>
      <c r="P118" t="s">
        <v>33</v>
      </c>
      <c r="Q118" t="s">
        <v>34</v>
      </c>
      <c r="R118">
        <v>18</v>
      </c>
      <c r="T118">
        <v>403</v>
      </c>
      <c r="U118" t="s">
        <v>1052</v>
      </c>
      <c r="V118" s="7">
        <v>129.9900055</v>
      </c>
      <c r="W118" s="7">
        <v>110.80340837177086</v>
      </c>
      <c r="X118">
        <v>1</v>
      </c>
      <c r="Y118" s="7">
        <v>32.5</v>
      </c>
      <c r="Z118" s="7">
        <v>129.9900055</v>
      </c>
      <c r="AA118" s="7">
        <f t="shared" si="6"/>
        <v>97.490005499999995</v>
      </c>
      <c r="AB118" t="s">
        <v>30</v>
      </c>
      <c r="AC118" t="str">
        <f t="shared" si="7"/>
        <v>Cash Not Over 200</v>
      </c>
    </row>
    <row r="119" spans="1:29" x14ac:dyDescent="0.25">
      <c r="A119">
        <v>41442</v>
      </c>
      <c r="B119" s="2">
        <v>42609</v>
      </c>
      <c r="C119">
        <v>4</v>
      </c>
      <c r="D119" s="2">
        <f t="shared" si="4"/>
        <v>42614</v>
      </c>
      <c r="E119">
        <v>0</v>
      </c>
      <c r="F119" t="s">
        <v>62</v>
      </c>
      <c r="G119" t="str">
        <f t="shared" si="5"/>
        <v>Other</v>
      </c>
      <c r="H119">
        <v>17</v>
      </c>
      <c r="I119">
        <v>223</v>
      </c>
      <c r="J119">
        <v>4</v>
      </c>
      <c r="K119" t="s">
        <v>46</v>
      </c>
      <c r="L119" t="s">
        <v>25</v>
      </c>
      <c r="M119" t="s">
        <v>59</v>
      </c>
      <c r="N119" t="s">
        <v>60</v>
      </c>
      <c r="P119" t="s">
        <v>61</v>
      </c>
      <c r="Q119" t="s">
        <v>41</v>
      </c>
      <c r="R119">
        <v>17</v>
      </c>
      <c r="T119">
        <v>365</v>
      </c>
      <c r="U119" t="s">
        <v>1054</v>
      </c>
      <c r="V119" s="7">
        <v>59.990001679999999</v>
      </c>
      <c r="W119" s="7">
        <v>54.488929209402009</v>
      </c>
      <c r="X119">
        <v>1</v>
      </c>
      <c r="Y119" s="7">
        <v>15</v>
      </c>
      <c r="Z119" s="7">
        <v>59.990001679999999</v>
      </c>
      <c r="AA119" s="7">
        <f t="shared" si="6"/>
        <v>44.990001679999999</v>
      </c>
      <c r="AB119" t="s">
        <v>30</v>
      </c>
      <c r="AC119" t="str">
        <f t="shared" si="7"/>
        <v>Cash Not Over 200</v>
      </c>
    </row>
    <row r="120" spans="1:29" x14ac:dyDescent="0.25">
      <c r="A120">
        <v>41640</v>
      </c>
      <c r="B120" s="2">
        <v>42612</v>
      </c>
      <c r="C120">
        <v>4</v>
      </c>
      <c r="D120" s="2">
        <f t="shared" si="4"/>
        <v>42618</v>
      </c>
      <c r="E120">
        <v>1</v>
      </c>
      <c r="F120" t="s">
        <v>62</v>
      </c>
      <c r="G120" t="str">
        <f t="shared" si="5"/>
        <v>Other</v>
      </c>
      <c r="H120">
        <v>18</v>
      </c>
      <c r="I120">
        <v>9189</v>
      </c>
      <c r="J120">
        <v>4</v>
      </c>
      <c r="K120" t="s">
        <v>46</v>
      </c>
      <c r="L120" t="s">
        <v>25</v>
      </c>
      <c r="M120" t="s">
        <v>182</v>
      </c>
      <c r="N120" t="s">
        <v>183</v>
      </c>
      <c r="P120" t="s">
        <v>40</v>
      </c>
      <c r="Q120" t="s">
        <v>41</v>
      </c>
      <c r="R120">
        <v>18</v>
      </c>
      <c r="T120">
        <v>403</v>
      </c>
      <c r="U120" t="s">
        <v>1052</v>
      </c>
      <c r="V120" s="7">
        <v>129.9900055</v>
      </c>
      <c r="W120" s="7">
        <v>110.80340837177086</v>
      </c>
      <c r="X120">
        <v>1</v>
      </c>
      <c r="Y120" s="7">
        <v>32.5</v>
      </c>
      <c r="Z120" s="7">
        <v>129.9900055</v>
      </c>
      <c r="AA120" s="7">
        <f t="shared" si="6"/>
        <v>97.490005499999995</v>
      </c>
      <c r="AB120" t="s">
        <v>30</v>
      </c>
      <c r="AC120" t="str">
        <f t="shared" si="7"/>
        <v>Cash Not Over 200</v>
      </c>
    </row>
    <row r="121" spans="1:29" x14ac:dyDescent="0.25">
      <c r="A121">
        <v>50000</v>
      </c>
      <c r="B121" s="2">
        <v>42734</v>
      </c>
      <c r="C121">
        <v>4</v>
      </c>
      <c r="D121" s="2">
        <f t="shared" si="4"/>
        <v>42740</v>
      </c>
      <c r="E121">
        <v>1</v>
      </c>
      <c r="F121" t="s">
        <v>62</v>
      </c>
      <c r="G121" t="str">
        <f t="shared" si="5"/>
        <v>Other</v>
      </c>
      <c r="H121">
        <v>17</v>
      </c>
      <c r="I121">
        <v>6827</v>
      </c>
      <c r="J121">
        <v>4</v>
      </c>
      <c r="K121" t="s">
        <v>46</v>
      </c>
      <c r="L121" t="s">
        <v>25</v>
      </c>
      <c r="M121" t="s">
        <v>184</v>
      </c>
      <c r="N121" t="s">
        <v>184</v>
      </c>
      <c r="P121" t="s">
        <v>185</v>
      </c>
      <c r="Q121" t="s">
        <v>89</v>
      </c>
      <c r="R121">
        <v>17</v>
      </c>
      <c r="T121">
        <v>365</v>
      </c>
      <c r="U121" t="s">
        <v>1054</v>
      </c>
      <c r="V121" s="7">
        <v>59.990001679999999</v>
      </c>
      <c r="W121" s="7">
        <v>54.488929209402009</v>
      </c>
      <c r="X121">
        <v>1</v>
      </c>
      <c r="Y121" s="7">
        <v>15</v>
      </c>
      <c r="Z121" s="7">
        <v>59.990001679999999</v>
      </c>
      <c r="AA121" s="7">
        <f t="shared" si="6"/>
        <v>44.990001679999999</v>
      </c>
      <c r="AB121" t="s">
        <v>30</v>
      </c>
      <c r="AC121" t="str">
        <f t="shared" si="7"/>
        <v>Cash Not Over 200</v>
      </c>
    </row>
    <row r="122" spans="1:29" x14ac:dyDescent="0.25">
      <c r="A122">
        <v>47908</v>
      </c>
      <c r="B122" s="2">
        <v>42704</v>
      </c>
      <c r="C122">
        <v>4</v>
      </c>
      <c r="D122" s="2">
        <f t="shared" si="4"/>
        <v>42710</v>
      </c>
      <c r="E122">
        <v>0</v>
      </c>
      <c r="F122" t="s">
        <v>62</v>
      </c>
      <c r="G122" t="str">
        <f t="shared" si="5"/>
        <v>Other</v>
      </c>
      <c r="H122">
        <v>24</v>
      </c>
      <c r="I122">
        <v>6944</v>
      </c>
      <c r="J122">
        <v>5</v>
      </c>
      <c r="K122" t="s">
        <v>31</v>
      </c>
      <c r="L122" t="s">
        <v>25</v>
      </c>
      <c r="M122" t="s">
        <v>36</v>
      </c>
      <c r="N122" t="s">
        <v>36</v>
      </c>
      <c r="P122" t="s">
        <v>37</v>
      </c>
      <c r="Q122" t="s">
        <v>29</v>
      </c>
      <c r="R122">
        <v>24</v>
      </c>
      <c r="T122">
        <v>502</v>
      </c>
      <c r="U122" t="s">
        <v>1058</v>
      </c>
      <c r="V122" s="7">
        <v>50</v>
      </c>
      <c r="W122" s="7">
        <v>43.678035218757444</v>
      </c>
      <c r="X122">
        <v>1</v>
      </c>
      <c r="Y122" s="7">
        <v>3.5</v>
      </c>
      <c r="Z122" s="7">
        <v>50</v>
      </c>
      <c r="AA122" s="7">
        <f t="shared" si="6"/>
        <v>46.5</v>
      </c>
      <c r="AB122" t="s">
        <v>30</v>
      </c>
      <c r="AC122" t="str">
        <f t="shared" si="7"/>
        <v>Cash Not Over 200</v>
      </c>
    </row>
    <row r="123" spans="1:29" x14ac:dyDescent="0.25">
      <c r="A123">
        <v>44485</v>
      </c>
      <c r="B123" s="2">
        <v>42684</v>
      </c>
      <c r="C123">
        <v>4</v>
      </c>
      <c r="D123" s="2">
        <f t="shared" si="4"/>
        <v>42690</v>
      </c>
      <c r="E123">
        <v>1</v>
      </c>
      <c r="F123" t="s">
        <v>62</v>
      </c>
      <c r="G123" t="str">
        <f t="shared" si="5"/>
        <v>Other</v>
      </c>
      <c r="H123">
        <v>24</v>
      </c>
      <c r="I123">
        <v>7393</v>
      </c>
      <c r="J123">
        <v>5</v>
      </c>
      <c r="K123" t="s">
        <v>31</v>
      </c>
      <c r="L123" t="s">
        <v>25</v>
      </c>
      <c r="M123" t="s">
        <v>175</v>
      </c>
      <c r="N123" t="s">
        <v>87</v>
      </c>
      <c r="P123" t="s">
        <v>88</v>
      </c>
      <c r="Q123" t="s">
        <v>89</v>
      </c>
      <c r="R123">
        <v>24</v>
      </c>
      <c r="T123">
        <v>502</v>
      </c>
      <c r="U123" t="s">
        <v>1058</v>
      </c>
      <c r="V123" s="7">
        <v>50</v>
      </c>
      <c r="W123" s="7">
        <v>43.678035218757444</v>
      </c>
      <c r="X123">
        <v>1</v>
      </c>
      <c r="Y123" s="7">
        <v>6</v>
      </c>
      <c r="Z123" s="7">
        <v>50</v>
      </c>
      <c r="AA123" s="7">
        <f t="shared" si="6"/>
        <v>44</v>
      </c>
      <c r="AB123" t="s">
        <v>30</v>
      </c>
      <c r="AC123" t="str">
        <f t="shared" si="7"/>
        <v>Cash Not Over 200</v>
      </c>
    </row>
    <row r="124" spans="1:29" x14ac:dyDescent="0.25">
      <c r="A124">
        <v>41322</v>
      </c>
      <c r="B124" s="2">
        <v>42608</v>
      </c>
      <c r="C124">
        <v>4</v>
      </c>
      <c r="D124" s="2">
        <f t="shared" si="4"/>
        <v>42614</v>
      </c>
      <c r="E124">
        <v>0</v>
      </c>
      <c r="F124" t="s">
        <v>62</v>
      </c>
      <c r="G124" t="str">
        <f t="shared" si="5"/>
        <v>Other</v>
      </c>
      <c r="H124">
        <v>37</v>
      </c>
      <c r="I124">
        <v>2924</v>
      </c>
      <c r="J124">
        <v>6</v>
      </c>
      <c r="K124" t="s">
        <v>35</v>
      </c>
      <c r="L124" t="s">
        <v>25</v>
      </c>
      <c r="M124" t="s">
        <v>186</v>
      </c>
      <c r="N124" t="s">
        <v>87</v>
      </c>
      <c r="P124" t="s">
        <v>88</v>
      </c>
      <c r="Q124" t="s">
        <v>89</v>
      </c>
      <c r="R124">
        <v>37</v>
      </c>
      <c r="T124">
        <v>825</v>
      </c>
      <c r="U124" t="s">
        <v>1069</v>
      </c>
      <c r="V124" s="7">
        <v>31.989999770000001</v>
      </c>
      <c r="W124" s="7">
        <v>23.973333102666668</v>
      </c>
      <c r="X124">
        <v>1</v>
      </c>
      <c r="Y124" s="7">
        <v>0.31999999299999998</v>
      </c>
      <c r="Z124" s="7">
        <v>31.989999770000001</v>
      </c>
      <c r="AA124" s="7">
        <f t="shared" si="6"/>
        <v>31.669999777000001</v>
      </c>
      <c r="AB124" t="s">
        <v>30</v>
      </c>
      <c r="AC124" t="str">
        <f t="shared" si="7"/>
        <v>Cash Not Over 200</v>
      </c>
    </row>
    <row r="125" spans="1:29" x14ac:dyDescent="0.25">
      <c r="A125">
        <v>50419</v>
      </c>
      <c r="B125" s="2">
        <v>42856</v>
      </c>
      <c r="C125">
        <v>4</v>
      </c>
      <c r="D125" s="2">
        <f t="shared" si="4"/>
        <v>42860</v>
      </c>
      <c r="E125">
        <v>1</v>
      </c>
      <c r="F125" t="s">
        <v>62</v>
      </c>
      <c r="G125" t="str">
        <f t="shared" si="5"/>
        <v>Other</v>
      </c>
      <c r="H125">
        <v>40</v>
      </c>
      <c r="I125">
        <v>3546</v>
      </c>
      <c r="J125">
        <v>6</v>
      </c>
      <c r="K125" t="s">
        <v>35</v>
      </c>
      <c r="L125" t="s">
        <v>25</v>
      </c>
      <c r="M125" t="s">
        <v>63</v>
      </c>
      <c r="N125" t="s">
        <v>64</v>
      </c>
      <c r="P125" t="s">
        <v>65</v>
      </c>
      <c r="Q125" t="s">
        <v>52</v>
      </c>
      <c r="R125">
        <v>40</v>
      </c>
      <c r="T125">
        <v>897</v>
      </c>
      <c r="U125" t="s">
        <v>1080</v>
      </c>
      <c r="V125" s="7">
        <v>24.989999770000001</v>
      </c>
      <c r="W125" s="7">
        <v>31.600000078500003</v>
      </c>
      <c r="X125">
        <v>1</v>
      </c>
      <c r="Y125" s="7">
        <v>2.25</v>
      </c>
      <c r="Z125" s="7">
        <v>24.989999770000001</v>
      </c>
      <c r="AA125" s="7">
        <f t="shared" si="6"/>
        <v>22.739999770000001</v>
      </c>
      <c r="AB125" t="s">
        <v>30</v>
      </c>
      <c r="AC125" t="str">
        <f t="shared" si="7"/>
        <v>Cash Not Over 200</v>
      </c>
    </row>
    <row r="126" spans="1:29" x14ac:dyDescent="0.25">
      <c r="A126">
        <v>50364</v>
      </c>
      <c r="B126" s="2">
        <v>42856</v>
      </c>
      <c r="C126">
        <v>4</v>
      </c>
      <c r="D126" s="2">
        <f t="shared" si="4"/>
        <v>42860</v>
      </c>
      <c r="E126">
        <v>1</v>
      </c>
      <c r="F126" t="s">
        <v>62</v>
      </c>
      <c r="G126" t="str">
        <f t="shared" si="5"/>
        <v>Other</v>
      </c>
      <c r="H126">
        <v>43</v>
      </c>
      <c r="I126">
        <v>9082</v>
      </c>
      <c r="J126">
        <v>7</v>
      </c>
      <c r="K126" t="s">
        <v>58</v>
      </c>
      <c r="L126" t="s">
        <v>25</v>
      </c>
      <c r="M126" t="s">
        <v>93</v>
      </c>
      <c r="N126" t="s">
        <v>93</v>
      </c>
      <c r="P126" t="s">
        <v>28</v>
      </c>
      <c r="Q126" t="s">
        <v>29</v>
      </c>
      <c r="R126">
        <v>43</v>
      </c>
      <c r="T126">
        <v>957</v>
      </c>
      <c r="U126" t="s">
        <v>1056</v>
      </c>
      <c r="V126" s="7">
        <v>299.98001099999999</v>
      </c>
      <c r="W126" s="7">
        <v>295.0300103351052</v>
      </c>
      <c r="X126">
        <v>1</v>
      </c>
      <c r="Y126" s="7">
        <v>9</v>
      </c>
      <c r="Z126" s="7">
        <v>299.98001099999999</v>
      </c>
      <c r="AA126" s="7">
        <f t="shared" si="6"/>
        <v>290.98001099999999</v>
      </c>
      <c r="AB126" t="s">
        <v>30</v>
      </c>
      <c r="AC126" t="str">
        <f t="shared" si="7"/>
        <v>Cash Over 200</v>
      </c>
    </row>
    <row r="127" spans="1:29" x14ac:dyDescent="0.25">
      <c r="A127">
        <v>42920</v>
      </c>
      <c r="B127" s="2">
        <v>42631</v>
      </c>
      <c r="C127">
        <v>4</v>
      </c>
      <c r="D127" s="2">
        <f t="shared" si="4"/>
        <v>42635</v>
      </c>
      <c r="E127">
        <v>1</v>
      </c>
      <c r="F127" t="s">
        <v>62</v>
      </c>
      <c r="G127" t="str">
        <f t="shared" si="5"/>
        <v>Other</v>
      </c>
      <c r="H127">
        <v>43</v>
      </c>
      <c r="I127">
        <v>716</v>
      </c>
      <c r="J127">
        <v>7</v>
      </c>
      <c r="K127" t="s">
        <v>58</v>
      </c>
      <c r="L127" t="s">
        <v>25</v>
      </c>
      <c r="M127" t="s">
        <v>173</v>
      </c>
      <c r="N127" t="s">
        <v>174</v>
      </c>
      <c r="P127" t="s">
        <v>28</v>
      </c>
      <c r="Q127" t="s">
        <v>29</v>
      </c>
      <c r="R127">
        <v>43</v>
      </c>
      <c r="T127">
        <v>957</v>
      </c>
      <c r="U127" t="s">
        <v>1056</v>
      </c>
      <c r="V127" s="7">
        <v>299.98001099999999</v>
      </c>
      <c r="W127" s="7">
        <v>295.0300103351052</v>
      </c>
      <c r="X127">
        <v>1</v>
      </c>
      <c r="Y127" s="7">
        <v>12</v>
      </c>
      <c r="Z127" s="7">
        <v>299.98001099999999</v>
      </c>
      <c r="AA127" s="7">
        <f t="shared" si="6"/>
        <v>287.98001099999999</v>
      </c>
      <c r="AB127" t="s">
        <v>30</v>
      </c>
      <c r="AC127" t="str">
        <f t="shared" si="7"/>
        <v>Cash Over 200</v>
      </c>
    </row>
    <row r="128" spans="1:29" x14ac:dyDescent="0.25">
      <c r="A128">
        <v>47908</v>
      </c>
      <c r="B128" s="2">
        <v>42704</v>
      </c>
      <c r="C128">
        <v>4</v>
      </c>
      <c r="D128" s="2">
        <f t="shared" si="4"/>
        <v>42710</v>
      </c>
      <c r="E128">
        <v>0</v>
      </c>
      <c r="F128" t="s">
        <v>62</v>
      </c>
      <c r="G128" t="str">
        <f t="shared" si="5"/>
        <v>Other</v>
      </c>
      <c r="H128">
        <v>43</v>
      </c>
      <c r="I128">
        <v>6944</v>
      </c>
      <c r="J128">
        <v>7</v>
      </c>
      <c r="K128" t="s">
        <v>58</v>
      </c>
      <c r="L128" t="s">
        <v>25</v>
      </c>
      <c r="M128" t="s">
        <v>36</v>
      </c>
      <c r="N128" t="s">
        <v>36</v>
      </c>
      <c r="P128" t="s">
        <v>37</v>
      </c>
      <c r="Q128" t="s">
        <v>29</v>
      </c>
      <c r="R128">
        <v>43</v>
      </c>
      <c r="T128">
        <v>957</v>
      </c>
      <c r="U128" t="s">
        <v>1056</v>
      </c>
      <c r="V128" s="7">
        <v>299.98001099999999</v>
      </c>
      <c r="W128" s="7">
        <v>295.0300103351052</v>
      </c>
      <c r="X128">
        <v>1</v>
      </c>
      <c r="Y128" s="7">
        <v>21</v>
      </c>
      <c r="Z128" s="7">
        <v>299.98001099999999</v>
      </c>
      <c r="AA128" s="7">
        <f t="shared" si="6"/>
        <v>278.98001099999999</v>
      </c>
      <c r="AB128" t="s">
        <v>30</v>
      </c>
      <c r="AC128" t="str">
        <f t="shared" si="7"/>
        <v>Cash Over 200</v>
      </c>
    </row>
    <row r="129" spans="1:29" x14ac:dyDescent="0.25">
      <c r="A129">
        <v>46907</v>
      </c>
      <c r="B129" s="2">
        <v>42689</v>
      </c>
      <c r="C129">
        <v>4</v>
      </c>
      <c r="D129" s="2">
        <f t="shared" si="4"/>
        <v>42695</v>
      </c>
      <c r="E129">
        <v>0</v>
      </c>
      <c r="F129" t="s">
        <v>62</v>
      </c>
      <c r="G129" t="str">
        <f t="shared" si="5"/>
        <v>Other</v>
      </c>
      <c r="H129">
        <v>43</v>
      </c>
      <c r="I129">
        <v>2324</v>
      </c>
      <c r="J129">
        <v>7</v>
      </c>
      <c r="K129" t="s">
        <v>58</v>
      </c>
      <c r="L129" t="s">
        <v>25</v>
      </c>
      <c r="M129" t="s">
        <v>179</v>
      </c>
      <c r="N129" t="s">
        <v>180</v>
      </c>
      <c r="P129" t="s">
        <v>28</v>
      </c>
      <c r="Q129" t="s">
        <v>29</v>
      </c>
      <c r="R129">
        <v>43</v>
      </c>
      <c r="T129">
        <v>957</v>
      </c>
      <c r="U129" t="s">
        <v>1056</v>
      </c>
      <c r="V129" s="7">
        <v>299.98001099999999</v>
      </c>
      <c r="W129" s="7">
        <v>295.0300103351052</v>
      </c>
      <c r="X129">
        <v>1</v>
      </c>
      <c r="Y129" s="7">
        <v>21</v>
      </c>
      <c r="Z129" s="7">
        <v>299.98001099999999</v>
      </c>
      <c r="AA129" s="7">
        <f t="shared" si="6"/>
        <v>278.98001099999999</v>
      </c>
      <c r="AB129" t="s">
        <v>30</v>
      </c>
      <c r="AC129" t="str">
        <f t="shared" si="7"/>
        <v>Cash Over 200</v>
      </c>
    </row>
    <row r="130" spans="1:29" x14ac:dyDescent="0.25">
      <c r="A130">
        <v>42712</v>
      </c>
      <c r="B130" s="2">
        <v>42628</v>
      </c>
      <c r="C130">
        <v>4</v>
      </c>
      <c r="D130" s="2">
        <f t="shared" si="4"/>
        <v>42634</v>
      </c>
      <c r="E130">
        <v>0</v>
      </c>
      <c r="F130" t="s">
        <v>62</v>
      </c>
      <c r="G130" t="str">
        <f t="shared" si="5"/>
        <v>Other</v>
      </c>
      <c r="H130">
        <v>43</v>
      </c>
      <c r="I130">
        <v>11782</v>
      </c>
      <c r="J130">
        <v>7</v>
      </c>
      <c r="K130" t="s">
        <v>58</v>
      </c>
      <c r="L130" t="s">
        <v>25</v>
      </c>
      <c r="M130" t="s">
        <v>63</v>
      </c>
      <c r="N130" t="s">
        <v>64</v>
      </c>
      <c r="P130" t="s">
        <v>65</v>
      </c>
      <c r="Q130" t="s">
        <v>52</v>
      </c>
      <c r="R130">
        <v>43</v>
      </c>
      <c r="T130">
        <v>957</v>
      </c>
      <c r="U130" t="s">
        <v>1056</v>
      </c>
      <c r="V130" s="7">
        <v>299.98001099999999</v>
      </c>
      <c r="W130" s="7">
        <v>295.0300103351052</v>
      </c>
      <c r="X130">
        <v>1</v>
      </c>
      <c r="Y130" s="7">
        <v>36</v>
      </c>
      <c r="Z130" s="7">
        <v>299.98001099999999</v>
      </c>
      <c r="AA130" s="7">
        <f t="shared" si="6"/>
        <v>263.98001099999999</v>
      </c>
      <c r="AB130" t="s">
        <v>30</v>
      </c>
      <c r="AC130" t="str">
        <f t="shared" si="7"/>
        <v>Cash Over 200</v>
      </c>
    </row>
    <row r="131" spans="1:29" x14ac:dyDescent="0.25">
      <c r="A131">
        <v>51110</v>
      </c>
      <c r="B131" s="2">
        <v>42751</v>
      </c>
      <c r="C131">
        <v>4</v>
      </c>
      <c r="D131" s="2">
        <f t="shared" ref="D131:D194" si="8">WORKDAY(B131,C131)</f>
        <v>42755</v>
      </c>
      <c r="E131">
        <v>1</v>
      </c>
      <c r="F131" t="s">
        <v>62</v>
      </c>
      <c r="G131" t="str">
        <f t="shared" ref="G131:G194" si="9">IF(AND(E131=0,F131="Same Day"),"Same Day - On Time","Other")</f>
        <v>Other</v>
      </c>
      <c r="H131">
        <v>43</v>
      </c>
      <c r="I131">
        <v>8511</v>
      </c>
      <c r="J131">
        <v>7</v>
      </c>
      <c r="K131" t="s">
        <v>58</v>
      </c>
      <c r="L131" t="s">
        <v>25</v>
      </c>
      <c r="M131" t="s">
        <v>138</v>
      </c>
      <c r="N131" t="s">
        <v>138</v>
      </c>
      <c r="P131" t="s">
        <v>100</v>
      </c>
      <c r="Q131" t="s">
        <v>52</v>
      </c>
      <c r="R131">
        <v>43</v>
      </c>
      <c r="T131">
        <v>957</v>
      </c>
      <c r="U131" t="s">
        <v>1056</v>
      </c>
      <c r="V131" s="7">
        <v>299.98001099999999</v>
      </c>
      <c r="W131" s="7">
        <v>295.0300103351052</v>
      </c>
      <c r="X131">
        <v>1</v>
      </c>
      <c r="Y131" s="7">
        <v>39</v>
      </c>
      <c r="Z131" s="7">
        <v>299.98001099999999</v>
      </c>
      <c r="AA131" s="7">
        <f t="shared" ref="AA131:AA194" si="10">Z131-Y131</f>
        <v>260.98001099999999</v>
      </c>
      <c r="AB131" t="s">
        <v>30</v>
      </c>
      <c r="AC131" t="str">
        <f t="shared" ref="AC131:AC194" si="11">IF(AND(AA131&gt;200,AB131="CASH"),"Cash Over 200",IF(AB131="CASH","Cash Not Over 200","Non-Cash Payments"))</f>
        <v>Cash Over 200</v>
      </c>
    </row>
    <row r="132" spans="1:29" x14ac:dyDescent="0.25">
      <c r="A132">
        <v>41404</v>
      </c>
      <c r="B132" s="2">
        <v>42609</v>
      </c>
      <c r="C132">
        <v>4</v>
      </c>
      <c r="D132" s="2">
        <f t="shared" si="8"/>
        <v>42614</v>
      </c>
      <c r="E132">
        <v>1</v>
      </c>
      <c r="F132" t="s">
        <v>62</v>
      </c>
      <c r="G132" t="str">
        <f t="shared" si="9"/>
        <v>Other</v>
      </c>
      <c r="H132">
        <v>43</v>
      </c>
      <c r="I132">
        <v>2851</v>
      </c>
      <c r="J132">
        <v>7</v>
      </c>
      <c r="K132" t="s">
        <v>58</v>
      </c>
      <c r="L132" t="s">
        <v>25</v>
      </c>
      <c r="M132" t="s">
        <v>38</v>
      </c>
      <c r="N132" t="s">
        <v>39</v>
      </c>
      <c r="P132" t="s">
        <v>40</v>
      </c>
      <c r="Q132" t="s">
        <v>41</v>
      </c>
      <c r="R132">
        <v>43</v>
      </c>
      <c r="T132">
        <v>957</v>
      </c>
      <c r="U132" t="s">
        <v>1056</v>
      </c>
      <c r="V132" s="7">
        <v>299.98001099999999</v>
      </c>
      <c r="W132" s="7">
        <v>295.0300103351052</v>
      </c>
      <c r="X132">
        <v>1</v>
      </c>
      <c r="Y132" s="7">
        <v>45</v>
      </c>
      <c r="Z132" s="7">
        <v>299.98001099999999</v>
      </c>
      <c r="AA132" s="7">
        <f t="shared" si="10"/>
        <v>254.98001099999999</v>
      </c>
      <c r="AB132" t="s">
        <v>30</v>
      </c>
      <c r="AC132" t="str">
        <f t="shared" si="11"/>
        <v>Cash Over 200</v>
      </c>
    </row>
    <row r="133" spans="1:29" x14ac:dyDescent="0.25">
      <c r="A133">
        <v>44485</v>
      </c>
      <c r="B133" s="2">
        <v>42684</v>
      </c>
      <c r="C133">
        <v>4</v>
      </c>
      <c r="D133" s="2">
        <f t="shared" si="8"/>
        <v>42690</v>
      </c>
      <c r="E133">
        <v>1</v>
      </c>
      <c r="F133" t="s">
        <v>62</v>
      </c>
      <c r="G133" t="str">
        <f t="shared" si="9"/>
        <v>Other</v>
      </c>
      <c r="H133">
        <v>43</v>
      </c>
      <c r="I133">
        <v>7393</v>
      </c>
      <c r="J133">
        <v>7</v>
      </c>
      <c r="K133" t="s">
        <v>58</v>
      </c>
      <c r="L133" t="s">
        <v>25</v>
      </c>
      <c r="M133" t="s">
        <v>175</v>
      </c>
      <c r="N133" t="s">
        <v>87</v>
      </c>
      <c r="P133" t="s">
        <v>88</v>
      </c>
      <c r="Q133" t="s">
        <v>89</v>
      </c>
      <c r="R133">
        <v>43</v>
      </c>
      <c r="T133">
        <v>957</v>
      </c>
      <c r="U133" t="s">
        <v>1056</v>
      </c>
      <c r="V133" s="7">
        <v>299.98001099999999</v>
      </c>
      <c r="W133" s="7">
        <v>295.0300103351052</v>
      </c>
      <c r="X133">
        <v>1</v>
      </c>
      <c r="Y133" s="7">
        <v>51</v>
      </c>
      <c r="Z133" s="7">
        <v>299.98001099999999</v>
      </c>
      <c r="AA133" s="7">
        <f t="shared" si="10"/>
        <v>248.98001099999999</v>
      </c>
      <c r="AB133" t="s">
        <v>30</v>
      </c>
      <c r="AC133" t="str">
        <f t="shared" si="11"/>
        <v>Cash Over 200</v>
      </c>
    </row>
    <row r="134" spans="1:29" x14ac:dyDescent="0.25">
      <c r="A134">
        <v>45418</v>
      </c>
      <c r="B134" s="2">
        <v>42667</v>
      </c>
      <c r="C134">
        <v>4</v>
      </c>
      <c r="D134" s="2">
        <f t="shared" si="8"/>
        <v>42671</v>
      </c>
      <c r="E134">
        <v>0</v>
      </c>
      <c r="F134" t="s">
        <v>62</v>
      </c>
      <c r="G134" t="str">
        <f t="shared" si="9"/>
        <v>Other</v>
      </c>
      <c r="H134">
        <v>43</v>
      </c>
      <c r="I134">
        <v>9011</v>
      </c>
      <c r="J134">
        <v>7</v>
      </c>
      <c r="K134" t="s">
        <v>58</v>
      </c>
      <c r="L134" t="s">
        <v>25</v>
      </c>
      <c r="M134" t="s">
        <v>171</v>
      </c>
      <c r="N134" t="s">
        <v>171</v>
      </c>
      <c r="P134" t="s">
        <v>172</v>
      </c>
      <c r="Q134" t="s">
        <v>52</v>
      </c>
      <c r="R134">
        <v>43</v>
      </c>
      <c r="T134">
        <v>957</v>
      </c>
      <c r="U134" t="s">
        <v>1056</v>
      </c>
      <c r="V134" s="7">
        <v>299.98001099999999</v>
      </c>
      <c r="W134" s="7">
        <v>295.0300103351052</v>
      </c>
      <c r="X134">
        <v>1</v>
      </c>
      <c r="Y134" s="7">
        <v>54</v>
      </c>
      <c r="Z134" s="7">
        <v>299.98001099999999</v>
      </c>
      <c r="AA134" s="7">
        <f t="shared" si="10"/>
        <v>245.98001099999999</v>
      </c>
      <c r="AB134" t="s">
        <v>30</v>
      </c>
      <c r="AC134" t="str">
        <f t="shared" si="11"/>
        <v>Cash Over 200</v>
      </c>
    </row>
    <row r="135" spans="1:29" x14ac:dyDescent="0.25">
      <c r="A135">
        <v>45418</v>
      </c>
      <c r="B135" s="2">
        <v>42667</v>
      </c>
      <c r="C135">
        <v>4</v>
      </c>
      <c r="D135" s="2">
        <f t="shared" si="8"/>
        <v>42671</v>
      </c>
      <c r="E135">
        <v>0</v>
      </c>
      <c r="F135" t="s">
        <v>62</v>
      </c>
      <c r="G135" t="str">
        <f t="shared" si="9"/>
        <v>Other</v>
      </c>
      <c r="H135">
        <v>43</v>
      </c>
      <c r="I135">
        <v>9011</v>
      </c>
      <c r="J135">
        <v>7</v>
      </c>
      <c r="K135" t="s">
        <v>58</v>
      </c>
      <c r="L135" t="s">
        <v>25</v>
      </c>
      <c r="M135" t="s">
        <v>171</v>
      </c>
      <c r="N135" t="s">
        <v>171</v>
      </c>
      <c r="P135" t="s">
        <v>172</v>
      </c>
      <c r="Q135" t="s">
        <v>52</v>
      </c>
      <c r="R135">
        <v>43</v>
      </c>
      <c r="T135">
        <v>957</v>
      </c>
      <c r="U135" t="s">
        <v>1056</v>
      </c>
      <c r="V135" s="7">
        <v>299.98001099999999</v>
      </c>
      <c r="W135" s="7">
        <v>295.0300103351052</v>
      </c>
      <c r="X135">
        <v>1</v>
      </c>
      <c r="Y135" s="7">
        <v>60</v>
      </c>
      <c r="Z135" s="7">
        <v>299.98001099999999</v>
      </c>
      <c r="AA135" s="7">
        <f t="shared" si="10"/>
        <v>239.98001099999999</v>
      </c>
      <c r="AB135" t="s">
        <v>30</v>
      </c>
      <c r="AC135" t="str">
        <f t="shared" si="11"/>
        <v>Cash Over 200</v>
      </c>
    </row>
    <row r="136" spans="1:29" x14ac:dyDescent="0.25">
      <c r="A136">
        <v>46495</v>
      </c>
      <c r="B136" s="2">
        <v>42624</v>
      </c>
      <c r="C136">
        <v>1</v>
      </c>
      <c r="D136" s="2">
        <f t="shared" si="8"/>
        <v>42625</v>
      </c>
      <c r="E136">
        <v>1</v>
      </c>
      <c r="F136" t="s">
        <v>187</v>
      </c>
      <c r="G136" t="str">
        <f t="shared" si="9"/>
        <v>Other</v>
      </c>
      <c r="H136">
        <v>18</v>
      </c>
      <c r="I136">
        <v>10610</v>
      </c>
      <c r="J136">
        <v>4</v>
      </c>
      <c r="K136" t="s">
        <v>46</v>
      </c>
      <c r="L136" t="s">
        <v>25</v>
      </c>
      <c r="M136" t="s">
        <v>139</v>
      </c>
      <c r="N136" t="s">
        <v>140</v>
      </c>
      <c r="P136" t="s">
        <v>88</v>
      </c>
      <c r="Q136" t="s">
        <v>89</v>
      </c>
      <c r="R136">
        <v>18</v>
      </c>
      <c r="T136">
        <v>403</v>
      </c>
      <c r="U136" t="s">
        <v>1052</v>
      </c>
      <c r="V136" s="7">
        <v>129.9900055</v>
      </c>
      <c r="W136" s="7">
        <v>110.80340837177086</v>
      </c>
      <c r="X136">
        <v>1</v>
      </c>
      <c r="Y136" s="7">
        <v>5.1999998090000004</v>
      </c>
      <c r="Z136" s="7">
        <v>129.9900055</v>
      </c>
      <c r="AA136" s="7">
        <f t="shared" si="10"/>
        <v>124.79000569099999</v>
      </c>
      <c r="AB136" t="s">
        <v>30</v>
      </c>
      <c r="AC136" t="str">
        <f t="shared" si="11"/>
        <v>Cash Not Over 200</v>
      </c>
    </row>
    <row r="137" spans="1:29" x14ac:dyDescent="0.25">
      <c r="A137">
        <v>50236</v>
      </c>
      <c r="B137" s="2">
        <v>42795</v>
      </c>
      <c r="C137">
        <v>1</v>
      </c>
      <c r="D137" s="2">
        <f t="shared" si="8"/>
        <v>42796</v>
      </c>
      <c r="E137">
        <v>1</v>
      </c>
      <c r="F137" t="s">
        <v>187</v>
      </c>
      <c r="G137" t="str">
        <f t="shared" si="9"/>
        <v>Other</v>
      </c>
      <c r="H137">
        <v>18</v>
      </c>
      <c r="I137">
        <v>10046</v>
      </c>
      <c r="J137">
        <v>4</v>
      </c>
      <c r="K137" t="s">
        <v>46</v>
      </c>
      <c r="L137" t="s">
        <v>25</v>
      </c>
      <c r="M137" t="s">
        <v>188</v>
      </c>
      <c r="N137" t="s">
        <v>189</v>
      </c>
      <c r="P137" t="s">
        <v>61</v>
      </c>
      <c r="Q137" t="s">
        <v>41</v>
      </c>
      <c r="R137">
        <v>18</v>
      </c>
      <c r="T137">
        <v>403</v>
      </c>
      <c r="U137" t="s">
        <v>1052</v>
      </c>
      <c r="V137" s="7">
        <v>129.9900055</v>
      </c>
      <c r="W137" s="7">
        <v>110.80340837177086</v>
      </c>
      <c r="X137">
        <v>1</v>
      </c>
      <c r="Y137" s="7">
        <v>7.1500000950000002</v>
      </c>
      <c r="Z137" s="7">
        <v>129.9900055</v>
      </c>
      <c r="AA137" s="7">
        <f t="shared" si="10"/>
        <v>122.840005405</v>
      </c>
      <c r="AB137" t="s">
        <v>30</v>
      </c>
      <c r="AC137" t="str">
        <f t="shared" si="11"/>
        <v>Cash Not Over 200</v>
      </c>
    </row>
    <row r="138" spans="1:29" x14ac:dyDescent="0.25">
      <c r="A138">
        <v>48978</v>
      </c>
      <c r="B138" s="2">
        <v>42719</v>
      </c>
      <c r="C138">
        <v>4</v>
      </c>
      <c r="D138" s="2">
        <f t="shared" si="8"/>
        <v>42725</v>
      </c>
      <c r="E138">
        <v>0</v>
      </c>
      <c r="F138" t="s">
        <v>62</v>
      </c>
      <c r="G138" t="str">
        <f t="shared" si="9"/>
        <v>Other</v>
      </c>
      <c r="H138">
        <v>17</v>
      </c>
      <c r="I138">
        <v>4429</v>
      </c>
      <c r="J138">
        <v>4</v>
      </c>
      <c r="K138" t="s">
        <v>46</v>
      </c>
      <c r="L138" t="s">
        <v>25</v>
      </c>
      <c r="M138" t="s">
        <v>190</v>
      </c>
      <c r="N138" t="s">
        <v>126</v>
      </c>
      <c r="P138" t="s">
        <v>117</v>
      </c>
      <c r="Q138" t="s">
        <v>34</v>
      </c>
      <c r="R138">
        <v>17</v>
      </c>
      <c r="T138">
        <v>365</v>
      </c>
      <c r="U138" t="s">
        <v>1054</v>
      </c>
      <c r="V138" s="7">
        <v>59.990001679999999</v>
      </c>
      <c r="W138" s="7">
        <v>54.488929209402009</v>
      </c>
      <c r="X138">
        <v>3</v>
      </c>
      <c r="Y138" s="7">
        <v>0</v>
      </c>
      <c r="Z138" s="7">
        <v>179.97000503999999</v>
      </c>
      <c r="AA138" s="7">
        <f t="shared" si="10"/>
        <v>179.97000503999999</v>
      </c>
      <c r="AB138" t="s">
        <v>66</v>
      </c>
      <c r="AC138" t="str">
        <f t="shared" si="11"/>
        <v>Non-Cash Payments</v>
      </c>
    </row>
    <row r="139" spans="1:29" x14ac:dyDescent="0.25">
      <c r="A139">
        <v>50002</v>
      </c>
      <c r="B139" s="2">
        <v>42734</v>
      </c>
      <c r="C139">
        <v>4</v>
      </c>
      <c r="D139" s="2">
        <f t="shared" si="8"/>
        <v>42740</v>
      </c>
      <c r="E139">
        <v>0</v>
      </c>
      <c r="F139" t="s">
        <v>62</v>
      </c>
      <c r="G139" t="str">
        <f t="shared" si="9"/>
        <v>Other</v>
      </c>
      <c r="H139">
        <v>17</v>
      </c>
      <c r="I139">
        <v>8037</v>
      </c>
      <c r="J139">
        <v>4</v>
      </c>
      <c r="K139" t="s">
        <v>46</v>
      </c>
      <c r="L139" t="s">
        <v>25</v>
      </c>
      <c r="M139" t="s">
        <v>161</v>
      </c>
      <c r="N139" t="s">
        <v>162</v>
      </c>
      <c r="P139" t="s">
        <v>51</v>
      </c>
      <c r="Q139" t="s">
        <v>52</v>
      </c>
      <c r="R139">
        <v>17</v>
      </c>
      <c r="T139">
        <v>365</v>
      </c>
      <c r="U139" t="s">
        <v>1054</v>
      </c>
      <c r="V139" s="7">
        <v>59.990001679999999</v>
      </c>
      <c r="W139" s="7">
        <v>54.488929209402009</v>
      </c>
      <c r="X139">
        <v>3</v>
      </c>
      <c r="Y139" s="7">
        <v>16.200000760000002</v>
      </c>
      <c r="Z139" s="7">
        <v>179.97000503999999</v>
      </c>
      <c r="AA139" s="7">
        <f t="shared" si="10"/>
        <v>163.77000427999999</v>
      </c>
      <c r="AB139" t="s">
        <v>66</v>
      </c>
      <c r="AC139" t="str">
        <f t="shared" si="11"/>
        <v>Non-Cash Payments</v>
      </c>
    </row>
    <row r="140" spans="1:29" x14ac:dyDescent="0.25">
      <c r="A140">
        <v>50002</v>
      </c>
      <c r="B140" s="2">
        <v>42734</v>
      </c>
      <c r="C140">
        <v>4</v>
      </c>
      <c r="D140" s="2">
        <f t="shared" si="8"/>
        <v>42740</v>
      </c>
      <c r="E140">
        <v>0</v>
      </c>
      <c r="F140" t="s">
        <v>62</v>
      </c>
      <c r="G140" t="str">
        <f t="shared" si="9"/>
        <v>Other</v>
      </c>
      <c r="H140">
        <v>17</v>
      </c>
      <c r="I140">
        <v>8037</v>
      </c>
      <c r="J140">
        <v>4</v>
      </c>
      <c r="K140" t="s">
        <v>46</v>
      </c>
      <c r="L140" t="s">
        <v>25</v>
      </c>
      <c r="M140" t="s">
        <v>161</v>
      </c>
      <c r="N140" t="s">
        <v>162</v>
      </c>
      <c r="P140" t="s">
        <v>51</v>
      </c>
      <c r="Q140" t="s">
        <v>52</v>
      </c>
      <c r="R140">
        <v>17</v>
      </c>
      <c r="T140">
        <v>365</v>
      </c>
      <c r="U140" t="s">
        <v>1054</v>
      </c>
      <c r="V140" s="7">
        <v>59.990001679999999</v>
      </c>
      <c r="W140" s="7">
        <v>54.488929209402009</v>
      </c>
      <c r="X140">
        <v>3</v>
      </c>
      <c r="Y140" s="7">
        <v>18</v>
      </c>
      <c r="Z140" s="7">
        <v>179.97000503999999</v>
      </c>
      <c r="AA140" s="7">
        <f t="shared" si="10"/>
        <v>161.97000503999999</v>
      </c>
      <c r="AB140" t="s">
        <v>66</v>
      </c>
      <c r="AC140" t="str">
        <f t="shared" si="11"/>
        <v>Non-Cash Payments</v>
      </c>
    </row>
    <row r="141" spans="1:29" x14ac:dyDescent="0.25">
      <c r="A141">
        <v>47208</v>
      </c>
      <c r="B141" s="2">
        <v>42694</v>
      </c>
      <c r="C141">
        <v>4</v>
      </c>
      <c r="D141" s="2">
        <f t="shared" si="8"/>
        <v>42698</v>
      </c>
      <c r="E141">
        <v>0</v>
      </c>
      <c r="F141" t="s">
        <v>62</v>
      </c>
      <c r="G141" t="str">
        <f t="shared" si="9"/>
        <v>Other</v>
      </c>
      <c r="H141">
        <v>24</v>
      </c>
      <c r="I141">
        <v>9352</v>
      </c>
      <c r="J141">
        <v>5</v>
      </c>
      <c r="K141" t="s">
        <v>31</v>
      </c>
      <c r="L141" t="s">
        <v>25</v>
      </c>
      <c r="M141" t="s">
        <v>176</v>
      </c>
      <c r="N141" t="s">
        <v>83</v>
      </c>
      <c r="P141" t="s">
        <v>28</v>
      </c>
      <c r="Q141" t="s">
        <v>29</v>
      </c>
      <c r="R141">
        <v>24</v>
      </c>
      <c r="T141">
        <v>502</v>
      </c>
      <c r="U141" t="s">
        <v>1058</v>
      </c>
      <c r="V141" s="7">
        <v>50</v>
      </c>
      <c r="W141" s="7">
        <v>43.678035218757444</v>
      </c>
      <c r="X141">
        <v>3</v>
      </c>
      <c r="Y141" s="7">
        <v>10.5</v>
      </c>
      <c r="Z141" s="7">
        <v>150</v>
      </c>
      <c r="AA141" s="7">
        <f t="shared" si="10"/>
        <v>139.5</v>
      </c>
      <c r="AB141" t="s">
        <v>66</v>
      </c>
      <c r="AC141" t="str">
        <f t="shared" si="11"/>
        <v>Non-Cash Payments</v>
      </c>
    </row>
    <row r="142" spans="1:29" x14ac:dyDescent="0.25">
      <c r="A142">
        <v>43689</v>
      </c>
      <c r="B142" s="2">
        <v>42642</v>
      </c>
      <c r="C142">
        <v>4</v>
      </c>
      <c r="D142" s="2">
        <f t="shared" si="8"/>
        <v>42648</v>
      </c>
      <c r="E142">
        <v>1</v>
      </c>
      <c r="F142" t="s">
        <v>62</v>
      </c>
      <c r="G142" t="str">
        <f t="shared" si="9"/>
        <v>Other</v>
      </c>
      <c r="H142">
        <v>9</v>
      </c>
      <c r="I142">
        <v>10081</v>
      </c>
      <c r="J142">
        <v>3</v>
      </c>
      <c r="K142" t="s">
        <v>24</v>
      </c>
      <c r="L142" t="s">
        <v>25</v>
      </c>
      <c r="M142" t="s">
        <v>86</v>
      </c>
      <c r="N142" t="s">
        <v>87</v>
      </c>
      <c r="P142" t="s">
        <v>88</v>
      </c>
      <c r="Q142" t="s">
        <v>89</v>
      </c>
      <c r="R142">
        <v>9</v>
      </c>
      <c r="T142">
        <v>191</v>
      </c>
      <c r="U142" t="s">
        <v>1044</v>
      </c>
      <c r="V142" s="7">
        <v>99.989997860000003</v>
      </c>
      <c r="W142" s="7">
        <v>95.114003926871064</v>
      </c>
      <c r="X142">
        <v>3</v>
      </c>
      <c r="Y142" s="7">
        <v>48</v>
      </c>
      <c r="Z142" s="7">
        <v>299.96999357999999</v>
      </c>
      <c r="AA142" s="7">
        <f t="shared" si="10"/>
        <v>251.96999357999999</v>
      </c>
      <c r="AB142" t="s">
        <v>66</v>
      </c>
      <c r="AC142" t="str">
        <f t="shared" si="11"/>
        <v>Non-Cash Payments</v>
      </c>
    </row>
    <row r="143" spans="1:29" x14ac:dyDescent="0.25">
      <c r="A143">
        <v>43681</v>
      </c>
      <c r="B143" s="2">
        <v>42642</v>
      </c>
      <c r="C143">
        <v>4</v>
      </c>
      <c r="D143" s="2">
        <f t="shared" si="8"/>
        <v>42648</v>
      </c>
      <c r="E143">
        <v>0</v>
      </c>
      <c r="F143" t="s">
        <v>62</v>
      </c>
      <c r="G143" t="str">
        <f t="shared" si="9"/>
        <v>Other</v>
      </c>
      <c r="H143">
        <v>9</v>
      </c>
      <c r="I143">
        <v>9432</v>
      </c>
      <c r="J143">
        <v>3</v>
      </c>
      <c r="K143" t="s">
        <v>24</v>
      </c>
      <c r="L143" t="s">
        <v>25</v>
      </c>
      <c r="M143" t="s">
        <v>79</v>
      </c>
      <c r="N143" t="s">
        <v>79</v>
      </c>
      <c r="P143" t="s">
        <v>61</v>
      </c>
      <c r="Q143" t="s">
        <v>41</v>
      </c>
      <c r="R143">
        <v>9</v>
      </c>
      <c r="T143">
        <v>191</v>
      </c>
      <c r="U143" t="s">
        <v>1044</v>
      </c>
      <c r="V143" s="7">
        <v>99.989997860000003</v>
      </c>
      <c r="W143" s="7">
        <v>95.114003926871064</v>
      </c>
      <c r="X143">
        <v>3</v>
      </c>
      <c r="Y143" s="7">
        <v>50.990001679999999</v>
      </c>
      <c r="Z143" s="7">
        <v>299.96999357999999</v>
      </c>
      <c r="AA143" s="7">
        <f t="shared" si="10"/>
        <v>248.97999189999999</v>
      </c>
      <c r="AB143" t="s">
        <v>66</v>
      </c>
      <c r="AC143" t="str">
        <f t="shared" si="11"/>
        <v>Non-Cash Payments</v>
      </c>
    </row>
    <row r="144" spans="1:29" x14ac:dyDescent="0.25">
      <c r="A144">
        <v>44895</v>
      </c>
      <c r="B144" s="2">
        <v>42660</v>
      </c>
      <c r="C144">
        <v>4</v>
      </c>
      <c r="D144" s="2">
        <f t="shared" si="8"/>
        <v>42664</v>
      </c>
      <c r="E144">
        <v>1</v>
      </c>
      <c r="F144" t="s">
        <v>62</v>
      </c>
      <c r="G144" t="str">
        <f t="shared" si="9"/>
        <v>Other</v>
      </c>
      <c r="H144">
        <v>17</v>
      </c>
      <c r="I144">
        <v>695</v>
      </c>
      <c r="J144">
        <v>4</v>
      </c>
      <c r="K144" t="s">
        <v>46</v>
      </c>
      <c r="L144" t="s">
        <v>25</v>
      </c>
      <c r="M144" t="s">
        <v>191</v>
      </c>
      <c r="N144" t="s">
        <v>192</v>
      </c>
      <c r="P144" t="s">
        <v>193</v>
      </c>
      <c r="Q144" t="s">
        <v>52</v>
      </c>
      <c r="R144">
        <v>17</v>
      </c>
      <c r="T144">
        <v>365</v>
      </c>
      <c r="U144" t="s">
        <v>1054</v>
      </c>
      <c r="V144" s="7">
        <v>59.990001679999999</v>
      </c>
      <c r="W144" s="7">
        <v>54.488929209402009</v>
      </c>
      <c r="X144">
        <v>3</v>
      </c>
      <c r="Y144" s="7">
        <v>0</v>
      </c>
      <c r="Z144" s="7">
        <v>179.97000503999999</v>
      </c>
      <c r="AA144" s="7">
        <f t="shared" si="10"/>
        <v>179.97000503999999</v>
      </c>
      <c r="AB144" t="s">
        <v>66</v>
      </c>
      <c r="AC144" t="str">
        <f t="shared" si="11"/>
        <v>Non-Cash Payments</v>
      </c>
    </row>
    <row r="145" spans="1:29" x14ac:dyDescent="0.25">
      <c r="A145">
        <v>50365</v>
      </c>
      <c r="B145" s="2">
        <v>42856</v>
      </c>
      <c r="C145">
        <v>4</v>
      </c>
      <c r="D145" s="2">
        <f t="shared" si="8"/>
        <v>42860</v>
      </c>
      <c r="E145">
        <v>1</v>
      </c>
      <c r="F145" t="s">
        <v>62</v>
      </c>
      <c r="G145" t="str">
        <f t="shared" si="9"/>
        <v>Other</v>
      </c>
      <c r="H145">
        <v>17</v>
      </c>
      <c r="I145">
        <v>9511</v>
      </c>
      <c r="J145">
        <v>4</v>
      </c>
      <c r="K145" t="s">
        <v>46</v>
      </c>
      <c r="L145" t="s">
        <v>25</v>
      </c>
      <c r="M145" t="s">
        <v>93</v>
      </c>
      <c r="N145" t="s">
        <v>93</v>
      </c>
      <c r="P145" t="s">
        <v>28</v>
      </c>
      <c r="Q145" t="s">
        <v>29</v>
      </c>
      <c r="R145">
        <v>17</v>
      </c>
      <c r="T145">
        <v>365</v>
      </c>
      <c r="U145" t="s">
        <v>1054</v>
      </c>
      <c r="V145" s="7">
        <v>59.990001679999999</v>
      </c>
      <c r="W145" s="7">
        <v>54.488929209402009</v>
      </c>
      <c r="X145">
        <v>3</v>
      </c>
      <c r="Y145" s="7">
        <v>0</v>
      </c>
      <c r="Z145" s="7">
        <v>179.97000503999999</v>
      </c>
      <c r="AA145" s="7">
        <f t="shared" si="10"/>
        <v>179.97000503999999</v>
      </c>
      <c r="AB145" t="s">
        <v>66</v>
      </c>
      <c r="AC145" t="str">
        <f t="shared" si="11"/>
        <v>Non-Cash Payments</v>
      </c>
    </row>
    <row r="146" spans="1:29" x14ac:dyDescent="0.25">
      <c r="A146">
        <v>43908</v>
      </c>
      <c r="B146" s="2">
        <v>42410</v>
      </c>
      <c r="C146">
        <v>4</v>
      </c>
      <c r="D146" s="2">
        <f t="shared" si="8"/>
        <v>42416</v>
      </c>
      <c r="E146">
        <v>0</v>
      </c>
      <c r="F146" t="s">
        <v>62</v>
      </c>
      <c r="G146" t="str">
        <f t="shared" si="9"/>
        <v>Other</v>
      </c>
      <c r="H146">
        <v>17</v>
      </c>
      <c r="I146">
        <v>2035</v>
      </c>
      <c r="J146">
        <v>4</v>
      </c>
      <c r="K146" t="s">
        <v>46</v>
      </c>
      <c r="L146" t="s">
        <v>25</v>
      </c>
      <c r="M146" t="s">
        <v>192</v>
      </c>
      <c r="N146" t="s">
        <v>192</v>
      </c>
      <c r="P146" t="s">
        <v>193</v>
      </c>
      <c r="Q146" t="s">
        <v>52</v>
      </c>
      <c r="R146">
        <v>17</v>
      </c>
      <c r="T146">
        <v>365</v>
      </c>
      <c r="U146" t="s">
        <v>1054</v>
      </c>
      <c r="V146" s="7">
        <v>59.990001679999999</v>
      </c>
      <c r="W146" s="7">
        <v>54.488929209402009</v>
      </c>
      <c r="X146">
        <v>3</v>
      </c>
      <c r="Y146" s="7">
        <v>23.399999619999999</v>
      </c>
      <c r="Z146" s="7">
        <v>179.97000503999999</v>
      </c>
      <c r="AA146" s="7">
        <f t="shared" si="10"/>
        <v>156.57000542</v>
      </c>
      <c r="AB146" t="s">
        <v>66</v>
      </c>
      <c r="AC146" t="str">
        <f t="shared" si="11"/>
        <v>Non-Cash Payments</v>
      </c>
    </row>
    <row r="147" spans="1:29" x14ac:dyDescent="0.25">
      <c r="A147">
        <v>50437</v>
      </c>
      <c r="B147" s="2">
        <v>42887</v>
      </c>
      <c r="C147">
        <v>4</v>
      </c>
      <c r="D147" s="2">
        <f t="shared" si="8"/>
        <v>42893</v>
      </c>
      <c r="E147">
        <v>0</v>
      </c>
      <c r="F147" t="s">
        <v>62</v>
      </c>
      <c r="G147" t="str">
        <f t="shared" si="9"/>
        <v>Other</v>
      </c>
      <c r="H147">
        <v>26</v>
      </c>
      <c r="I147">
        <v>6492</v>
      </c>
      <c r="J147">
        <v>5</v>
      </c>
      <c r="K147" t="s">
        <v>31</v>
      </c>
      <c r="L147" t="s">
        <v>25</v>
      </c>
      <c r="M147" t="s">
        <v>143</v>
      </c>
      <c r="N147" t="s">
        <v>144</v>
      </c>
      <c r="P147" t="s">
        <v>40</v>
      </c>
      <c r="Q147" t="s">
        <v>41</v>
      </c>
      <c r="R147">
        <v>26</v>
      </c>
      <c r="T147">
        <v>567</v>
      </c>
      <c r="U147" t="s">
        <v>1081</v>
      </c>
      <c r="V147" s="7">
        <v>25</v>
      </c>
      <c r="W147" s="7">
        <v>17.922466723766668</v>
      </c>
      <c r="X147">
        <v>3</v>
      </c>
      <c r="Y147" s="7">
        <v>2.25</v>
      </c>
      <c r="Z147" s="7">
        <v>75</v>
      </c>
      <c r="AA147" s="7">
        <f t="shared" si="10"/>
        <v>72.75</v>
      </c>
      <c r="AB147" t="s">
        <v>66</v>
      </c>
      <c r="AC147" t="str">
        <f t="shared" si="11"/>
        <v>Non-Cash Payments</v>
      </c>
    </row>
    <row r="148" spans="1:29" x14ac:dyDescent="0.25">
      <c r="A148">
        <v>50566</v>
      </c>
      <c r="B148" s="2">
        <v>42948</v>
      </c>
      <c r="C148">
        <v>4</v>
      </c>
      <c r="D148" s="2">
        <f t="shared" si="8"/>
        <v>42954</v>
      </c>
      <c r="E148">
        <v>0</v>
      </c>
      <c r="F148" t="s">
        <v>62</v>
      </c>
      <c r="G148" t="str">
        <f t="shared" si="9"/>
        <v>Other</v>
      </c>
      <c r="H148">
        <v>24</v>
      </c>
      <c r="I148">
        <v>9112</v>
      </c>
      <c r="J148">
        <v>5</v>
      </c>
      <c r="K148" t="s">
        <v>31</v>
      </c>
      <c r="L148" t="s">
        <v>25</v>
      </c>
      <c r="M148" t="s">
        <v>32</v>
      </c>
      <c r="N148" t="s">
        <v>32</v>
      </c>
      <c r="P148" t="s">
        <v>33</v>
      </c>
      <c r="Q148" t="s">
        <v>34</v>
      </c>
      <c r="R148">
        <v>24</v>
      </c>
      <c r="T148">
        <v>502</v>
      </c>
      <c r="U148" t="s">
        <v>1058</v>
      </c>
      <c r="V148" s="7">
        <v>50</v>
      </c>
      <c r="W148" s="7">
        <v>43.678035218757444</v>
      </c>
      <c r="X148">
        <v>3</v>
      </c>
      <c r="Y148" s="7">
        <v>8.25</v>
      </c>
      <c r="Z148" s="7">
        <v>150</v>
      </c>
      <c r="AA148" s="7">
        <f t="shared" si="10"/>
        <v>141.75</v>
      </c>
      <c r="AB148" t="s">
        <v>66</v>
      </c>
      <c r="AC148" t="str">
        <f t="shared" si="11"/>
        <v>Non-Cash Payments</v>
      </c>
    </row>
    <row r="149" spans="1:29" x14ac:dyDescent="0.25">
      <c r="A149">
        <v>47468</v>
      </c>
      <c r="B149" s="2">
        <v>42697</v>
      </c>
      <c r="C149">
        <v>4</v>
      </c>
      <c r="D149" s="2">
        <f t="shared" si="8"/>
        <v>42703</v>
      </c>
      <c r="E149">
        <v>0</v>
      </c>
      <c r="F149" t="s">
        <v>62</v>
      </c>
      <c r="G149" t="str">
        <f t="shared" si="9"/>
        <v>Other</v>
      </c>
      <c r="H149">
        <v>24</v>
      </c>
      <c r="I149">
        <v>7532</v>
      </c>
      <c r="J149">
        <v>5</v>
      </c>
      <c r="K149" t="s">
        <v>31</v>
      </c>
      <c r="L149" t="s">
        <v>25</v>
      </c>
      <c r="M149" t="s">
        <v>194</v>
      </c>
      <c r="N149" t="s">
        <v>158</v>
      </c>
      <c r="P149" t="s">
        <v>33</v>
      </c>
      <c r="Q149" t="s">
        <v>34</v>
      </c>
      <c r="R149">
        <v>24</v>
      </c>
      <c r="T149">
        <v>502</v>
      </c>
      <c r="U149" t="s">
        <v>1058</v>
      </c>
      <c r="V149" s="7">
        <v>50</v>
      </c>
      <c r="W149" s="7">
        <v>43.678035218757444</v>
      </c>
      <c r="X149">
        <v>3</v>
      </c>
      <c r="Y149" s="7">
        <v>22.5</v>
      </c>
      <c r="Z149" s="7">
        <v>150</v>
      </c>
      <c r="AA149" s="7">
        <f t="shared" si="10"/>
        <v>127.5</v>
      </c>
      <c r="AB149" t="s">
        <v>66</v>
      </c>
      <c r="AC149" t="str">
        <f t="shared" si="11"/>
        <v>Non-Cash Payments</v>
      </c>
    </row>
    <row r="150" spans="1:29" x14ac:dyDescent="0.25">
      <c r="A150">
        <v>43689</v>
      </c>
      <c r="B150" s="2">
        <v>42642</v>
      </c>
      <c r="C150">
        <v>4</v>
      </c>
      <c r="D150" s="2">
        <f t="shared" si="8"/>
        <v>42648</v>
      </c>
      <c r="E150">
        <v>1</v>
      </c>
      <c r="F150" t="s">
        <v>62</v>
      </c>
      <c r="G150" t="str">
        <f t="shared" si="9"/>
        <v>Other</v>
      </c>
      <c r="H150">
        <v>29</v>
      </c>
      <c r="I150">
        <v>10081</v>
      </c>
      <c r="J150">
        <v>5</v>
      </c>
      <c r="K150" t="s">
        <v>31</v>
      </c>
      <c r="L150" t="s">
        <v>25</v>
      </c>
      <c r="M150" t="s">
        <v>86</v>
      </c>
      <c r="N150" t="s">
        <v>87</v>
      </c>
      <c r="P150" t="s">
        <v>88</v>
      </c>
      <c r="Q150" t="s">
        <v>89</v>
      </c>
      <c r="R150">
        <v>29</v>
      </c>
      <c r="T150">
        <v>627</v>
      </c>
      <c r="U150" t="s">
        <v>1046</v>
      </c>
      <c r="V150" s="7">
        <v>39.990001679999999</v>
      </c>
      <c r="W150" s="7">
        <v>34.198098313835338</v>
      </c>
      <c r="X150">
        <v>3</v>
      </c>
      <c r="Y150" s="7">
        <v>20.38999939</v>
      </c>
      <c r="Z150" s="7">
        <v>119.97000503999999</v>
      </c>
      <c r="AA150" s="7">
        <f t="shared" si="10"/>
        <v>99.58000564999999</v>
      </c>
      <c r="AB150" t="s">
        <v>66</v>
      </c>
      <c r="AC150" t="str">
        <f t="shared" si="11"/>
        <v>Non-Cash Payments</v>
      </c>
    </row>
    <row r="151" spans="1:29" x14ac:dyDescent="0.25">
      <c r="A151">
        <v>49528</v>
      </c>
      <c r="B151" s="2">
        <v>42727</v>
      </c>
      <c r="C151">
        <v>4</v>
      </c>
      <c r="D151" s="2">
        <f t="shared" si="8"/>
        <v>42733</v>
      </c>
      <c r="E151">
        <v>0</v>
      </c>
      <c r="F151" t="s">
        <v>62</v>
      </c>
      <c r="G151" t="str">
        <f t="shared" si="9"/>
        <v>Other</v>
      </c>
      <c r="H151">
        <v>9</v>
      </c>
      <c r="I151">
        <v>6950</v>
      </c>
      <c r="J151">
        <v>3</v>
      </c>
      <c r="K151" t="s">
        <v>24</v>
      </c>
      <c r="L151" t="s">
        <v>25</v>
      </c>
      <c r="M151" t="s">
        <v>135</v>
      </c>
      <c r="N151" t="s">
        <v>135</v>
      </c>
      <c r="P151" t="s">
        <v>68</v>
      </c>
      <c r="Q151" t="s">
        <v>41</v>
      </c>
      <c r="R151">
        <v>9</v>
      </c>
      <c r="T151">
        <v>191</v>
      </c>
      <c r="U151" t="s">
        <v>1044</v>
      </c>
      <c r="V151" s="7">
        <v>99.989997860000003</v>
      </c>
      <c r="W151" s="7">
        <v>95.114003926871064</v>
      </c>
      <c r="X151">
        <v>3</v>
      </c>
      <c r="Y151" s="7">
        <v>39</v>
      </c>
      <c r="Z151" s="7">
        <v>299.96999357999999</v>
      </c>
      <c r="AA151" s="7">
        <f t="shared" si="10"/>
        <v>260.96999357999999</v>
      </c>
      <c r="AB151" t="s">
        <v>66</v>
      </c>
      <c r="AC151" t="str">
        <f t="shared" si="11"/>
        <v>Non-Cash Payments</v>
      </c>
    </row>
    <row r="152" spans="1:29" x14ac:dyDescent="0.25">
      <c r="A152">
        <v>44474</v>
      </c>
      <c r="B152" s="2">
        <v>42684</v>
      </c>
      <c r="C152">
        <v>4</v>
      </c>
      <c r="D152" s="2">
        <f t="shared" si="8"/>
        <v>42690</v>
      </c>
      <c r="E152">
        <v>1</v>
      </c>
      <c r="F152" t="s">
        <v>62</v>
      </c>
      <c r="G152" t="str">
        <f t="shared" si="9"/>
        <v>Other</v>
      </c>
      <c r="H152">
        <v>9</v>
      </c>
      <c r="I152">
        <v>4830</v>
      </c>
      <c r="J152">
        <v>3</v>
      </c>
      <c r="K152" t="s">
        <v>24</v>
      </c>
      <c r="L152" t="s">
        <v>25</v>
      </c>
      <c r="M152" t="s">
        <v>195</v>
      </c>
      <c r="N152" t="s">
        <v>196</v>
      </c>
      <c r="P152" t="s">
        <v>109</v>
      </c>
      <c r="Q152" t="s">
        <v>29</v>
      </c>
      <c r="R152">
        <v>9</v>
      </c>
      <c r="T152">
        <v>191</v>
      </c>
      <c r="U152" t="s">
        <v>1044</v>
      </c>
      <c r="V152" s="7">
        <v>99.989997860000003</v>
      </c>
      <c r="W152" s="7">
        <v>95.114003926871064</v>
      </c>
      <c r="X152">
        <v>3</v>
      </c>
      <c r="Y152" s="7">
        <v>53.990001679999999</v>
      </c>
      <c r="Z152" s="7">
        <v>299.96999357999999</v>
      </c>
      <c r="AA152" s="7">
        <f t="shared" si="10"/>
        <v>245.97999189999999</v>
      </c>
      <c r="AB152" t="s">
        <v>66</v>
      </c>
      <c r="AC152" t="str">
        <f t="shared" si="11"/>
        <v>Non-Cash Payments</v>
      </c>
    </row>
    <row r="153" spans="1:29" x14ac:dyDescent="0.25">
      <c r="A153">
        <v>41832</v>
      </c>
      <c r="B153" s="2">
        <v>42409</v>
      </c>
      <c r="C153">
        <v>4</v>
      </c>
      <c r="D153" s="2">
        <f t="shared" si="8"/>
        <v>42415</v>
      </c>
      <c r="E153">
        <v>0</v>
      </c>
      <c r="F153" t="s">
        <v>62</v>
      </c>
      <c r="G153" t="str">
        <f t="shared" si="9"/>
        <v>Other</v>
      </c>
      <c r="H153">
        <v>17</v>
      </c>
      <c r="I153">
        <v>11797</v>
      </c>
      <c r="J153">
        <v>4</v>
      </c>
      <c r="K153" t="s">
        <v>46</v>
      </c>
      <c r="L153" t="s">
        <v>25</v>
      </c>
      <c r="M153" t="s">
        <v>86</v>
      </c>
      <c r="N153" t="s">
        <v>87</v>
      </c>
      <c r="P153" t="s">
        <v>88</v>
      </c>
      <c r="Q153" t="s">
        <v>89</v>
      </c>
      <c r="R153">
        <v>17</v>
      </c>
      <c r="T153">
        <v>365</v>
      </c>
      <c r="U153" t="s">
        <v>1054</v>
      </c>
      <c r="V153" s="7">
        <v>59.990001679999999</v>
      </c>
      <c r="W153" s="7">
        <v>54.488929209402009</v>
      </c>
      <c r="X153">
        <v>3</v>
      </c>
      <c r="Y153" s="7">
        <v>21.600000380000001</v>
      </c>
      <c r="Z153" s="7">
        <v>179.97000503999999</v>
      </c>
      <c r="AA153" s="7">
        <f t="shared" si="10"/>
        <v>158.37000465999998</v>
      </c>
      <c r="AB153" t="s">
        <v>66</v>
      </c>
      <c r="AC153" t="str">
        <f t="shared" si="11"/>
        <v>Non-Cash Payments</v>
      </c>
    </row>
    <row r="154" spans="1:29" x14ac:dyDescent="0.25">
      <c r="A154">
        <v>49765</v>
      </c>
      <c r="B154" s="2">
        <v>42731</v>
      </c>
      <c r="C154">
        <v>4</v>
      </c>
      <c r="D154" s="2">
        <f t="shared" si="8"/>
        <v>42737</v>
      </c>
      <c r="E154">
        <v>1</v>
      </c>
      <c r="F154" t="s">
        <v>62</v>
      </c>
      <c r="G154" t="str">
        <f t="shared" si="9"/>
        <v>Other</v>
      </c>
      <c r="H154">
        <v>17</v>
      </c>
      <c r="I154">
        <v>6967</v>
      </c>
      <c r="J154">
        <v>4</v>
      </c>
      <c r="K154" t="s">
        <v>46</v>
      </c>
      <c r="L154" t="s">
        <v>25</v>
      </c>
      <c r="M154" t="s">
        <v>197</v>
      </c>
      <c r="N154" t="s">
        <v>198</v>
      </c>
      <c r="P154" t="s">
        <v>199</v>
      </c>
      <c r="Q154" t="s">
        <v>52</v>
      </c>
      <c r="R154">
        <v>17</v>
      </c>
      <c r="T154">
        <v>365</v>
      </c>
      <c r="U154" t="s">
        <v>1054</v>
      </c>
      <c r="V154" s="7">
        <v>59.990001679999999</v>
      </c>
      <c r="W154" s="7">
        <v>54.488929209402009</v>
      </c>
      <c r="X154">
        <v>3</v>
      </c>
      <c r="Y154" s="7">
        <v>23.399999619999999</v>
      </c>
      <c r="Z154" s="7">
        <v>179.97000503999999</v>
      </c>
      <c r="AA154" s="7">
        <f t="shared" si="10"/>
        <v>156.57000542</v>
      </c>
      <c r="AB154" t="s">
        <v>66</v>
      </c>
      <c r="AC154" t="str">
        <f t="shared" si="11"/>
        <v>Non-Cash Payments</v>
      </c>
    </row>
    <row r="155" spans="1:29" x14ac:dyDescent="0.25">
      <c r="A155">
        <v>42885</v>
      </c>
      <c r="B155" s="2">
        <v>42631</v>
      </c>
      <c r="C155">
        <v>4</v>
      </c>
      <c r="D155" s="2">
        <f t="shared" si="8"/>
        <v>42635</v>
      </c>
      <c r="E155">
        <v>1</v>
      </c>
      <c r="F155" t="s">
        <v>62</v>
      </c>
      <c r="G155" t="str">
        <f t="shared" si="9"/>
        <v>Other</v>
      </c>
      <c r="H155">
        <v>17</v>
      </c>
      <c r="I155">
        <v>2891</v>
      </c>
      <c r="J155">
        <v>4</v>
      </c>
      <c r="K155" t="s">
        <v>46</v>
      </c>
      <c r="L155" t="s">
        <v>25</v>
      </c>
      <c r="M155" t="s">
        <v>32</v>
      </c>
      <c r="N155" t="s">
        <v>32</v>
      </c>
      <c r="P155" t="s">
        <v>33</v>
      </c>
      <c r="Q155" t="s">
        <v>34</v>
      </c>
      <c r="R155">
        <v>17</v>
      </c>
      <c r="T155">
        <v>365</v>
      </c>
      <c r="U155" t="s">
        <v>1054</v>
      </c>
      <c r="V155" s="7">
        <v>59.990001679999999</v>
      </c>
      <c r="W155" s="7">
        <v>54.488929209402009</v>
      </c>
      <c r="X155">
        <v>3</v>
      </c>
      <c r="Y155" s="7">
        <v>27</v>
      </c>
      <c r="Z155" s="7">
        <v>179.97000503999999</v>
      </c>
      <c r="AA155" s="7">
        <f t="shared" si="10"/>
        <v>152.97000503999999</v>
      </c>
      <c r="AB155" t="s">
        <v>66</v>
      </c>
      <c r="AC155" t="str">
        <f t="shared" si="11"/>
        <v>Non-Cash Payments</v>
      </c>
    </row>
    <row r="156" spans="1:29" x14ac:dyDescent="0.25">
      <c r="A156">
        <v>50620</v>
      </c>
      <c r="B156" s="2">
        <v>42948</v>
      </c>
      <c r="C156">
        <v>4</v>
      </c>
      <c r="D156" s="2">
        <f t="shared" si="8"/>
        <v>42954</v>
      </c>
      <c r="E156">
        <v>1</v>
      </c>
      <c r="F156" t="s">
        <v>62</v>
      </c>
      <c r="G156" t="str">
        <f t="shared" si="9"/>
        <v>Other</v>
      </c>
      <c r="H156">
        <v>17</v>
      </c>
      <c r="I156">
        <v>9345</v>
      </c>
      <c r="J156">
        <v>4</v>
      </c>
      <c r="K156" t="s">
        <v>46</v>
      </c>
      <c r="L156" t="s">
        <v>25</v>
      </c>
      <c r="M156" t="s">
        <v>32</v>
      </c>
      <c r="N156" t="s">
        <v>32</v>
      </c>
      <c r="P156" t="s">
        <v>33</v>
      </c>
      <c r="Q156" t="s">
        <v>34</v>
      </c>
      <c r="R156">
        <v>17</v>
      </c>
      <c r="T156">
        <v>365</v>
      </c>
      <c r="U156" t="s">
        <v>1054</v>
      </c>
      <c r="V156" s="7">
        <v>59.990001679999999</v>
      </c>
      <c r="W156" s="7">
        <v>54.488929209402009</v>
      </c>
      <c r="X156">
        <v>3</v>
      </c>
      <c r="Y156" s="7">
        <v>27</v>
      </c>
      <c r="Z156" s="7">
        <v>179.97000503999999</v>
      </c>
      <c r="AA156" s="7">
        <f t="shared" si="10"/>
        <v>152.97000503999999</v>
      </c>
      <c r="AB156" t="s">
        <v>66</v>
      </c>
      <c r="AC156" t="str">
        <f t="shared" si="11"/>
        <v>Non-Cash Payments</v>
      </c>
    </row>
    <row r="157" spans="1:29" x14ac:dyDescent="0.25">
      <c r="A157">
        <v>50620</v>
      </c>
      <c r="B157" s="2">
        <v>42948</v>
      </c>
      <c r="C157">
        <v>4</v>
      </c>
      <c r="D157" s="2">
        <f t="shared" si="8"/>
        <v>42954</v>
      </c>
      <c r="E157">
        <v>1</v>
      </c>
      <c r="F157" t="s">
        <v>62</v>
      </c>
      <c r="G157" t="str">
        <f t="shared" si="9"/>
        <v>Other</v>
      </c>
      <c r="H157">
        <v>17</v>
      </c>
      <c r="I157">
        <v>9345</v>
      </c>
      <c r="J157">
        <v>4</v>
      </c>
      <c r="K157" t="s">
        <v>46</v>
      </c>
      <c r="L157" t="s">
        <v>25</v>
      </c>
      <c r="M157" t="s">
        <v>32</v>
      </c>
      <c r="N157" t="s">
        <v>32</v>
      </c>
      <c r="P157" t="s">
        <v>33</v>
      </c>
      <c r="Q157" t="s">
        <v>34</v>
      </c>
      <c r="R157">
        <v>17</v>
      </c>
      <c r="T157">
        <v>365</v>
      </c>
      <c r="U157" t="s">
        <v>1054</v>
      </c>
      <c r="V157" s="7">
        <v>59.990001679999999</v>
      </c>
      <c r="W157" s="7">
        <v>54.488929209402009</v>
      </c>
      <c r="X157">
        <v>3</v>
      </c>
      <c r="Y157" s="7">
        <v>28.799999239999998</v>
      </c>
      <c r="Z157" s="7">
        <v>179.97000503999999</v>
      </c>
      <c r="AA157" s="7">
        <f t="shared" si="10"/>
        <v>151.17000579999998</v>
      </c>
      <c r="AB157" t="s">
        <v>66</v>
      </c>
      <c r="AC157" t="str">
        <f t="shared" si="11"/>
        <v>Non-Cash Payments</v>
      </c>
    </row>
    <row r="158" spans="1:29" x14ac:dyDescent="0.25">
      <c r="A158">
        <v>46636</v>
      </c>
      <c r="B158" s="2">
        <v>42685</v>
      </c>
      <c r="C158">
        <v>4</v>
      </c>
      <c r="D158" s="2">
        <f t="shared" si="8"/>
        <v>42691</v>
      </c>
      <c r="E158">
        <v>0</v>
      </c>
      <c r="F158" t="s">
        <v>62</v>
      </c>
      <c r="G158" t="str">
        <f t="shared" si="9"/>
        <v>Other</v>
      </c>
      <c r="H158">
        <v>17</v>
      </c>
      <c r="I158">
        <v>3306</v>
      </c>
      <c r="J158">
        <v>4</v>
      </c>
      <c r="K158" t="s">
        <v>46</v>
      </c>
      <c r="L158" t="s">
        <v>25</v>
      </c>
      <c r="M158" t="s">
        <v>32</v>
      </c>
      <c r="N158" t="s">
        <v>32</v>
      </c>
      <c r="P158" t="s">
        <v>33</v>
      </c>
      <c r="Q158" t="s">
        <v>34</v>
      </c>
      <c r="R158">
        <v>17</v>
      </c>
      <c r="T158">
        <v>365</v>
      </c>
      <c r="U158" t="s">
        <v>1054</v>
      </c>
      <c r="V158" s="7">
        <v>59.990001679999999</v>
      </c>
      <c r="W158" s="7">
        <v>54.488929209402009</v>
      </c>
      <c r="X158">
        <v>3</v>
      </c>
      <c r="Y158" s="7">
        <v>32.38999939</v>
      </c>
      <c r="Z158" s="7">
        <v>179.97000503999999</v>
      </c>
      <c r="AA158" s="7">
        <f t="shared" si="10"/>
        <v>147.58000564999998</v>
      </c>
      <c r="AB158" t="s">
        <v>66</v>
      </c>
      <c r="AC158" t="str">
        <f t="shared" si="11"/>
        <v>Non-Cash Payments</v>
      </c>
    </row>
    <row r="159" spans="1:29" x14ac:dyDescent="0.25">
      <c r="A159">
        <v>43268</v>
      </c>
      <c r="B159" s="2">
        <v>42636</v>
      </c>
      <c r="C159">
        <v>4</v>
      </c>
      <c r="D159" s="2">
        <f t="shared" si="8"/>
        <v>42642</v>
      </c>
      <c r="E159">
        <v>0</v>
      </c>
      <c r="F159" t="s">
        <v>62</v>
      </c>
      <c r="G159" t="str">
        <f t="shared" si="9"/>
        <v>Other</v>
      </c>
      <c r="H159">
        <v>24</v>
      </c>
      <c r="I159">
        <v>6670</v>
      </c>
      <c r="J159">
        <v>5</v>
      </c>
      <c r="K159" t="s">
        <v>31</v>
      </c>
      <c r="L159" t="s">
        <v>25</v>
      </c>
      <c r="M159" t="s">
        <v>159</v>
      </c>
      <c r="N159" t="s">
        <v>160</v>
      </c>
      <c r="P159" t="s">
        <v>48</v>
      </c>
      <c r="Q159" t="s">
        <v>41</v>
      </c>
      <c r="R159">
        <v>24</v>
      </c>
      <c r="T159">
        <v>502</v>
      </c>
      <c r="U159" t="s">
        <v>1058</v>
      </c>
      <c r="V159" s="7">
        <v>50</v>
      </c>
      <c r="W159" s="7">
        <v>43.678035218757444</v>
      </c>
      <c r="X159">
        <v>3</v>
      </c>
      <c r="Y159" s="7">
        <v>6</v>
      </c>
      <c r="Z159" s="7">
        <v>150</v>
      </c>
      <c r="AA159" s="7">
        <f t="shared" si="10"/>
        <v>144</v>
      </c>
      <c r="AB159" t="s">
        <v>66</v>
      </c>
      <c r="AC159" t="str">
        <f t="shared" si="11"/>
        <v>Non-Cash Payments</v>
      </c>
    </row>
    <row r="160" spans="1:29" x14ac:dyDescent="0.25">
      <c r="A160">
        <v>48208</v>
      </c>
      <c r="B160" s="2">
        <v>42472</v>
      </c>
      <c r="C160">
        <v>4</v>
      </c>
      <c r="D160" s="2">
        <f t="shared" si="8"/>
        <v>42478</v>
      </c>
      <c r="E160">
        <v>0</v>
      </c>
      <c r="F160" t="s">
        <v>62</v>
      </c>
      <c r="G160" t="str">
        <f t="shared" si="9"/>
        <v>Other</v>
      </c>
      <c r="H160">
        <v>29</v>
      </c>
      <c r="I160">
        <v>9723</v>
      </c>
      <c r="J160">
        <v>5</v>
      </c>
      <c r="K160" t="s">
        <v>31</v>
      </c>
      <c r="L160" t="s">
        <v>25</v>
      </c>
      <c r="M160" t="s">
        <v>90</v>
      </c>
      <c r="N160" t="s">
        <v>91</v>
      </c>
      <c r="P160" t="s">
        <v>40</v>
      </c>
      <c r="Q160" t="s">
        <v>41</v>
      </c>
      <c r="R160">
        <v>29</v>
      </c>
      <c r="T160">
        <v>627</v>
      </c>
      <c r="U160" t="s">
        <v>1046</v>
      </c>
      <c r="V160" s="7">
        <v>39.990001679999999</v>
      </c>
      <c r="W160" s="7">
        <v>34.198098313835338</v>
      </c>
      <c r="X160">
        <v>3</v>
      </c>
      <c r="Y160" s="7">
        <v>6.5999999049999998</v>
      </c>
      <c r="Z160" s="7">
        <v>119.97000503999999</v>
      </c>
      <c r="AA160" s="7">
        <f t="shared" si="10"/>
        <v>113.37000513499999</v>
      </c>
      <c r="AB160" t="s">
        <v>66</v>
      </c>
      <c r="AC160" t="str">
        <f t="shared" si="11"/>
        <v>Non-Cash Payments</v>
      </c>
    </row>
    <row r="161" spans="1:29" x14ac:dyDescent="0.25">
      <c r="A161">
        <v>43157</v>
      </c>
      <c r="B161" s="2">
        <v>42634</v>
      </c>
      <c r="C161">
        <v>4</v>
      </c>
      <c r="D161" s="2">
        <f t="shared" si="8"/>
        <v>42640</v>
      </c>
      <c r="E161">
        <v>0</v>
      </c>
      <c r="F161" t="s">
        <v>62</v>
      </c>
      <c r="G161" t="str">
        <f t="shared" si="9"/>
        <v>Other</v>
      </c>
      <c r="H161">
        <v>24</v>
      </c>
      <c r="I161">
        <v>1662</v>
      </c>
      <c r="J161">
        <v>5</v>
      </c>
      <c r="K161" t="s">
        <v>31</v>
      </c>
      <c r="L161" t="s">
        <v>25</v>
      </c>
      <c r="M161" t="s">
        <v>200</v>
      </c>
      <c r="N161" t="s">
        <v>201</v>
      </c>
      <c r="P161" t="s">
        <v>202</v>
      </c>
      <c r="Q161" t="s">
        <v>29</v>
      </c>
      <c r="R161">
        <v>24</v>
      </c>
      <c r="T161">
        <v>502</v>
      </c>
      <c r="U161" t="s">
        <v>1058</v>
      </c>
      <c r="V161" s="7">
        <v>50</v>
      </c>
      <c r="W161" s="7">
        <v>43.678035218757444</v>
      </c>
      <c r="X161">
        <v>3</v>
      </c>
      <c r="Y161" s="7">
        <v>10.5</v>
      </c>
      <c r="Z161" s="7">
        <v>150</v>
      </c>
      <c r="AA161" s="7">
        <f t="shared" si="10"/>
        <v>139.5</v>
      </c>
      <c r="AB161" t="s">
        <v>66</v>
      </c>
      <c r="AC161" t="str">
        <f t="shared" si="11"/>
        <v>Non-Cash Payments</v>
      </c>
    </row>
    <row r="162" spans="1:29" x14ac:dyDescent="0.25">
      <c r="A162">
        <v>48018</v>
      </c>
      <c r="B162" s="2">
        <v>42381</v>
      </c>
      <c r="C162">
        <v>4</v>
      </c>
      <c r="D162" s="2">
        <f t="shared" si="8"/>
        <v>42387</v>
      </c>
      <c r="E162">
        <v>0</v>
      </c>
      <c r="F162" t="s">
        <v>62</v>
      </c>
      <c r="G162" t="str">
        <f t="shared" si="9"/>
        <v>Other</v>
      </c>
      <c r="H162">
        <v>24</v>
      </c>
      <c r="I162">
        <v>2709</v>
      </c>
      <c r="J162">
        <v>5</v>
      </c>
      <c r="K162" t="s">
        <v>31</v>
      </c>
      <c r="L162" t="s">
        <v>25</v>
      </c>
      <c r="M162" t="s">
        <v>192</v>
      </c>
      <c r="N162" t="s">
        <v>192</v>
      </c>
      <c r="P162" t="s">
        <v>193</v>
      </c>
      <c r="Q162" t="s">
        <v>52</v>
      </c>
      <c r="R162">
        <v>24</v>
      </c>
      <c r="T162">
        <v>502</v>
      </c>
      <c r="U162" t="s">
        <v>1058</v>
      </c>
      <c r="V162" s="7">
        <v>50</v>
      </c>
      <c r="W162" s="7">
        <v>43.678035218757444</v>
      </c>
      <c r="X162">
        <v>3</v>
      </c>
      <c r="Y162" s="7">
        <v>24</v>
      </c>
      <c r="Z162" s="7">
        <v>150</v>
      </c>
      <c r="AA162" s="7">
        <f t="shared" si="10"/>
        <v>126</v>
      </c>
      <c r="AB162" t="s">
        <v>66</v>
      </c>
      <c r="AC162" t="str">
        <f t="shared" si="11"/>
        <v>Non-Cash Payments</v>
      </c>
    </row>
    <row r="163" spans="1:29" x14ac:dyDescent="0.25">
      <c r="A163">
        <v>46870</v>
      </c>
      <c r="B163" s="2">
        <v>42689</v>
      </c>
      <c r="C163">
        <v>4</v>
      </c>
      <c r="D163" s="2">
        <f t="shared" si="8"/>
        <v>42695</v>
      </c>
      <c r="E163">
        <v>1</v>
      </c>
      <c r="F163" t="s">
        <v>62</v>
      </c>
      <c r="G163" t="str">
        <f t="shared" si="9"/>
        <v>Other</v>
      </c>
      <c r="H163">
        <v>29</v>
      </c>
      <c r="I163">
        <v>12101</v>
      </c>
      <c r="J163">
        <v>5</v>
      </c>
      <c r="K163" t="s">
        <v>31</v>
      </c>
      <c r="L163" t="s">
        <v>25</v>
      </c>
      <c r="M163" t="s">
        <v>114</v>
      </c>
      <c r="N163" t="s">
        <v>114</v>
      </c>
      <c r="P163" t="s">
        <v>33</v>
      </c>
      <c r="Q163" t="s">
        <v>34</v>
      </c>
      <c r="R163">
        <v>29</v>
      </c>
      <c r="T163">
        <v>627</v>
      </c>
      <c r="U163" t="s">
        <v>1046</v>
      </c>
      <c r="V163" s="7">
        <v>39.990001679999999</v>
      </c>
      <c r="W163" s="7">
        <v>34.198098313835338</v>
      </c>
      <c r="X163">
        <v>3</v>
      </c>
      <c r="Y163" s="7">
        <v>20.38999939</v>
      </c>
      <c r="Z163" s="7">
        <v>119.97000503999999</v>
      </c>
      <c r="AA163" s="7">
        <f t="shared" si="10"/>
        <v>99.58000564999999</v>
      </c>
      <c r="AB163" t="s">
        <v>66</v>
      </c>
      <c r="AC163" t="str">
        <f t="shared" si="11"/>
        <v>Non-Cash Payments</v>
      </c>
    </row>
    <row r="164" spans="1:29" x14ac:dyDescent="0.25">
      <c r="A164">
        <v>45611</v>
      </c>
      <c r="B164" s="2">
        <v>42670</v>
      </c>
      <c r="C164">
        <v>4</v>
      </c>
      <c r="D164" s="2">
        <f t="shared" si="8"/>
        <v>42676</v>
      </c>
      <c r="E164">
        <v>0</v>
      </c>
      <c r="F164" t="s">
        <v>62</v>
      </c>
      <c r="G164" t="str">
        <f t="shared" si="9"/>
        <v>Other</v>
      </c>
      <c r="H164">
        <v>24</v>
      </c>
      <c r="I164">
        <v>8078</v>
      </c>
      <c r="J164">
        <v>5</v>
      </c>
      <c r="K164" t="s">
        <v>31</v>
      </c>
      <c r="L164" t="s">
        <v>25</v>
      </c>
      <c r="M164" t="s">
        <v>38</v>
      </c>
      <c r="N164" t="s">
        <v>39</v>
      </c>
      <c r="P164" t="s">
        <v>40</v>
      </c>
      <c r="Q164" t="s">
        <v>41</v>
      </c>
      <c r="R164">
        <v>24</v>
      </c>
      <c r="T164">
        <v>502</v>
      </c>
      <c r="U164" t="s">
        <v>1058</v>
      </c>
      <c r="V164" s="7">
        <v>50</v>
      </c>
      <c r="W164" s="7">
        <v>43.678035218757444</v>
      </c>
      <c r="X164">
        <v>3</v>
      </c>
      <c r="Y164" s="7">
        <v>25.5</v>
      </c>
      <c r="Z164" s="7">
        <v>150</v>
      </c>
      <c r="AA164" s="7">
        <f t="shared" si="10"/>
        <v>124.5</v>
      </c>
      <c r="AB164" t="s">
        <v>66</v>
      </c>
      <c r="AC164" t="str">
        <f t="shared" si="11"/>
        <v>Non-Cash Payments</v>
      </c>
    </row>
    <row r="165" spans="1:29" x14ac:dyDescent="0.25">
      <c r="A165">
        <v>42885</v>
      </c>
      <c r="B165" s="2">
        <v>42631</v>
      </c>
      <c r="C165">
        <v>4</v>
      </c>
      <c r="D165" s="2">
        <f t="shared" si="8"/>
        <v>42635</v>
      </c>
      <c r="E165">
        <v>1</v>
      </c>
      <c r="F165" t="s">
        <v>62</v>
      </c>
      <c r="G165" t="str">
        <f t="shared" si="9"/>
        <v>Other</v>
      </c>
      <c r="H165">
        <v>41</v>
      </c>
      <c r="I165">
        <v>2891</v>
      </c>
      <c r="J165">
        <v>6</v>
      </c>
      <c r="K165" t="s">
        <v>35</v>
      </c>
      <c r="L165" t="s">
        <v>25</v>
      </c>
      <c r="M165" t="s">
        <v>32</v>
      </c>
      <c r="N165" t="s">
        <v>32</v>
      </c>
      <c r="P165" t="s">
        <v>33</v>
      </c>
      <c r="Q165" t="s">
        <v>34</v>
      </c>
      <c r="R165">
        <v>41</v>
      </c>
      <c r="T165">
        <v>917</v>
      </c>
      <c r="U165" t="s">
        <v>1048</v>
      </c>
      <c r="V165" s="7">
        <v>21.989999770000001</v>
      </c>
      <c r="W165" s="7">
        <v>20.391999720066668</v>
      </c>
      <c r="X165">
        <v>3</v>
      </c>
      <c r="Y165" s="7">
        <v>4.6199998860000004</v>
      </c>
      <c r="Z165" s="7">
        <v>65.969999310000006</v>
      </c>
      <c r="AA165" s="7">
        <f t="shared" si="10"/>
        <v>61.349999424000004</v>
      </c>
      <c r="AB165" t="s">
        <v>66</v>
      </c>
      <c r="AC165" t="str">
        <f t="shared" si="11"/>
        <v>Non-Cash Payments</v>
      </c>
    </row>
    <row r="166" spans="1:29" x14ac:dyDescent="0.25">
      <c r="A166">
        <v>51248</v>
      </c>
      <c r="B166" s="2">
        <v>42753</v>
      </c>
      <c r="C166">
        <v>4</v>
      </c>
      <c r="D166" s="2">
        <f t="shared" si="8"/>
        <v>42759</v>
      </c>
      <c r="E166">
        <v>0</v>
      </c>
      <c r="F166" t="s">
        <v>62</v>
      </c>
      <c r="G166" t="str">
        <f t="shared" si="9"/>
        <v>Other</v>
      </c>
      <c r="H166">
        <v>9</v>
      </c>
      <c r="I166">
        <v>2540</v>
      </c>
      <c r="J166">
        <v>3</v>
      </c>
      <c r="K166" t="s">
        <v>24</v>
      </c>
      <c r="L166" t="s">
        <v>25</v>
      </c>
      <c r="M166" t="s">
        <v>38</v>
      </c>
      <c r="N166" t="s">
        <v>39</v>
      </c>
      <c r="P166" t="s">
        <v>40</v>
      </c>
      <c r="Q166" t="s">
        <v>41</v>
      </c>
      <c r="R166">
        <v>9</v>
      </c>
      <c r="T166">
        <v>191</v>
      </c>
      <c r="U166" t="s">
        <v>1044</v>
      </c>
      <c r="V166" s="7">
        <v>99.989997860000003</v>
      </c>
      <c r="W166" s="7">
        <v>95.114003926871064</v>
      </c>
      <c r="X166">
        <v>3</v>
      </c>
      <c r="Y166" s="7">
        <v>45</v>
      </c>
      <c r="Z166" s="7">
        <v>299.96999357999999</v>
      </c>
      <c r="AA166" s="7">
        <f t="shared" si="10"/>
        <v>254.96999357999999</v>
      </c>
      <c r="AB166" t="s">
        <v>66</v>
      </c>
      <c r="AC166" t="str">
        <f t="shared" si="11"/>
        <v>Non-Cash Payments</v>
      </c>
    </row>
    <row r="167" spans="1:29" x14ac:dyDescent="0.25">
      <c r="A167">
        <v>48163</v>
      </c>
      <c r="B167" s="2">
        <v>42472</v>
      </c>
      <c r="C167">
        <v>4</v>
      </c>
      <c r="D167" s="2">
        <f t="shared" si="8"/>
        <v>42478</v>
      </c>
      <c r="E167">
        <v>0</v>
      </c>
      <c r="F167" t="s">
        <v>62</v>
      </c>
      <c r="G167" t="str">
        <f t="shared" si="9"/>
        <v>Other</v>
      </c>
      <c r="H167">
        <v>17</v>
      </c>
      <c r="I167">
        <v>4329</v>
      </c>
      <c r="J167">
        <v>4</v>
      </c>
      <c r="K167" t="s">
        <v>46</v>
      </c>
      <c r="L167" t="s">
        <v>25</v>
      </c>
      <c r="M167" t="s">
        <v>36</v>
      </c>
      <c r="N167" t="s">
        <v>36</v>
      </c>
      <c r="P167" t="s">
        <v>37</v>
      </c>
      <c r="Q167" t="s">
        <v>29</v>
      </c>
      <c r="R167">
        <v>17</v>
      </c>
      <c r="T167">
        <v>365</v>
      </c>
      <c r="U167" t="s">
        <v>1054</v>
      </c>
      <c r="V167" s="7">
        <v>59.990001679999999</v>
      </c>
      <c r="W167" s="7">
        <v>54.488929209402009</v>
      </c>
      <c r="X167">
        <v>3</v>
      </c>
      <c r="Y167" s="7">
        <v>7.1999998090000004</v>
      </c>
      <c r="Z167" s="7">
        <v>179.97000503999999</v>
      </c>
      <c r="AA167" s="7">
        <f t="shared" si="10"/>
        <v>172.770005231</v>
      </c>
      <c r="AB167" t="s">
        <v>66</v>
      </c>
      <c r="AC167" t="str">
        <f t="shared" si="11"/>
        <v>Non-Cash Payments</v>
      </c>
    </row>
    <row r="168" spans="1:29" x14ac:dyDescent="0.25">
      <c r="A168">
        <v>41569</v>
      </c>
      <c r="B168" s="2">
        <v>42611</v>
      </c>
      <c r="C168">
        <v>4</v>
      </c>
      <c r="D168" s="2">
        <f t="shared" si="8"/>
        <v>42615</v>
      </c>
      <c r="E168">
        <v>0</v>
      </c>
      <c r="F168" t="s">
        <v>62</v>
      </c>
      <c r="G168" t="str">
        <f t="shared" si="9"/>
        <v>Other</v>
      </c>
      <c r="H168">
        <v>17</v>
      </c>
      <c r="I168">
        <v>8841</v>
      </c>
      <c r="J168">
        <v>4</v>
      </c>
      <c r="K168" t="s">
        <v>46</v>
      </c>
      <c r="L168" t="s">
        <v>25</v>
      </c>
      <c r="M168" t="s">
        <v>156</v>
      </c>
      <c r="N168" t="s">
        <v>156</v>
      </c>
      <c r="P168" t="s">
        <v>61</v>
      </c>
      <c r="Q168" t="s">
        <v>41</v>
      </c>
      <c r="R168">
        <v>17</v>
      </c>
      <c r="T168">
        <v>365</v>
      </c>
      <c r="U168" t="s">
        <v>1054</v>
      </c>
      <c r="V168" s="7">
        <v>59.990001679999999</v>
      </c>
      <c r="W168" s="7">
        <v>54.488929209402009</v>
      </c>
      <c r="X168">
        <v>3</v>
      </c>
      <c r="Y168" s="7">
        <v>9</v>
      </c>
      <c r="Z168" s="7">
        <v>179.97000503999999</v>
      </c>
      <c r="AA168" s="7">
        <f t="shared" si="10"/>
        <v>170.97000503999999</v>
      </c>
      <c r="AB168" t="s">
        <v>66</v>
      </c>
      <c r="AC168" t="str">
        <f t="shared" si="11"/>
        <v>Non-Cash Payments</v>
      </c>
    </row>
    <row r="169" spans="1:29" x14ac:dyDescent="0.25">
      <c r="A169">
        <v>51255</v>
      </c>
      <c r="B169" s="2">
        <v>42753</v>
      </c>
      <c r="C169">
        <v>4</v>
      </c>
      <c r="D169" s="2">
        <f t="shared" si="8"/>
        <v>42759</v>
      </c>
      <c r="E169">
        <v>1</v>
      </c>
      <c r="F169" t="s">
        <v>62</v>
      </c>
      <c r="G169" t="str">
        <f t="shared" si="9"/>
        <v>Other</v>
      </c>
      <c r="H169">
        <v>7</v>
      </c>
      <c r="I169">
        <v>6248</v>
      </c>
      <c r="J169">
        <v>2</v>
      </c>
      <c r="K169" t="s">
        <v>136</v>
      </c>
      <c r="L169" t="s">
        <v>25</v>
      </c>
      <c r="M169" t="s">
        <v>55</v>
      </c>
      <c r="N169" t="s">
        <v>56</v>
      </c>
      <c r="P169" t="s">
        <v>57</v>
      </c>
      <c r="Q169" t="s">
        <v>29</v>
      </c>
      <c r="R169">
        <v>7</v>
      </c>
      <c r="T169">
        <v>135</v>
      </c>
      <c r="U169" t="s">
        <v>1082</v>
      </c>
      <c r="V169" s="7">
        <v>22</v>
      </c>
      <c r="W169" s="7">
        <v>19.656208341820829</v>
      </c>
      <c r="X169">
        <v>4</v>
      </c>
      <c r="Y169" s="7">
        <v>6.1599998469999999</v>
      </c>
      <c r="Z169" s="7">
        <v>88</v>
      </c>
      <c r="AA169" s="7">
        <f t="shared" si="10"/>
        <v>81.840000153000005</v>
      </c>
      <c r="AB169" t="s">
        <v>30</v>
      </c>
      <c r="AC169" t="str">
        <f t="shared" si="11"/>
        <v>Cash Not Over 200</v>
      </c>
    </row>
    <row r="170" spans="1:29" x14ac:dyDescent="0.25">
      <c r="A170">
        <v>50813</v>
      </c>
      <c r="B170" s="2">
        <v>43040</v>
      </c>
      <c r="C170">
        <v>2</v>
      </c>
      <c r="D170" s="2">
        <f t="shared" si="8"/>
        <v>43042</v>
      </c>
      <c r="E170">
        <v>1</v>
      </c>
      <c r="F170" t="s">
        <v>23</v>
      </c>
      <c r="G170" t="str">
        <f t="shared" si="9"/>
        <v>Other</v>
      </c>
      <c r="H170">
        <v>7</v>
      </c>
      <c r="I170">
        <v>7832</v>
      </c>
      <c r="J170">
        <v>2</v>
      </c>
      <c r="K170" t="s">
        <v>136</v>
      </c>
      <c r="L170" t="s">
        <v>25</v>
      </c>
      <c r="M170" t="s">
        <v>129</v>
      </c>
      <c r="N170" t="s">
        <v>130</v>
      </c>
      <c r="P170" t="s">
        <v>131</v>
      </c>
      <c r="Q170" t="s">
        <v>29</v>
      </c>
      <c r="R170">
        <v>7</v>
      </c>
      <c r="T170">
        <v>135</v>
      </c>
      <c r="U170" t="s">
        <v>1082</v>
      </c>
      <c r="V170" s="7">
        <v>22</v>
      </c>
      <c r="W170" s="7">
        <v>19.656208341820829</v>
      </c>
      <c r="X170">
        <v>1</v>
      </c>
      <c r="Y170" s="7">
        <v>2.8599998950000001</v>
      </c>
      <c r="Z170" s="7">
        <v>22</v>
      </c>
      <c r="AA170" s="7">
        <f t="shared" si="10"/>
        <v>19.140000104999999</v>
      </c>
      <c r="AB170" t="s">
        <v>45</v>
      </c>
      <c r="AC170" t="str">
        <f t="shared" si="11"/>
        <v>Non-Cash Payments</v>
      </c>
    </row>
    <row r="171" spans="1:29" x14ac:dyDescent="0.25">
      <c r="A171">
        <v>50607</v>
      </c>
      <c r="B171" s="2">
        <v>42948</v>
      </c>
      <c r="C171">
        <v>4</v>
      </c>
      <c r="D171" s="2">
        <f t="shared" si="8"/>
        <v>42954</v>
      </c>
      <c r="E171">
        <v>0</v>
      </c>
      <c r="F171" t="s">
        <v>62</v>
      </c>
      <c r="G171" t="str">
        <f t="shared" si="9"/>
        <v>Other</v>
      </c>
      <c r="H171">
        <v>7</v>
      </c>
      <c r="I171">
        <v>1944</v>
      </c>
      <c r="J171">
        <v>2</v>
      </c>
      <c r="K171" t="s">
        <v>136</v>
      </c>
      <c r="L171" t="s">
        <v>25</v>
      </c>
      <c r="M171" t="s">
        <v>203</v>
      </c>
      <c r="N171" t="s">
        <v>204</v>
      </c>
      <c r="P171" t="s">
        <v>109</v>
      </c>
      <c r="Q171" t="s">
        <v>29</v>
      </c>
      <c r="R171">
        <v>7</v>
      </c>
      <c r="T171">
        <v>135</v>
      </c>
      <c r="U171" t="s">
        <v>1082</v>
      </c>
      <c r="V171" s="7">
        <v>22</v>
      </c>
      <c r="W171" s="7">
        <v>19.656208341820829</v>
      </c>
      <c r="X171">
        <v>5</v>
      </c>
      <c r="Y171" s="7">
        <v>7.6999998090000004</v>
      </c>
      <c r="Z171" s="7">
        <v>110</v>
      </c>
      <c r="AA171" s="7">
        <f t="shared" si="10"/>
        <v>102.300000191</v>
      </c>
      <c r="AB171" t="s">
        <v>30</v>
      </c>
      <c r="AC171" t="str">
        <f t="shared" si="11"/>
        <v>Cash Not Over 200</v>
      </c>
    </row>
    <row r="172" spans="1:29" x14ac:dyDescent="0.25">
      <c r="A172">
        <v>49413</v>
      </c>
      <c r="B172" s="2">
        <v>42726</v>
      </c>
      <c r="C172">
        <v>1</v>
      </c>
      <c r="D172" s="2">
        <f t="shared" si="8"/>
        <v>42727</v>
      </c>
      <c r="E172">
        <v>1</v>
      </c>
      <c r="F172" t="s">
        <v>187</v>
      </c>
      <c r="G172" t="str">
        <f t="shared" si="9"/>
        <v>Other</v>
      </c>
      <c r="H172">
        <v>7</v>
      </c>
      <c r="I172">
        <v>1788</v>
      </c>
      <c r="J172">
        <v>2</v>
      </c>
      <c r="K172" t="s">
        <v>136</v>
      </c>
      <c r="L172" t="s">
        <v>25</v>
      </c>
      <c r="M172" t="s">
        <v>26</v>
      </c>
      <c r="N172" t="s">
        <v>27</v>
      </c>
      <c r="P172" t="s">
        <v>28</v>
      </c>
      <c r="Q172" t="s">
        <v>29</v>
      </c>
      <c r="R172">
        <v>7</v>
      </c>
      <c r="T172">
        <v>135</v>
      </c>
      <c r="U172" t="s">
        <v>1082</v>
      </c>
      <c r="V172" s="7">
        <v>22</v>
      </c>
      <c r="W172" s="7">
        <v>19.656208341820829</v>
      </c>
      <c r="X172">
        <v>4</v>
      </c>
      <c r="Y172" s="7">
        <v>8.8000001910000005</v>
      </c>
      <c r="Z172" s="7">
        <v>88</v>
      </c>
      <c r="AA172" s="7">
        <f t="shared" si="10"/>
        <v>79.199999809000005</v>
      </c>
      <c r="AB172" t="s">
        <v>45</v>
      </c>
      <c r="AC172" t="str">
        <f t="shared" si="11"/>
        <v>Non-Cash Payments</v>
      </c>
    </row>
    <row r="173" spans="1:29" x14ac:dyDescent="0.25">
      <c r="A173">
        <v>49302</v>
      </c>
      <c r="B173" s="2">
        <v>42724</v>
      </c>
      <c r="C173">
        <v>4</v>
      </c>
      <c r="D173" s="2">
        <f t="shared" si="8"/>
        <v>42730</v>
      </c>
      <c r="E173">
        <v>0</v>
      </c>
      <c r="F173" t="s">
        <v>62</v>
      </c>
      <c r="G173" t="str">
        <f t="shared" si="9"/>
        <v>Other</v>
      </c>
      <c r="H173">
        <v>7</v>
      </c>
      <c r="I173">
        <v>8480</v>
      </c>
      <c r="J173">
        <v>2</v>
      </c>
      <c r="K173" t="s">
        <v>136</v>
      </c>
      <c r="L173" t="s">
        <v>25</v>
      </c>
      <c r="M173" t="s">
        <v>79</v>
      </c>
      <c r="N173" t="s">
        <v>79</v>
      </c>
      <c r="P173" t="s">
        <v>61</v>
      </c>
      <c r="Q173" t="s">
        <v>41</v>
      </c>
      <c r="R173">
        <v>7</v>
      </c>
      <c r="T173">
        <v>135</v>
      </c>
      <c r="U173" t="s">
        <v>1082</v>
      </c>
      <c r="V173" s="7">
        <v>22</v>
      </c>
      <c r="W173" s="7">
        <v>19.656208341820829</v>
      </c>
      <c r="X173">
        <v>5</v>
      </c>
      <c r="Y173" s="7">
        <v>9.8999996190000008</v>
      </c>
      <c r="Z173" s="7">
        <v>110</v>
      </c>
      <c r="AA173" s="7">
        <f t="shared" si="10"/>
        <v>100.100000381</v>
      </c>
      <c r="AB173" t="s">
        <v>45</v>
      </c>
      <c r="AC173" t="str">
        <f t="shared" si="11"/>
        <v>Non-Cash Payments</v>
      </c>
    </row>
    <row r="174" spans="1:29" x14ac:dyDescent="0.25">
      <c r="A174">
        <v>49113</v>
      </c>
      <c r="B174" s="2">
        <v>42721</v>
      </c>
      <c r="C174">
        <v>2</v>
      </c>
      <c r="D174" s="2">
        <f t="shared" si="8"/>
        <v>42724</v>
      </c>
      <c r="E174">
        <v>1</v>
      </c>
      <c r="F174" t="s">
        <v>23</v>
      </c>
      <c r="G174" t="str">
        <f t="shared" si="9"/>
        <v>Other</v>
      </c>
      <c r="H174">
        <v>7</v>
      </c>
      <c r="I174">
        <v>7465</v>
      </c>
      <c r="J174">
        <v>2</v>
      </c>
      <c r="K174" t="s">
        <v>136</v>
      </c>
      <c r="L174" t="s">
        <v>25</v>
      </c>
      <c r="M174" t="s">
        <v>118</v>
      </c>
      <c r="N174" t="s">
        <v>118</v>
      </c>
      <c r="P174" t="s">
        <v>44</v>
      </c>
      <c r="Q174" t="s">
        <v>34</v>
      </c>
      <c r="R174">
        <v>7</v>
      </c>
      <c r="T174">
        <v>135</v>
      </c>
      <c r="U174" t="s">
        <v>1082</v>
      </c>
      <c r="V174" s="7">
        <v>22</v>
      </c>
      <c r="W174" s="7">
        <v>19.656208341820829</v>
      </c>
      <c r="X174">
        <v>2</v>
      </c>
      <c r="Y174" s="7">
        <v>6.5999999049999998</v>
      </c>
      <c r="Z174" s="7">
        <v>44</v>
      </c>
      <c r="AA174" s="7">
        <f t="shared" si="10"/>
        <v>37.400000095000003</v>
      </c>
      <c r="AB174" t="s">
        <v>30</v>
      </c>
      <c r="AC174" t="str">
        <f t="shared" si="11"/>
        <v>Cash Not Over 200</v>
      </c>
    </row>
    <row r="175" spans="1:29" x14ac:dyDescent="0.25">
      <c r="A175">
        <v>49109</v>
      </c>
      <c r="B175" s="2">
        <v>42721</v>
      </c>
      <c r="C175">
        <v>4</v>
      </c>
      <c r="D175" s="2">
        <f t="shared" si="8"/>
        <v>42726</v>
      </c>
      <c r="E175">
        <v>1</v>
      </c>
      <c r="F175" t="s">
        <v>62</v>
      </c>
      <c r="G175" t="str">
        <f t="shared" si="9"/>
        <v>Other</v>
      </c>
      <c r="H175">
        <v>7</v>
      </c>
      <c r="I175">
        <v>10173</v>
      </c>
      <c r="J175">
        <v>2</v>
      </c>
      <c r="K175" t="s">
        <v>136</v>
      </c>
      <c r="L175" t="s">
        <v>25</v>
      </c>
      <c r="M175" t="s">
        <v>171</v>
      </c>
      <c r="N175" t="s">
        <v>171</v>
      </c>
      <c r="P175" t="s">
        <v>172</v>
      </c>
      <c r="Q175" t="s">
        <v>52</v>
      </c>
      <c r="R175">
        <v>7</v>
      </c>
      <c r="T175">
        <v>135</v>
      </c>
      <c r="U175" t="s">
        <v>1082</v>
      </c>
      <c r="V175" s="7">
        <v>22</v>
      </c>
      <c r="W175" s="7">
        <v>19.656208341820829</v>
      </c>
      <c r="X175">
        <v>4</v>
      </c>
      <c r="Y175" s="7">
        <v>10.56000042</v>
      </c>
      <c r="Z175" s="7">
        <v>88</v>
      </c>
      <c r="AA175" s="7">
        <f t="shared" si="10"/>
        <v>77.439999580000006</v>
      </c>
      <c r="AB175" t="s">
        <v>66</v>
      </c>
      <c r="AC175" t="str">
        <f t="shared" si="11"/>
        <v>Non-Cash Payments</v>
      </c>
    </row>
    <row r="176" spans="1:29" x14ac:dyDescent="0.25">
      <c r="A176">
        <v>48029</v>
      </c>
      <c r="B176" s="2">
        <v>42412</v>
      </c>
      <c r="C176">
        <v>2</v>
      </c>
      <c r="D176" s="2">
        <f t="shared" si="8"/>
        <v>42416</v>
      </c>
      <c r="E176">
        <v>1</v>
      </c>
      <c r="F176" t="s">
        <v>23</v>
      </c>
      <c r="G176" t="str">
        <f t="shared" si="9"/>
        <v>Other</v>
      </c>
      <c r="H176">
        <v>7</v>
      </c>
      <c r="I176">
        <v>3754</v>
      </c>
      <c r="J176">
        <v>2</v>
      </c>
      <c r="K176" t="s">
        <v>136</v>
      </c>
      <c r="L176" t="s">
        <v>25</v>
      </c>
      <c r="M176" t="s">
        <v>138</v>
      </c>
      <c r="N176" t="s">
        <v>138</v>
      </c>
      <c r="P176" t="s">
        <v>100</v>
      </c>
      <c r="Q176" t="s">
        <v>52</v>
      </c>
      <c r="R176">
        <v>7</v>
      </c>
      <c r="T176">
        <v>135</v>
      </c>
      <c r="U176" t="s">
        <v>1082</v>
      </c>
      <c r="V176" s="7">
        <v>22</v>
      </c>
      <c r="W176" s="7">
        <v>19.656208341820829</v>
      </c>
      <c r="X176">
        <v>5</v>
      </c>
      <c r="Y176" s="7">
        <v>13.19999981</v>
      </c>
      <c r="Z176" s="7">
        <v>110</v>
      </c>
      <c r="AA176" s="7">
        <f t="shared" si="10"/>
        <v>96.800000190000006</v>
      </c>
      <c r="AB176" t="s">
        <v>30</v>
      </c>
      <c r="AC176" t="str">
        <f t="shared" si="11"/>
        <v>Cash Not Over 200</v>
      </c>
    </row>
    <row r="177" spans="1:29" x14ac:dyDescent="0.25">
      <c r="A177">
        <v>47917</v>
      </c>
      <c r="B177" s="2">
        <v>42704</v>
      </c>
      <c r="C177">
        <v>4</v>
      </c>
      <c r="D177" s="2">
        <f t="shared" si="8"/>
        <v>42710</v>
      </c>
      <c r="E177">
        <v>0</v>
      </c>
      <c r="F177" t="s">
        <v>62</v>
      </c>
      <c r="G177" t="str">
        <f t="shared" si="9"/>
        <v>Other</v>
      </c>
      <c r="H177">
        <v>7</v>
      </c>
      <c r="I177">
        <v>7810</v>
      </c>
      <c r="J177">
        <v>2</v>
      </c>
      <c r="K177" t="s">
        <v>136</v>
      </c>
      <c r="L177" t="s">
        <v>25</v>
      </c>
      <c r="M177" t="s">
        <v>32</v>
      </c>
      <c r="N177" t="s">
        <v>32</v>
      </c>
      <c r="P177" t="s">
        <v>33</v>
      </c>
      <c r="Q177" t="s">
        <v>34</v>
      </c>
      <c r="R177">
        <v>7</v>
      </c>
      <c r="T177">
        <v>135</v>
      </c>
      <c r="U177" t="s">
        <v>1082</v>
      </c>
      <c r="V177" s="7">
        <v>22</v>
      </c>
      <c r="W177" s="7">
        <v>19.656208341820829</v>
      </c>
      <c r="X177">
        <v>3</v>
      </c>
      <c r="Y177" s="7">
        <v>13.19999981</v>
      </c>
      <c r="Z177" s="7">
        <v>66</v>
      </c>
      <c r="AA177" s="7">
        <f t="shared" si="10"/>
        <v>52.800000189999999</v>
      </c>
      <c r="AB177" t="s">
        <v>66</v>
      </c>
      <c r="AC177" t="str">
        <f t="shared" si="11"/>
        <v>Non-Cash Payments</v>
      </c>
    </row>
    <row r="178" spans="1:29" x14ac:dyDescent="0.25">
      <c r="A178">
        <v>47330</v>
      </c>
      <c r="B178" s="2">
        <v>42695</v>
      </c>
      <c r="C178">
        <v>4</v>
      </c>
      <c r="D178" s="2">
        <f t="shared" si="8"/>
        <v>42699</v>
      </c>
      <c r="E178">
        <v>1</v>
      </c>
      <c r="F178" t="s">
        <v>62</v>
      </c>
      <c r="G178" t="str">
        <f t="shared" si="9"/>
        <v>Other</v>
      </c>
      <c r="H178">
        <v>7</v>
      </c>
      <c r="I178">
        <v>6370</v>
      </c>
      <c r="J178">
        <v>2</v>
      </c>
      <c r="K178" t="s">
        <v>136</v>
      </c>
      <c r="L178" t="s">
        <v>25</v>
      </c>
      <c r="M178" t="s">
        <v>32</v>
      </c>
      <c r="N178" t="s">
        <v>32</v>
      </c>
      <c r="P178" t="s">
        <v>33</v>
      </c>
      <c r="Q178" t="s">
        <v>34</v>
      </c>
      <c r="R178">
        <v>7</v>
      </c>
      <c r="T178">
        <v>135</v>
      </c>
      <c r="U178" t="s">
        <v>1082</v>
      </c>
      <c r="V178" s="7">
        <v>22</v>
      </c>
      <c r="W178" s="7">
        <v>19.656208341820829</v>
      </c>
      <c r="X178">
        <v>5</v>
      </c>
      <c r="Y178" s="7">
        <v>14.30000019</v>
      </c>
      <c r="Z178" s="7">
        <v>110</v>
      </c>
      <c r="AA178" s="7">
        <f t="shared" si="10"/>
        <v>95.699999809999994</v>
      </c>
      <c r="AB178" t="s">
        <v>30</v>
      </c>
      <c r="AC178" t="str">
        <f t="shared" si="11"/>
        <v>Cash Not Over 200</v>
      </c>
    </row>
    <row r="179" spans="1:29" x14ac:dyDescent="0.25">
      <c r="A179">
        <v>46984</v>
      </c>
      <c r="B179" s="2">
        <v>42690</v>
      </c>
      <c r="C179">
        <v>4</v>
      </c>
      <c r="D179" s="2">
        <f t="shared" si="8"/>
        <v>42696</v>
      </c>
      <c r="E179">
        <v>1</v>
      </c>
      <c r="F179" t="s">
        <v>62</v>
      </c>
      <c r="G179" t="str">
        <f t="shared" si="9"/>
        <v>Other</v>
      </c>
      <c r="H179">
        <v>7</v>
      </c>
      <c r="I179">
        <v>6374</v>
      </c>
      <c r="J179">
        <v>2</v>
      </c>
      <c r="K179" t="s">
        <v>136</v>
      </c>
      <c r="L179" t="s">
        <v>25</v>
      </c>
      <c r="M179" t="s">
        <v>205</v>
      </c>
      <c r="N179" t="s">
        <v>206</v>
      </c>
      <c r="P179" t="s">
        <v>33</v>
      </c>
      <c r="Q179" t="s">
        <v>34</v>
      </c>
      <c r="R179">
        <v>7</v>
      </c>
      <c r="T179">
        <v>135</v>
      </c>
      <c r="U179" t="s">
        <v>1082</v>
      </c>
      <c r="V179" s="7">
        <v>22</v>
      </c>
      <c r="W179" s="7">
        <v>19.656208341820829</v>
      </c>
      <c r="X179">
        <v>1</v>
      </c>
      <c r="Y179" s="7">
        <v>3.7400000100000002</v>
      </c>
      <c r="Z179" s="7">
        <v>22</v>
      </c>
      <c r="AA179" s="7">
        <f t="shared" si="10"/>
        <v>18.259999990000001</v>
      </c>
      <c r="AB179" t="s">
        <v>45</v>
      </c>
      <c r="AC179" t="str">
        <f t="shared" si="11"/>
        <v>Non-Cash Payments</v>
      </c>
    </row>
    <row r="180" spans="1:29" x14ac:dyDescent="0.25">
      <c r="A180">
        <v>46687</v>
      </c>
      <c r="B180" s="2">
        <v>42715</v>
      </c>
      <c r="C180">
        <v>2</v>
      </c>
      <c r="D180" s="2">
        <f t="shared" si="8"/>
        <v>42717</v>
      </c>
      <c r="E180">
        <v>1</v>
      </c>
      <c r="F180" t="s">
        <v>23</v>
      </c>
      <c r="G180" t="str">
        <f t="shared" si="9"/>
        <v>Other</v>
      </c>
      <c r="H180">
        <v>7</v>
      </c>
      <c r="I180">
        <v>12355</v>
      </c>
      <c r="J180">
        <v>2</v>
      </c>
      <c r="K180" t="s">
        <v>136</v>
      </c>
      <c r="L180" t="s">
        <v>25</v>
      </c>
      <c r="M180" t="s">
        <v>207</v>
      </c>
      <c r="N180" t="s">
        <v>208</v>
      </c>
      <c r="P180" t="s">
        <v>33</v>
      </c>
      <c r="Q180" t="s">
        <v>34</v>
      </c>
      <c r="R180">
        <v>7</v>
      </c>
      <c r="T180">
        <v>135</v>
      </c>
      <c r="U180" t="s">
        <v>1082</v>
      </c>
      <c r="V180" s="7">
        <v>22</v>
      </c>
      <c r="W180" s="7">
        <v>19.656208341820829</v>
      </c>
      <c r="X180">
        <v>4</v>
      </c>
      <c r="Y180" s="7">
        <v>11.43999958</v>
      </c>
      <c r="Z180" s="7">
        <v>88</v>
      </c>
      <c r="AA180" s="7">
        <f t="shared" si="10"/>
        <v>76.560000419999994</v>
      </c>
      <c r="AB180" t="s">
        <v>66</v>
      </c>
      <c r="AC180" t="str">
        <f t="shared" si="11"/>
        <v>Non-Cash Payments</v>
      </c>
    </row>
    <row r="181" spans="1:29" x14ac:dyDescent="0.25">
      <c r="A181">
        <v>46443</v>
      </c>
      <c r="B181" s="2">
        <v>42593</v>
      </c>
      <c r="C181">
        <v>4</v>
      </c>
      <c r="D181" s="2">
        <f t="shared" si="8"/>
        <v>42599</v>
      </c>
      <c r="E181">
        <v>0</v>
      </c>
      <c r="F181" t="s">
        <v>62</v>
      </c>
      <c r="G181" t="str">
        <f t="shared" si="9"/>
        <v>Other</v>
      </c>
      <c r="H181">
        <v>7</v>
      </c>
      <c r="I181">
        <v>9727</v>
      </c>
      <c r="J181">
        <v>2</v>
      </c>
      <c r="K181" t="s">
        <v>136</v>
      </c>
      <c r="L181" t="s">
        <v>25</v>
      </c>
      <c r="M181" t="s">
        <v>93</v>
      </c>
      <c r="N181" t="s">
        <v>93</v>
      </c>
      <c r="P181" t="s">
        <v>28</v>
      </c>
      <c r="Q181" t="s">
        <v>29</v>
      </c>
      <c r="R181">
        <v>7</v>
      </c>
      <c r="T181">
        <v>135</v>
      </c>
      <c r="U181" t="s">
        <v>1082</v>
      </c>
      <c r="V181" s="7">
        <v>22</v>
      </c>
      <c r="W181" s="7">
        <v>19.656208341820829</v>
      </c>
      <c r="X181">
        <v>3</v>
      </c>
      <c r="Y181" s="7">
        <v>16.5</v>
      </c>
      <c r="Z181" s="7">
        <v>66</v>
      </c>
      <c r="AA181" s="7">
        <f t="shared" si="10"/>
        <v>49.5</v>
      </c>
      <c r="AB181" t="s">
        <v>66</v>
      </c>
      <c r="AC181" t="str">
        <f t="shared" si="11"/>
        <v>Non-Cash Payments</v>
      </c>
    </row>
    <row r="182" spans="1:29" x14ac:dyDescent="0.25">
      <c r="A182">
        <v>46292</v>
      </c>
      <c r="B182" s="2">
        <v>42532</v>
      </c>
      <c r="C182">
        <v>4</v>
      </c>
      <c r="D182" s="2">
        <f t="shared" si="8"/>
        <v>42537</v>
      </c>
      <c r="E182">
        <v>0</v>
      </c>
      <c r="F182" t="s">
        <v>62</v>
      </c>
      <c r="G182" t="str">
        <f t="shared" si="9"/>
        <v>Other</v>
      </c>
      <c r="H182">
        <v>7</v>
      </c>
      <c r="I182">
        <v>1169</v>
      </c>
      <c r="J182">
        <v>2</v>
      </c>
      <c r="K182" t="s">
        <v>136</v>
      </c>
      <c r="L182" t="s">
        <v>25</v>
      </c>
      <c r="M182" t="s">
        <v>209</v>
      </c>
      <c r="N182" t="s">
        <v>210</v>
      </c>
      <c r="P182" t="s">
        <v>147</v>
      </c>
      <c r="Q182" t="s">
        <v>29</v>
      </c>
      <c r="R182">
        <v>7</v>
      </c>
      <c r="T182">
        <v>135</v>
      </c>
      <c r="U182" t="s">
        <v>1082</v>
      </c>
      <c r="V182" s="7">
        <v>22</v>
      </c>
      <c r="W182" s="7">
        <v>19.656208341820829</v>
      </c>
      <c r="X182">
        <v>1</v>
      </c>
      <c r="Y182" s="7">
        <v>4.4000000950000002</v>
      </c>
      <c r="Z182" s="7">
        <v>22</v>
      </c>
      <c r="AA182" s="7">
        <f t="shared" si="10"/>
        <v>17.599999905000001</v>
      </c>
      <c r="AB182" t="s">
        <v>30</v>
      </c>
      <c r="AC182" t="str">
        <f t="shared" si="11"/>
        <v>Cash Not Over 200</v>
      </c>
    </row>
    <row r="183" spans="1:29" x14ac:dyDescent="0.25">
      <c r="A183">
        <v>45219</v>
      </c>
      <c r="B183" s="2">
        <v>42665</v>
      </c>
      <c r="C183">
        <v>4</v>
      </c>
      <c r="D183" s="2">
        <f t="shared" si="8"/>
        <v>42670</v>
      </c>
      <c r="E183">
        <v>1</v>
      </c>
      <c r="F183" t="s">
        <v>62</v>
      </c>
      <c r="G183" t="str">
        <f t="shared" si="9"/>
        <v>Other</v>
      </c>
      <c r="H183">
        <v>7</v>
      </c>
      <c r="I183">
        <v>7269</v>
      </c>
      <c r="J183">
        <v>2</v>
      </c>
      <c r="K183" t="s">
        <v>136</v>
      </c>
      <c r="L183" t="s">
        <v>25</v>
      </c>
      <c r="M183" t="s">
        <v>55</v>
      </c>
      <c r="N183" t="s">
        <v>56</v>
      </c>
      <c r="P183" t="s">
        <v>57</v>
      </c>
      <c r="Q183" t="s">
        <v>29</v>
      </c>
      <c r="R183">
        <v>7</v>
      </c>
      <c r="T183">
        <v>135</v>
      </c>
      <c r="U183" t="s">
        <v>1082</v>
      </c>
      <c r="V183" s="7">
        <v>22</v>
      </c>
      <c r="W183" s="7">
        <v>19.656208341820829</v>
      </c>
      <c r="X183">
        <v>2</v>
      </c>
      <c r="Y183" s="7">
        <v>11</v>
      </c>
      <c r="Z183" s="7">
        <v>44</v>
      </c>
      <c r="AA183" s="7">
        <f t="shared" si="10"/>
        <v>33</v>
      </c>
      <c r="AB183" t="s">
        <v>45</v>
      </c>
      <c r="AC183" t="str">
        <f t="shared" si="11"/>
        <v>Non-Cash Payments</v>
      </c>
    </row>
    <row r="184" spans="1:29" x14ac:dyDescent="0.25">
      <c r="A184">
        <v>44567</v>
      </c>
      <c r="B184" s="2">
        <v>42714</v>
      </c>
      <c r="C184">
        <v>4</v>
      </c>
      <c r="D184" s="2">
        <f t="shared" si="8"/>
        <v>42719</v>
      </c>
      <c r="E184">
        <v>0</v>
      </c>
      <c r="F184" t="s">
        <v>62</v>
      </c>
      <c r="G184" t="str">
        <f t="shared" si="9"/>
        <v>Other</v>
      </c>
      <c r="H184">
        <v>7</v>
      </c>
      <c r="I184">
        <v>2588</v>
      </c>
      <c r="J184">
        <v>2</v>
      </c>
      <c r="K184" t="s">
        <v>136</v>
      </c>
      <c r="L184" t="s">
        <v>25</v>
      </c>
      <c r="M184" t="s">
        <v>211</v>
      </c>
      <c r="N184" t="s">
        <v>85</v>
      </c>
      <c r="P184" t="s">
        <v>40</v>
      </c>
      <c r="Q184" t="s">
        <v>41</v>
      </c>
      <c r="R184">
        <v>7</v>
      </c>
      <c r="T184">
        <v>135</v>
      </c>
      <c r="U184" t="s">
        <v>1082</v>
      </c>
      <c r="V184" s="7">
        <v>22</v>
      </c>
      <c r="W184" s="7">
        <v>19.656208341820829</v>
      </c>
      <c r="X184">
        <v>2</v>
      </c>
      <c r="Y184" s="7">
        <v>0.439999998</v>
      </c>
      <c r="Z184" s="7">
        <v>44</v>
      </c>
      <c r="AA184" s="7">
        <f t="shared" si="10"/>
        <v>43.560000002000002</v>
      </c>
      <c r="AB184" t="s">
        <v>30</v>
      </c>
      <c r="AC184" t="str">
        <f t="shared" si="11"/>
        <v>Cash Not Over 200</v>
      </c>
    </row>
    <row r="185" spans="1:29" x14ac:dyDescent="0.25">
      <c r="A185">
        <v>44504</v>
      </c>
      <c r="B185" s="2">
        <v>42684</v>
      </c>
      <c r="C185">
        <v>4</v>
      </c>
      <c r="D185" s="2">
        <f t="shared" si="8"/>
        <v>42690</v>
      </c>
      <c r="E185">
        <v>1</v>
      </c>
      <c r="F185" t="s">
        <v>62</v>
      </c>
      <c r="G185" t="str">
        <f t="shared" si="9"/>
        <v>Other</v>
      </c>
      <c r="H185">
        <v>7</v>
      </c>
      <c r="I185">
        <v>8544</v>
      </c>
      <c r="J185">
        <v>2</v>
      </c>
      <c r="K185" t="s">
        <v>136</v>
      </c>
      <c r="L185" t="s">
        <v>25</v>
      </c>
      <c r="M185" t="s">
        <v>36</v>
      </c>
      <c r="N185" t="s">
        <v>36</v>
      </c>
      <c r="P185" t="s">
        <v>37</v>
      </c>
      <c r="Q185" t="s">
        <v>29</v>
      </c>
      <c r="R185">
        <v>7</v>
      </c>
      <c r="T185">
        <v>135</v>
      </c>
      <c r="U185" t="s">
        <v>1082</v>
      </c>
      <c r="V185" s="7">
        <v>22</v>
      </c>
      <c r="W185" s="7">
        <v>19.656208341820829</v>
      </c>
      <c r="X185">
        <v>3</v>
      </c>
      <c r="Y185" s="7">
        <v>0</v>
      </c>
      <c r="Z185" s="7">
        <v>66</v>
      </c>
      <c r="AA185" s="7">
        <f t="shared" si="10"/>
        <v>66</v>
      </c>
      <c r="AB185" t="s">
        <v>45</v>
      </c>
      <c r="AC185" t="str">
        <f t="shared" si="11"/>
        <v>Non-Cash Payments</v>
      </c>
    </row>
    <row r="186" spans="1:29" x14ac:dyDescent="0.25">
      <c r="A186">
        <v>44279</v>
      </c>
      <c r="B186" s="2">
        <v>42592</v>
      </c>
      <c r="C186">
        <v>4</v>
      </c>
      <c r="D186" s="2">
        <f t="shared" si="8"/>
        <v>42598</v>
      </c>
      <c r="E186">
        <v>1</v>
      </c>
      <c r="F186" t="s">
        <v>62</v>
      </c>
      <c r="G186" t="str">
        <f t="shared" si="9"/>
        <v>Other</v>
      </c>
      <c r="H186">
        <v>7</v>
      </c>
      <c r="I186">
        <v>11412</v>
      </c>
      <c r="J186">
        <v>2</v>
      </c>
      <c r="K186" t="s">
        <v>136</v>
      </c>
      <c r="L186" t="s">
        <v>25</v>
      </c>
      <c r="M186" t="s">
        <v>170</v>
      </c>
      <c r="N186" t="s">
        <v>170</v>
      </c>
      <c r="P186" t="s">
        <v>28</v>
      </c>
      <c r="Q186" t="s">
        <v>29</v>
      </c>
      <c r="R186">
        <v>7</v>
      </c>
      <c r="T186">
        <v>135</v>
      </c>
      <c r="U186" t="s">
        <v>1082</v>
      </c>
      <c r="V186" s="7">
        <v>22</v>
      </c>
      <c r="W186" s="7">
        <v>19.656208341820829</v>
      </c>
      <c r="X186">
        <v>4</v>
      </c>
      <c r="Y186" s="7">
        <v>14.079999920000001</v>
      </c>
      <c r="Z186" s="7">
        <v>88</v>
      </c>
      <c r="AA186" s="7">
        <f t="shared" si="10"/>
        <v>73.920000079999994</v>
      </c>
      <c r="AB186" t="s">
        <v>30</v>
      </c>
      <c r="AC186" t="str">
        <f t="shared" si="11"/>
        <v>Cash Not Over 200</v>
      </c>
    </row>
    <row r="187" spans="1:29" x14ac:dyDescent="0.25">
      <c r="A187">
        <v>42307</v>
      </c>
      <c r="B187" s="2">
        <v>42622</v>
      </c>
      <c r="C187">
        <v>4</v>
      </c>
      <c r="D187" s="2">
        <f t="shared" si="8"/>
        <v>42628</v>
      </c>
      <c r="E187">
        <v>0</v>
      </c>
      <c r="F187" t="s">
        <v>62</v>
      </c>
      <c r="G187" t="str">
        <f t="shared" si="9"/>
        <v>Other</v>
      </c>
      <c r="H187">
        <v>7</v>
      </c>
      <c r="I187">
        <v>10428</v>
      </c>
      <c r="J187">
        <v>2</v>
      </c>
      <c r="K187" t="s">
        <v>136</v>
      </c>
      <c r="L187" t="s">
        <v>25</v>
      </c>
      <c r="M187" t="s">
        <v>32</v>
      </c>
      <c r="N187" t="s">
        <v>32</v>
      </c>
      <c r="P187" t="s">
        <v>33</v>
      </c>
      <c r="Q187" t="s">
        <v>34</v>
      </c>
      <c r="R187">
        <v>7</v>
      </c>
      <c r="T187">
        <v>135</v>
      </c>
      <c r="U187" t="s">
        <v>1082</v>
      </c>
      <c r="V187" s="7">
        <v>22</v>
      </c>
      <c r="W187" s="7">
        <v>19.656208341820829</v>
      </c>
      <c r="X187">
        <v>3</v>
      </c>
      <c r="Y187" s="7">
        <v>1.980000019</v>
      </c>
      <c r="Z187" s="7">
        <v>66</v>
      </c>
      <c r="AA187" s="7">
        <f t="shared" si="10"/>
        <v>64.019999980999998</v>
      </c>
      <c r="AB187" t="s">
        <v>45</v>
      </c>
      <c r="AC187" t="str">
        <f t="shared" si="11"/>
        <v>Non-Cash Payments</v>
      </c>
    </row>
    <row r="188" spans="1:29" x14ac:dyDescent="0.25">
      <c r="A188">
        <v>42210</v>
      </c>
      <c r="B188" s="2">
        <v>42591</v>
      </c>
      <c r="C188">
        <v>4</v>
      </c>
      <c r="D188" s="2">
        <f t="shared" si="8"/>
        <v>42597</v>
      </c>
      <c r="E188">
        <v>1</v>
      </c>
      <c r="F188" t="s">
        <v>62</v>
      </c>
      <c r="G188" t="str">
        <f t="shared" si="9"/>
        <v>Other</v>
      </c>
      <c r="H188">
        <v>7</v>
      </c>
      <c r="I188">
        <v>8663</v>
      </c>
      <c r="J188">
        <v>2</v>
      </c>
      <c r="K188" t="s">
        <v>136</v>
      </c>
      <c r="L188" t="s">
        <v>25</v>
      </c>
      <c r="M188" t="s">
        <v>212</v>
      </c>
      <c r="N188" t="s">
        <v>213</v>
      </c>
      <c r="P188" t="s">
        <v>37</v>
      </c>
      <c r="Q188" t="s">
        <v>29</v>
      </c>
      <c r="R188">
        <v>7</v>
      </c>
      <c r="T188">
        <v>135</v>
      </c>
      <c r="U188" t="s">
        <v>1082</v>
      </c>
      <c r="V188" s="7">
        <v>22</v>
      </c>
      <c r="W188" s="7">
        <v>19.656208341820829</v>
      </c>
      <c r="X188">
        <v>2</v>
      </c>
      <c r="Y188" s="7">
        <v>0.87999999500000003</v>
      </c>
      <c r="Z188" s="7">
        <v>44</v>
      </c>
      <c r="AA188" s="7">
        <f t="shared" si="10"/>
        <v>43.120000005000001</v>
      </c>
      <c r="AB188" t="s">
        <v>30</v>
      </c>
      <c r="AC188" t="str">
        <f t="shared" si="11"/>
        <v>Cash Not Over 200</v>
      </c>
    </row>
    <row r="189" spans="1:29" x14ac:dyDescent="0.25">
      <c r="A189">
        <v>41735</v>
      </c>
      <c r="B189" s="2">
        <v>42378</v>
      </c>
      <c r="C189">
        <v>0</v>
      </c>
      <c r="D189" s="2">
        <f t="shared" si="8"/>
        <v>42378</v>
      </c>
      <c r="E189">
        <v>0</v>
      </c>
      <c r="F189" t="s">
        <v>214</v>
      </c>
      <c r="G189" t="str">
        <f t="shared" si="9"/>
        <v>Same Day - On Time</v>
      </c>
      <c r="H189">
        <v>7</v>
      </c>
      <c r="I189">
        <v>7114</v>
      </c>
      <c r="J189">
        <v>2</v>
      </c>
      <c r="K189" t="s">
        <v>136</v>
      </c>
      <c r="L189" t="s">
        <v>25</v>
      </c>
      <c r="M189" t="s">
        <v>215</v>
      </c>
      <c r="N189" t="s">
        <v>216</v>
      </c>
      <c r="P189" t="s">
        <v>68</v>
      </c>
      <c r="Q189" t="s">
        <v>41</v>
      </c>
      <c r="R189">
        <v>7</v>
      </c>
      <c r="T189">
        <v>135</v>
      </c>
      <c r="U189" t="s">
        <v>1082</v>
      </c>
      <c r="V189" s="7">
        <v>22</v>
      </c>
      <c r="W189" s="7">
        <v>19.656208341820829</v>
      </c>
      <c r="X189">
        <v>2</v>
      </c>
      <c r="Y189" s="7">
        <v>1.3200000519999999</v>
      </c>
      <c r="Z189" s="7">
        <v>44</v>
      </c>
      <c r="AA189" s="7">
        <f t="shared" si="10"/>
        <v>42.679999948000003</v>
      </c>
      <c r="AB189" t="s">
        <v>45</v>
      </c>
      <c r="AC189" t="str">
        <f t="shared" si="11"/>
        <v>Non-Cash Payments</v>
      </c>
    </row>
    <row r="190" spans="1:29" x14ac:dyDescent="0.25">
      <c r="A190">
        <v>41304</v>
      </c>
      <c r="B190" s="2">
        <v>42607</v>
      </c>
      <c r="C190">
        <v>2</v>
      </c>
      <c r="D190" s="2">
        <f t="shared" si="8"/>
        <v>42611</v>
      </c>
      <c r="E190">
        <v>1</v>
      </c>
      <c r="F190" t="s">
        <v>23</v>
      </c>
      <c r="G190" t="str">
        <f t="shared" si="9"/>
        <v>Other</v>
      </c>
      <c r="H190">
        <v>7</v>
      </c>
      <c r="I190">
        <v>9316</v>
      </c>
      <c r="J190">
        <v>2</v>
      </c>
      <c r="K190" t="s">
        <v>136</v>
      </c>
      <c r="L190" t="s">
        <v>25</v>
      </c>
      <c r="M190" t="s">
        <v>53</v>
      </c>
      <c r="N190" t="s">
        <v>54</v>
      </c>
      <c r="P190" t="s">
        <v>40</v>
      </c>
      <c r="Q190" t="s">
        <v>41</v>
      </c>
      <c r="R190">
        <v>7</v>
      </c>
      <c r="T190">
        <v>135</v>
      </c>
      <c r="U190" t="s">
        <v>1082</v>
      </c>
      <c r="V190" s="7">
        <v>22</v>
      </c>
      <c r="W190" s="7">
        <v>19.656208341820829</v>
      </c>
      <c r="X190">
        <v>4</v>
      </c>
      <c r="Y190" s="7">
        <v>15.84000015</v>
      </c>
      <c r="Z190" s="7">
        <v>88</v>
      </c>
      <c r="AA190" s="7">
        <f t="shared" si="10"/>
        <v>72.159999850000005</v>
      </c>
      <c r="AB190" t="s">
        <v>45</v>
      </c>
      <c r="AC190" t="str">
        <f t="shared" si="11"/>
        <v>Non-Cash Payments</v>
      </c>
    </row>
    <row r="191" spans="1:29" x14ac:dyDescent="0.25">
      <c r="A191">
        <v>51048</v>
      </c>
      <c r="B191" s="2">
        <v>42750</v>
      </c>
      <c r="C191">
        <v>4</v>
      </c>
      <c r="D191" s="2">
        <f t="shared" si="8"/>
        <v>42754</v>
      </c>
      <c r="E191">
        <v>0</v>
      </c>
      <c r="F191" t="s">
        <v>62</v>
      </c>
      <c r="G191" t="str">
        <f t="shared" si="9"/>
        <v>Other</v>
      </c>
      <c r="H191">
        <v>7</v>
      </c>
      <c r="I191">
        <v>5884</v>
      </c>
      <c r="J191">
        <v>2</v>
      </c>
      <c r="K191" t="s">
        <v>136</v>
      </c>
      <c r="L191" t="s">
        <v>25</v>
      </c>
      <c r="M191" t="s">
        <v>42</v>
      </c>
      <c r="N191" t="s">
        <v>43</v>
      </c>
      <c r="P191" t="s">
        <v>44</v>
      </c>
      <c r="Q191" t="s">
        <v>34</v>
      </c>
      <c r="R191">
        <v>7</v>
      </c>
      <c r="T191">
        <v>134</v>
      </c>
      <c r="U191" t="s">
        <v>1084</v>
      </c>
      <c r="V191" s="7">
        <v>25</v>
      </c>
      <c r="W191" s="7">
        <v>23.551858392987498</v>
      </c>
      <c r="X191">
        <v>1</v>
      </c>
      <c r="Y191" s="7">
        <v>0.75</v>
      </c>
      <c r="Z191" s="7">
        <v>25</v>
      </c>
      <c r="AA191" s="7">
        <f t="shared" si="10"/>
        <v>24.25</v>
      </c>
      <c r="AB191" t="s">
        <v>45</v>
      </c>
      <c r="AC191" t="str">
        <f t="shared" si="11"/>
        <v>Non-Cash Payments</v>
      </c>
    </row>
    <row r="192" spans="1:29" x14ac:dyDescent="0.25">
      <c r="A192">
        <v>50392</v>
      </c>
      <c r="B192" s="2">
        <v>42856</v>
      </c>
      <c r="C192">
        <v>4</v>
      </c>
      <c r="D192" s="2">
        <f t="shared" si="8"/>
        <v>42860</v>
      </c>
      <c r="E192">
        <v>0</v>
      </c>
      <c r="F192" t="s">
        <v>62</v>
      </c>
      <c r="G192" t="str">
        <f t="shared" si="9"/>
        <v>Other</v>
      </c>
      <c r="H192">
        <v>7</v>
      </c>
      <c r="I192">
        <v>4580</v>
      </c>
      <c r="J192">
        <v>2</v>
      </c>
      <c r="K192" t="s">
        <v>136</v>
      </c>
      <c r="L192" t="s">
        <v>25</v>
      </c>
      <c r="M192" t="s">
        <v>97</v>
      </c>
      <c r="N192" t="s">
        <v>98</v>
      </c>
      <c r="P192" t="s">
        <v>88</v>
      </c>
      <c r="Q192" t="s">
        <v>89</v>
      </c>
      <c r="R192">
        <v>7</v>
      </c>
      <c r="T192">
        <v>134</v>
      </c>
      <c r="U192" t="s">
        <v>1084</v>
      </c>
      <c r="V192" s="7">
        <v>25</v>
      </c>
      <c r="W192" s="7">
        <v>23.551858392987498</v>
      </c>
      <c r="X192">
        <v>5</v>
      </c>
      <c r="Y192" s="7">
        <v>6.25</v>
      </c>
      <c r="Z192" s="7">
        <v>125</v>
      </c>
      <c r="AA192" s="7">
        <f t="shared" si="10"/>
        <v>118.75</v>
      </c>
      <c r="AB192" t="s">
        <v>30</v>
      </c>
      <c r="AC192" t="str">
        <f t="shared" si="11"/>
        <v>Cash Not Over 200</v>
      </c>
    </row>
    <row r="193" spans="1:29" x14ac:dyDescent="0.25">
      <c r="A193">
        <v>50036</v>
      </c>
      <c r="B193" s="2">
        <v>42735</v>
      </c>
      <c r="C193">
        <v>4</v>
      </c>
      <c r="D193" s="2">
        <f t="shared" si="8"/>
        <v>42740</v>
      </c>
      <c r="E193">
        <v>0</v>
      </c>
      <c r="F193" t="s">
        <v>62</v>
      </c>
      <c r="G193" t="str">
        <f t="shared" si="9"/>
        <v>Other</v>
      </c>
      <c r="H193">
        <v>7</v>
      </c>
      <c r="I193">
        <v>11696</v>
      </c>
      <c r="J193">
        <v>2</v>
      </c>
      <c r="K193" t="s">
        <v>136</v>
      </c>
      <c r="L193" t="s">
        <v>25</v>
      </c>
      <c r="M193" t="s">
        <v>170</v>
      </c>
      <c r="N193" t="s">
        <v>170</v>
      </c>
      <c r="P193" t="s">
        <v>28</v>
      </c>
      <c r="Q193" t="s">
        <v>29</v>
      </c>
      <c r="R193">
        <v>7</v>
      </c>
      <c r="T193">
        <v>134</v>
      </c>
      <c r="U193" t="s">
        <v>1084</v>
      </c>
      <c r="V193" s="7">
        <v>25</v>
      </c>
      <c r="W193" s="7">
        <v>23.551858392987498</v>
      </c>
      <c r="X193">
        <v>1</v>
      </c>
      <c r="Y193" s="7">
        <v>1</v>
      </c>
      <c r="Z193" s="7">
        <v>25</v>
      </c>
      <c r="AA193" s="7">
        <f t="shared" si="10"/>
        <v>24</v>
      </c>
      <c r="AB193" t="s">
        <v>30</v>
      </c>
      <c r="AC193" t="str">
        <f t="shared" si="11"/>
        <v>Cash Not Over 200</v>
      </c>
    </row>
    <row r="194" spans="1:29" x14ac:dyDescent="0.25">
      <c r="A194">
        <v>49416</v>
      </c>
      <c r="B194" s="2">
        <v>42726</v>
      </c>
      <c r="C194">
        <v>1</v>
      </c>
      <c r="D194" s="2">
        <f t="shared" si="8"/>
        <v>42727</v>
      </c>
      <c r="E194">
        <v>1</v>
      </c>
      <c r="F194" t="s">
        <v>187</v>
      </c>
      <c r="G194" t="str">
        <f t="shared" si="9"/>
        <v>Other</v>
      </c>
      <c r="H194">
        <v>7</v>
      </c>
      <c r="I194">
        <v>7680</v>
      </c>
      <c r="J194">
        <v>2</v>
      </c>
      <c r="K194" t="s">
        <v>136</v>
      </c>
      <c r="L194" t="s">
        <v>25</v>
      </c>
      <c r="M194" t="s">
        <v>53</v>
      </c>
      <c r="N194" t="s">
        <v>54</v>
      </c>
      <c r="P194" t="s">
        <v>40</v>
      </c>
      <c r="Q194" t="s">
        <v>41</v>
      </c>
      <c r="R194">
        <v>7</v>
      </c>
      <c r="T194">
        <v>134</v>
      </c>
      <c r="U194" t="s">
        <v>1084</v>
      </c>
      <c r="V194" s="7">
        <v>25</v>
      </c>
      <c r="W194" s="7">
        <v>23.551858392987498</v>
      </c>
      <c r="X194">
        <v>4</v>
      </c>
      <c r="Y194" s="7">
        <v>5</v>
      </c>
      <c r="Z194" s="7">
        <v>100</v>
      </c>
      <c r="AA194" s="7">
        <f t="shared" si="10"/>
        <v>95</v>
      </c>
      <c r="AB194" t="s">
        <v>45</v>
      </c>
      <c r="AC194" t="str">
        <f t="shared" si="11"/>
        <v>Non-Cash Payments</v>
      </c>
    </row>
    <row r="195" spans="1:29" x14ac:dyDescent="0.25">
      <c r="A195">
        <v>48888</v>
      </c>
      <c r="B195" s="2">
        <v>42718</v>
      </c>
      <c r="C195">
        <v>4</v>
      </c>
      <c r="D195" s="2">
        <f t="shared" ref="D195:D258" si="12">WORKDAY(B195,C195)</f>
        <v>42724</v>
      </c>
      <c r="E195">
        <v>0</v>
      </c>
      <c r="F195" t="s">
        <v>62</v>
      </c>
      <c r="G195" t="str">
        <f t="shared" ref="G195:G258" si="13">IF(AND(E195=0,F195="Same Day"),"Same Day - On Time","Other")</f>
        <v>Other</v>
      </c>
      <c r="H195">
        <v>7</v>
      </c>
      <c r="I195">
        <v>9402</v>
      </c>
      <c r="J195">
        <v>2</v>
      </c>
      <c r="K195" t="s">
        <v>136</v>
      </c>
      <c r="L195" t="s">
        <v>25</v>
      </c>
      <c r="M195" t="s">
        <v>86</v>
      </c>
      <c r="N195" t="s">
        <v>87</v>
      </c>
      <c r="P195" t="s">
        <v>88</v>
      </c>
      <c r="Q195" t="s">
        <v>89</v>
      </c>
      <c r="R195">
        <v>7</v>
      </c>
      <c r="T195">
        <v>134</v>
      </c>
      <c r="U195" t="s">
        <v>1084</v>
      </c>
      <c r="V195" s="7">
        <v>25</v>
      </c>
      <c r="W195" s="7">
        <v>23.551858392987498</v>
      </c>
      <c r="X195">
        <v>1</v>
      </c>
      <c r="Y195" s="7">
        <v>1.75</v>
      </c>
      <c r="Z195" s="7">
        <v>25</v>
      </c>
      <c r="AA195" s="7">
        <f t="shared" ref="AA195:AA258" si="14">Z195-Y195</f>
        <v>23.25</v>
      </c>
      <c r="AB195" t="s">
        <v>30</v>
      </c>
      <c r="AC195" t="str">
        <f t="shared" ref="AC195:AC258" si="15">IF(AND(AA195&gt;200,AB195="CASH"),"Cash Over 200",IF(AB195="CASH","Cash Not Over 200","Non-Cash Payments"))</f>
        <v>Cash Not Over 200</v>
      </c>
    </row>
    <row r="196" spans="1:29" x14ac:dyDescent="0.25">
      <c r="A196">
        <v>48317</v>
      </c>
      <c r="B196" s="2">
        <v>42533</v>
      </c>
      <c r="C196">
        <v>2</v>
      </c>
      <c r="D196" s="2">
        <f t="shared" si="12"/>
        <v>42535</v>
      </c>
      <c r="E196">
        <v>1</v>
      </c>
      <c r="F196" t="s">
        <v>23</v>
      </c>
      <c r="G196" t="str">
        <f t="shared" si="13"/>
        <v>Other</v>
      </c>
      <c r="H196">
        <v>7</v>
      </c>
      <c r="I196">
        <v>10454</v>
      </c>
      <c r="J196">
        <v>2</v>
      </c>
      <c r="K196" t="s">
        <v>136</v>
      </c>
      <c r="L196" t="s">
        <v>25</v>
      </c>
      <c r="M196" t="s">
        <v>156</v>
      </c>
      <c r="N196" t="s">
        <v>156</v>
      </c>
      <c r="P196" t="s">
        <v>61</v>
      </c>
      <c r="Q196" t="s">
        <v>41</v>
      </c>
      <c r="R196">
        <v>7</v>
      </c>
      <c r="T196">
        <v>134</v>
      </c>
      <c r="U196" t="s">
        <v>1084</v>
      </c>
      <c r="V196" s="7">
        <v>25</v>
      </c>
      <c r="W196" s="7">
        <v>23.551858392987498</v>
      </c>
      <c r="X196">
        <v>3</v>
      </c>
      <c r="Y196" s="7">
        <v>4.1300001139999996</v>
      </c>
      <c r="Z196" s="7">
        <v>75</v>
      </c>
      <c r="AA196" s="7">
        <f t="shared" si="14"/>
        <v>70.869999886000002</v>
      </c>
      <c r="AB196" t="s">
        <v>45</v>
      </c>
      <c r="AC196" t="str">
        <f t="shared" si="15"/>
        <v>Non-Cash Payments</v>
      </c>
    </row>
    <row r="197" spans="1:29" x14ac:dyDescent="0.25">
      <c r="A197">
        <v>47783</v>
      </c>
      <c r="B197" s="2">
        <v>42702</v>
      </c>
      <c r="C197">
        <v>0</v>
      </c>
      <c r="D197" s="2">
        <f t="shared" si="12"/>
        <v>42702</v>
      </c>
      <c r="E197">
        <v>1</v>
      </c>
      <c r="F197" t="s">
        <v>214</v>
      </c>
      <c r="G197" t="str">
        <f t="shared" si="13"/>
        <v>Other</v>
      </c>
      <c r="H197">
        <v>7</v>
      </c>
      <c r="I197">
        <v>10794</v>
      </c>
      <c r="J197">
        <v>2</v>
      </c>
      <c r="K197" t="s">
        <v>136</v>
      </c>
      <c r="L197" t="s">
        <v>25</v>
      </c>
      <c r="M197" t="s">
        <v>49</v>
      </c>
      <c r="N197" t="s">
        <v>50</v>
      </c>
      <c r="P197" t="s">
        <v>51</v>
      </c>
      <c r="Q197" t="s">
        <v>52</v>
      </c>
      <c r="R197">
        <v>7</v>
      </c>
      <c r="T197">
        <v>134</v>
      </c>
      <c r="U197" t="s">
        <v>1084</v>
      </c>
      <c r="V197" s="7">
        <v>25</v>
      </c>
      <c r="W197" s="7">
        <v>23.551858392987498</v>
      </c>
      <c r="X197">
        <v>2</v>
      </c>
      <c r="Y197" s="7">
        <v>0</v>
      </c>
      <c r="Z197" s="7">
        <v>50</v>
      </c>
      <c r="AA197" s="7">
        <f t="shared" si="14"/>
        <v>50</v>
      </c>
      <c r="AB197" t="s">
        <v>30</v>
      </c>
      <c r="AC197" t="str">
        <f t="shared" si="15"/>
        <v>Cash Not Over 200</v>
      </c>
    </row>
    <row r="198" spans="1:29" x14ac:dyDescent="0.25">
      <c r="A198">
        <v>47734</v>
      </c>
      <c r="B198" s="2">
        <v>42701</v>
      </c>
      <c r="C198">
        <v>4</v>
      </c>
      <c r="D198" s="2">
        <f t="shared" si="12"/>
        <v>42705</v>
      </c>
      <c r="E198">
        <v>1</v>
      </c>
      <c r="F198" t="s">
        <v>62</v>
      </c>
      <c r="G198" t="str">
        <f t="shared" si="13"/>
        <v>Other</v>
      </c>
      <c r="H198">
        <v>7</v>
      </c>
      <c r="I198">
        <v>10173</v>
      </c>
      <c r="J198">
        <v>2</v>
      </c>
      <c r="K198" t="s">
        <v>136</v>
      </c>
      <c r="L198" t="s">
        <v>25</v>
      </c>
      <c r="M198" t="s">
        <v>217</v>
      </c>
      <c r="N198" t="s">
        <v>217</v>
      </c>
      <c r="P198" t="s">
        <v>100</v>
      </c>
      <c r="Q198" t="s">
        <v>52</v>
      </c>
      <c r="R198">
        <v>7</v>
      </c>
      <c r="T198">
        <v>134</v>
      </c>
      <c r="U198" t="s">
        <v>1084</v>
      </c>
      <c r="V198" s="7">
        <v>25</v>
      </c>
      <c r="W198" s="7">
        <v>23.551858392987498</v>
      </c>
      <c r="X198">
        <v>2</v>
      </c>
      <c r="Y198" s="7">
        <v>2</v>
      </c>
      <c r="Z198" s="7">
        <v>50</v>
      </c>
      <c r="AA198" s="7">
        <f t="shared" si="14"/>
        <v>48</v>
      </c>
      <c r="AB198" t="s">
        <v>45</v>
      </c>
      <c r="AC198" t="str">
        <f t="shared" si="15"/>
        <v>Non-Cash Payments</v>
      </c>
    </row>
    <row r="199" spans="1:29" x14ac:dyDescent="0.25">
      <c r="A199">
        <v>47253</v>
      </c>
      <c r="B199" s="2">
        <v>42694</v>
      </c>
      <c r="C199">
        <v>1</v>
      </c>
      <c r="D199" s="2">
        <f t="shared" si="12"/>
        <v>42695</v>
      </c>
      <c r="E199">
        <v>1</v>
      </c>
      <c r="F199" t="s">
        <v>187</v>
      </c>
      <c r="G199" t="str">
        <f t="shared" si="13"/>
        <v>Other</v>
      </c>
      <c r="H199">
        <v>7</v>
      </c>
      <c r="I199">
        <v>7302</v>
      </c>
      <c r="J199">
        <v>2</v>
      </c>
      <c r="K199" t="s">
        <v>136</v>
      </c>
      <c r="L199" t="s">
        <v>25</v>
      </c>
      <c r="M199" t="s">
        <v>218</v>
      </c>
      <c r="N199" t="s">
        <v>218</v>
      </c>
      <c r="P199" t="s">
        <v>219</v>
      </c>
      <c r="Q199" t="s">
        <v>41</v>
      </c>
      <c r="R199">
        <v>7</v>
      </c>
      <c r="T199">
        <v>134</v>
      </c>
      <c r="U199" t="s">
        <v>1084</v>
      </c>
      <c r="V199" s="7">
        <v>25</v>
      </c>
      <c r="W199" s="7">
        <v>23.551858392987498</v>
      </c>
      <c r="X199">
        <v>4</v>
      </c>
      <c r="Y199" s="7">
        <v>3</v>
      </c>
      <c r="Z199" s="7">
        <v>100</v>
      </c>
      <c r="AA199" s="7">
        <f t="shared" si="14"/>
        <v>97</v>
      </c>
      <c r="AB199" t="s">
        <v>30</v>
      </c>
      <c r="AC199" t="str">
        <f t="shared" si="15"/>
        <v>Cash Not Over 200</v>
      </c>
    </row>
    <row r="200" spans="1:29" x14ac:dyDescent="0.25">
      <c r="A200">
        <v>46701</v>
      </c>
      <c r="B200" s="2">
        <v>42715</v>
      </c>
      <c r="C200">
        <v>4</v>
      </c>
      <c r="D200" s="2">
        <f t="shared" si="12"/>
        <v>42719</v>
      </c>
      <c r="E200">
        <v>0</v>
      </c>
      <c r="F200" t="s">
        <v>62</v>
      </c>
      <c r="G200" t="str">
        <f t="shared" si="13"/>
        <v>Other</v>
      </c>
      <c r="H200">
        <v>7</v>
      </c>
      <c r="I200">
        <v>3144</v>
      </c>
      <c r="J200">
        <v>2</v>
      </c>
      <c r="K200" t="s">
        <v>136</v>
      </c>
      <c r="L200" t="s">
        <v>25</v>
      </c>
      <c r="M200" t="s">
        <v>118</v>
      </c>
      <c r="N200" t="s">
        <v>118</v>
      </c>
      <c r="P200" t="s">
        <v>44</v>
      </c>
      <c r="Q200" t="s">
        <v>34</v>
      </c>
      <c r="R200">
        <v>7</v>
      </c>
      <c r="T200">
        <v>134</v>
      </c>
      <c r="U200" t="s">
        <v>1084</v>
      </c>
      <c r="V200" s="7">
        <v>25</v>
      </c>
      <c r="W200" s="7">
        <v>23.551858392987498</v>
      </c>
      <c r="X200">
        <v>4</v>
      </c>
      <c r="Y200" s="7">
        <v>13</v>
      </c>
      <c r="Z200" s="7">
        <v>100</v>
      </c>
      <c r="AA200" s="7">
        <f t="shared" si="14"/>
        <v>87</v>
      </c>
      <c r="AB200" t="s">
        <v>66</v>
      </c>
      <c r="AC200" t="str">
        <f t="shared" si="15"/>
        <v>Non-Cash Payments</v>
      </c>
    </row>
    <row r="201" spans="1:29" x14ac:dyDescent="0.25">
      <c r="A201">
        <v>46307</v>
      </c>
      <c r="B201" s="2">
        <v>42532</v>
      </c>
      <c r="C201">
        <v>4</v>
      </c>
      <c r="D201" s="2">
        <f t="shared" si="12"/>
        <v>42537</v>
      </c>
      <c r="E201">
        <v>0</v>
      </c>
      <c r="F201" t="s">
        <v>62</v>
      </c>
      <c r="G201" t="str">
        <f t="shared" si="13"/>
        <v>Other</v>
      </c>
      <c r="H201">
        <v>7</v>
      </c>
      <c r="I201">
        <v>4098</v>
      </c>
      <c r="J201">
        <v>2</v>
      </c>
      <c r="K201" t="s">
        <v>136</v>
      </c>
      <c r="L201" t="s">
        <v>25</v>
      </c>
      <c r="M201" t="s">
        <v>114</v>
      </c>
      <c r="N201" t="s">
        <v>114</v>
      </c>
      <c r="P201" t="s">
        <v>33</v>
      </c>
      <c r="Q201" t="s">
        <v>34</v>
      </c>
      <c r="R201">
        <v>7</v>
      </c>
      <c r="T201">
        <v>134</v>
      </c>
      <c r="U201" t="s">
        <v>1084</v>
      </c>
      <c r="V201" s="7">
        <v>25</v>
      </c>
      <c r="W201" s="7">
        <v>23.551858392987498</v>
      </c>
      <c r="X201">
        <v>3</v>
      </c>
      <c r="Y201" s="7">
        <v>6.75</v>
      </c>
      <c r="Z201" s="7">
        <v>75</v>
      </c>
      <c r="AA201" s="7">
        <f t="shared" si="14"/>
        <v>68.25</v>
      </c>
      <c r="AB201" t="s">
        <v>66</v>
      </c>
      <c r="AC201" t="str">
        <f t="shared" si="15"/>
        <v>Non-Cash Payments</v>
      </c>
    </row>
    <row r="202" spans="1:29" x14ac:dyDescent="0.25">
      <c r="A202">
        <v>46041</v>
      </c>
      <c r="B202" s="2">
        <v>42440</v>
      </c>
      <c r="C202">
        <v>2</v>
      </c>
      <c r="D202" s="2">
        <f t="shared" si="12"/>
        <v>42444</v>
      </c>
      <c r="E202">
        <v>0</v>
      </c>
      <c r="F202" t="s">
        <v>23</v>
      </c>
      <c r="G202" t="str">
        <f t="shared" si="13"/>
        <v>Other</v>
      </c>
      <c r="H202">
        <v>7</v>
      </c>
      <c r="I202">
        <v>11667</v>
      </c>
      <c r="J202">
        <v>2</v>
      </c>
      <c r="K202" t="s">
        <v>136</v>
      </c>
      <c r="L202" t="s">
        <v>25</v>
      </c>
      <c r="M202" t="s">
        <v>79</v>
      </c>
      <c r="N202" t="s">
        <v>79</v>
      </c>
      <c r="P202" t="s">
        <v>61</v>
      </c>
      <c r="Q202" t="s">
        <v>41</v>
      </c>
      <c r="R202">
        <v>7</v>
      </c>
      <c r="T202">
        <v>134</v>
      </c>
      <c r="U202" t="s">
        <v>1084</v>
      </c>
      <c r="V202" s="7">
        <v>25</v>
      </c>
      <c r="W202" s="7">
        <v>23.551858392987498</v>
      </c>
      <c r="X202">
        <v>1</v>
      </c>
      <c r="Y202" s="7">
        <v>3.75</v>
      </c>
      <c r="Z202" s="7">
        <v>25</v>
      </c>
      <c r="AA202" s="7">
        <f t="shared" si="14"/>
        <v>21.25</v>
      </c>
      <c r="AB202" t="s">
        <v>30</v>
      </c>
      <c r="AC202" t="str">
        <f t="shared" si="15"/>
        <v>Cash Not Over 200</v>
      </c>
    </row>
    <row r="203" spans="1:29" x14ac:dyDescent="0.25">
      <c r="A203">
        <v>46495</v>
      </c>
      <c r="B203" s="2">
        <v>42624</v>
      </c>
      <c r="C203">
        <v>1</v>
      </c>
      <c r="D203" s="2">
        <f t="shared" si="12"/>
        <v>42625</v>
      </c>
      <c r="E203">
        <v>1</v>
      </c>
      <c r="F203" t="s">
        <v>187</v>
      </c>
      <c r="G203" t="str">
        <f t="shared" si="13"/>
        <v>Other</v>
      </c>
      <c r="H203">
        <v>9</v>
      </c>
      <c r="I203">
        <v>10610</v>
      </c>
      <c r="J203">
        <v>3</v>
      </c>
      <c r="K203" t="s">
        <v>24</v>
      </c>
      <c r="L203" t="s">
        <v>25</v>
      </c>
      <c r="M203" t="s">
        <v>139</v>
      </c>
      <c r="N203" t="s">
        <v>140</v>
      </c>
      <c r="P203" t="s">
        <v>88</v>
      </c>
      <c r="Q203" t="s">
        <v>89</v>
      </c>
      <c r="R203">
        <v>9</v>
      </c>
      <c r="T203">
        <v>191</v>
      </c>
      <c r="U203" t="s">
        <v>1044</v>
      </c>
      <c r="V203" s="7">
        <v>99.989997860000003</v>
      </c>
      <c r="W203" s="7">
        <v>95.114003926871064</v>
      </c>
      <c r="X203">
        <v>2</v>
      </c>
      <c r="Y203" s="7">
        <v>30</v>
      </c>
      <c r="Z203" s="7">
        <v>199.97999572000001</v>
      </c>
      <c r="AA203" s="7">
        <f t="shared" si="14"/>
        <v>169.97999572000001</v>
      </c>
      <c r="AB203" t="s">
        <v>30</v>
      </c>
      <c r="AC203" t="str">
        <f t="shared" si="15"/>
        <v>Cash Not Over 200</v>
      </c>
    </row>
    <row r="204" spans="1:29" x14ac:dyDescent="0.25">
      <c r="A204">
        <v>50668</v>
      </c>
      <c r="B204" s="2">
        <v>42979</v>
      </c>
      <c r="C204">
        <v>1</v>
      </c>
      <c r="D204" s="2">
        <f t="shared" si="12"/>
        <v>42982</v>
      </c>
      <c r="E204">
        <v>1</v>
      </c>
      <c r="F204" t="s">
        <v>187</v>
      </c>
      <c r="G204" t="str">
        <f t="shared" si="13"/>
        <v>Other</v>
      </c>
      <c r="H204">
        <v>17</v>
      </c>
      <c r="I204">
        <v>6448</v>
      </c>
      <c r="J204">
        <v>4</v>
      </c>
      <c r="K204" t="s">
        <v>46</v>
      </c>
      <c r="L204" t="s">
        <v>25</v>
      </c>
      <c r="M204" t="s">
        <v>220</v>
      </c>
      <c r="N204" t="s">
        <v>221</v>
      </c>
      <c r="P204" t="s">
        <v>28</v>
      </c>
      <c r="Q204" t="s">
        <v>29</v>
      </c>
      <c r="R204">
        <v>17</v>
      </c>
      <c r="T204">
        <v>365</v>
      </c>
      <c r="U204" t="s">
        <v>1054</v>
      </c>
      <c r="V204" s="7">
        <v>59.990001679999999</v>
      </c>
      <c r="W204" s="7">
        <v>54.488929209402009</v>
      </c>
      <c r="X204">
        <v>2</v>
      </c>
      <c r="Y204" s="7">
        <v>21.600000380000001</v>
      </c>
      <c r="Z204" s="7">
        <v>119.98000336</v>
      </c>
      <c r="AA204" s="7">
        <f t="shared" si="14"/>
        <v>98.38000298</v>
      </c>
      <c r="AB204" t="s">
        <v>30</v>
      </c>
      <c r="AC204" t="str">
        <f t="shared" si="15"/>
        <v>Cash Not Over 200</v>
      </c>
    </row>
    <row r="205" spans="1:29" x14ac:dyDescent="0.25">
      <c r="A205">
        <v>50668</v>
      </c>
      <c r="B205" s="2">
        <v>42979</v>
      </c>
      <c r="C205">
        <v>1</v>
      </c>
      <c r="D205" s="2">
        <f t="shared" si="12"/>
        <v>42982</v>
      </c>
      <c r="E205">
        <v>1</v>
      </c>
      <c r="F205" t="s">
        <v>187</v>
      </c>
      <c r="G205" t="str">
        <f t="shared" si="13"/>
        <v>Other</v>
      </c>
      <c r="H205">
        <v>24</v>
      </c>
      <c r="I205">
        <v>6448</v>
      </c>
      <c r="J205">
        <v>5</v>
      </c>
      <c r="K205" t="s">
        <v>31</v>
      </c>
      <c r="L205" t="s">
        <v>25</v>
      </c>
      <c r="M205" t="s">
        <v>220</v>
      </c>
      <c r="N205" t="s">
        <v>221</v>
      </c>
      <c r="P205" t="s">
        <v>28</v>
      </c>
      <c r="Q205" t="s">
        <v>29</v>
      </c>
      <c r="R205">
        <v>24</v>
      </c>
      <c r="T205">
        <v>502</v>
      </c>
      <c r="U205" t="s">
        <v>1058</v>
      </c>
      <c r="V205" s="7">
        <v>50</v>
      </c>
      <c r="W205" s="7">
        <v>43.678035218757444</v>
      </c>
      <c r="X205">
        <v>2</v>
      </c>
      <c r="Y205" s="7">
        <v>4</v>
      </c>
      <c r="Z205" s="7">
        <v>100</v>
      </c>
      <c r="AA205" s="7">
        <f t="shared" si="14"/>
        <v>96</v>
      </c>
      <c r="AB205" t="s">
        <v>30</v>
      </c>
      <c r="AC205" t="str">
        <f t="shared" si="15"/>
        <v>Cash Not Over 200</v>
      </c>
    </row>
    <row r="206" spans="1:29" x14ac:dyDescent="0.25">
      <c r="A206">
        <v>45319</v>
      </c>
      <c r="B206" s="2">
        <v>42666</v>
      </c>
      <c r="C206">
        <v>1</v>
      </c>
      <c r="D206" s="2">
        <f t="shared" si="12"/>
        <v>42667</v>
      </c>
      <c r="E206">
        <v>1</v>
      </c>
      <c r="F206" t="s">
        <v>187</v>
      </c>
      <c r="G206" t="str">
        <f t="shared" si="13"/>
        <v>Other</v>
      </c>
      <c r="H206">
        <v>24</v>
      </c>
      <c r="I206">
        <v>3298</v>
      </c>
      <c r="J206">
        <v>5</v>
      </c>
      <c r="K206" t="s">
        <v>31</v>
      </c>
      <c r="L206" t="s">
        <v>25</v>
      </c>
      <c r="M206" t="s">
        <v>222</v>
      </c>
      <c r="N206" t="s">
        <v>222</v>
      </c>
      <c r="P206" t="s">
        <v>28</v>
      </c>
      <c r="Q206" t="s">
        <v>29</v>
      </c>
      <c r="R206">
        <v>24</v>
      </c>
      <c r="T206">
        <v>502</v>
      </c>
      <c r="U206" t="s">
        <v>1058</v>
      </c>
      <c r="V206" s="7">
        <v>50</v>
      </c>
      <c r="W206" s="7">
        <v>43.678035218757444</v>
      </c>
      <c r="X206">
        <v>2</v>
      </c>
      <c r="Y206" s="7">
        <v>5</v>
      </c>
      <c r="Z206" s="7">
        <v>100</v>
      </c>
      <c r="AA206" s="7">
        <f t="shared" si="14"/>
        <v>95</v>
      </c>
      <c r="AB206" t="s">
        <v>30</v>
      </c>
      <c r="AC206" t="str">
        <f t="shared" si="15"/>
        <v>Cash Not Over 200</v>
      </c>
    </row>
    <row r="207" spans="1:29" x14ac:dyDescent="0.25">
      <c r="A207">
        <v>50236</v>
      </c>
      <c r="B207" s="2">
        <v>42795</v>
      </c>
      <c r="C207">
        <v>1</v>
      </c>
      <c r="D207" s="2">
        <f t="shared" si="12"/>
        <v>42796</v>
      </c>
      <c r="E207">
        <v>1</v>
      </c>
      <c r="F207" t="s">
        <v>187</v>
      </c>
      <c r="G207" t="str">
        <f t="shared" si="13"/>
        <v>Other</v>
      </c>
      <c r="H207">
        <v>13</v>
      </c>
      <c r="I207">
        <v>10046</v>
      </c>
      <c r="J207">
        <v>3</v>
      </c>
      <c r="K207" t="s">
        <v>24</v>
      </c>
      <c r="L207" t="s">
        <v>25</v>
      </c>
      <c r="M207" t="s">
        <v>188</v>
      </c>
      <c r="N207" t="s">
        <v>189</v>
      </c>
      <c r="P207" t="s">
        <v>61</v>
      </c>
      <c r="Q207" t="s">
        <v>41</v>
      </c>
      <c r="R207">
        <v>13</v>
      </c>
      <c r="T207">
        <v>282</v>
      </c>
      <c r="U207" t="s">
        <v>1085</v>
      </c>
      <c r="V207" s="7">
        <v>31.989999770000001</v>
      </c>
      <c r="W207" s="7">
        <v>27.763856872771434</v>
      </c>
      <c r="X207">
        <v>4</v>
      </c>
      <c r="Y207" s="7">
        <v>21.75</v>
      </c>
      <c r="Z207" s="7">
        <v>127.95999908</v>
      </c>
      <c r="AA207" s="7">
        <f t="shared" si="14"/>
        <v>106.20999908</v>
      </c>
      <c r="AB207" t="s">
        <v>30</v>
      </c>
      <c r="AC207" t="str">
        <f t="shared" si="15"/>
        <v>Cash Not Over 200</v>
      </c>
    </row>
    <row r="208" spans="1:29" x14ac:dyDescent="0.25">
      <c r="A208">
        <v>48164</v>
      </c>
      <c r="B208" s="2">
        <v>42472</v>
      </c>
      <c r="C208">
        <v>1</v>
      </c>
      <c r="D208" s="2">
        <f t="shared" si="12"/>
        <v>42473</v>
      </c>
      <c r="E208">
        <v>1</v>
      </c>
      <c r="F208" t="s">
        <v>187</v>
      </c>
      <c r="G208" t="str">
        <f t="shared" si="13"/>
        <v>Other</v>
      </c>
      <c r="H208">
        <v>29</v>
      </c>
      <c r="I208">
        <v>2911</v>
      </c>
      <c r="J208">
        <v>5</v>
      </c>
      <c r="K208" t="s">
        <v>31</v>
      </c>
      <c r="L208" t="s">
        <v>25</v>
      </c>
      <c r="M208" t="s">
        <v>36</v>
      </c>
      <c r="N208" t="s">
        <v>36</v>
      </c>
      <c r="P208" t="s">
        <v>37</v>
      </c>
      <c r="Q208" t="s">
        <v>29</v>
      </c>
      <c r="R208">
        <v>29</v>
      </c>
      <c r="T208">
        <v>627</v>
      </c>
      <c r="U208" t="s">
        <v>1046</v>
      </c>
      <c r="V208" s="7">
        <v>39.990001679999999</v>
      </c>
      <c r="W208" s="7">
        <v>34.198098313835338</v>
      </c>
      <c r="X208">
        <v>4</v>
      </c>
      <c r="Y208" s="7">
        <v>11.19999981</v>
      </c>
      <c r="Z208" s="7">
        <v>159.96000672</v>
      </c>
      <c r="AA208" s="7">
        <f t="shared" si="14"/>
        <v>148.76000690999999</v>
      </c>
      <c r="AB208" t="s">
        <v>30</v>
      </c>
      <c r="AC208" t="str">
        <f t="shared" si="15"/>
        <v>Cash Not Over 200</v>
      </c>
    </row>
    <row r="209" spans="1:29" x14ac:dyDescent="0.25">
      <c r="A209">
        <v>50668</v>
      </c>
      <c r="B209" s="2">
        <v>42979</v>
      </c>
      <c r="C209">
        <v>1</v>
      </c>
      <c r="D209" s="2">
        <f t="shared" si="12"/>
        <v>42982</v>
      </c>
      <c r="E209">
        <v>1</v>
      </c>
      <c r="F209" t="s">
        <v>187</v>
      </c>
      <c r="G209" t="str">
        <f t="shared" si="13"/>
        <v>Other</v>
      </c>
      <c r="H209">
        <v>24</v>
      </c>
      <c r="I209">
        <v>6448</v>
      </c>
      <c r="J209">
        <v>5</v>
      </c>
      <c r="K209" t="s">
        <v>31</v>
      </c>
      <c r="L209" t="s">
        <v>25</v>
      </c>
      <c r="M209" t="s">
        <v>220</v>
      </c>
      <c r="N209" t="s">
        <v>221</v>
      </c>
      <c r="P209" t="s">
        <v>28</v>
      </c>
      <c r="Q209" t="s">
        <v>29</v>
      </c>
      <c r="R209">
        <v>24</v>
      </c>
      <c r="T209">
        <v>502</v>
      </c>
      <c r="U209" t="s">
        <v>1058</v>
      </c>
      <c r="V209" s="7">
        <v>50</v>
      </c>
      <c r="W209" s="7">
        <v>43.678035218757444</v>
      </c>
      <c r="X209">
        <v>4</v>
      </c>
      <c r="Y209" s="7">
        <v>40</v>
      </c>
      <c r="Z209" s="7">
        <v>200</v>
      </c>
      <c r="AA209" s="7">
        <f t="shared" si="14"/>
        <v>160</v>
      </c>
      <c r="AB209" t="s">
        <v>30</v>
      </c>
      <c r="AC209" t="str">
        <f t="shared" si="15"/>
        <v>Cash Not Over 200</v>
      </c>
    </row>
    <row r="210" spans="1:29" x14ac:dyDescent="0.25">
      <c r="A210">
        <v>46461</v>
      </c>
      <c r="B210" s="2">
        <v>42624</v>
      </c>
      <c r="C210">
        <v>1</v>
      </c>
      <c r="D210" s="2">
        <f t="shared" si="12"/>
        <v>42625</v>
      </c>
      <c r="E210">
        <v>1</v>
      </c>
      <c r="F210" t="s">
        <v>187</v>
      </c>
      <c r="G210" t="str">
        <f t="shared" si="13"/>
        <v>Other</v>
      </c>
      <c r="H210">
        <v>24</v>
      </c>
      <c r="I210">
        <v>6742</v>
      </c>
      <c r="J210">
        <v>5</v>
      </c>
      <c r="K210" t="s">
        <v>31</v>
      </c>
      <c r="L210" t="s">
        <v>25</v>
      </c>
      <c r="M210" t="s">
        <v>92</v>
      </c>
      <c r="N210" t="s">
        <v>81</v>
      </c>
      <c r="P210" t="s">
        <v>48</v>
      </c>
      <c r="Q210" t="s">
        <v>41</v>
      </c>
      <c r="R210">
        <v>24</v>
      </c>
      <c r="T210">
        <v>502</v>
      </c>
      <c r="U210" t="s">
        <v>1058</v>
      </c>
      <c r="V210" s="7">
        <v>50</v>
      </c>
      <c r="W210" s="7">
        <v>43.678035218757444</v>
      </c>
      <c r="X210">
        <v>5</v>
      </c>
      <c r="Y210" s="7">
        <v>17.5</v>
      </c>
      <c r="Z210" s="7">
        <v>250</v>
      </c>
      <c r="AA210" s="7">
        <f t="shared" si="14"/>
        <v>232.5</v>
      </c>
      <c r="AB210" t="s">
        <v>30</v>
      </c>
      <c r="AC210" t="str">
        <f t="shared" si="15"/>
        <v>Cash Over 200</v>
      </c>
    </row>
    <row r="211" spans="1:29" x14ac:dyDescent="0.25">
      <c r="A211">
        <v>48164</v>
      </c>
      <c r="B211" s="2">
        <v>42472</v>
      </c>
      <c r="C211">
        <v>1</v>
      </c>
      <c r="D211" s="2">
        <f t="shared" si="12"/>
        <v>42473</v>
      </c>
      <c r="E211">
        <v>1</v>
      </c>
      <c r="F211" t="s">
        <v>187</v>
      </c>
      <c r="G211" t="str">
        <f t="shared" si="13"/>
        <v>Other</v>
      </c>
      <c r="H211">
        <v>29</v>
      </c>
      <c r="I211">
        <v>2911</v>
      </c>
      <c r="J211">
        <v>5</v>
      </c>
      <c r="K211" t="s">
        <v>31</v>
      </c>
      <c r="L211" t="s">
        <v>25</v>
      </c>
      <c r="M211" t="s">
        <v>36</v>
      </c>
      <c r="N211" t="s">
        <v>36</v>
      </c>
      <c r="P211" t="s">
        <v>37</v>
      </c>
      <c r="Q211" t="s">
        <v>29</v>
      </c>
      <c r="R211">
        <v>29</v>
      </c>
      <c r="T211">
        <v>627</v>
      </c>
      <c r="U211" t="s">
        <v>1046</v>
      </c>
      <c r="V211" s="7">
        <v>39.990001679999999</v>
      </c>
      <c r="W211" s="7">
        <v>34.198098313835338</v>
      </c>
      <c r="X211">
        <v>5</v>
      </c>
      <c r="Y211" s="7">
        <v>31.989999770000001</v>
      </c>
      <c r="Z211" s="7">
        <v>199.9500084</v>
      </c>
      <c r="AA211" s="7">
        <f t="shared" si="14"/>
        <v>167.96000863</v>
      </c>
      <c r="AB211" t="s">
        <v>30</v>
      </c>
      <c r="AC211" t="str">
        <f t="shared" si="15"/>
        <v>Cash Not Over 200</v>
      </c>
    </row>
    <row r="212" spans="1:29" x14ac:dyDescent="0.25">
      <c r="A212">
        <v>50668</v>
      </c>
      <c r="B212" s="2">
        <v>42979</v>
      </c>
      <c r="C212">
        <v>1</v>
      </c>
      <c r="D212" s="2">
        <f t="shared" si="12"/>
        <v>42982</v>
      </c>
      <c r="E212">
        <v>1</v>
      </c>
      <c r="F212" t="s">
        <v>187</v>
      </c>
      <c r="G212" t="str">
        <f t="shared" si="13"/>
        <v>Other</v>
      </c>
      <c r="H212">
        <v>24</v>
      </c>
      <c r="I212">
        <v>6448</v>
      </c>
      <c r="J212">
        <v>5</v>
      </c>
      <c r="K212" t="s">
        <v>31</v>
      </c>
      <c r="L212" t="s">
        <v>25</v>
      </c>
      <c r="M212" t="s">
        <v>220</v>
      </c>
      <c r="N212" t="s">
        <v>221</v>
      </c>
      <c r="P212" t="s">
        <v>28</v>
      </c>
      <c r="Q212" t="s">
        <v>29</v>
      </c>
      <c r="R212">
        <v>24</v>
      </c>
      <c r="T212">
        <v>502</v>
      </c>
      <c r="U212" t="s">
        <v>1058</v>
      </c>
      <c r="V212" s="7">
        <v>50</v>
      </c>
      <c r="W212" s="7">
        <v>43.678035218757444</v>
      </c>
      <c r="X212">
        <v>5</v>
      </c>
      <c r="Y212" s="7">
        <v>50</v>
      </c>
      <c r="Z212" s="7">
        <v>250</v>
      </c>
      <c r="AA212" s="7">
        <f t="shared" si="14"/>
        <v>200</v>
      </c>
      <c r="AB212" t="s">
        <v>30</v>
      </c>
      <c r="AC212" t="str">
        <f t="shared" si="15"/>
        <v>Cash Not Over 200</v>
      </c>
    </row>
    <row r="213" spans="1:29" x14ac:dyDescent="0.25">
      <c r="A213">
        <v>45738</v>
      </c>
      <c r="B213" s="2">
        <v>42672</v>
      </c>
      <c r="C213">
        <v>0</v>
      </c>
      <c r="D213" s="2">
        <f t="shared" si="12"/>
        <v>42672</v>
      </c>
      <c r="E213">
        <v>1</v>
      </c>
      <c r="F213" t="s">
        <v>214</v>
      </c>
      <c r="G213" t="str">
        <f t="shared" si="13"/>
        <v>Other</v>
      </c>
      <c r="H213">
        <v>12</v>
      </c>
      <c r="I213">
        <v>9909</v>
      </c>
      <c r="J213">
        <v>3</v>
      </c>
      <c r="K213" t="s">
        <v>24</v>
      </c>
      <c r="L213" t="s">
        <v>25</v>
      </c>
      <c r="M213" t="s">
        <v>217</v>
      </c>
      <c r="N213" t="s">
        <v>217</v>
      </c>
      <c r="P213" t="s">
        <v>100</v>
      </c>
      <c r="Q213" t="s">
        <v>52</v>
      </c>
      <c r="R213">
        <v>12</v>
      </c>
      <c r="T213">
        <v>249</v>
      </c>
      <c r="U213" t="s">
        <v>1086</v>
      </c>
      <c r="V213" s="7">
        <v>54.97000122</v>
      </c>
      <c r="W213" s="7">
        <v>38.635001181666667</v>
      </c>
      <c r="X213">
        <v>2</v>
      </c>
      <c r="Y213" s="7">
        <v>6.0500001909999996</v>
      </c>
      <c r="Z213" s="7">
        <v>109.94000244</v>
      </c>
      <c r="AA213" s="7">
        <f t="shared" si="14"/>
        <v>103.89000224900001</v>
      </c>
      <c r="AB213" t="s">
        <v>30</v>
      </c>
      <c r="AC213" t="str">
        <f t="shared" si="15"/>
        <v>Cash Not Over 200</v>
      </c>
    </row>
    <row r="214" spans="1:29" x14ac:dyDescent="0.25">
      <c r="A214">
        <v>45738</v>
      </c>
      <c r="B214" s="2">
        <v>42672</v>
      </c>
      <c r="C214">
        <v>0</v>
      </c>
      <c r="D214" s="2">
        <f t="shared" si="12"/>
        <v>42672</v>
      </c>
      <c r="E214">
        <v>1</v>
      </c>
      <c r="F214" t="s">
        <v>214</v>
      </c>
      <c r="G214" t="str">
        <f t="shared" si="13"/>
        <v>Other</v>
      </c>
      <c r="H214">
        <v>17</v>
      </c>
      <c r="I214">
        <v>9909</v>
      </c>
      <c r="J214">
        <v>4</v>
      </c>
      <c r="K214" t="s">
        <v>46</v>
      </c>
      <c r="L214" t="s">
        <v>25</v>
      </c>
      <c r="M214" t="s">
        <v>217</v>
      </c>
      <c r="N214" t="s">
        <v>217</v>
      </c>
      <c r="P214" t="s">
        <v>100</v>
      </c>
      <c r="Q214" t="s">
        <v>52</v>
      </c>
      <c r="R214">
        <v>17</v>
      </c>
      <c r="T214">
        <v>365</v>
      </c>
      <c r="U214" t="s">
        <v>1054</v>
      </c>
      <c r="V214" s="7">
        <v>59.990001679999999</v>
      </c>
      <c r="W214" s="7">
        <v>54.488929209402009</v>
      </c>
      <c r="X214">
        <v>5</v>
      </c>
      <c r="Y214" s="7">
        <v>21</v>
      </c>
      <c r="Z214" s="7">
        <v>299.9500084</v>
      </c>
      <c r="AA214" s="7">
        <f t="shared" si="14"/>
        <v>278.9500084</v>
      </c>
      <c r="AB214" t="s">
        <v>30</v>
      </c>
      <c r="AC214" t="str">
        <f t="shared" si="15"/>
        <v>Cash Over 200</v>
      </c>
    </row>
    <row r="215" spans="1:29" x14ac:dyDescent="0.25">
      <c r="A215">
        <v>44854</v>
      </c>
      <c r="B215" s="2">
        <v>42659</v>
      </c>
      <c r="C215">
        <v>2</v>
      </c>
      <c r="D215" s="2">
        <f t="shared" si="12"/>
        <v>42661</v>
      </c>
      <c r="E215">
        <v>1</v>
      </c>
      <c r="F215" t="s">
        <v>23</v>
      </c>
      <c r="G215" t="str">
        <f t="shared" si="13"/>
        <v>Other</v>
      </c>
      <c r="H215">
        <v>3</v>
      </c>
      <c r="I215">
        <v>3731</v>
      </c>
      <c r="J215">
        <v>2</v>
      </c>
      <c r="K215" t="s">
        <v>136</v>
      </c>
      <c r="L215" t="s">
        <v>25</v>
      </c>
      <c r="M215" t="s">
        <v>188</v>
      </c>
      <c r="N215" t="s">
        <v>189</v>
      </c>
      <c r="P215" t="s">
        <v>61</v>
      </c>
      <c r="Q215" t="s">
        <v>41</v>
      </c>
      <c r="R215">
        <v>3</v>
      </c>
      <c r="T215">
        <v>44</v>
      </c>
      <c r="U215" t="s">
        <v>1088</v>
      </c>
      <c r="V215" s="7">
        <v>59.990001679999999</v>
      </c>
      <c r="W215" s="7">
        <v>57.194418487916671</v>
      </c>
      <c r="X215">
        <v>1</v>
      </c>
      <c r="Y215" s="7">
        <v>15</v>
      </c>
      <c r="Z215" s="7">
        <v>59.990001679999999</v>
      </c>
      <c r="AA215" s="7">
        <f t="shared" si="14"/>
        <v>44.990001679999999</v>
      </c>
      <c r="AB215" t="s">
        <v>30</v>
      </c>
      <c r="AC215" t="str">
        <f t="shared" si="15"/>
        <v>Cash Not Over 200</v>
      </c>
    </row>
    <row r="216" spans="1:29" x14ac:dyDescent="0.25">
      <c r="A216">
        <v>50812</v>
      </c>
      <c r="B216" s="2">
        <v>43040</v>
      </c>
      <c r="C216">
        <v>2</v>
      </c>
      <c r="D216" s="2">
        <f t="shared" si="12"/>
        <v>43042</v>
      </c>
      <c r="E216">
        <v>1</v>
      </c>
      <c r="F216" t="s">
        <v>23</v>
      </c>
      <c r="G216" t="str">
        <f t="shared" si="13"/>
        <v>Other</v>
      </c>
      <c r="H216">
        <v>18</v>
      </c>
      <c r="I216">
        <v>2205</v>
      </c>
      <c r="J216">
        <v>4</v>
      </c>
      <c r="K216" t="s">
        <v>46</v>
      </c>
      <c r="L216" t="s">
        <v>25</v>
      </c>
      <c r="M216" t="s">
        <v>129</v>
      </c>
      <c r="N216" t="s">
        <v>130</v>
      </c>
      <c r="P216" t="s">
        <v>131</v>
      </c>
      <c r="Q216" t="s">
        <v>29</v>
      </c>
      <c r="R216">
        <v>18</v>
      </c>
      <c r="T216">
        <v>403</v>
      </c>
      <c r="U216" t="s">
        <v>1052</v>
      </c>
      <c r="V216" s="7">
        <v>129.9900055</v>
      </c>
      <c r="W216" s="7">
        <v>110.80340837177086</v>
      </c>
      <c r="X216">
        <v>1</v>
      </c>
      <c r="Y216" s="7">
        <v>3.9000000950000002</v>
      </c>
      <c r="Z216" s="7">
        <v>129.9900055</v>
      </c>
      <c r="AA216" s="7">
        <f t="shared" si="14"/>
        <v>126.090005405</v>
      </c>
      <c r="AB216" t="s">
        <v>30</v>
      </c>
      <c r="AC216" t="str">
        <f t="shared" si="15"/>
        <v>Cash Not Over 200</v>
      </c>
    </row>
    <row r="217" spans="1:29" x14ac:dyDescent="0.25">
      <c r="A217">
        <v>42789</v>
      </c>
      <c r="B217" s="2">
        <v>42629</v>
      </c>
      <c r="C217">
        <v>2</v>
      </c>
      <c r="D217" s="2">
        <f t="shared" si="12"/>
        <v>42633</v>
      </c>
      <c r="E217">
        <v>1</v>
      </c>
      <c r="F217" t="s">
        <v>23</v>
      </c>
      <c r="G217" t="str">
        <f t="shared" si="13"/>
        <v>Other</v>
      </c>
      <c r="H217">
        <v>18</v>
      </c>
      <c r="I217">
        <v>2773</v>
      </c>
      <c r="J217">
        <v>4</v>
      </c>
      <c r="K217" t="s">
        <v>46</v>
      </c>
      <c r="L217" t="s">
        <v>25</v>
      </c>
      <c r="M217" t="s">
        <v>211</v>
      </c>
      <c r="N217" t="s">
        <v>85</v>
      </c>
      <c r="P217" t="s">
        <v>40</v>
      </c>
      <c r="Q217" t="s">
        <v>41</v>
      </c>
      <c r="R217">
        <v>18</v>
      </c>
      <c r="T217">
        <v>403</v>
      </c>
      <c r="U217" t="s">
        <v>1052</v>
      </c>
      <c r="V217" s="7">
        <v>129.9900055</v>
      </c>
      <c r="W217" s="7">
        <v>110.80340837177086</v>
      </c>
      <c r="X217">
        <v>1</v>
      </c>
      <c r="Y217" s="7">
        <v>20.799999239999998</v>
      </c>
      <c r="Z217" s="7">
        <v>129.9900055</v>
      </c>
      <c r="AA217" s="7">
        <f t="shared" si="14"/>
        <v>109.19000625999999</v>
      </c>
      <c r="AB217" t="s">
        <v>30</v>
      </c>
      <c r="AC217" t="str">
        <f t="shared" si="15"/>
        <v>Cash Not Over 200</v>
      </c>
    </row>
    <row r="218" spans="1:29" x14ac:dyDescent="0.25">
      <c r="A218">
        <v>44143</v>
      </c>
      <c r="B218" s="2">
        <v>42531</v>
      </c>
      <c r="C218">
        <v>2</v>
      </c>
      <c r="D218" s="2">
        <f t="shared" si="12"/>
        <v>42535</v>
      </c>
      <c r="E218">
        <v>1</v>
      </c>
      <c r="F218" t="s">
        <v>23</v>
      </c>
      <c r="G218" t="str">
        <f t="shared" si="13"/>
        <v>Other</v>
      </c>
      <c r="H218">
        <v>18</v>
      </c>
      <c r="I218">
        <v>8766</v>
      </c>
      <c r="J218">
        <v>4</v>
      </c>
      <c r="K218" t="s">
        <v>46</v>
      </c>
      <c r="L218" t="s">
        <v>25</v>
      </c>
      <c r="M218" t="s">
        <v>223</v>
      </c>
      <c r="N218" t="s">
        <v>223</v>
      </c>
      <c r="P218" t="s">
        <v>193</v>
      </c>
      <c r="Q218" t="s">
        <v>52</v>
      </c>
      <c r="R218">
        <v>18</v>
      </c>
      <c r="T218">
        <v>403</v>
      </c>
      <c r="U218" t="s">
        <v>1052</v>
      </c>
      <c r="V218" s="7">
        <v>129.9900055</v>
      </c>
      <c r="W218" s="7">
        <v>110.80340837177086</v>
      </c>
      <c r="X218">
        <v>1</v>
      </c>
      <c r="Y218" s="7">
        <v>32.5</v>
      </c>
      <c r="Z218" s="7">
        <v>129.9900055</v>
      </c>
      <c r="AA218" s="7">
        <f t="shared" si="14"/>
        <v>97.490005499999995</v>
      </c>
      <c r="AB218" t="s">
        <v>30</v>
      </c>
      <c r="AC218" t="str">
        <f t="shared" si="15"/>
        <v>Cash Not Over 200</v>
      </c>
    </row>
    <row r="219" spans="1:29" x14ac:dyDescent="0.25">
      <c r="A219">
        <v>50812</v>
      </c>
      <c r="B219" s="2">
        <v>43040</v>
      </c>
      <c r="C219">
        <v>2</v>
      </c>
      <c r="D219" s="2">
        <f t="shared" si="12"/>
        <v>43042</v>
      </c>
      <c r="E219">
        <v>1</v>
      </c>
      <c r="F219" t="s">
        <v>23</v>
      </c>
      <c r="G219" t="str">
        <f t="shared" si="13"/>
        <v>Other</v>
      </c>
      <c r="H219">
        <v>43</v>
      </c>
      <c r="I219">
        <v>2205</v>
      </c>
      <c r="J219">
        <v>7</v>
      </c>
      <c r="K219" t="s">
        <v>58</v>
      </c>
      <c r="L219" t="s">
        <v>25</v>
      </c>
      <c r="M219" t="s">
        <v>129</v>
      </c>
      <c r="N219" t="s">
        <v>130</v>
      </c>
      <c r="P219" t="s">
        <v>131</v>
      </c>
      <c r="Q219" t="s">
        <v>29</v>
      </c>
      <c r="R219">
        <v>43</v>
      </c>
      <c r="T219">
        <v>957</v>
      </c>
      <c r="U219" t="s">
        <v>1056</v>
      </c>
      <c r="V219" s="7">
        <v>299.98001099999999</v>
      </c>
      <c r="W219" s="7">
        <v>295.0300103351052</v>
      </c>
      <c r="X219">
        <v>1</v>
      </c>
      <c r="Y219" s="7">
        <v>15</v>
      </c>
      <c r="Z219" s="7">
        <v>299.98001099999999</v>
      </c>
      <c r="AA219" s="7">
        <f t="shared" si="14"/>
        <v>284.98001099999999</v>
      </c>
      <c r="AB219" t="s">
        <v>30</v>
      </c>
      <c r="AC219" t="str">
        <f t="shared" si="15"/>
        <v>Cash Over 200</v>
      </c>
    </row>
    <row r="220" spans="1:29" x14ac:dyDescent="0.25">
      <c r="A220">
        <v>50812</v>
      </c>
      <c r="B220" s="2">
        <v>43040</v>
      </c>
      <c r="C220">
        <v>2</v>
      </c>
      <c r="D220" s="2">
        <f t="shared" si="12"/>
        <v>43042</v>
      </c>
      <c r="E220">
        <v>1</v>
      </c>
      <c r="F220" t="s">
        <v>23</v>
      </c>
      <c r="G220" t="str">
        <f t="shared" si="13"/>
        <v>Other</v>
      </c>
      <c r="H220">
        <v>43</v>
      </c>
      <c r="I220">
        <v>2205</v>
      </c>
      <c r="J220">
        <v>7</v>
      </c>
      <c r="K220" t="s">
        <v>58</v>
      </c>
      <c r="L220" t="s">
        <v>25</v>
      </c>
      <c r="M220" t="s">
        <v>129</v>
      </c>
      <c r="N220" t="s">
        <v>130</v>
      </c>
      <c r="P220" t="s">
        <v>131</v>
      </c>
      <c r="Q220" t="s">
        <v>29</v>
      </c>
      <c r="R220">
        <v>43</v>
      </c>
      <c r="T220">
        <v>957</v>
      </c>
      <c r="U220" t="s">
        <v>1056</v>
      </c>
      <c r="V220" s="7">
        <v>299.98001099999999</v>
      </c>
      <c r="W220" s="7">
        <v>295.0300103351052</v>
      </c>
      <c r="X220">
        <v>1</v>
      </c>
      <c r="Y220" s="7">
        <v>16.5</v>
      </c>
      <c r="Z220" s="7">
        <v>299.98001099999999</v>
      </c>
      <c r="AA220" s="7">
        <f t="shared" si="14"/>
        <v>283.48001099999999</v>
      </c>
      <c r="AB220" t="s">
        <v>30</v>
      </c>
      <c r="AC220" t="str">
        <f t="shared" si="15"/>
        <v>Cash Over 200</v>
      </c>
    </row>
    <row r="221" spans="1:29" x14ac:dyDescent="0.25">
      <c r="A221">
        <v>48365</v>
      </c>
      <c r="B221" s="2">
        <v>42563</v>
      </c>
      <c r="C221">
        <v>2</v>
      </c>
      <c r="D221" s="2">
        <f t="shared" si="12"/>
        <v>42565</v>
      </c>
      <c r="E221">
        <v>1</v>
      </c>
      <c r="F221" t="s">
        <v>23</v>
      </c>
      <c r="G221" t="str">
        <f t="shared" si="13"/>
        <v>Other</v>
      </c>
      <c r="H221">
        <v>43</v>
      </c>
      <c r="I221">
        <v>10948</v>
      </c>
      <c r="J221">
        <v>7</v>
      </c>
      <c r="K221" t="s">
        <v>58</v>
      </c>
      <c r="L221" t="s">
        <v>25</v>
      </c>
      <c r="M221" t="s">
        <v>224</v>
      </c>
      <c r="N221" t="s">
        <v>224</v>
      </c>
      <c r="P221" t="s">
        <v>44</v>
      </c>
      <c r="Q221" t="s">
        <v>34</v>
      </c>
      <c r="R221">
        <v>43</v>
      </c>
      <c r="T221">
        <v>957</v>
      </c>
      <c r="U221" t="s">
        <v>1056</v>
      </c>
      <c r="V221" s="7">
        <v>299.98001099999999</v>
      </c>
      <c r="W221" s="7">
        <v>295.0300103351052</v>
      </c>
      <c r="X221">
        <v>1</v>
      </c>
      <c r="Y221" s="7">
        <v>45</v>
      </c>
      <c r="Z221" s="7">
        <v>299.98001099999999</v>
      </c>
      <c r="AA221" s="7">
        <f t="shared" si="14"/>
        <v>254.98001099999999</v>
      </c>
      <c r="AB221" t="s">
        <v>30</v>
      </c>
      <c r="AC221" t="str">
        <f t="shared" si="15"/>
        <v>Cash Over 200</v>
      </c>
    </row>
    <row r="222" spans="1:29" x14ac:dyDescent="0.25">
      <c r="A222">
        <v>44507</v>
      </c>
      <c r="B222" s="2">
        <v>42684</v>
      </c>
      <c r="C222">
        <v>4</v>
      </c>
      <c r="D222" s="2">
        <f t="shared" si="12"/>
        <v>42690</v>
      </c>
      <c r="E222">
        <v>0</v>
      </c>
      <c r="F222" t="s">
        <v>62</v>
      </c>
      <c r="G222" t="str">
        <f t="shared" si="13"/>
        <v>Other</v>
      </c>
      <c r="H222">
        <v>7</v>
      </c>
      <c r="I222">
        <v>7783</v>
      </c>
      <c r="J222">
        <v>2</v>
      </c>
      <c r="K222" t="s">
        <v>136</v>
      </c>
      <c r="L222" t="s">
        <v>25</v>
      </c>
      <c r="M222" t="s">
        <v>225</v>
      </c>
      <c r="N222" t="s">
        <v>226</v>
      </c>
      <c r="P222" t="s">
        <v>40</v>
      </c>
      <c r="Q222" t="s">
        <v>41</v>
      </c>
      <c r="R222">
        <v>7</v>
      </c>
      <c r="T222">
        <v>134</v>
      </c>
      <c r="U222" t="s">
        <v>1084</v>
      </c>
      <c r="V222" s="7">
        <v>25</v>
      </c>
      <c r="W222" s="7">
        <v>23.551858392987498</v>
      </c>
      <c r="X222">
        <v>3</v>
      </c>
      <c r="Y222" s="7">
        <v>11.25</v>
      </c>
      <c r="Z222" s="7">
        <v>75</v>
      </c>
      <c r="AA222" s="7">
        <f t="shared" si="14"/>
        <v>63.75</v>
      </c>
      <c r="AB222" t="s">
        <v>45</v>
      </c>
      <c r="AC222" t="str">
        <f t="shared" si="15"/>
        <v>Non-Cash Payments</v>
      </c>
    </row>
    <row r="223" spans="1:29" x14ac:dyDescent="0.25">
      <c r="A223">
        <v>44424</v>
      </c>
      <c r="B223" s="2">
        <v>42653</v>
      </c>
      <c r="C223">
        <v>1</v>
      </c>
      <c r="D223" s="2">
        <f t="shared" si="12"/>
        <v>42654</v>
      </c>
      <c r="E223">
        <v>1</v>
      </c>
      <c r="F223" t="s">
        <v>187</v>
      </c>
      <c r="G223" t="str">
        <f t="shared" si="13"/>
        <v>Other</v>
      </c>
      <c r="H223">
        <v>7</v>
      </c>
      <c r="I223">
        <v>2360</v>
      </c>
      <c r="J223">
        <v>2</v>
      </c>
      <c r="K223" t="s">
        <v>136</v>
      </c>
      <c r="L223" t="s">
        <v>25</v>
      </c>
      <c r="M223" t="s">
        <v>143</v>
      </c>
      <c r="N223" t="s">
        <v>144</v>
      </c>
      <c r="P223" t="s">
        <v>40</v>
      </c>
      <c r="Q223" t="s">
        <v>41</v>
      </c>
      <c r="R223">
        <v>7</v>
      </c>
      <c r="T223">
        <v>134</v>
      </c>
      <c r="U223" t="s">
        <v>1084</v>
      </c>
      <c r="V223" s="7">
        <v>25</v>
      </c>
      <c r="W223" s="7">
        <v>23.551858392987498</v>
      </c>
      <c r="X223">
        <v>2</v>
      </c>
      <c r="Y223" s="7">
        <v>7.5</v>
      </c>
      <c r="Z223" s="7">
        <v>50</v>
      </c>
      <c r="AA223" s="7">
        <f t="shared" si="14"/>
        <v>42.5</v>
      </c>
      <c r="AB223" t="s">
        <v>30</v>
      </c>
      <c r="AC223" t="str">
        <f t="shared" si="15"/>
        <v>Cash Not Over 200</v>
      </c>
    </row>
    <row r="224" spans="1:29" x14ac:dyDescent="0.25">
      <c r="A224">
        <v>43461</v>
      </c>
      <c r="B224" s="2">
        <v>42639</v>
      </c>
      <c r="C224">
        <v>4</v>
      </c>
      <c r="D224" s="2">
        <f t="shared" si="12"/>
        <v>42643</v>
      </c>
      <c r="E224">
        <v>0</v>
      </c>
      <c r="F224" t="s">
        <v>62</v>
      </c>
      <c r="G224" t="str">
        <f t="shared" si="13"/>
        <v>Other</v>
      </c>
      <c r="H224">
        <v>7</v>
      </c>
      <c r="I224">
        <v>1209</v>
      </c>
      <c r="J224">
        <v>2</v>
      </c>
      <c r="K224" t="s">
        <v>136</v>
      </c>
      <c r="L224" t="s">
        <v>25</v>
      </c>
      <c r="M224" t="s">
        <v>173</v>
      </c>
      <c r="N224" t="s">
        <v>174</v>
      </c>
      <c r="P224" t="s">
        <v>28</v>
      </c>
      <c r="Q224" t="s">
        <v>29</v>
      </c>
      <c r="R224">
        <v>7</v>
      </c>
      <c r="T224">
        <v>134</v>
      </c>
      <c r="U224" t="s">
        <v>1084</v>
      </c>
      <c r="V224" s="7">
        <v>25</v>
      </c>
      <c r="W224" s="7">
        <v>23.551858392987498</v>
      </c>
      <c r="X224">
        <v>4</v>
      </c>
      <c r="Y224" s="7">
        <v>16</v>
      </c>
      <c r="Z224" s="7">
        <v>100</v>
      </c>
      <c r="AA224" s="7">
        <f t="shared" si="14"/>
        <v>84</v>
      </c>
      <c r="AB224" t="s">
        <v>66</v>
      </c>
      <c r="AC224" t="str">
        <f t="shared" si="15"/>
        <v>Non-Cash Payments</v>
      </c>
    </row>
    <row r="225" spans="1:29" x14ac:dyDescent="0.25">
      <c r="A225">
        <v>42859</v>
      </c>
      <c r="B225" s="2">
        <v>42630</v>
      </c>
      <c r="C225">
        <v>4</v>
      </c>
      <c r="D225" s="2">
        <f t="shared" si="12"/>
        <v>42635</v>
      </c>
      <c r="E225">
        <v>1</v>
      </c>
      <c r="F225" t="s">
        <v>62</v>
      </c>
      <c r="G225" t="str">
        <f t="shared" si="13"/>
        <v>Other</v>
      </c>
      <c r="H225">
        <v>7</v>
      </c>
      <c r="I225">
        <v>3421</v>
      </c>
      <c r="J225">
        <v>2</v>
      </c>
      <c r="K225" t="s">
        <v>136</v>
      </c>
      <c r="L225" t="s">
        <v>25</v>
      </c>
      <c r="M225" t="s">
        <v>93</v>
      </c>
      <c r="N225" t="s">
        <v>93</v>
      </c>
      <c r="P225" t="s">
        <v>28</v>
      </c>
      <c r="Q225" t="s">
        <v>29</v>
      </c>
      <c r="R225">
        <v>7</v>
      </c>
      <c r="T225">
        <v>134</v>
      </c>
      <c r="U225" t="s">
        <v>1084</v>
      </c>
      <c r="V225" s="7">
        <v>25</v>
      </c>
      <c r="W225" s="7">
        <v>23.551858392987498</v>
      </c>
      <c r="X225">
        <v>2</v>
      </c>
      <c r="Y225" s="7">
        <v>2.5</v>
      </c>
      <c r="Z225" s="7">
        <v>50</v>
      </c>
      <c r="AA225" s="7">
        <f t="shared" si="14"/>
        <v>47.5</v>
      </c>
      <c r="AB225" t="s">
        <v>30</v>
      </c>
      <c r="AC225" t="str">
        <f t="shared" si="15"/>
        <v>Cash Not Over 200</v>
      </c>
    </row>
    <row r="226" spans="1:29" x14ac:dyDescent="0.25">
      <c r="A226">
        <v>42352</v>
      </c>
      <c r="B226" s="2">
        <v>42652</v>
      </c>
      <c r="C226">
        <v>4</v>
      </c>
      <c r="D226" s="2">
        <f t="shared" si="12"/>
        <v>42656</v>
      </c>
      <c r="E226">
        <v>0</v>
      </c>
      <c r="F226" t="s">
        <v>62</v>
      </c>
      <c r="G226" t="str">
        <f t="shared" si="13"/>
        <v>Other</v>
      </c>
      <c r="H226">
        <v>7</v>
      </c>
      <c r="I226">
        <v>1303</v>
      </c>
      <c r="J226">
        <v>2</v>
      </c>
      <c r="K226" t="s">
        <v>136</v>
      </c>
      <c r="L226" t="s">
        <v>25</v>
      </c>
      <c r="M226" t="s">
        <v>227</v>
      </c>
      <c r="N226" t="s">
        <v>227</v>
      </c>
      <c r="P226" t="s">
        <v>164</v>
      </c>
      <c r="Q226" t="s">
        <v>29</v>
      </c>
      <c r="R226">
        <v>7</v>
      </c>
      <c r="T226">
        <v>134</v>
      </c>
      <c r="U226" t="s">
        <v>1084</v>
      </c>
      <c r="V226" s="7">
        <v>25</v>
      </c>
      <c r="W226" s="7">
        <v>23.551858392987498</v>
      </c>
      <c r="X226">
        <v>3</v>
      </c>
      <c r="Y226" s="7">
        <v>13.5</v>
      </c>
      <c r="Z226" s="7">
        <v>75</v>
      </c>
      <c r="AA226" s="7">
        <f t="shared" si="14"/>
        <v>61.5</v>
      </c>
      <c r="AB226" t="s">
        <v>45</v>
      </c>
      <c r="AC226" t="str">
        <f t="shared" si="15"/>
        <v>Non-Cash Payments</v>
      </c>
    </row>
    <row r="227" spans="1:29" x14ac:dyDescent="0.25">
      <c r="A227">
        <v>42106</v>
      </c>
      <c r="B227" s="2">
        <v>42530</v>
      </c>
      <c r="C227">
        <v>4</v>
      </c>
      <c r="D227" s="2">
        <f t="shared" si="12"/>
        <v>42536</v>
      </c>
      <c r="E227">
        <v>0</v>
      </c>
      <c r="F227" t="s">
        <v>62</v>
      </c>
      <c r="G227" t="str">
        <f t="shared" si="13"/>
        <v>Other</v>
      </c>
      <c r="H227">
        <v>7</v>
      </c>
      <c r="I227">
        <v>11307</v>
      </c>
      <c r="J227">
        <v>2</v>
      </c>
      <c r="K227" t="s">
        <v>136</v>
      </c>
      <c r="L227" t="s">
        <v>25</v>
      </c>
      <c r="M227" t="s">
        <v>228</v>
      </c>
      <c r="N227" t="s">
        <v>158</v>
      </c>
      <c r="P227" t="s">
        <v>33</v>
      </c>
      <c r="Q227" t="s">
        <v>34</v>
      </c>
      <c r="R227">
        <v>7</v>
      </c>
      <c r="T227">
        <v>134</v>
      </c>
      <c r="U227" t="s">
        <v>1084</v>
      </c>
      <c r="V227" s="7">
        <v>25</v>
      </c>
      <c r="W227" s="7">
        <v>23.551858392987498</v>
      </c>
      <c r="X227">
        <v>4</v>
      </c>
      <c r="Y227" s="7">
        <v>2</v>
      </c>
      <c r="Z227" s="7">
        <v>100</v>
      </c>
      <c r="AA227" s="7">
        <f t="shared" si="14"/>
        <v>98</v>
      </c>
      <c r="AB227" t="s">
        <v>45</v>
      </c>
      <c r="AC227" t="str">
        <f t="shared" si="15"/>
        <v>Non-Cash Payments</v>
      </c>
    </row>
    <row r="228" spans="1:29" x14ac:dyDescent="0.25">
      <c r="A228">
        <v>41726</v>
      </c>
      <c r="B228" s="2">
        <v>42378</v>
      </c>
      <c r="C228">
        <v>4</v>
      </c>
      <c r="D228" s="2">
        <f t="shared" si="12"/>
        <v>42383</v>
      </c>
      <c r="E228">
        <v>0</v>
      </c>
      <c r="F228" t="s">
        <v>62</v>
      </c>
      <c r="G228" t="str">
        <f t="shared" si="13"/>
        <v>Other</v>
      </c>
      <c r="H228">
        <v>7</v>
      </c>
      <c r="I228">
        <v>8254</v>
      </c>
      <c r="J228">
        <v>2</v>
      </c>
      <c r="K228" t="s">
        <v>136</v>
      </c>
      <c r="L228" t="s">
        <v>25</v>
      </c>
      <c r="M228" t="s">
        <v>79</v>
      </c>
      <c r="N228" t="s">
        <v>79</v>
      </c>
      <c r="P228" t="s">
        <v>61</v>
      </c>
      <c r="Q228" t="s">
        <v>41</v>
      </c>
      <c r="R228">
        <v>7</v>
      </c>
      <c r="T228">
        <v>134</v>
      </c>
      <c r="U228" t="s">
        <v>1084</v>
      </c>
      <c r="V228" s="7">
        <v>25</v>
      </c>
      <c r="W228" s="7">
        <v>23.551858392987498</v>
      </c>
      <c r="X228">
        <v>3</v>
      </c>
      <c r="Y228" s="7">
        <v>15</v>
      </c>
      <c r="Z228" s="7">
        <v>75</v>
      </c>
      <c r="AA228" s="7">
        <f t="shared" si="14"/>
        <v>60</v>
      </c>
      <c r="AB228" t="s">
        <v>66</v>
      </c>
      <c r="AC228" t="str">
        <f t="shared" si="15"/>
        <v>Non-Cash Payments</v>
      </c>
    </row>
    <row r="229" spans="1:29" x14ac:dyDescent="0.25">
      <c r="A229">
        <v>41711</v>
      </c>
      <c r="B229" s="2">
        <v>42613</v>
      </c>
      <c r="C229">
        <v>4</v>
      </c>
      <c r="D229" s="2">
        <f t="shared" si="12"/>
        <v>42619</v>
      </c>
      <c r="E229">
        <v>0</v>
      </c>
      <c r="F229" t="s">
        <v>62</v>
      </c>
      <c r="G229" t="str">
        <f t="shared" si="13"/>
        <v>Other</v>
      </c>
      <c r="H229">
        <v>7</v>
      </c>
      <c r="I229">
        <v>11531</v>
      </c>
      <c r="J229">
        <v>2</v>
      </c>
      <c r="K229" t="s">
        <v>136</v>
      </c>
      <c r="L229" t="s">
        <v>25</v>
      </c>
      <c r="M229" t="s">
        <v>93</v>
      </c>
      <c r="N229" t="s">
        <v>93</v>
      </c>
      <c r="P229" t="s">
        <v>28</v>
      </c>
      <c r="Q229" t="s">
        <v>29</v>
      </c>
      <c r="R229">
        <v>7</v>
      </c>
      <c r="T229">
        <v>134</v>
      </c>
      <c r="U229" t="s">
        <v>1084</v>
      </c>
      <c r="V229" s="7">
        <v>25</v>
      </c>
      <c r="W229" s="7">
        <v>23.551858392987498</v>
      </c>
      <c r="X229">
        <v>3</v>
      </c>
      <c r="Y229" s="7">
        <v>18.75</v>
      </c>
      <c r="Z229" s="7">
        <v>75</v>
      </c>
      <c r="AA229" s="7">
        <f t="shared" si="14"/>
        <v>56.25</v>
      </c>
      <c r="AB229" t="s">
        <v>66</v>
      </c>
      <c r="AC229" t="str">
        <f t="shared" si="15"/>
        <v>Non-Cash Payments</v>
      </c>
    </row>
    <row r="230" spans="1:29" x14ac:dyDescent="0.25">
      <c r="A230">
        <v>46921</v>
      </c>
      <c r="B230" s="2">
        <v>42689</v>
      </c>
      <c r="C230">
        <v>1</v>
      </c>
      <c r="D230" s="2">
        <f t="shared" si="12"/>
        <v>42690</v>
      </c>
      <c r="E230">
        <v>1</v>
      </c>
      <c r="F230" t="s">
        <v>187</v>
      </c>
      <c r="G230" t="str">
        <f t="shared" si="13"/>
        <v>Other</v>
      </c>
      <c r="H230">
        <v>9</v>
      </c>
      <c r="I230">
        <v>10731</v>
      </c>
      <c r="J230">
        <v>3</v>
      </c>
      <c r="K230" t="s">
        <v>24</v>
      </c>
      <c r="L230" t="s">
        <v>25</v>
      </c>
      <c r="M230" t="s">
        <v>157</v>
      </c>
      <c r="N230" t="s">
        <v>158</v>
      </c>
      <c r="P230" t="s">
        <v>33</v>
      </c>
      <c r="Q230" t="s">
        <v>34</v>
      </c>
      <c r="R230">
        <v>9</v>
      </c>
      <c r="T230">
        <v>191</v>
      </c>
      <c r="U230" t="s">
        <v>1044</v>
      </c>
      <c r="V230" s="7">
        <v>99.989997860000003</v>
      </c>
      <c r="W230" s="7">
        <v>95.114003926871064</v>
      </c>
      <c r="X230">
        <v>1</v>
      </c>
      <c r="Y230" s="7">
        <v>7</v>
      </c>
      <c r="Z230" s="7">
        <v>99.989997860000003</v>
      </c>
      <c r="AA230" s="7">
        <f t="shared" si="14"/>
        <v>92.989997860000003</v>
      </c>
      <c r="AB230" t="s">
        <v>30</v>
      </c>
      <c r="AC230" t="str">
        <f t="shared" si="15"/>
        <v>Cash Not Over 200</v>
      </c>
    </row>
    <row r="231" spans="1:29" x14ac:dyDescent="0.25">
      <c r="A231">
        <v>45445</v>
      </c>
      <c r="B231" s="2">
        <v>42668</v>
      </c>
      <c r="C231">
        <v>1</v>
      </c>
      <c r="D231" s="2">
        <f t="shared" si="12"/>
        <v>42669</v>
      </c>
      <c r="E231">
        <v>1</v>
      </c>
      <c r="F231" t="s">
        <v>187</v>
      </c>
      <c r="G231" t="str">
        <f t="shared" si="13"/>
        <v>Other</v>
      </c>
      <c r="H231">
        <v>9</v>
      </c>
      <c r="I231">
        <v>1443</v>
      </c>
      <c r="J231">
        <v>3</v>
      </c>
      <c r="K231" t="s">
        <v>24</v>
      </c>
      <c r="L231" t="s">
        <v>25</v>
      </c>
      <c r="M231" t="s">
        <v>229</v>
      </c>
      <c r="N231" t="s">
        <v>229</v>
      </c>
      <c r="P231" t="s">
        <v>28</v>
      </c>
      <c r="Q231" t="s">
        <v>29</v>
      </c>
      <c r="R231">
        <v>9</v>
      </c>
      <c r="T231">
        <v>191</v>
      </c>
      <c r="U231" t="s">
        <v>1044</v>
      </c>
      <c r="V231" s="7">
        <v>99.989997860000003</v>
      </c>
      <c r="W231" s="7">
        <v>95.114003926871064</v>
      </c>
      <c r="X231">
        <v>1</v>
      </c>
      <c r="Y231" s="7">
        <v>9</v>
      </c>
      <c r="Z231" s="7">
        <v>99.989997860000003</v>
      </c>
      <c r="AA231" s="7">
        <f t="shared" si="14"/>
        <v>90.989997860000003</v>
      </c>
      <c r="AB231" t="s">
        <v>30</v>
      </c>
      <c r="AC231" t="str">
        <f t="shared" si="15"/>
        <v>Cash Not Over 200</v>
      </c>
    </row>
    <row r="232" spans="1:29" x14ac:dyDescent="0.25">
      <c r="A232">
        <v>45575</v>
      </c>
      <c r="B232" s="2">
        <v>42670</v>
      </c>
      <c r="C232">
        <v>1</v>
      </c>
      <c r="D232" s="2">
        <f t="shared" si="12"/>
        <v>42671</v>
      </c>
      <c r="E232">
        <v>1</v>
      </c>
      <c r="F232" t="s">
        <v>187</v>
      </c>
      <c r="G232" t="str">
        <f t="shared" si="13"/>
        <v>Other</v>
      </c>
      <c r="H232">
        <v>18</v>
      </c>
      <c r="I232">
        <v>3519</v>
      </c>
      <c r="J232">
        <v>4</v>
      </c>
      <c r="K232" t="s">
        <v>46</v>
      </c>
      <c r="L232" t="s">
        <v>25</v>
      </c>
      <c r="M232" t="s">
        <v>230</v>
      </c>
      <c r="N232" t="s">
        <v>231</v>
      </c>
      <c r="P232" t="s">
        <v>122</v>
      </c>
      <c r="Q232" t="s">
        <v>52</v>
      </c>
      <c r="R232">
        <v>18</v>
      </c>
      <c r="T232">
        <v>403</v>
      </c>
      <c r="U232" t="s">
        <v>1052</v>
      </c>
      <c r="V232" s="7">
        <v>129.9900055</v>
      </c>
      <c r="W232" s="7">
        <v>110.80340837177086</v>
      </c>
      <c r="X232">
        <v>1</v>
      </c>
      <c r="Y232" s="7">
        <v>1.2999999520000001</v>
      </c>
      <c r="Z232" s="7">
        <v>129.9900055</v>
      </c>
      <c r="AA232" s="7">
        <f t="shared" si="14"/>
        <v>128.69000554799999</v>
      </c>
      <c r="AB232" t="s">
        <v>30</v>
      </c>
      <c r="AC232" t="str">
        <f t="shared" si="15"/>
        <v>Cash Not Over 200</v>
      </c>
    </row>
    <row r="233" spans="1:29" x14ac:dyDescent="0.25">
      <c r="A233">
        <v>50395</v>
      </c>
      <c r="B233" s="2">
        <v>42856</v>
      </c>
      <c r="C233">
        <v>1</v>
      </c>
      <c r="D233" s="2">
        <f t="shared" si="12"/>
        <v>42857</v>
      </c>
      <c r="E233">
        <v>1</v>
      </c>
      <c r="F233" t="s">
        <v>187</v>
      </c>
      <c r="G233" t="str">
        <f t="shared" si="13"/>
        <v>Other</v>
      </c>
      <c r="H233">
        <v>18</v>
      </c>
      <c r="I233">
        <v>9414</v>
      </c>
      <c r="J233">
        <v>4</v>
      </c>
      <c r="K233" t="s">
        <v>46</v>
      </c>
      <c r="L233" t="s">
        <v>25</v>
      </c>
      <c r="M233" t="s">
        <v>97</v>
      </c>
      <c r="N233" t="s">
        <v>98</v>
      </c>
      <c r="P233" t="s">
        <v>88</v>
      </c>
      <c r="Q233" t="s">
        <v>89</v>
      </c>
      <c r="R233">
        <v>18</v>
      </c>
      <c r="T233">
        <v>403</v>
      </c>
      <c r="U233" t="s">
        <v>1052</v>
      </c>
      <c r="V233" s="7">
        <v>129.9900055</v>
      </c>
      <c r="W233" s="7">
        <v>110.80340837177086</v>
      </c>
      <c r="X233">
        <v>1</v>
      </c>
      <c r="Y233" s="7">
        <v>7.1500000950000002</v>
      </c>
      <c r="Z233" s="7">
        <v>129.9900055</v>
      </c>
      <c r="AA233" s="7">
        <f t="shared" si="14"/>
        <v>122.840005405</v>
      </c>
      <c r="AB233" t="s">
        <v>30</v>
      </c>
      <c r="AC233" t="str">
        <f t="shared" si="15"/>
        <v>Cash Not Over 200</v>
      </c>
    </row>
    <row r="234" spans="1:29" x14ac:dyDescent="0.25">
      <c r="A234">
        <v>42019</v>
      </c>
      <c r="B234" s="2">
        <v>42499</v>
      </c>
      <c r="C234">
        <v>1</v>
      </c>
      <c r="D234" s="2">
        <f t="shared" si="12"/>
        <v>42500</v>
      </c>
      <c r="E234">
        <v>1</v>
      </c>
      <c r="F234" t="s">
        <v>187</v>
      </c>
      <c r="G234" t="str">
        <f t="shared" si="13"/>
        <v>Other</v>
      </c>
      <c r="H234">
        <v>18</v>
      </c>
      <c r="I234">
        <v>10954</v>
      </c>
      <c r="J234">
        <v>4</v>
      </c>
      <c r="K234" t="s">
        <v>46</v>
      </c>
      <c r="L234" t="s">
        <v>25</v>
      </c>
      <c r="M234" t="s">
        <v>82</v>
      </c>
      <c r="N234" t="s">
        <v>82</v>
      </c>
      <c r="P234" t="s">
        <v>83</v>
      </c>
      <c r="Q234" t="s">
        <v>29</v>
      </c>
      <c r="R234">
        <v>18</v>
      </c>
      <c r="T234">
        <v>403</v>
      </c>
      <c r="U234" t="s">
        <v>1052</v>
      </c>
      <c r="V234" s="7">
        <v>129.9900055</v>
      </c>
      <c r="W234" s="7">
        <v>110.80340837177086</v>
      </c>
      <c r="X234">
        <v>1</v>
      </c>
      <c r="Y234" s="7">
        <v>7.1500000950000002</v>
      </c>
      <c r="Z234" s="7">
        <v>129.9900055</v>
      </c>
      <c r="AA234" s="7">
        <f t="shared" si="14"/>
        <v>122.840005405</v>
      </c>
      <c r="AB234" t="s">
        <v>30</v>
      </c>
      <c r="AC234" t="str">
        <f t="shared" si="15"/>
        <v>Cash Not Over 200</v>
      </c>
    </row>
    <row r="235" spans="1:29" x14ac:dyDescent="0.25">
      <c r="A235">
        <v>49048</v>
      </c>
      <c r="B235" s="2">
        <v>42720</v>
      </c>
      <c r="C235">
        <v>1</v>
      </c>
      <c r="D235" s="2">
        <f t="shared" si="12"/>
        <v>42723</v>
      </c>
      <c r="E235">
        <v>1</v>
      </c>
      <c r="F235" t="s">
        <v>187</v>
      </c>
      <c r="G235" t="str">
        <f t="shared" si="13"/>
        <v>Other</v>
      </c>
      <c r="H235">
        <v>17</v>
      </c>
      <c r="I235">
        <v>2131</v>
      </c>
      <c r="J235">
        <v>4</v>
      </c>
      <c r="K235" t="s">
        <v>46</v>
      </c>
      <c r="L235" t="s">
        <v>25</v>
      </c>
      <c r="M235" t="s">
        <v>42</v>
      </c>
      <c r="N235" t="s">
        <v>43</v>
      </c>
      <c r="P235" t="s">
        <v>44</v>
      </c>
      <c r="Q235" t="s">
        <v>34</v>
      </c>
      <c r="R235">
        <v>17</v>
      </c>
      <c r="T235">
        <v>365</v>
      </c>
      <c r="U235" t="s">
        <v>1054</v>
      </c>
      <c r="V235" s="7">
        <v>59.990001679999999</v>
      </c>
      <c r="W235" s="7">
        <v>54.488929209402009</v>
      </c>
      <c r="X235">
        <v>1</v>
      </c>
      <c r="Y235" s="7">
        <v>5.4000000950000002</v>
      </c>
      <c r="Z235" s="7">
        <v>59.990001679999999</v>
      </c>
      <c r="AA235" s="7">
        <f t="shared" si="14"/>
        <v>54.590001584999996</v>
      </c>
      <c r="AB235" t="s">
        <v>30</v>
      </c>
      <c r="AC235" t="str">
        <f t="shared" si="15"/>
        <v>Cash Not Over 200</v>
      </c>
    </row>
    <row r="236" spans="1:29" x14ac:dyDescent="0.25">
      <c r="A236">
        <v>49048</v>
      </c>
      <c r="B236" s="2">
        <v>42720</v>
      </c>
      <c r="C236">
        <v>1</v>
      </c>
      <c r="D236" s="2">
        <f t="shared" si="12"/>
        <v>42723</v>
      </c>
      <c r="E236">
        <v>1</v>
      </c>
      <c r="F236" t="s">
        <v>187</v>
      </c>
      <c r="G236" t="str">
        <f t="shared" si="13"/>
        <v>Other</v>
      </c>
      <c r="H236">
        <v>18</v>
      </c>
      <c r="I236">
        <v>2131</v>
      </c>
      <c r="J236">
        <v>4</v>
      </c>
      <c r="K236" t="s">
        <v>46</v>
      </c>
      <c r="L236" t="s">
        <v>25</v>
      </c>
      <c r="M236" t="s">
        <v>42</v>
      </c>
      <c r="N236" t="s">
        <v>43</v>
      </c>
      <c r="P236" t="s">
        <v>44</v>
      </c>
      <c r="Q236" t="s">
        <v>34</v>
      </c>
      <c r="R236">
        <v>18</v>
      </c>
      <c r="T236">
        <v>403</v>
      </c>
      <c r="U236" t="s">
        <v>1052</v>
      </c>
      <c r="V236" s="7">
        <v>129.9900055</v>
      </c>
      <c r="W236" s="7">
        <v>110.80340837177086</v>
      </c>
      <c r="X236">
        <v>1</v>
      </c>
      <c r="Y236" s="7">
        <v>15.600000380000001</v>
      </c>
      <c r="Z236" s="7">
        <v>129.9900055</v>
      </c>
      <c r="AA236" s="7">
        <f t="shared" si="14"/>
        <v>114.39000512</v>
      </c>
      <c r="AB236" t="s">
        <v>30</v>
      </c>
      <c r="AC236" t="str">
        <f t="shared" si="15"/>
        <v>Cash Not Over 200</v>
      </c>
    </row>
    <row r="237" spans="1:29" x14ac:dyDescent="0.25">
      <c r="A237">
        <v>49048</v>
      </c>
      <c r="B237" s="2">
        <v>42720</v>
      </c>
      <c r="C237">
        <v>1</v>
      </c>
      <c r="D237" s="2">
        <f t="shared" si="12"/>
        <v>42723</v>
      </c>
      <c r="E237">
        <v>1</v>
      </c>
      <c r="F237" t="s">
        <v>187</v>
      </c>
      <c r="G237" t="str">
        <f t="shared" si="13"/>
        <v>Other</v>
      </c>
      <c r="H237">
        <v>18</v>
      </c>
      <c r="I237">
        <v>2131</v>
      </c>
      <c r="J237">
        <v>4</v>
      </c>
      <c r="K237" t="s">
        <v>46</v>
      </c>
      <c r="L237" t="s">
        <v>25</v>
      </c>
      <c r="M237" t="s">
        <v>42</v>
      </c>
      <c r="N237" t="s">
        <v>43</v>
      </c>
      <c r="P237" t="s">
        <v>44</v>
      </c>
      <c r="Q237" t="s">
        <v>34</v>
      </c>
      <c r="R237">
        <v>18</v>
      </c>
      <c r="T237">
        <v>403</v>
      </c>
      <c r="U237" t="s">
        <v>1052</v>
      </c>
      <c r="V237" s="7">
        <v>129.9900055</v>
      </c>
      <c r="W237" s="7">
        <v>110.80340837177086</v>
      </c>
      <c r="X237">
        <v>1</v>
      </c>
      <c r="Y237" s="7">
        <v>16.899999619999999</v>
      </c>
      <c r="Z237" s="7">
        <v>129.9900055</v>
      </c>
      <c r="AA237" s="7">
        <f t="shared" si="14"/>
        <v>113.09000587999999</v>
      </c>
      <c r="AB237" t="s">
        <v>30</v>
      </c>
      <c r="AC237" t="str">
        <f t="shared" si="15"/>
        <v>Cash Not Over 200</v>
      </c>
    </row>
    <row r="238" spans="1:29" x14ac:dyDescent="0.25">
      <c r="A238">
        <v>45592</v>
      </c>
      <c r="B238" s="2">
        <v>42670</v>
      </c>
      <c r="C238">
        <v>1</v>
      </c>
      <c r="D238" s="2">
        <f t="shared" si="12"/>
        <v>42671</v>
      </c>
      <c r="E238">
        <v>1</v>
      </c>
      <c r="F238" t="s">
        <v>187</v>
      </c>
      <c r="G238" t="str">
        <f t="shared" si="13"/>
        <v>Other</v>
      </c>
      <c r="H238">
        <v>18</v>
      </c>
      <c r="I238">
        <v>3804</v>
      </c>
      <c r="J238">
        <v>4</v>
      </c>
      <c r="K238" t="s">
        <v>46</v>
      </c>
      <c r="L238" t="s">
        <v>25</v>
      </c>
      <c r="M238" t="s">
        <v>232</v>
      </c>
      <c r="N238" t="s">
        <v>232</v>
      </c>
      <c r="P238" t="s">
        <v>61</v>
      </c>
      <c r="Q238" t="s">
        <v>41</v>
      </c>
      <c r="R238">
        <v>18</v>
      </c>
      <c r="T238">
        <v>403</v>
      </c>
      <c r="U238" t="s">
        <v>1052</v>
      </c>
      <c r="V238" s="7">
        <v>129.9900055</v>
      </c>
      <c r="W238" s="7">
        <v>110.80340837177086</v>
      </c>
      <c r="X238">
        <v>1</v>
      </c>
      <c r="Y238" s="7">
        <v>20.799999239999998</v>
      </c>
      <c r="Z238" s="7">
        <v>129.9900055</v>
      </c>
      <c r="AA238" s="7">
        <f t="shared" si="14"/>
        <v>109.19000625999999</v>
      </c>
      <c r="AB238" t="s">
        <v>30</v>
      </c>
      <c r="AC238" t="str">
        <f t="shared" si="15"/>
        <v>Cash Not Over 200</v>
      </c>
    </row>
    <row r="239" spans="1:29" x14ac:dyDescent="0.25">
      <c r="A239">
        <v>45592</v>
      </c>
      <c r="B239" s="2">
        <v>42670</v>
      </c>
      <c r="C239">
        <v>1</v>
      </c>
      <c r="D239" s="2">
        <f t="shared" si="12"/>
        <v>42671</v>
      </c>
      <c r="E239">
        <v>1</v>
      </c>
      <c r="F239" t="s">
        <v>187</v>
      </c>
      <c r="G239" t="str">
        <f t="shared" si="13"/>
        <v>Other</v>
      </c>
      <c r="H239">
        <v>18</v>
      </c>
      <c r="I239">
        <v>3804</v>
      </c>
      <c r="J239">
        <v>4</v>
      </c>
      <c r="K239" t="s">
        <v>46</v>
      </c>
      <c r="L239" t="s">
        <v>25</v>
      </c>
      <c r="M239" t="s">
        <v>232</v>
      </c>
      <c r="N239" t="s">
        <v>232</v>
      </c>
      <c r="P239" t="s">
        <v>61</v>
      </c>
      <c r="Q239" t="s">
        <v>41</v>
      </c>
      <c r="R239">
        <v>18</v>
      </c>
      <c r="T239">
        <v>403</v>
      </c>
      <c r="U239" t="s">
        <v>1052</v>
      </c>
      <c r="V239" s="7">
        <v>129.9900055</v>
      </c>
      <c r="W239" s="7">
        <v>110.80340837177086</v>
      </c>
      <c r="X239">
        <v>1</v>
      </c>
      <c r="Y239" s="7">
        <v>22.100000380000001</v>
      </c>
      <c r="Z239" s="7">
        <v>129.9900055</v>
      </c>
      <c r="AA239" s="7">
        <f t="shared" si="14"/>
        <v>107.89000512</v>
      </c>
      <c r="AB239" t="s">
        <v>30</v>
      </c>
      <c r="AC239" t="str">
        <f t="shared" si="15"/>
        <v>Cash Not Over 200</v>
      </c>
    </row>
    <row r="240" spans="1:29" x14ac:dyDescent="0.25">
      <c r="A240">
        <v>42930</v>
      </c>
      <c r="B240" s="2">
        <v>42631</v>
      </c>
      <c r="C240">
        <v>1</v>
      </c>
      <c r="D240" s="2">
        <f t="shared" si="12"/>
        <v>42632</v>
      </c>
      <c r="E240">
        <v>1</v>
      </c>
      <c r="F240" t="s">
        <v>187</v>
      </c>
      <c r="G240" t="str">
        <f t="shared" si="13"/>
        <v>Other</v>
      </c>
      <c r="H240">
        <v>18</v>
      </c>
      <c r="I240">
        <v>4276</v>
      </c>
      <c r="J240">
        <v>4</v>
      </c>
      <c r="K240" t="s">
        <v>46</v>
      </c>
      <c r="L240" t="s">
        <v>25</v>
      </c>
      <c r="M240" t="s">
        <v>191</v>
      </c>
      <c r="N240" t="s">
        <v>192</v>
      </c>
      <c r="P240" t="s">
        <v>193</v>
      </c>
      <c r="Q240" t="s">
        <v>52</v>
      </c>
      <c r="R240">
        <v>18</v>
      </c>
      <c r="T240">
        <v>403</v>
      </c>
      <c r="U240" t="s">
        <v>1052</v>
      </c>
      <c r="V240" s="7">
        <v>129.9900055</v>
      </c>
      <c r="W240" s="7">
        <v>110.80340837177086</v>
      </c>
      <c r="X240">
        <v>1</v>
      </c>
      <c r="Y240" s="7">
        <v>23.399999619999999</v>
      </c>
      <c r="Z240" s="7">
        <v>129.9900055</v>
      </c>
      <c r="AA240" s="7">
        <f t="shared" si="14"/>
        <v>106.59000587999999</v>
      </c>
      <c r="AB240" t="s">
        <v>30</v>
      </c>
      <c r="AC240" t="str">
        <f t="shared" si="15"/>
        <v>Cash Not Over 200</v>
      </c>
    </row>
    <row r="241" spans="1:29" x14ac:dyDescent="0.25">
      <c r="A241">
        <v>50395</v>
      </c>
      <c r="B241" s="2">
        <v>42856</v>
      </c>
      <c r="C241">
        <v>1</v>
      </c>
      <c r="D241" s="2">
        <f t="shared" si="12"/>
        <v>42857</v>
      </c>
      <c r="E241">
        <v>1</v>
      </c>
      <c r="F241" t="s">
        <v>187</v>
      </c>
      <c r="G241" t="str">
        <f t="shared" si="13"/>
        <v>Other</v>
      </c>
      <c r="H241">
        <v>24</v>
      </c>
      <c r="I241">
        <v>9414</v>
      </c>
      <c r="J241">
        <v>5</v>
      </c>
      <c r="K241" t="s">
        <v>31</v>
      </c>
      <c r="L241" t="s">
        <v>25</v>
      </c>
      <c r="M241" t="s">
        <v>97</v>
      </c>
      <c r="N241" t="s">
        <v>98</v>
      </c>
      <c r="P241" t="s">
        <v>88</v>
      </c>
      <c r="Q241" t="s">
        <v>89</v>
      </c>
      <c r="R241">
        <v>24</v>
      </c>
      <c r="T241">
        <v>502</v>
      </c>
      <c r="U241" t="s">
        <v>1058</v>
      </c>
      <c r="V241" s="7">
        <v>50</v>
      </c>
      <c r="W241" s="7">
        <v>43.678035218757444</v>
      </c>
      <c r="X241">
        <v>1</v>
      </c>
      <c r="Y241" s="7">
        <v>5</v>
      </c>
      <c r="Z241" s="7">
        <v>50</v>
      </c>
      <c r="AA241" s="7">
        <f t="shared" si="14"/>
        <v>45</v>
      </c>
      <c r="AB241" t="s">
        <v>30</v>
      </c>
      <c r="AC241" t="str">
        <f t="shared" si="15"/>
        <v>Cash Not Over 200</v>
      </c>
    </row>
    <row r="242" spans="1:29" x14ac:dyDescent="0.25">
      <c r="A242">
        <v>49703</v>
      </c>
      <c r="B242" s="2">
        <v>42730</v>
      </c>
      <c r="C242">
        <v>1</v>
      </c>
      <c r="D242" s="2">
        <f t="shared" si="12"/>
        <v>42731</v>
      </c>
      <c r="E242">
        <v>1</v>
      </c>
      <c r="F242" t="s">
        <v>187</v>
      </c>
      <c r="G242" t="str">
        <f t="shared" si="13"/>
        <v>Other</v>
      </c>
      <c r="H242">
        <v>41</v>
      </c>
      <c r="I242">
        <v>6045</v>
      </c>
      <c r="J242">
        <v>6</v>
      </c>
      <c r="K242" t="s">
        <v>35</v>
      </c>
      <c r="L242" t="s">
        <v>25</v>
      </c>
      <c r="M242" t="s">
        <v>139</v>
      </c>
      <c r="N242" t="s">
        <v>140</v>
      </c>
      <c r="P242" t="s">
        <v>88</v>
      </c>
      <c r="Q242" t="s">
        <v>89</v>
      </c>
      <c r="R242">
        <v>41</v>
      </c>
      <c r="T242">
        <v>917</v>
      </c>
      <c r="U242" t="s">
        <v>1048</v>
      </c>
      <c r="V242" s="7">
        <v>21.989999770000001</v>
      </c>
      <c r="W242" s="7">
        <v>20.391999720066668</v>
      </c>
      <c r="X242">
        <v>1</v>
      </c>
      <c r="Y242" s="7">
        <v>3.7400000100000002</v>
      </c>
      <c r="Z242" s="7">
        <v>21.989999770000001</v>
      </c>
      <c r="AA242" s="7">
        <f t="shared" si="14"/>
        <v>18.249999760000001</v>
      </c>
      <c r="AB242" t="s">
        <v>30</v>
      </c>
      <c r="AC242" t="str">
        <f t="shared" si="15"/>
        <v>Cash Not Over 200</v>
      </c>
    </row>
    <row r="243" spans="1:29" x14ac:dyDescent="0.25">
      <c r="A243">
        <v>42930</v>
      </c>
      <c r="B243" s="2">
        <v>42631</v>
      </c>
      <c r="C243">
        <v>1</v>
      </c>
      <c r="D243" s="2">
        <f t="shared" si="12"/>
        <v>42632</v>
      </c>
      <c r="E243">
        <v>1</v>
      </c>
      <c r="F243" t="s">
        <v>187</v>
      </c>
      <c r="G243" t="str">
        <f t="shared" si="13"/>
        <v>Other</v>
      </c>
      <c r="H243">
        <v>43</v>
      </c>
      <c r="I243">
        <v>4276</v>
      </c>
      <c r="J243">
        <v>7</v>
      </c>
      <c r="K243" t="s">
        <v>58</v>
      </c>
      <c r="L243" t="s">
        <v>25</v>
      </c>
      <c r="M243" t="s">
        <v>191</v>
      </c>
      <c r="N243" t="s">
        <v>192</v>
      </c>
      <c r="P243" t="s">
        <v>193</v>
      </c>
      <c r="Q243" t="s">
        <v>52</v>
      </c>
      <c r="R243">
        <v>43</v>
      </c>
      <c r="T243">
        <v>957</v>
      </c>
      <c r="U243" t="s">
        <v>1056</v>
      </c>
      <c r="V243" s="7">
        <v>299.98001099999999</v>
      </c>
      <c r="W243" s="7">
        <v>295.0300103351052</v>
      </c>
      <c r="X243">
        <v>1</v>
      </c>
      <c r="Y243" s="7">
        <v>3</v>
      </c>
      <c r="Z243" s="7">
        <v>299.98001099999999</v>
      </c>
      <c r="AA243" s="7">
        <f t="shared" si="14"/>
        <v>296.98001099999999</v>
      </c>
      <c r="AB243" t="s">
        <v>30</v>
      </c>
      <c r="AC243" t="str">
        <f t="shared" si="15"/>
        <v>Cash Over 200</v>
      </c>
    </row>
    <row r="244" spans="1:29" x14ac:dyDescent="0.25">
      <c r="A244">
        <v>45445</v>
      </c>
      <c r="B244" s="2">
        <v>42668</v>
      </c>
      <c r="C244">
        <v>1</v>
      </c>
      <c r="D244" s="2">
        <f t="shared" si="12"/>
        <v>42669</v>
      </c>
      <c r="E244">
        <v>1</v>
      </c>
      <c r="F244" t="s">
        <v>187</v>
      </c>
      <c r="G244" t="str">
        <f t="shared" si="13"/>
        <v>Other</v>
      </c>
      <c r="H244">
        <v>43</v>
      </c>
      <c r="I244">
        <v>1443</v>
      </c>
      <c r="J244">
        <v>7</v>
      </c>
      <c r="K244" t="s">
        <v>58</v>
      </c>
      <c r="L244" t="s">
        <v>25</v>
      </c>
      <c r="M244" t="s">
        <v>229</v>
      </c>
      <c r="N244" t="s">
        <v>229</v>
      </c>
      <c r="P244" t="s">
        <v>28</v>
      </c>
      <c r="Q244" t="s">
        <v>29</v>
      </c>
      <c r="R244">
        <v>43</v>
      </c>
      <c r="T244">
        <v>957</v>
      </c>
      <c r="U244" t="s">
        <v>1056</v>
      </c>
      <c r="V244" s="7">
        <v>299.98001099999999</v>
      </c>
      <c r="W244" s="7">
        <v>295.0300103351052</v>
      </c>
      <c r="X244">
        <v>1</v>
      </c>
      <c r="Y244" s="7">
        <v>36</v>
      </c>
      <c r="Z244" s="7">
        <v>299.98001099999999</v>
      </c>
      <c r="AA244" s="7">
        <f t="shared" si="14"/>
        <v>263.98001099999999</v>
      </c>
      <c r="AB244" t="s">
        <v>30</v>
      </c>
      <c r="AC244" t="str">
        <f t="shared" si="15"/>
        <v>Cash Over 200</v>
      </c>
    </row>
    <row r="245" spans="1:29" x14ac:dyDescent="0.25">
      <c r="A245">
        <v>49048</v>
      </c>
      <c r="B245" s="2">
        <v>42720</v>
      </c>
      <c r="C245">
        <v>1</v>
      </c>
      <c r="D245" s="2">
        <f t="shared" si="12"/>
        <v>42723</v>
      </c>
      <c r="E245">
        <v>1</v>
      </c>
      <c r="F245" t="s">
        <v>187</v>
      </c>
      <c r="G245" t="str">
        <f t="shared" si="13"/>
        <v>Other</v>
      </c>
      <c r="H245">
        <v>43</v>
      </c>
      <c r="I245">
        <v>2131</v>
      </c>
      <c r="J245">
        <v>7</v>
      </c>
      <c r="K245" t="s">
        <v>58</v>
      </c>
      <c r="L245" t="s">
        <v>25</v>
      </c>
      <c r="M245" t="s">
        <v>42</v>
      </c>
      <c r="N245" t="s">
        <v>43</v>
      </c>
      <c r="P245" t="s">
        <v>44</v>
      </c>
      <c r="Q245" t="s">
        <v>34</v>
      </c>
      <c r="R245">
        <v>43</v>
      </c>
      <c r="T245">
        <v>957</v>
      </c>
      <c r="U245" t="s">
        <v>1056</v>
      </c>
      <c r="V245" s="7">
        <v>299.98001099999999</v>
      </c>
      <c r="W245" s="7">
        <v>295.0300103351052</v>
      </c>
      <c r="X245">
        <v>1</v>
      </c>
      <c r="Y245" s="7">
        <v>39</v>
      </c>
      <c r="Z245" s="7">
        <v>299.98001099999999</v>
      </c>
      <c r="AA245" s="7">
        <f t="shared" si="14"/>
        <v>260.98001099999999</v>
      </c>
      <c r="AB245" t="s">
        <v>30</v>
      </c>
      <c r="AC245" t="str">
        <f t="shared" si="15"/>
        <v>Cash Over 200</v>
      </c>
    </row>
    <row r="246" spans="1:29" x14ac:dyDescent="0.25">
      <c r="A246">
        <v>50395</v>
      </c>
      <c r="B246" s="2">
        <v>42856</v>
      </c>
      <c r="C246">
        <v>1</v>
      </c>
      <c r="D246" s="2">
        <f t="shared" si="12"/>
        <v>42857</v>
      </c>
      <c r="E246">
        <v>1</v>
      </c>
      <c r="F246" t="s">
        <v>187</v>
      </c>
      <c r="G246" t="str">
        <f t="shared" si="13"/>
        <v>Other</v>
      </c>
      <c r="H246">
        <v>43</v>
      </c>
      <c r="I246">
        <v>9414</v>
      </c>
      <c r="J246">
        <v>7</v>
      </c>
      <c r="K246" t="s">
        <v>58</v>
      </c>
      <c r="L246" t="s">
        <v>25</v>
      </c>
      <c r="M246" t="s">
        <v>97</v>
      </c>
      <c r="N246" t="s">
        <v>98</v>
      </c>
      <c r="P246" t="s">
        <v>88</v>
      </c>
      <c r="Q246" t="s">
        <v>89</v>
      </c>
      <c r="R246">
        <v>43</v>
      </c>
      <c r="T246">
        <v>957</v>
      </c>
      <c r="U246" t="s">
        <v>1056</v>
      </c>
      <c r="V246" s="7">
        <v>299.98001099999999</v>
      </c>
      <c r="W246" s="7">
        <v>295.0300103351052</v>
      </c>
      <c r="X246">
        <v>1</v>
      </c>
      <c r="Y246" s="7">
        <v>54</v>
      </c>
      <c r="Z246" s="7">
        <v>299.98001099999999</v>
      </c>
      <c r="AA246" s="7">
        <f t="shared" si="14"/>
        <v>245.98001099999999</v>
      </c>
      <c r="AB246" t="s">
        <v>30</v>
      </c>
      <c r="AC246" t="str">
        <f t="shared" si="15"/>
        <v>Cash Over 200</v>
      </c>
    </row>
    <row r="247" spans="1:29" x14ac:dyDescent="0.25">
      <c r="A247">
        <v>41702</v>
      </c>
      <c r="B247" s="2">
        <v>42613</v>
      </c>
      <c r="C247">
        <v>1</v>
      </c>
      <c r="D247" s="2">
        <f t="shared" si="12"/>
        <v>42614</v>
      </c>
      <c r="E247">
        <v>1</v>
      </c>
      <c r="F247" t="s">
        <v>187</v>
      </c>
      <c r="G247" t="str">
        <f t="shared" si="13"/>
        <v>Other</v>
      </c>
      <c r="H247">
        <v>9</v>
      </c>
      <c r="I247">
        <v>4147</v>
      </c>
      <c r="J247">
        <v>3</v>
      </c>
      <c r="K247" t="s">
        <v>24</v>
      </c>
      <c r="L247" t="s">
        <v>25</v>
      </c>
      <c r="M247" t="s">
        <v>220</v>
      </c>
      <c r="N247" t="s">
        <v>221</v>
      </c>
      <c r="P247" t="s">
        <v>28</v>
      </c>
      <c r="Q247" t="s">
        <v>29</v>
      </c>
      <c r="R247">
        <v>9</v>
      </c>
      <c r="T247">
        <v>191</v>
      </c>
      <c r="U247" t="s">
        <v>1044</v>
      </c>
      <c r="V247" s="7">
        <v>99.989997860000003</v>
      </c>
      <c r="W247" s="7">
        <v>95.114003926871064</v>
      </c>
      <c r="X247">
        <v>2</v>
      </c>
      <c r="Y247" s="7">
        <v>0</v>
      </c>
      <c r="Z247" s="7">
        <v>199.97999572000001</v>
      </c>
      <c r="AA247" s="7">
        <f t="shared" si="14"/>
        <v>199.97999572000001</v>
      </c>
      <c r="AB247" t="s">
        <v>30</v>
      </c>
      <c r="AC247" t="str">
        <f t="shared" si="15"/>
        <v>Cash Not Over 200</v>
      </c>
    </row>
    <row r="248" spans="1:29" x14ac:dyDescent="0.25">
      <c r="A248">
        <v>45592</v>
      </c>
      <c r="B248" s="2">
        <v>42670</v>
      </c>
      <c r="C248">
        <v>1</v>
      </c>
      <c r="D248" s="2">
        <f t="shared" si="12"/>
        <v>42671</v>
      </c>
      <c r="E248">
        <v>1</v>
      </c>
      <c r="F248" t="s">
        <v>187</v>
      </c>
      <c r="G248" t="str">
        <f t="shared" si="13"/>
        <v>Other</v>
      </c>
      <c r="H248">
        <v>9</v>
      </c>
      <c r="I248">
        <v>3804</v>
      </c>
      <c r="J248">
        <v>3</v>
      </c>
      <c r="K248" t="s">
        <v>24</v>
      </c>
      <c r="L248" t="s">
        <v>25</v>
      </c>
      <c r="M248" t="s">
        <v>232</v>
      </c>
      <c r="N248" t="s">
        <v>232</v>
      </c>
      <c r="P248" t="s">
        <v>61</v>
      </c>
      <c r="Q248" t="s">
        <v>41</v>
      </c>
      <c r="R248">
        <v>9</v>
      </c>
      <c r="T248">
        <v>191</v>
      </c>
      <c r="U248" t="s">
        <v>1044</v>
      </c>
      <c r="V248" s="7">
        <v>99.989997860000003</v>
      </c>
      <c r="W248" s="7">
        <v>95.114003926871064</v>
      </c>
      <c r="X248">
        <v>2</v>
      </c>
      <c r="Y248" s="7">
        <v>18</v>
      </c>
      <c r="Z248" s="7">
        <v>199.97999572000001</v>
      </c>
      <c r="AA248" s="7">
        <f t="shared" si="14"/>
        <v>181.97999572000001</v>
      </c>
      <c r="AB248" t="s">
        <v>30</v>
      </c>
      <c r="AC248" t="str">
        <f t="shared" si="15"/>
        <v>Cash Not Over 200</v>
      </c>
    </row>
    <row r="249" spans="1:29" x14ac:dyDescent="0.25">
      <c r="A249">
        <v>45592</v>
      </c>
      <c r="B249" s="2">
        <v>42670</v>
      </c>
      <c r="C249">
        <v>1</v>
      </c>
      <c r="D249" s="2">
        <f t="shared" si="12"/>
        <v>42671</v>
      </c>
      <c r="E249">
        <v>1</v>
      </c>
      <c r="F249" t="s">
        <v>187</v>
      </c>
      <c r="G249" t="str">
        <f t="shared" si="13"/>
        <v>Other</v>
      </c>
      <c r="H249">
        <v>24</v>
      </c>
      <c r="I249">
        <v>3804</v>
      </c>
      <c r="J249">
        <v>5</v>
      </c>
      <c r="K249" t="s">
        <v>31</v>
      </c>
      <c r="L249" t="s">
        <v>25</v>
      </c>
      <c r="M249" t="s">
        <v>232</v>
      </c>
      <c r="N249" t="s">
        <v>232</v>
      </c>
      <c r="P249" t="s">
        <v>61</v>
      </c>
      <c r="Q249" t="s">
        <v>41</v>
      </c>
      <c r="R249">
        <v>24</v>
      </c>
      <c r="T249">
        <v>502</v>
      </c>
      <c r="U249" t="s">
        <v>1058</v>
      </c>
      <c r="V249" s="7">
        <v>50</v>
      </c>
      <c r="W249" s="7">
        <v>43.678035218757444</v>
      </c>
      <c r="X249">
        <v>2</v>
      </c>
      <c r="Y249" s="7">
        <v>4</v>
      </c>
      <c r="Z249" s="7">
        <v>100</v>
      </c>
      <c r="AA249" s="7">
        <f t="shared" si="14"/>
        <v>96</v>
      </c>
      <c r="AB249" t="s">
        <v>30</v>
      </c>
      <c r="AC249" t="str">
        <f t="shared" si="15"/>
        <v>Cash Not Over 200</v>
      </c>
    </row>
    <row r="250" spans="1:29" x14ac:dyDescent="0.25">
      <c r="A250">
        <v>41702</v>
      </c>
      <c r="B250" s="2">
        <v>42613</v>
      </c>
      <c r="C250">
        <v>1</v>
      </c>
      <c r="D250" s="2">
        <f t="shared" si="12"/>
        <v>42614</v>
      </c>
      <c r="E250">
        <v>1</v>
      </c>
      <c r="F250" t="s">
        <v>187</v>
      </c>
      <c r="G250" t="str">
        <f t="shared" si="13"/>
        <v>Other</v>
      </c>
      <c r="H250">
        <v>6</v>
      </c>
      <c r="I250">
        <v>4147</v>
      </c>
      <c r="J250">
        <v>2</v>
      </c>
      <c r="K250" t="s">
        <v>136</v>
      </c>
      <c r="L250" t="s">
        <v>25</v>
      </c>
      <c r="M250" t="s">
        <v>220</v>
      </c>
      <c r="N250" t="s">
        <v>221</v>
      </c>
      <c r="P250" t="s">
        <v>28</v>
      </c>
      <c r="Q250" t="s">
        <v>29</v>
      </c>
      <c r="R250">
        <v>6</v>
      </c>
      <c r="T250">
        <v>116</v>
      </c>
      <c r="U250" t="s">
        <v>1072</v>
      </c>
      <c r="V250" s="7">
        <v>44.990001679999999</v>
      </c>
      <c r="W250" s="7">
        <v>30.409585080374999</v>
      </c>
      <c r="X250">
        <v>3</v>
      </c>
      <c r="Y250" s="7">
        <v>2.7000000480000002</v>
      </c>
      <c r="Z250" s="7">
        <v>134.97000503999999</v>
      </c>
      <c r="AA250" s="7">
        <f t="shared" si="14"/>
        <v>132.270004992</v>
      </c>
      <c r="AB250" t="s">
        <v>30</v>
      </c>
      <c r="AC250" t="str">
        <f t="shared" si="15"/>
        <v>Cash Not Over 200</v>
      </c>
    </row>
    <row r="251" spans="1:29" x14ac:dyDescent="0.25">
      <c r="A251">
        <v>42930</v>
      </c>
      <c r="B251" s="2">
        <v>42631</v>
      </c>
      <c r="C251">
        <v>1</v>
      </c>
      <c r="D251" s="2">
        <f t="shared" si="12"/>
        <v>42632</v>
      </c>
      <c r="E251">
        <v>1</v>
      </c>
      <c r="F251" t="s">
        <v>187</v>
      </c>
      <c r="G251" t="str">
        <f t="shared" si="13"/>
        <v>Other</v>
      </c>
      <c r="H251">
        <v>9</v>
      </c>
      <c r="I251">
        <v>4276</v>
      </c>
      <c r="J251">
        <v>3</v>
      </c>
      <c r="K251" t="s">
        <v>24</v>
      </c>
      <c r="L251" t="s">
        <v>25</v>
      </c>
      <c r="M251" t="s">
        <v>191</v>
      </c>
      <c r="N251" t="s">
        <v>192</v>
      </c>
      <c r="P251" t="s">
        <v>193</v>
      </c>
      <c r="Q251" t="s">
        <v>52</v>
      </c>
      <c r="R251">
        <v>9</v>
      </c>
      <c r="T251">
        <v>191</v>
      </c>
      <c r="U251" t="s">
        <v>1044</v>
      </c>
      <c r="V251" s="7">
        <v>99.989997860000003</v>
      </c>
      <c r="W251" s="7">
        <v>95.114003926871064</v>
      </c>
      <c r="X251">
        <v>3</v>
      </c>
      <c r="Y251" s="7">
        <v>3</v>
      </c>
      <c r="Z251" s="7">
        <v>299.96999357999999</v>
      </c>
      <c r="AA251" s="7">
        <f t="shared" si="14"/>
        <v>296.96999357999999</v>
      </c>
      <c r="AB251" t="s">
        <v>30</v>
      </c>
      <c r="AC251" t="str">
        <f t="shared" si="15"/>
        <v>Cash Over 200</v>
      </c>
    </row>
    <row r="252" spans="1:29" x14ac:dyDescent="0.25">
      <c r="A252">
        <v>41702</v>
      </c>
      <c r="B252" s="2">
        <v>42613</v>
      </c>
      <c r="C252">
        <v>1</v>
      </c>
      <c r="D252" s="2">
        <f t="shared" si="12"/>
        <v>42614</v>
      </c>
      <c r="E252">
        <v>1</v>
      </c>
      <c r="F252" t="s">
        <v>187</v>
      </c>
      <c r="G252" t="str">
        <f t="shared" si="13"/>
        <v>Other</v>
      </c>
      <c r="H252">
        <v>24</v>
      </c>
      <c r="I252">
        <v>4147</v>
      </c>
      <c r="J252">
        <v>5</v>
      </c>
      <c r="K252" t="s">
        <v>31</v>
      </c>
      <c r="L252" t="s">
        <v>25</v>
      </c>
      <c r="M252" t="s">
        <v>220</v>
      </c>
      <c r="N252" t="s">
        <v>221</v>
      </c>
      <c r="P252" t="s">
        <v>28</v>
      </c>
      <c r="Q252" t="s">
        <v>29</v>
      </c>
      <c r="R252">
        <v>24</v>
      </c>
      <c r="T252">
        <v>502</v>
      </c>
      <c r="U252" t="s">
        <v>1058</v>
      </c>
      <c r="V252" s="7">
        <v>50</v>
      </c>
      <c r="W252" s="7">
        <v>43.678035218757444</v>
      </c>
      <c r="X252">
        <v>3</v>
      </c>
      <c r="Y252" s="7">
        <v>8.25</v>
      </c>
      <c r="Z252" s="7">
        <v>150</v>
      </c>
      <c r="AA252" s="7">
        <f t="shared" si="14"/>
        <v>141.75</v>
      </c>
      <c r="AB252" t="s">
        <v>30</v>
      </c>
      <c r="AC252" t="str">
        <f t="shared" si="15"/>
        <v>Cash Not Over 200</v>
      </c>
    </row>
    <row r="253" spans="1:29" x14ac:dyDescent="0.25">
      <c r="A253">
        <v>45445</v>
      </c>
      <c r="B253" s="2">
        <v>42668</v>
      </c>
      <c r="C253">
        <v>1</v>
      </c>
      <c r="D253" s="2">
        <f t="shared" si="12"/>
        <v>42669</v>
      </c>
      <c r="E253">
        <v>1</v>
      </c>
      <c r="F253" t="s">
        <v>187</v>
      </c>
      <c r="G253" t="str">
        <f t="shared" si="13"/>
        <v>Other</v>
      </c>
      <c r="H253">
        <v>24</v>
      </c>
      <c r="I253">
        <v>1443</v>
      </c>
      <c r="J253">
        <v>5</v>
      </c>
      <c r="K253" t="s">
        <v>31</v>
      </c>
      <c r="L253" t="s">
        <v>25</v>
      </c>
      <c r="M253" t="s">
        <v>229</v>
      </c>
      <c r="N253" t="s">
        <v>229</v>
      </c>
      <c r="P253" t="s">
        <v>28</v>
      </c>
      <c r="Q253" t="s">
        <v>29</v>
      </c>
      <c r="R253">
        <v>24</v>
      </c>
      <c r="T253">
        <v>502</v>
      </c>
      <c r="U253" t="s">
        <v>1058</v>
      </c>
      <c r="V253" s="7">
        <v>50</v>
      </c>
      <c r="W253" s="7">
        <v>43.678035218757444</v>
      </c>
      <c r="X253">
        <v>3</v>
      </c>
      <c r="Y253" s="7">
        <v>13.5</v>
      </c>
      <c r="Z253" s="7">
        <v>150</v>
      </c>
      <c r="AA253" s="7">
        <f t="shared" si="14"/>
        <v>136.5</v>
      </c>
      <c r="AB253" t="s">
        <v>30</v>
      </c>
      <c r="AC253" t="str">
        <f t="shared" si="15"/>
        <v>Cash Not Over 200</v>
      </c>
    </row>
    <row r="254" spans="1:29" x14ac:dyDescent="0.25">
      <c r="A254">
        <v>43976</v>
      </c>
      <c r="B254" s="2">
        <v>42439</v>
      </c>
      <c r="C254">
        <v>4</v>
      </c>
      <c r="D254" s="2">
        <f t="shared" si="12"/>
        <v>42445</v>
      </c>
      <c r="E254">
        <v>0</v>
      </c>
      <c r="F254" t="s">
        <v>62</v>
      </c>
      <c r="G254" t="str">
        <f t="shared" si="13"/>
        <v>Other</v>
      </c>
      <c r="H254">
        <v>9</v>
      </c>
      <c r="I254">
        <v>1171</v>
      </c>
      <c r="J254">
        <v>3</v>
      </c>
      <c r="K254" t="s">
        <v>24</v>
      </c>
      <c r="L254" t="s">
        <v>25</v>
      </c>
      <c r="M254" t="s">
        <v>181</v>
      </c>
      <c r="N254" t="s">
        <v>140</v>
      </c>
      <c r="P254" t="s">
        <v>88</v>
      </c>
      <c r="Q254" t="s">
        <v>89</v>
      </c>
      <c r="R254">
        <v>9</v>
      </c>
      <c r="T254">
        <v>191</v>
      </c>
      <c r="U254" t="s">
        <v>1044</v>
      </c>
      <c r="V254" s="7">
        <v>99.989997860000003</v>
      </c>
      <c r="W254" s="7">
        <v>95.114003926871064</v>
      </c>
      <c r="X254">
        <v>2</v>
      </c>
      <c r="Y254" s="7">
        <v>0</v>
      </c>
      <c r="Z254" s="7">
        <v>199.97999572000001</v>
      </c>
      <c r="AA254" s="7">
        <f t="shared" si="14"/>
        <v>199.97999572000001</v>
      </c>
      <c r="AB254" t="s">
        <v>30</v>
      </c>
      <c r="AC254" t="str">
        <f t="shared" si="15"/>
        <v>Cash Not Over 200</v>
      </c>
    </row>
    <row r="255" spans="1:29" x14ac:dyDescent="0.25">
      <c r="A255">
        <v>51110</v>
      </c>
      <c r="B255" s="2">
        <v>42751</v>
      </c>
      <c r="C255">
        <v>4</v>
      </c>
      <c r="D255" s="2">
        <f t="shared" si="12"/>
        <v>42755</v>
      </c>
      <c r="E255">
        <v>1</v>
      </c>
      <c r="F255" t="s">
        <v>62</v>
      </c>
      <c r="G255" t="str">
        <f t="shared" si="13"/>
        <v>Other</v>
      </c>
      <c r="H255">
        <v>17</v>
      </c>
      <c r="I255">
        <v>8511</v>
      </c>
      <c r="J255">
        <v>4</v>
      </c>
      <c r="K255" t="s">
        <v>46</v>
      </c>
      <c r="L255" t="s">
        <v>25</v>
      </c>
      <c r="M255" t="s">
        <v>138</v>
      </c>
      <c r="N255" t="s">
        <v>138</v>
      </c>
      <c r="P255" t="s">
        <v>100</v>
      </c>
      <c r="Q255" t="s">
        <v>52</v>
      </c>
      <c r="R255">
        <v>17</v>
      </c>
      <c r="T255">
        <v>365</v>
      </c>
      <c r="U255" t="s">
        <v>1054</v>
      </c>
      <c r="V255" s="7">
        <v>59.990001679999999</v>
      </c>
      <c r="W255" s="7">
        <v>54.488929209402009</v>
      </c>
      <c r="X255">
        <v>2</v>
      </c>
      <c r="Y255" s="7">
        <v>6.5999999049999998</v>
      </c>
      <c r="Z255" s="7">
        <v>119.98000336</v>
      </c>
      <c r="AA255" s="7">
        <f t="shared" si="14"/>
        <v>113.38000345499999</v>
      </c>
      <c r="AB255" t="s">
        <v>30</v>
      </c>
      <c r="AC255" t="str">
        <f t="shared" si="15"/>
        <v>Cash Not Over 200</v>
      </c>
    </row>
    <row r="256" spans="1:29" x14ac:dyDescent="0.25">
      <c r="A256">
        <v>43976</v>
      </c>
      <c r="B256" s="2">
        <v>42439</v>
      </c>
      <c r="C256">
        <v>4</v>
      </c>
      <c r="D256" s="2">
        <f t="shared" si="12"/>
        <v>42445</v>
      </c>
      <c r="E256">
        <v>0</v>
      </c>
      <c r="F256" t="s">
        <v>62</v>
      </c>
      <c r="G256" t="str">
        <f t="shared" si="13"/>
        <v>Other</v>
      </c>
      <c r="H256">
        <v>17</v>
      </c>
      <c r="I256">
        <v>1171</v>
      </c>
      <c r="J256">
        <v>4</v>
      </c>
      <c r="K256" t="s">
        <v>46</v>
      </c>
      <c r="L256" t="s">
        <v>25</v>
      </c>
      <c r="M256" t="s">
        <v>181</v>
      </c>
      <c r="N256" t="s">
        <v>140</v>
      </c>
      <c r="P256" t="s">
        <v>88</v>
      </c>
      <c r="Q256" t="s">
        <v>89</v>
      </c>
      <c r="R256">
        <v>17</v>
      </c>
      <c r="T256">
        <v>365</v>
      </c>
      <c r="U256" t="s">
        <v>1054</v>
      </c>
      <c r="V256" s="7">
        <v>59.990001679999999</v>
      </c>
      <c r="W256" s="7">
        <v>54.488929209402009</v>
      </c>
      <c r="X256">
        <v>2</v>
      </c>
      <c r="Y256" s="7">
        <v>12</v>
      </c>
      <c r="Z256" s="7">
        <v>119.98000336</v>
      </c>
      <c r="AA256" s="7">
        <f t="shared" si="14"/>
        <v>107.98000336</v>
      </c>
      <c r="AB256" t="s">
        <v>30</v>
      </c>
      <c r="AC256" t="str">
        <f t="shared" si="15"/>
        <v>Cash Not Over 200</v>
      </c>
    </row>
    <row r="257" spans="1:29" x14ac:dyDescent="0.25">
      <c r="A257">
        <v>49384</v>
      </c>
      <c r="B257" s="2">
        <v>42725</v>
      </c>
      <c r="C257">
        <v>4</v>
      </c>
      <c r="D257" s="2">
        <f t="shared" si="12"/>
        <v>42731</v>
      </c>
      <c r="E257">
        <v>1</v>
      </c>
      <c r="F257" t="s">
        <v>62</v>
      </c>
      <c r="G257" t="str">
        <f t="shared" si="13"/>
        <v>Other</v>
      </c>
      <c r="H257">
        <v>17</v>
      </c>
      <c r="I257">
        <v>3358</v>
      </c>
      <c r="J257">
        <v>4</v>
      </c>
      <c r="K257" t="s">
        <v>46</v>
      </c>
      <c r="L257" t="s">
        <v>25</v>
      </c>
      <c r="M257" t="s">
        <v>67</v>
      </c>
      <c r="N257" t="s">
        <v>67</v>
      </c>
      <c r="P257" t="s">
        <v>68</v>
      </c>
      <c r="Q257" t="s">
        <v>41</v>
      </c>
      <c r="R257">
        <v>17</v>
      </c>
      <c r="T257">
        <v>365</v>
      </c>
      <c r="U257" t="s">
        <v>1054</v>
      </c>
      <c r="V257" s="7">
        <v>59.990001679999999</v>
      </c>
      <c r="W257" s="7">
        <v>54.488929209402009</v>
      </c>
      <c r="X257">
        <v>2</v>
      </c>
      <c r="Y257" s="7">
        <v>30</v>
      </c>
      <c r="Z257" s="7">
        <v>119.98000336</v>
      </c>
      <c r="AA257" s="7">
        <f t="shared" si="14"/>
        <v>89.980003359999998</v>
      </c>
      <c r="AB257" t="s">
        <v>30</v>
      </c>
      <c r="AC257" t="str">
        <f t="shared" si="15"/>
        <v>Cash Not Over 200</v>
      </c>
    </row>
    <row r="258" spans="1:29" x14ac:dyDescent="0.25">
      <c r="A258">
        <v>43976</v>
      </c>
      <c r="B258" s="2">
        <v>42439</v>
      </c>
      <c r="C258">
        <v>4</v>
      </c>
      <c r="D258" s="2">
        <f t="shared" si="12"/>
        <v>42445</v>
      </c>
      <c r="E258">
        <v>0</v>
      </c>
      <c r="F258" t="s">
        <v>62</v>
      </c>
      <c r="G258" t="str">
        <f t="shared" si="13"/>
        <v>Other</v>
      </c>
      <c r="H258">
        <v>29</v>
      </c>
      <c r="I258">
        <v>1171</v>
      </c>
      <c r="J258">
        <v>5</v>
      </c>
      <c r="K258" t="s">
        <v>31</v>
      </c>
      <c r="L258" t="s">
        <v>25</v>
      </c>
      <c r="M258" t="s">
        <v>181</v>
      </c>
      <c r="N258" t="s">
        <v>140</v>
      </c>
      <c r="P258" t="s">
        <v>88</v>
      </c>
      <c r="Q258" t="s">
        <v>89</v>
      </c>
      <c r="R258">
        <v>29</v>
      </c>
      <c r="T258">
        <v>627</v>
      </c>
      <c r="U258" t="s">
        <v>1046</v>
      </c>
      <c r="V258" s="7">
        <v>39.990001679999999</v>
      </c>
      <c r="W258" s="7">
        <v>34.198098313835338</v>
      </c>
      <c r="X258">
        <v>2</v>
      </c>
      <c r="Y258" s="7">
        <v>8</v>
      </c>
      <c r="Z258" s="7">
        <v>79.980003359999998</v>
      </c>
      <c r="AA258" s="7">
        <f t="shared" si="14"/>
        <v>71.980003359999998</v>
      </c>
      <c r="AB258" t="s">
        <v>30</v>
      </c>
      <c r="AC258" t="str">
        <f t="shared" si="15"/>
        <v>Cash Not Over 200</v>
      </c>
    </row>
    <row r="259" spans="1:29" x14ac:dyDescent="0.25">
      <c r="A259">
        <v>41322</v>
      </c>
      <c r="B259" s="2">
        <v>42608</v>
      </c>
      <c r="C259">
        <v>4</v>
      </c>
      <c r="D259" s="2">
        <f t="shared" ref="D259:D322" si="16">WORKDAY(B259,C259)</f>
        <v>42614</v>
      </c>
      <c r="E259">
        <v>0</v>
      </c>
      <c r="F259" t="s">
        <v>62</v>
      </c>
      <c r="G259" t="str">
        <f t="shared" ref="G259:G322" si="17">IF(AND(E259=0,F259="Same Day"),"Same Day - On Time","Other")</f>
        <v>Other</v>
      </c>
      <c r="H259">
        <v>29</v>
      </c>
      <c r="I259">
        <v>2924</v>
      </c>
      <c r="J259">
        <v>5</v>
      </c>
      <c r="K259" t="s">
        <v>31</v>
      </c>
      <c r="L259" t="s">
        <v>25</v>
      </c>
      <c r="M259" t="s">
        <v>186</v>
      </c>
      <c r="N259" t="s">
        <v>87</v>
      </c>
      <c r="P259" t="s">
        <v>88</v>
      </c>
      <c r="Q259" t="s">
        <v>89</v>
      </c>
      <c r="R259">
        <v>29</v>
      </c>
      <c r="T259">
        <v>627</v>
      </c>
      <c r="U259" t="s">
        <v>1046</v>
      </c>
      <c r="V259" s="7">
        <v>39.990001679999999</v>
      </c>
      <c r="W259" s="7">
        <v>34.198098313835338</v>
      </c>
      <c r="X259">
        <v>2</v>
      </c>
      <c r="Y259" s="7">
        <v>9.6000003809999992</v>
      </c>
      <c r="Z259" s="7">
        <v>79.980003359999998</v>
      </c>
      <c r="AA259" s="7">
        <f t="shared" ref="AA259:AA322" si="18">Z259-Y259</f>
        <v>70.380002978999997</v>
      </c>
      <c r="AB259" t="s">
        <v>30</v>
      </c>
      <c r="AC259" t="str">
        <f t="shared" ref="AC259:AC322" si="19">IF(AND(AA259&gt;200,AB259="CASH"),"Cash Over 200",IF(AB259="CASH","Cash Not Over 200","Non-Cash Payments"))</f>
        <v>Cash Not Over 200</v>
      </c>
    </row>
    <row r="260" spans="1:29" x14ac:dyDescent="0.25">
      <c r="A260">
        <v>45454</v>
      </c>
      <c r="B260" s="2">
        <v>42668</v>
      </c>
      <c r="C260">
        <v>4</v>
      </c>
      <c r="D260" s="2">
        <f t="shared" si="16"/>
        <v>42674</v>
      </c>
      <c r="E260">
        <v>1</v>
      </c>
      <c r="F260" t="s">
        <v>62</v>
      </c>
      <c r="G260" t="str">
        <f t="shared" si="17"/>
        <v>Other</v>
      </c>
      <c r="H260">
        <v>24</v>
      </c>
      <c r="I260">
        <v>2260</v>
      </c>
      <c r="J260">
        <v>5</v>
      </c>
      <c r="K260" t="s">
        <v>31</v>
      </c>
      <c r="L260" t="s">
        <v>25</v>
      </c>
      <c r="M260" t="s">
        <v>233</v>
      </c>
      <c r="N260" t="s">
        <v>234</v>
      </c>
      <c r="P260" t="s">
        <v>96</v>
      </c>
      <c r="Q260" t="s">
        <v>52</v>
      </c>
      <c r="R260">
        <v>24</v>
      </c>
      <c r="T260">
        <v>502</v>
      </c>
      <c r="U260" t="s">
        <v>1058</v>
      </c>
      <c r="V260" s="7">
        <v>50</v>
      </c>
      <c r="W260" s="7">
        <v>43.678035218757444</v>
      </c>
      <c r="X260">
        <v>2</v>
      </c>
      <c r="Y260" s="7">
        <v>15</v>
      </c>
      <c r="Z260" s="7">
        <v>100</v>
      </c>
      <c r="AA260" s="7">
        <f t="shared" si="18"/>
        <v>85</v>
      </c>
      <c r="AB260" t="s">
        <v>30</v>
      </c>
      <c r="AC260" t="str">
        <f t="shared" si="19"/>
        <v>Cash Not Over 200</v>
      </c>
    </row>
    <row r="261" spans="1:29" x14ac:dyDescent="0.25">
      <c r="A261">
        <v>47908</v>
      </c>
      <c r="B261" s="2">
        <v>42704</v>
      </c>
      <c r="C261">
        <v>4</v>
      </c>
      <c r="D261" s="2">
        <f t="shared" si="16"/>
        <v>42710</v>
      </c>
      <c r="E261">
        <v>0</v>
      </c>
      <c r="F261" t="s">
        <v>62</v>
      </c>
      <c r="G261" t="str">
        <f t="shared" si="17"/>
        <v>Other</v>
      </c>
      <c r="H261">
        <v>40</v>
      </c>
      <c r="I261">
        <v>6944</v>
      </c>
      <c r="J261">
        <v>6</v>
      </c>
      <c r="K261" t="s">
        <v>35</v>
      </c>
      <c r="L261" t="s">
        <v>25</v>
      </c>
      <c r="M261" t="s">
        <v>36</v>
      </c>
      <c r="N261" t="s">
        <v>36</v>
      </c>
      <c r="P261" t="s">
        <v>37</v>
      </c>
      <c r="Q261" t="s">
        <v>29</v>
      </c>
      <c r="R261">
        <v>40</v>
      </c>
      <c r="T261">
        <v>905</v>
      </c>
      <c r="U261" t="s">
        <v>1060</v>
      </c>
      <c r="V261" s="7">
        <v>24.989999770000001</v>
      </c>
      <c r="W261" s="7">
        <v>20.52742837007143</v>
      </c>
      <c r="X261">
        <v>2</v>
      </c>
      <c r="Y261" s="7">
        <v>1</v>
      </c>
      <c r="Z261" s="7">
        <v>49.979999540000001</v>
      </c>
      <c r="AA261" s="7">
        <f t="shared" si="18"/>
        <v>48.979999540000001</v>
      </c>
      <c r="AB261" t="s">
        <v>30</v>
      </c>
      <c r="AC261" t="str">
        <f t="shared" si="19"/>
        <v>Cash Not Over 200</v>
      </c>
    </row>
    <row r="262" spans="1:29" x14ac:dyDescent="0.25">
      <c r="A262">
        <v>45454</v>
      </c>
      <c r="B262" s="2">
        <v>42668</v>
      </c>
      <c r="C262">
        <v>4</v>
      </c>
      <c r="D262" s="2">
        <f t="shared" si="16"/>
        <v>42674</v>
      </c>
      <c r="E262">
        <v>1</v>
      </c>
      <c r="F262" t="s">
        <v>62</v>
      </c>
      <c r="G262" t="str">
        <f t="shared" si="17"/>
        <v>Other</v>
      </c>
      <c r="H262">
        <v>41</v>
      </c>
      <c r="I262">
        <v>2260</v>
      </c>
      <c r="J262">
        <v>6</v>
      </c>
      <c r="K262" t="s">
        <v>35</v>
      </c>
      <c r="L262" t="s">
        <v>25</v>
      </c>
      <c r="M262" t="s">
        <v>233</v>
      </c>
      <c r="N262" t="s">
        <v>234</v>
      </c>
      <c r="P262" t="s">
        <v>96</v>
      </c>
      <c r="Q262" t="s">
        <v>52</v>
      </c>
      <c r="R262">
        <v>41</v>
      </c>
      <c r="T262">
        <v>924</v>
      </c>
      <c r="U262" t="s">
        <v>1068</v>
      </c>
      <c r="V262" s="7">
        <v>15.989999770000001</v>
      </c>
      <c r="W262" s="7">
        <v>16.143866608000003</v>
      </c>
      <c r="X262">
        <v>2</v>
      </c>
      <c r="Y262" s="7">
        <v>1.7599999900000001</v>
      </c>
      <c r="Z262" s="7">
        <v>31.979999540000001</v>
      </c>
      <c r="AA262" s="7">
        <f t="shared" si="18"/>
        <v>30.219999550000001</v>
      </c>
      <c r="AB262" t="s">
        <v>30</v>
      </c>
      <c r="AC262" t="str">
        <f t="shared" si="19"/>
        <v>Cash Not Over 200</v>
      </c>
    </row>
    <row r="263" spans="1:29" x14ac:dyDescent="0.25">
      <c r="A263">
        <v>49384</v>
      </c>
      <c r="B263" s="2">
        <v>42725</v>
      </c>
      <c r="C263">
        <v>4</v>
      </c>
      <c r="D263" s="2">
        <f t="shared" si="16"/>
        <v>42731</v>
      </c>
      <c r="E263">
        <v>1</v>
      </c>
      <c r="F263" t="s">
        <v>62</v>
      </c>
      <c r="G263" t="str">
        <f t="shared" si="17"/>
        <v>Other</v>
      </c>
      <c r="H263">
        <v>37</v>
      </c>
      <c r="I263">
        <v>3358</v>
      </c>
      <c r="J263">
        <v>6</v>
      </c>
      <c r="K263" t="s">
        <v>35</v>
      </c>
      <c r="L263" t="s">
        <v>25</v>
      </c>
      <c r="M263" t="s">
        <v>67</v>
      </c>
      <c r="N263" t="s">
        <v>67</v>
      </c>
      <c r="P263" t="s">
        <v>68</v>
      </c>
      <c r="Q263" t="s">
        <v>41</v>
      </c>
      <c r="R263">
        <v>37</v>
      </c>
      <c r="T263">
        <v>818</v>
      </c>
      <c r="U263" t="s">
        <v>1074</v>
      </c>
      <c r="V263" s="7">
        <v>47.990001679999999</v>
      </c>
      <c r="W263" s="7">
        <v>51.274287170714288</v>
      </c>
      <c r="X263">
        <v>2</v>
      </c>
      <c r="Y263" s="7">
        <v>15.35999966</v>
      </c>
      <c r="Z263" s="7">
        <v>95.980003359999998</v>
      </c>
      <c r="AA263" s="7">
        <f t="shared" si="18"/>
        <v>80.620003699999998</v>
      </c>
      <c r="AB263" t="s">
        <v>30</v>
      </c>
      <c r="AC263" t="str">
        <f t="shared" si="19"/>
        <v>Cash Not Over 200</v>
      </c>
    </row>
    <row r="264" spans="1:29" x14ac:dyDescent="0.25">
      <c r="A264">
        <v>42920</v>
      </c>
      <c r="B264" s="2">
        <v>42631</v>
      </c>
      <c r="C264">
        <v>4</v>
      </c>
      <c r="D264" s="2">
        <f t="shared" si="16"/>
        <v>42635</v>
      </c>
      <c r="E264">
        <v>1</v>
      </c>
      <c r="F264" t="s">
        <v>62</v>
      </c>
      <c r="G264" t="str">
        <f t="shared" si="17"/>
        <v>Other</v>
      </c>
      <c r="H264">
        <v>36</v>
      </c>
      <c r="I264">
        <v>716</v>
      </c>
      <c r="J264">
        <v>6</v>
      </c>
      <c r="K264" t="s">
        <v>35</v>
      </c>
      <c r="L264" t="s">
        <v>25</v>
      </c>
      <c r="M264" t="s">
        <v>173</v>
      </c>
      <c r="N264" t="s">
        <v>174</v>
      </c>
      <c r="P264" t="s">
        <v>28</v>
      </c>
      <c r="Q264" t="s">
        <v>29</v>
      </c>
      <c r="R264">
        <v>36</v>
      </c>
      <c r="T264">
        <v>804</v>
      </c>
      <c r="U264" t="s">
        <v>1090</v>
      </c>
      <c r="V264" s="7">
        <v>19.989999770000001</v>
      </c>
      <c r="W264" s="7">
        <v>13.643874764125</v>
      </c>
      <c r="X264">
        <v>2</v>
      </c>
      <c r="Y264" s="7">
        <v>6.8000001909999996</v>
      </c>
      <c r="Z264" s="7">
        <v>39.979999540000001</v>
      </c>
      <c r="AA264" s="7">
        <f t="shared" si="18"/>
        <v>33.179999348999999</v>
      </c>
      <c r="AB264" t="s">
        <v>30</v>
      </c>
      <c r="AC264" t="str">
        <f t="shared" si="19"/>
        <v>Cash Not Over 200</v>
      </c>
    </row>
    <row r="265" spans="1:29" x14ac:dyDescent="0.25">
      <c r="A265">
        <v>46951</v>
      </c>
      <c r="B265" s="2">
        <v>42690</v>
      </c>
      <c r="C265">
        <v>4</v>
      </c>
      <c r="D265" s="2">
        <f t="shared" si="16"/>
        <v>42696</v>
      </c>
      <c r="E265">
        <v>0</v>
      </c>
      <c r="F265" t="s">
        <v>62</v>
      </c>
      <c r="G265" t="str">
        <f t="shared" si="17"/>
        <v>Other</v>
      </c>
      <c r="H265">
        <v>29</v>
      </c>
      <c r="I265">
        <v>6408</v>
      </c>
      <c r="J265">
        <v>5</v>
      </c>
      <c r="K265" t="s">
        <v>31</v>
      </c>
      <c r="L265" t="s">
        <v>25</v>
      </c>
      <c r="M265" t="s">
        <v>169</v>
      </c>
      <c r="N265" t="s">
        <v>170</v>
      </c>
      <c r="P265" t="s">
        <v>28</v>
      </c>
      <c r="Q265" t="s">
        <v>29</v>
      </c>
      <c r="R265">
        <v>29</v>
      </c>
      <c r="T265">
        <v>642</v>
      </c>
      <c r="U265" t="s">
        <v>1091</v>
      </c>
      <c r="V265" s="7">
        <v>30</v>
      </c>
      <c r="W265" s="7">
        <v>37.315110652333338</v>
      </c>
      <c r="X265">
        <v>3</v>
      </c>
      <c r="Y265" s="7">
        <v>22.5</v>
      </c>
      <c r="Z265" s="7">
        <v>90</v>
      </c>
      <c r="AA265" s="7">
        <f t="shared" si="18"/>
        <v>67.5</v>
      </c>
      <c r="AB265" t="s">
        <v>30</v>
      </c>
      <c r="AC265" t="str">
        <f t="shared" si="19"/>
        <v>Cash Not Over 200</v>
      </c>
    </row>
    <row r="266" spans="1:29" x14ac:dyDescent="0.25">
      <c r="A266">
        <v>50364</v>
      </c>
      <c r="B266" s="2">
        <v>42856</v>
      </c>
      <c r="C266">
        <v>4</v>
      </c>
      <c r="D266" s="2">
        <f t="shared" si="16"/>
        <v>42860</v>
      </c>
      <c r="E266">
        <v>1</v>
      </c>
      <c r="F266" t="s">
        <v>62</v>
      </c>
      <c r="G266" t="str">
        <f t="shared" si="17"/>
        <v>Other</v>
      </c>
      <c r="H266">
        <v>17</v>
      </c>
      <c r="I266">
        <v>9082</v>
      </c>
      <c r="J266">
        <v>4</v>
      </c>
      <c r="K266" t="s">
        <v>46</v>
      </c>
      <c r="L266" t="s">
        <v>25</v>
      </c>
      <c r="M266" t="s">
        <v>93</v>
      </c>
      <c r="N266" t="s">
        <v>93</v>
      </c>
      <c r="P266" t="s">
        <v>28</v>
      </c>
      <c r="Q266" t="s">
        <v>29</v>
      </c>
      <c r="R266">
        <v>17</v>
      </c>
      <c r="T266">
        <v>365</v>
      </c>
      <c r="U266" t="s">
        <v>1054</v>
      </c>
      <c r="V266" s="7">
        <v>59.990001679999999</v>
      </c>
      <c r="W266" s="7">
        <v>54.488929209402009</v>
      </c>
      <c r="X266">
        <v>3</v>
      </c>
      <c r="Y266" s="7">
        <v>1.7999999520000001</v>
      </c>
      <c r="Z266" s="7">
        <v>179.97000503999999</v>
      </c>
      <c r="AA266" s="7">
        <f t="shared" si="18"/>
        <v>178.17000508799998</v>
      </c>
      <c r="AB266" t="s">
        <v>30</v>
      </c>
      <c r="AC266" t="str">
        <f t="shared" si="19"/>
        <v>Cash Not Over 200</v>
      </c>
    </row>
    <row r="267" spans="1:29" x14ac:dyDescent="0.25">
      <c r="A267">
        <v>42198</v>
      </c>
      <c r="B267" s="2">
        <v>42560</v>
      </c>
      <c r="C267">
        <v>4</v>
      </c>
      <c r="D267" s="2">
        <f t="shared" si="16"/>
        <v>42565</v>
      </c>
      <c r="E267">
        <v>0</v>
      </c>
      <c r="F267" t="s">
        <v>62</v>
      </c>
      <c r="G267" t="str">
        <f t="shared" si="17"/>
        <v>Other</v>
      </c>
      <c r="H267">
        <v>17</v>
      </c>
      <c r="I267">
        <v>2111</v>
      </c>
      <c r="J267">
        <v>4</v>
      </c>
      <c r="K267" t="s">
        <v>46</v>
      </c>
      <c r="L267" t="s">
        <v>25</v>
      </c>
      <c r="M267" t="s">
        <v>215</v>
      </c>
      <c r="N267" t="s">
        <v>216</v>
      </c>
      <c r="P267" t="s">
        <v>68</v>
      </c>
      <c r="Q267" t="s">
        <v>41</v>
      </c>
      <c r="R267">
        <v>17</v>
      </c>
      <c r="T267">
        <v>365</v>
      </c>
      <c r="U267" t="s">
        <v>1054</v>
      </c>
      <c r="V267" s="7">
        <v>59.990001679999999</v>
      </c>
      <c r="W267" s="7">
        <v>54.488929209402009</v>
      </c>
      <c r="X267">
        <v>3</v>
      </c>
      <c r="Y267" s="7">
        <v>3.5999999049999998</v>
      </c>
      <c r="Z267" s="7">
        <v>179.97000503999999</v>
      </c>
      <c r="AA267" s="7">
        <f t="shared" si="18"/>
        <v>176.37000513499999</v>
      </c>
      <c r="AB267" t="s">
        <v>30</v>
      </c>
      <c r="AC267" t="str">
        <f t="shared" si="19"/>
        <v>Cash Not Over 200</v>
      </c>
    </row>
    <row r="268" spans="1:29" x14ac:dyDescent="0.25">
      <c r="A268">
        <v>42198</v>
      </c>
      <c r="B268" s="2">
        <v>42560</v>
      </c>
      <c r="C268">
        <v>4</v>
      </c>
      <c r="D268" s="2">
        <f t="shared" si="16"/>
        <v>42565</v>
      </c>
      <c r="E268">
        <v>0</v>
      </c>
      <c r="F268" t="s">
        <v>62</v>
      </c>
      <c r="G268" t="str">
        <f t="shared" si="17"/>
        <v>Other</v>
      </c>
      <c r="H268">
        <v>17</v>
      </c>
      <c r="I268">
        <v>2111</v>
      </c>
      <c r="J268">
        <v>4</v>
      </c>
      <c r="K268" t="s">
        <v>46</v>
      </c>
      <c r="L268" t="s">
        <v>25</v>
      </c>
      <c r="M268" t="s">
        <v>215</v>
      </c>
      <c r="N268" t="s">
        <v>216</v>
      </c>
      <c r="P268" t="s">
        <v>68</v>
      </c>
      <c r="Q268" t="s">
        <v>41</v>
      </c>
      <c r="R268">
        <v>17</v>
      </c>
      <c r="T268">
        <v>365</v>
      </c>
      <c r="U268" t="s">
        <v>1054</v>
      </c>
      <c r="V268" s="7">
        <v>59.990001679999999</v>
      </c>
      <c r="W268" s="7">
        <v>54.488929209402009</v>
      </c>
      <c r="X268">
        <v>3</v>
      </c>
      <c r="Y268" s="7">
        <v>5.4000000950000002</v>
      </c>
      <c r="Z268" s="7">
        <v>179.97000503999999</v>
      </c>
      <c r="AA268" s="7">
        <f t="shared" si="18"/>
        <v>174.57000494499999</v>
      </c>
      <c r="AB268" t="s">
        <v>30</v>
      </c>
      <c r="AC268" t="str">
        <f t="shared" si="19"/>
        <v>Cash Not Over 200</v>
      </c>
    </row>
    <row r="269" spans="1:29" x14ac:dyDescent="0.25">
      <c r="A269">
        <v>46907</v>
      </c>
      <c r="B269" s="2">
        <v>42689</v>
      </c>
      <c r="C269">
        <v>4</v>
      </c>
      <c r="D269" s="2">
        <f t="shared" si="16"/>
        <v>42695</v>
      </c>
      <c r="E269">
        <v>0</v>
      </c>
      <c r="F269" t="s">
        <v>62</v>
      </c>
      <c r="G269" t="str">
        <f t="shared" si="17"/>
        <v>Other</v>
      </c>
      <c r="H269">
        <v>17</v>
      </c>
      <c r="I269">
        <v>2324</v>
      </c>
      <c r="J269">
        <v>4</v>
      </c>
      <c r="K269" t="s">
        <v>46</v>
      </c>
      <c r="L269" t="s">
        <v>25</v>
      </c>
      <c r="M269" t="s">
        <v>179</v>
      </c>
      <c r="N269" t="s">
        <v>180</v>
      </c>
      <c r="P269" t="s">
        <v>28</v>
      </c>
      <c r="Q269" t="s">
        <v>29</v>
      </c>
      <c r="R269">
        <v>17</v>
      </c>
      <c r="T269">
        <v>365</v>
      </c>
      <c r="U269" t="s">
        <v>1054</v>
      </c>
      <c r="V269" s="7">
        <v>59.990001679999999</v>
      </c>
      <c r="W269" s="7">
        <v>54.488929209402009</v>
      </c>
      <c r="X269">
        <v>3</v>
      </c>
      <c r="Y269" s="7">
        <v>7.1999998090000004</v>
      </c>
      <c r="Z269" s="7">
        <v>179.97000503999999</v>
      </c>
      <c r="AA269" s="7">
        <f t="shared" si="18"/>
        <v>172.770005231</v>
      </c>
      <c r="AB269" t="s">
        <v>30</v>
      </c>
      <c r="AC269" t="str">
        <f t="shared" si="19"/>
        <v>Cash Not Over 200</v>
      </c>
    </row>
    <row r="270" spans="1:29" x14ac:dyDescent="0.25">
      <c r="A270">
        <v>41322</v>
      </c>
      <c r="B270" s="2">
        <v>42608</v>
      </c>
      <c r="C270">
        <v>4</v>
      </c>
      <c r="D270" s="2">
        <f t="shared" si="16"/>
        <v>42614</v>
      </c>
      <c r="E270">
        <v>0</v>
      </c>
      <c r="F270" t="s">
        <v>62</v>
      </c>
      <c r="G270" t="str">
        <f t="shared" si="17"/>
        <v>Other</v>
      </c>
      <c r="H270">
        <v>17</v>
      </c>
      <c r="I270">
        <v>2924</v>
      </c>
      <c r="J270">
        <v>4</v>
      </c>
      <c r="K270" t="s">
        <v>46</v>
      </c>
      <c r="L270" t="s">
        <v>25</v>
      </c>
      <c r="M270" t="s">
        <v>186</v>
      </c>
      <c r="N270" t="s">
        <v>87</v>
      </c>
      <c r="P270" t="s">
        <v>88</v>
      </c>
      <c r="Q270" t="s">
        <v>89</v>
      </c>
      <c r="R270">
        <v>17</v>
      </c>
      <c r="T270">
        <v>365</v>
      </c>
      <c r="U270" t="s">
        <v>1054</v>
      </c>
      <c r="V270" s="7">
        <v>59.990001679999999</v>
      </c>
      <c r="W270" s="7">
        <v>54.488929209402009</v>
      </c>
      <c r="X270">
        <v>3</v>
      </c>
      <c r="Y270" s="7">
        <v>9</v>
      </c>
      <c r="Z270" s="7">
        <v>179.97000503999999</v>
      </c>
      <c r="AA270" s="7">
        <f t="shared" si="18"/>
        <v>170.97000503999999</v>
      </c>
      <c r="AB270" t="s">
        <v>30</v>
      </c>
      <c r="AC270" t="str">
        <f t="shared" si="19"/>
        <v>Cash Not Over 200</v>
      </c>
    </row>
    <row r="271" spans="1:29" x14ac:dyDescent="0.25">
      <c r="A271">
        <v>50213</v>
      </c>
      <c r="B271" s="2">
        <v>42767</v>
      </c>
      <c r="C271">
        <v>4</v>
      </c>
      <c r="D271" s="2">
        <f t="shared" si="16"/>
        <v>42773</v>
      </c>
      <c r="E271">
        <v>0</v>
      </c>
      <c r="F271" t="s">
        <v>62</v>
      </c>
      <c r="G271" t="str">
        <f t="shared" si="17"/>
        <v>Other</v>
      </c>
      <c r="H271">
        <v>17</v>
      </c>
      <c r="I271">
        <v>3405</v>
      </c>
      <c r="J271">
        <v>4</v>
      </c>
      <c r="K271" t="s">
        <v>46</v>
      </c>
      <c r="L271" t="s">
        <v>25</v>
      </c>
      <c r="M271" t="s">
        <v>176</v>
      </c>
      <c r="N271" t="s">
        <v>83</v>
      </c>
      <c r="P271" t="s">
        <v>28</v>
      </c>
      <c r="Q271" t="s">
        <v>29</v>
      </c>
      <c r="R271">
        <v>17</v>
      </c>
      <c r="T271">
        <v>365</v>
      </c>
      <c r="U271" t="s">
        <v>1054</v>
      </c>
      <c r="V271" s="7">
        <v>59.990001679999999</v>
      </c>
      <c r="W271" s="7">
        <v>54.488929209402009</v>
      </c>
      <c r="X271">
        <v>3</v>
      </c>
      <c r="Y271" s="7">
        <v>21.600000380000001</v>
      </c>
      <c r="Z271" s="7">
        <v>179.97000503999999</v>
      </c>
      <c r="AA271" s="7">
        <f t="shared" si="18"/>
        <v>158.37000465999998</v>
      </c>
      <c r="AB271" t="s">
        <v>30</v>
      </c>
      <c r="AC271" t="str">
        <f t="shared" si="19"/>
        <v>Cash Not Over 200</v>
      </c>
    </row>
    <row r="272" spans="1:29" x14ac:dyDescent="0.25">
      <c r="A272">
        <v>48622</v>
      </c>
      <c r="B272" s="2">
        <v>42655</v>
      </c>
      <c r="C272">
        <v>4</v>
      </c>
      <c r="D272" s="2">
        <f t="shared" si="16"/>
        <v>42661</v>
      </c>
      <c r="E272">
        <v>0</v>
      </c>
      <c r="F272" t="s">
        <v>62</v>
      </c>
      <c r="G272" t="str">
        <f t="shared" si="17"/>
        <v>Other</v>
      </c>
      <c r="H272">
        <v>24</v>
      </c>
      <c r="I272">
        <v>3150</v>
      </c>
      <c r="J272">
        <v>5</v>
      </c>
      <c r="K272" t="s">
        <v>31</v>
      </c>
      <c r="L272" t="s">
        <v>25</v>
      </c>
      <c r="M272" t="s">
        <v>32</v>
      </c>
      <c r="N272" t="s">
        <v>32</v>
      </c>
      <c r="P272" t="s">
        <v>33</v>
      </c>
      <c r="Q272" t="s">
        <v>34</v>
      </c>
      <c r="R272">
        <v>24</v>
      </c>
      <c r="T272">
        <v>502</v>
      </c>
      <c r="U272" t="s">
        <v>1058</v>
      </c>
      <c r="V272" s="7">
        <v>50</v>
      </c>
      <c r="W272" s="7">
        <v>43.678035218757444</v>
      </c>
      <c r="X272">
        <v>3</v>
      </c>
      <c r="Y272" s="7">
        <v>30</v>
      </c>
      <c r="Z272" s="7">
        <v>150</v>
      </c>
      <c r="AA272" s="7">
        <f t="shared" si="18"/>
        <v>120</v>
      </c>
      <c r="AB272" t="s">
        <v>30</v>
      </c>
      <c r="AC272" t="str">
        <f t="shared" si="19"/>
        <v>Cash Not Over 200</v>
      </c>
    </row>
    <row r="273" spans="1:29" x14ac:dyDescent="0.25">
      <c r="A273">
        <v>48622</v>
      </c>
      <c r="B273" s="2">
        <v>42655</v>
      </c>
      <c r="C273">
        <v>4</v>
      </c>
      <c r="D273" s="2">
        <f t="shared" si="16"/>
        <v>42661</v>
      </c>
      <c r="E273">
        <v>0</v>
      </c>
      <c r="F273" t="s">
        <v>62</v>
      </c>
      <c r="G273" t="str">
        <f t="shared" si="17"/>
        <v>Other</v>
      </c>
      <c r="H273">
        <v>24</v>
      </c>
      <c r="I273">
        <v>3150</v>
      </c>
      <c r="J273">
        <v>5</v>
      </c>
      <c r="K273" t="s">
        <v>31</v>
      </c>
      <c r="L273" t="s">
        <v>25</v>
      </c>
      <c r="M273" t="s">
        <v>32</v>
      </c>
      <c r="N273" t="s">
        <v>32</v>
      </c>
      <c r="P273" t="s">
        <v>33</v>
      </c>
      <c r="Q273" t="s">
        <v>34</v>
      </c>
      <c r="R273">
        <v>24</v>
      </c>
      <c r="T273">
        <v>502</v>
      </c>
      <c r="U273" t="s">
        <v>1058</v>
      </c>
      <c r="V273" s="7">
        <v>50</v>
      </c>
      <c r="W273" s="7">
        <v>43.678035218757444</v>
      </c>
      <c r="X273">
        <v>3</v>
      </c>
      <c r="Y273" s="7">
        <v>37.5</v>
      </c>
      <c r="Z273" s="7">
        <v>150</v>
      </c>
      <c r="AA273" s="7">
        <f t="shared" si="18"/>
        <v>112.5</v>
      </c>
      <c r="AB273" t="s">
        <v>30</v>
      </c>
      <c r="AC273" t="str">
        <f t="shared" si="19"/>
        <v>Cash Not Over 200</v>
      </c>
    </row>
    <row r="274" spans="1:29" x14ac:dyDescent="0.25">
      <c r="A274">
        <v>44027</v>
      </c>
      <c r="B274" s="2">
        <v>42470</v>
      </c>
      <c r="C274">
        <v>4</v>
      </c>
      <c r="D274" s="2">
        <f t="shared" si="16"/>
        <v>42474</v>
      </c>
      <c r="E274">
        <v>0</v>
      </c>
      <c r="F274" t="s">
        <v>62</v>
      </c>
      <c r="G274" t="str">
        <f t="shared" si="17"/>
        <v>Other</v>
      </c>
      <c r="H274">
        <v>40</v>
      </c>
      <c r="I274">
        <v>4594</v>
      </c>
      <c r="J274">
        <v>6</v>
      </c>
      <c r="K274" t="s">
        <v>35</v>
      </c>
      <c r="L274" t="s">
        <v>25</v>
      </c>
      <c r="M274" t="s">
        <v>134</v>
      </c>
      <c r="N274" t="s">
        <v>134</v>
      </c>
      <c r="P274" t="s">
        <v>28</v>
      </c>
      <c r="Q274" t="s">
        <v>29</v>
      </c>
      <c r="R274">
        <v>40</v>
      </c>
      <c r="T274">
        <v>893</v>
      </c>
      <c r="U274" t="s">
        <v>1092</v>
      </c>
      <c r="V274" s="7">
        <v>24.989999770000001</v>
      </c>
      <c r="W274" s="7">
        <v>19.858499913833334</v>
      </c>
      <c r="X274">
        <v>3</v>
      </c>
      <c r="Y274" s="7">
        <v>12</v>
      </c>
      <c r="Z274" s="7">
        <v>74.969999310000006</v>
      </c>
      <c r="AA274" s="7">
        <f t="shared" si="18"/>
        <v>62.969999310000006</v>
      </c>
      <c r="AB274" t="s">
        <v>30</v>
      </c>
      <c r="AC274" t="str">
        <f t="shared" si="19"/>
        <v>Cash Not Over 200</v>
      </c>
    </row>
    <row r="275" spans="1:29" x14ac:dyDescent="0.25">
      <c r="A275">
        <v>46745</v>
      </c>
      <c r="B275" s="2">
        <v>42687</v>
      </c>
      <c r="C275">
        <v>4</v>
      </c>
      <c r="D275" s="2">
        <f t="shared" si="16"/>
        <v>42691</v>
      </c>
      <c r="E275">
        <v>1</v>
      </c>
      <c r="F275" t="s">
        <v>62</v>
      </c>
      <c r="G275" t="str">
        <f t="shared" si="17"/>
        <v>Other</v>
      </c>
      <c r="H275">
        <v>36</v>
      </c>
      <c r="I275">
        <v>9444</v>
      </c>
      <c r="J275">
        <v>6</v>
      </c>
      <c r="K275" t="s">
        <v>35</v>
      </c>
      <c r="L275" t="s">
        <v>25</v>
      </c>
      <c r="M275" t="s">
        <v>235</v>
      </c>
      <c r="N275" t="s">
        <v>236</v>
      </c>
      <c r="P275" t="s">
        <v>96</v>
      </c>
      <c r="Q275" t="s">
        <v>52</v>
      </c>
      <c r="R275">
        <v>36</v>
      </c>
      <c r="T275">
        <v>804</v>
      </c>
      <c r="U275" t="s">
        <v>1090</v>
      </c>
      <c r="V275" s="7">
        <v>19.989999770000001</v>
      </c>
      <c r="W275" s="7">
        <v>13.643874764125</v>
      </c>
      <c r="X275">
        <v>4</v>
      </c>
      <c r="Y275" s="7">
        <v>4</v>
      </c>
      <c r="Z275" s="7">
        <v>79.959999080000003</v>
      </c>
      <c r="AA275" s="7">
        <f t="shared" si="18"/>
        <v>75.959999080000003</v>
      </c>
      <c r="AB275" t="s">
        <v>30</v>
      </c>
      <c r="AC275" t="str">
        <f t="shared" si="19"/>
        <v>Cash Not Over 200</v>
      </c>
    </row>
    <row r="276" spans="1:29" x14ac:dyDescent="0.25">
      <c r="A276">
        <v>49172</v>
      </c>
      <c r="B276" s="2">
        <v>42722</v>
      </c>
      <c r="C276">
        <v>4</v>
      </c>
      <c r="D276" s="2">
        <f t="shared" si="16"/>
        <v>42726</v>
      </c>
      <c r="E276">
        <v>0</v>
      </c>
      <c r="F276" t="s">
        <v>62</v>
      </c>
      <c r="G276" t="str">
        <f t="shared" si="17"/>
        <v>Other</v>
      </c>
      <c r="H276">
        <v>11</v>
      </c>
      <c r="I276">
        <v>7687</v>
      </c>
      <c r="J276">
        <v>3</v>
      </c>
      <c r="K276" t="s">
        <v>24</v>
      </c>
      <c r="L276" t="s">
        <v>25</v>
      </c>
      <c r="M276" t="s">
        <v>177</v>
      </c>
      <c r="N276" t="s">
        <v>178</v>
      </c>
      <c r="P276" t="s">
        <v>68</v>
      </c>
      <c r="Q276" t="s">
        <v>41</v>
      </c>
      <c r="R276">
        <v>11</v>
      </c>
      <c r="T276">
        <v>235</v>
      </c>
      <c r="U276" t="s">
        <v>1093</v>
      </c>
      <c r="V276" s="7">
        <v>34.990001679999999</v>
      </c>
      <c r="W276" s="7">
        <v>25.521801568600001</v>
      </c>
      <c r="X276">
        <v>4</v>
      </c>
      <c r="Y276" s="7">
        <v>23.790000920000001</v>
      </c>
      <c r="Z276" s="7">
        <v>139.96000672</v>
      </c>
      <c r="AA276" s="7">
        <f t="shared" si="18"/>
        <v>116.1700058</v>
      </c>
      <c r="AB276" t="s">
        <v>30</v>
      </c>
      <c r="AC276" t="str">
        <f t="shared" si="19"/>
        <v>Cash Not Over 200</v>
      </c>
    </row>
    <row r="277" spans="1:29" x14ac:dyDescent="0.25">
      <c r="A277">
        <v>44485</v>
      </c>
      <c r="B277" s="2">
        <v>42684</v>
      </c>
      <c r="C277">
        <v>4</v>
      </c>
      <c r="D277" s="2">
        <f t="shared" si="16"/>
        <v>42690</v>
      </c>
      <c r="E277">
        <v>1</v>
      </c>
      <c r="F277" t="s">
        <v>62</v>
      </c>
      <c r="G277" t="str">
        <f t="shared" si="17"/>
        <v>Other</v>
      </c>
      <c r="H277">
        <v>9</v>
      </c>
      <c r="I277">
        <v>7393</v>
      </c>
      <c r="J277">
        <v>3</v>
      </c>
      <c r="K277" t="s">
        <v>24</v>
      </c>
      <c r="L277" t="s">
        <v>25</v>
      </c>
      <c r="M277" t="s">
        <v>175</v>
      </c>
      <c r="N277" t="s">
        <v>87</v>
      </c>
      <c r="P277" t="s">
        <v>88</v>
      </c>
      <c r="Q277" t="s">
        <v>89</v>
      </c>
      <c r="R277">
        <v>9</v>
      </c>
      <c r="T277">
        <v>172</v>
      </c>
      <c r="U277" t="s">
        <v>1095</v>
      </c>
      <c r="V277" s="7">
        <v>30</v>
      </c>
      <c r="W277" s="7">
        <v>34.094166694333332</v>
      </c>
      <c r="X277">
        <v>4</v>
      </c>
      <c r="Y277" s="7">
        <v>24</v>
      </c>
      <c r="Z277" s="7">
        <v>120</v>
      </c>
      <c r="AA277" s="7">
        <f t="shared" si="18"/>
        <v>96</v>
      </c>
      <c r="AB277" t="s">
        <v>30</v>
      </c>
      <c r="AC277" t="str">
        <f t="shared" si="19"/>
        <v>Cash Not Over 200</v>
      </c>
    </row>
    <row r="278" spans="1:29" x14ac:dyDescent="0.25">
      <c r="A278">
        <v>12827</v>
      </c>
      <c r="B278" s="2">
        <v>42192</v>
      </c>
      <c r="C278">
        <v>2</v>
      </c>
      <c r="D278" s="2">
        <f t="shared" si="16"/>
        <v>42194</v>
      </c>
      <c r="E278">
        <v>1</v>
      </c>
      <c r="F278" t="s">
        <v>23</v>
      </c>
      <c r="G278" t="str">
        <f t="shared" si="17"/>
        <v>Other</v>
      </c>
      <c r="H278">
        <v>9</v>
      </c>
      <c r="I278">
        <v>542</v>
      </c>
      <c r="J278">
        <v>3</v>
      </c>
      <c r="K278" t="s">
        <v>24</v>
      </c>
      <c r="L278" t="s">
        <v>237</v>
      </c>
      <c r="M278" t="s">
        <v>238</v>
      </c>
      <c r="N278" t="s">
        <v>239</v>
      </c>
      <c r="P278" t="s">
        <v>240</v>
      </c>
      <c r="Q278" t="s">
        <v>241</v>
      </c>
      <c r="R278">
        <v>9</v>
      </c>
      <c r="T278">
        <v>191</v>
      </c>
      <c r="U278" t="s">
        <v>1044</v>
      </c>
      <c r="V278" s="7">
        <v>99.989997860000003</v>
      </c>
      <c r="W278" s="7">
        <v>95.114003926871064</v>
      </c>
      <c r="X278">
        <v>3</v>
      </c>
      <c r="Y278" s="7">
        <v>6</v>
      </c>
      <c r="Z278" s="7">
        <v>299.96999357999999</v>
      </c>
      <c r="AA278" s="7">
        <f t="shared" si="18"/>
        <v>293.96999357999999</v>
      </c>
      <c r="AB278" t="s">
        <v>30</v>
      </c>
      <c r="AC278" t="str">
        <f t="shared" si="19"/>
        <v>Cash Over 200</v>
      </c>
    </row>
    <row r="279" spans="1:29" x14ac:dyDescent="0.25">
      <c r="A279">
        <v>63936</v>
      </c>
      <c r="B279" s="2">
        <v>42938</v>
      </c>
      <c r="C279">
        <v>2</v>
      </c>
      <c r="D279" s="2">
        <f t="shared" si="16"/>
        <v>42941</v>
      </c>
      <c r="E279">
        <v>0</v>
      </c>
      <c r="F279" t="s">
        <v>23</v>
      </c>
      <c r="G279" t="str">
        <f t="shared" si="17"/>
        <v>Other</v>
      </c>
      <c r="H279">
        <v>9</v>
      </c>
      <c r="I279">
        <v>11329</v>
      </c>
      <c r="J279">
        <v>3</v>
      </c>
      <c r="K279" t="s">
        <v>24</v>
      </c>
      <c r="L279" t="s">
        <v>237</v>
      </c>
      <c r="M279" t="s">
        <v>242</v>
      </c>
      <c r="N279" t="s">
        <v>243</v>
      </c>
      <c r="P279" t="s">
        <v>244</v>
      </c>
      <c r="Q279" t="s">
        <v>241</v>
      </c>
      <c r="R279">
        <v>9</v>
      </c>
      <c r="T279">
        <v>191</v>
      </c>
      <c r="U279" t="s">
        <v>1044</v>
      </c>
      <c r="V279" s="7">
        <v>99.989997860000003</v>
      </c>
      <c r="W279" s="7">
        <v>95.114003926871064</v>
      </c>
      <c r="X279">
        <v>3</v>
      </c>
      <c r="Y279" s="7">
        <v>30</v>
      </c>
      <c r="Z279" s="7">
        <v>299.96999357999999</v>
      </c>
      <c r="AA279" s="7">
        <f t="shared" si="18"/>
        <v>269.96999357999999</v>
      </c>
      <c r="AB279" t="s">
        <v>30</v>
      </c>
      <c r="AC279" t="str">
        <f t="shared" si="19"/>
        <v>Cash Over 200</v>
      </c>
    </row>
    <row r="280" spans="1:29" x14ac:dyDescent="0.25">
      <c r="A280">
        <v>65030</v>
      </c>
      <c r="B280" s="2">
        <v>42924</v>
      </c>
      <c r="C280">
        <v>2</v>
      </c>
      <c r="D280" s="2">
        <f t="shared" si="16"/>
        <v>42927</v>
      </c>
      <c r="E280">
        <v>1</v>
      </c>
      <c r="F280" t="s">
        <v>23</v>
      </c>
      <c r="G280" t="str">
        <f t="shared" si="17"/>
        <v>Other</v>
      </c>
      <c r="H280">
        <v>9</v>
      </c>
      <c r="I280">
        <v>3570</v>
      </c>
      <c r="J280">
        <v>3</v>
      </c>
      <c r="K280" t="s">
        <v>24</v>
      </c>
      <c r="L280" t="s">
        <v>237</v>
      </c>
      <c r="M280" t="s">
        <v>245</v>
      </c>
      <c r="N280" t="s">
        <v>246</v>
      </c>
      <c r="P280" t="s">
        <v>244</v>
      </c>
      <c r="Q280" t="s">
        <v>241</v>
      </c>
      <c r="R280">
        <v>9</v>
      </c>
      <c r="T280">
        <v>191</v>
      </c>
      <c r="U280" t="s">
        <v>1044</v>
      </c>
      <c r="V280" s="7">
        <v>99.989997860000003</v>
      </c>
      <c r="W280" s="7">
        <v>95.114003926871064</v>
      </c>
      <c r="X280">
        <v>3</v>
      </c>
      <c r="Y280" s="7">
        <v>74.989997860000003</v>
      </c>
      <c r="Z280" s="7">
        <v>299.96999357999999</v>
      </c>
      <c r="AA280" s="7">
        <f t="shared" si="18"/>
        <v>224.97999571999998</v>
      </c>
      <c r="AB280" t="s">
        <v>30</v>
      </c>
      <c r="AC280" t="str">
        <f t="shared" si="19"/>
        <v>Cash Over 200</v>
      </c>
    </row>
    <row r="281" spans="1:29" x14ac:dyDescent="0.25">
      <c r="A281">
        <v>18108</v>
      </c>
      <c r="B281" s="2">
        <v>42269</v>
      </c>
      <c r="C281">
        <v>2</v>
      </c>
      <c r="D281" s="2">
        <f t="shared" si="16"/>
        <v>42271</v>
      </c>
      <c r="E281">
        <v>1</v>
      </c>
      <c r="F281" t="s">
        <v>23</v>
      </c>
      <c r="G281" t="str">
        <f t="shared" si="17"/>
        <v>Other</v>
      </c>
      <c r="H281">
        <v>17</v>
      </c>
      <c r="I281">
        <v>650</v>
      </c>
      <c r="J281">
        <v>4</v>
      </c>
      <c r="K281" t="s">
        <v>46</v>
      </c>
      <c r="L281" t="s">
        <v>237</v>
      </c>
      <c r="M281" t="s">
        <v>247</v>
      </c>
      <c r="N281" t="s">
        <v>247</v>
      </c>
      <c r="P281" t="s">
        <v>248</v>
      </c>
      <c r="Q281" t="s">
        <v>241</v>
      </c>
      <c r="R281">
        <v>17</v>
      </c>
      <c r="T281">
        <v>365</v>
      </c>
      <c r="U281" t="s">
        <v>1054</v>
      </c>
      <c r="V281" s="7">
        <v>59.990001679999999</v>
      </c>
      <c r="W281" s="7">
        <v>54.488929209402009</v>
      </c>
      <c r="X281">
        <v>3</v>
      </c>
      <c r="Y281" s="7">
        <v>3.5999999049999998</v>
      </c>
      <c r="Z281" s="7">
        <v>179.97000503999999</v>
      </c>
      <c r="AA281" s="7">
        <f t="shared" si="18"/>
        <v>176.37000513499999</v>
      </c>
      <c r="AB281" t="s">
        <v>30</v>
      </c>
      <c r="AC281" t="str">
        <f t="shared" si="19"/>
        <v>Cash Not Over 200</v>
      </c>
    </row>
    <row r="282" spans="1:29" x14ac:dyDescent="0.25">
      <c r="A282">
        <v>62571</v>
      </c>
      <c r="B282" s="2">
        <v>42773</v>
      </c>
      <c r="C282">
        <v>2</v>
      </c>
      <c r="D282" s="2">
        <f t="shared" si="16"/>
        <v>42775</v>
      </c>
      <c r="E282">
        <v>0</v>
      </c>
      <c r="F282" t="s">
        <v>23</v>
      </c>
      <c r="G282" t="str">
        <f t="shared" si="17"/>
        <v>Other</v>
      </c>
      <c r="H282">
        <v>17</v>
      </c>
      <c r="I282">
        <v>9353</v>
      </c>
      <c r="J282">
        <v>4</v>
      </c>
      <c r="K282" t="s">
        <v>46</v>
      </c>
      <c r="L282" t="s">
        <v>237</v>
      </c>
      <c r="M282" t="s">
        <v>249</v>
      </c>
      <c r="N282" t="s">
        <v>250</v>
      </c>
      <c r="P282" t="s">
        <v>251</v>
      </c>
      <c r="Q282" t="s">
        <v>252</v>
      </c>
      <c r="R282">
        <v>17</v>
      </c>
      <c r="T282">
        <v>365</v>
      </c>
      <c r="U282" t="s">
        <v>1054</v>
      </c>
      <c r="V282" s="7">
        <v>59.990001679999999</v>
      </c>
      <c r="W282" s="7">
        <v>54.488929209402009</v>
      </c>
      <c r="X282">
        <v>3</v>
      </c>
      <c r="Y282" s="7">
        <v>12.600000380000001</v>
      </c>
      <c r="Z282" s="7">
        <v>179.97000503999999</v>
      </c>
      <c r="AA282" s="7">
        <f t="shared" si="18"/>
        <v>167.37000465999998</v>
      </c>
      <c r="AB282" t="s">
        <v>30</v>
      </c>
      <c r="AC282" t="str">
        <f t="shared" si="19"/>
        <v>Cash Not Over 200</v>
      </c>
    </row>
    <row r="283" spans="1:29" x14ac:dyDescent="0.25">
      <c r="A283">
        <v>17162</v>
      </c>
      <c r="B283" s="2">
        <v>42225</v>
      </c>
      <c r="C283">
        <v>2</v>
      </c>
      <c r="D283" s="2">
        <f t="shared" si="16"/>
        <v>42227</v>
      </c>
      <c r="E283">
        <v>1</v>
      </c>
      <c r="F283" t="s">
        <v>23</v>
      </c>
      <c r="G283" t="str">
        <f t="shared" si="17"/>
        <v>Other</v>
      </c>
      <c r="H283">
        <v>17</v>
      </c>
      <c r="I283">
        <v>54</v>
      </c>
      <c r="J283">
        <v>4</v>
      </c>
      <c r="K283" t="s">
        <v>46</v>
      </c>
      <c r="L283" t="s">
        <v>237</v>
      </c>
      <c r="M283" t="s">
        <v>253</v>
      </c>
      <c r="N283" t="s">
        <v>250</v>
      </c>
      <c r="P283" t="s">
        <v>251</v>
      </c>
      <c r="Q283" t="s">
        <v>252</v>
      </c>
      <c r="R283">
        <v>17</v>
      </c>
      <c r="T283">
        <v>365</v>
      </c>
      <c r="U283" t="s">
        <v>1054</v>
      </c>
      <c r="V283" s="7">
        <v>59.990001679999999</v>
      </c>
      <c r="W283" s="7">
        <v>54.488929209402009</v>
      </c>
      <c r="X283">
        <v>3</v>
      </c>
      <c r="Y283" s="7">
        <v>16.200000760000002</v>
      </c>
      <c r="Z283" s="7">
        <v>179.97000503999999</v>
      </c>
      <c r="AA283" s="7">
        <f t="shared" si="18"/>
        <v>163.77000427999999</v>
      </c>
      <c r="AB283" t="s">
        <v>30</v>
      </c>
      <c r="AC283" t="str">
        <f t="shared" si="19"/>
        <v>Cash Not Over 200</v>
      </c>
    </row>
    <row r="284" spans="1:29" x14ac:dyDescent="0.25">
      <c r="A284">
        <v>65922</v>
      </c>
      <c r="B284" s="2">
        <v>42967</v>
      </c>
      <c r="C284">
        <v>2</v>
      </c>
      <c r="D284" s="2">
        <f t="shared" si="16"/>
        <v>42969</v>
      </c>
      <c r="E284">
        <v>1</v>
      </c>
      <c r="F284" t="s">
        <v>23</v>
      </c>
      <c r="G284" t="str">
        <f t="shared" si="17"/>
        <v>Other</v>
      </c>
      <c r="H284">
        <v>17</v>
      </c>
      <c r="I284">
        <v>12151</v>
      </c>
      <c r="J284">
        <v>4</v>
      </c>
      <c r="K284" t="s">
        <v>46</v>
      </c>
      <c r="L284" t="s">
        <v>237</v>
      </c>
      <c r="M284" t="s">
        <v>254</v>
      </c>
      <c r="N284" t="s">
        <v>255</v>
      </c>
      <c r="P284" t="s">
        <v>244</v>
      </c>
      <c r="Q284" t="s">
        <v>241</v>
      </c>
      <c r="R284">
        <v>17</v>
      </c>
      <c r="T284">
        <v>365</v>
      </c>
      <c r="U284" t="s">
        <v>1054</v>
      </c>
      <c r="V284" s="7">
        <v>59.990001679999999</v>
      </c>
      <c r="W284" s="7">
        <v>54.488929209402009</v>
      </c>
      <c r="X284">
        <v>3</v>
      </c>
      <c r="Y284" s="7">
        <v>18</v>
      </c>
      <c r="Z284" s="7">
        <v>179.97000503999999</v>
      </c>
      <c r="AA284" s="7">
        <f t="shared" si="18"/>
        <v>161.97000503999999</v>
      </c>
      <c r="AB284" t="s">
        <v>30</v>
      </c>
      <c r="AC284" t="str">
        <f t="shared" si="19"/>
        <v>Cash Not Over 200</v>
      </c>
    </row>
    <row r="285" spans="1:29" x14ac:dyDescent="0.25">
      <c r="A285">
        <v>63936</v>
      </c>
      <c r="B285" s="2">
        <v>42938</v>
      </c>
      <c r="C285">
        <v>2</v>
      </c>
      <c r="D285" s="2">
        <f t="shared" si="16"/>
        <v>42941</v>
      </c>
      <c r="E285">
        <v>0</v>
      </c>
      <c r="F285" t="s">
        <v>23</v>
      </c>
      <c r="G285" t="str">
        <f t="shared" si="17"/>
        <v>Other</v>
      </c>
      <c r="H285">
        <v>24</v>
      </c>
      <c r="I285">
        <v>11329</v>
      </c>
      <c r="J285">
        <v>5</v>
      </c>
      <c r="K285" t="s">
        <v>31</v>
      </c>
      <c r="L285" t="s">
        <v>237</v>
      </c>
      <c r="M285" t="s">
        <v>242</v>
      </c>
      <c r="N285" t="s">
        <v>243</v>
      </c>
      <c r="P285" t="s">
        <v>244</v>
      </c>
      <c r="Q285" t="s">
        <v>241</v>
      </c>
      <c r="R285">
        <v>24</v>
      </c>
      <c r="T285">
        <v>502</v>
      </c>
      <c r="U285" t="s">
        <v>1058</v>
      </c>
      <c r="V285" s="7">
        <v>50</v>
      </c>
      <c r="W285" s="7">
        <v>43.678035218757444</v>
      </c>
      <c r="X285">
        <v>3</v>
      </c>
      <c r="Y285" s="7">
        <v>10.5</v>
      </c>
      <c r="Z285" s="7">
        <v>150</v>
      </c>
      <c r="AA285" s="7">
        <f t="shared" si="18"/>
        <v>139.5</v>
      </c>
      <c r="AB285" t="s">
        <v>30</v>
      </c>
      <c r="AC285" t="str">
        <f t="shared" si="19"/>
        <v>Cash Not Over 200</v>
      </c>
    </row>
    <row r="286" spans="1:29" x14ac:dyDescent="0.25">
      <c r="A286">
        <v>64813</v>
      </c>
      <c r="B286" s="2">
        <v>42833</v>
      </c>
      <c r="C286">
        <v>2</v>
      </c>
      <c r="D286" s="2">
        <f t="shared" si="16"/>
        <v>42836</v>
      </c>
      <c r="E286">
        <v>1</v>
      </c>
      <c r="F286" t="s">
        <v>23</v>
      </c>
      <c r="G286" t="str">
        <f t="shared" si="17"/>
        <v>Other</v>
      </c>
      <c r="H286">
        <v>29</v>
      </c>
      <c r="I286">
        <v>10018</v>
      </c>
      <c r="J286">
        <v>5</v>
      </c>
      <c r="K286" t="s">
        <v>31</v>
      </c>
      <c r="L286" t="s">
        <v>237</v>
      </c>
      <c r="M286" t="s">
        <v>256</v>
      </c>
      <c r="N286" t="s">
        <v>250</v>
      </c>
      <c r="P286" t="s">
        <v>251</v>
      </c>
      <c r="Q286" t="s">
        <v>252</v>
      </c>
      <c r="R286">
        <v>29</v>
      </c>
      <c r="T286">
        <v>627</v>
      </c>
      <c r="U286" t="s">
        <v>1046</v>
      </c>
      <c r="V286" s="7">
        <v>39.990001679999999</v>
      </c>
      <c r="W286" s="7">
        <v>34.198098313835338</v>
      </c>
      <c r="X286">
        <v>3</v>
      </c>
      <c r="Y286" s="7">
        <v>12</v>
      </c>
      <c r="Z286" s="7">
        <v>119.97000503999999</v>
      </c>
      <c r="AA286" s="7">
        <f t="shared" si="18"/>
        <v>107.97000503999999</v>
      </c>
      <c r="AB286" t="s">
        <v>30</v>
      </c>
      <c r="AC286" t="str">
        <f t="shared" si="19"/>
        <v>Cash Not Over 200</v>
      </c>
    </row>
    <row r="287" spans="1:29" x14ac:dyDescent="0.25">
      <c r="A287">
        <v>67892</v>
      </c>
      <c r="B287" s="2">
        <v>42996</v>
      </c>
      <c r="C287">
        <v>2</v>
      </c>
      <c r="D287" s="2">
        <f t="shared" si="16"/>
        <v>42998</v>
      </c>
      <c r="E287">
        <v>1</v>
      </c>
      <c r="F287" t="s">
        <v>23</v>
      </c>
      <c r="G287" t="str">
        <f t="shared" si="17"/>
        <v>Other</v>
      </c>
      <c r="H287">
        <v>24</v>
      </c>
      <c r="I287">
        <v>3182</v>
      </c>
      <c r="J287">
        <v>5</v>
      </c>
      <c r="K287" t="s">
        <v>31</v>
      </c>
      <c r="L287" t="s">
        <v>237</v>
      </c>
      <c r="M287" t="s">
        <v>257</v>
      </c>
      <c r="N287" t="s">
        <v>239</v>
      </c>
      <c r="P287" t="s">
        <v>240</v>
      </c>
      <c r="Q287" t="s">
        <v>241</v>
      </c>
      <c r="R287">
        <v>24</v>
      </c>
      <c r="T287">
        <v>502</v>
      </c>
      <c r="U287" t="s">
        <v>1058</v>
      </c>
      <c r="V287" s="7">
        <v>50</v>
      </c>
      <c r="W287" s="7">
        <v>43.678035218757444</v>
      </c>
      <c r="X287">
        <v>3</v>
      </c>
      <c r="Y287" s="7">
        <v>37.5</v>
      </c>
      <c r="Z287" s="7">
        <v>150</v>
      </c>
      <c r="AA287" s="7">
        <f t="shared" si="18"/>
        <v>112.5</v>
      </c>
      <c r="AB287" t="s">
        <v>30</v>
      </c>
      <c r="AC287" t="str">
        <f t="shared" si="19"/>
        <v>Cash Not Over 200</v>
      </c>
    </row>
    <row r="288" spans="1:29" x14ac:dyDescent="0.25">
      <c r="A288">
        <v>12525</v>
      </c>
      <c r="B288" s="2">
        <v>42042</v>
      </c>
      <c r="C288">
        <v>2</v>
      </c>
      <c r="D288" s="2">
        <f t="shared" si="16"/>
        <v>42045</v>
      </c>
      <c r="E288">
        <v>1</v>
      </c>
      <c r="F288" t="s">
        <v>23</v>
      </c>
      <c r="G288" t="str">
        <f t="shared" si="17"/>
        <v>Other</v>
      </c>
      <c r="H288">
        <v>41</v>
      </c>
      <c r="I288">
        <v>4936</v>
      </c>
      <c r="J288">
        <v>6</v>
      </c>
      <c r="K288" t="s">
        <v>35</v>
      </c>
      <c r="L288" t="s">
        <v>237</v>
      </c>
      <c r="M288" t="s">
        <v>258</v>
      </c>
      <c r="N288" t="s">
        <v>259</v>
      </c>
      <c r="P288" t="s">
        <v>244</v>
      </c>
      <c r="Q288" t="s">
        <v>241</v>
      </c>
      <c r="R288">
        <v>41</v>
      </c>
      <c r="T288">
        <v>917</v>
      </c>
      <c r="U288" t="s">
        <v>1048</v>
      </c>
      <c r="V288" s="7">
        <v>21.989999770000001</v>
      </c>
      <c r="W288" s="7">
        <v>20.391999720066668</v>
      </c>
      <c r="X288">
        <v>3</v>
      </c>
      <c r="Y288" s="7">
        <v>10.56000042</v>
      </c>
      <c r="Z288" s="7">
        <v>65.969999310000006</v>
      </c>
      <c r="AA288" s="7">
        <f t="shared" si="18"/>
        <v>55.409998890000004</v>
      </c>
      <c r="AB288" t="s">
        <v>30</v>
      </c>
      <c r="AC288" t="str">
        <f t="shared" si="19"/>
        <v>Cash Not Over 200</v>
      </c>
    </row>
    <row r="289" spans="1:29" x14ac:dyDescent="0.25">
      <c r="A289">
        <v>71077</v>
      </c>
      <c r="B289" s="2">
        <v>42805</v>
      </c>
      <c r="C289">
        <v>2</v>
      </c>
      <c r="D289" s="2">
        <f t="shared" si="16"/>
        <v>42808</v>
      </c>
      <c r="E289">
        <v>1</v>
      </c>
      <c r="F289" t="s">
        <v>23</v>
      </c>
      <c r="G289" t="str">
        <f t="shared" si="17"/>
        <v>Other</v>
      </c>
      <c r="H289">
        <v>65</v>
      </c>
      <c r="I289">
        <v>14630</v>
      </c>
      <c r="J289">
        <v>10</v>
      </c>
      <c r="K289" t="s">
        <v>260</v>
      </c>
      <c r="L289" t="s">
        <v>237</v>
      </c>
      <c r="M289" t="s">
        <v>261</v>
      </c>
      <c r="N289" t="s">
        <v>262</v>
      </c>
      <c r="P289" t="s">
        <v>263</v>
      </c>
      <c r="Q289" t="s">
        <v>264</v>
      </c>
      <c r="R289">
        <v>65</v>
      </c>
      <c r="T289">
        <v>1352</v>
      </c>
      <c r="U289" t="s">
        <v>1096</v>
      </c>
      <c r="V289" s="7">
        <v>252.88000489999999</v>
      </c>
      <c r="W289" s="7">
        <v>203.36417164041666</v>
      </c>
      <c r="X289">
        <v>1</v>
      </c>
      <c r="Y289" s="7">
        <v>0</v>
      </c>
      <c r="Z289" s="7">
        <v>252.88000489999999</v>
      </c>
      <c r="AA289" s="7">
        <f t="shared" si="18"/>
        <v>252.88000489999999</v>
      </c>
      <c r="AB289" t="s">
        <v>45</v>
      </c>
      <c r="AC289" t="str">
        <f t="shared" si="19"/>
        <v>Non-Cash Payments</v>
      </c>
    </row>
    <row r="290" spans="1:29" x14ac:dyDescent="0.25">
      <c r="A290">
        <v>69703</v>
      </c>
      <c r="B290" s="2">
        <v>43022</v>
      </c>
      <c r="C290">
        <v>2</v>
      </c>
      <c r="D290" s="2">
        <f t="shared" si="16"/>
        <v>43025</v>
      </c>
      <c r="E290">
        <v>1</v>
      </c>
      <c r="F290" t="s">
        <v>23</v>
      </c>
      <c r="G290" t="str">
        <f t="shared" si="17"/>
        <v>Other</v>
      </c>
      <c r="H290">
        <v>62</v>
      </c>
      <c r="I290">
        <v>13256</v>
      </c>
      <c r="J290">
        <v>10</v>
      </c>
      <c r="K290" t="s">
        <v>260</v>
      </c>
      <c r="L290" t="s">
        <v>237</v>
      </c>
      <c r="M290" t="s">
        <v>265</v>
      </c>
      <c r="N290" t="s">
        <v>266</v>
      </c>
      <c r="P290" t="s">
        <v>240</v>
      </c>
      <c r="Q290" t="s">
        <v>241</v>
      </c>
      <c r="R290">
        <v>62</v>
      </c>
      <c r="T290">
        <v>1349</v>
      </c>
      <c r="U290" t="s">
        <v>1098</v>
      </c>
      <c r="V290" s="7">
        <v>452.0400085</v>
      </c>
      <c r="W290" s="7">
        <v>338.67539386846153</v>
      </c>
      <c r="X290">
        <v>1</v>
      </c>
      <c r="Y290" s="7">
        <v>4.5199999809999998</v>
      </c>
      <c r="Z290" s="7">
        <v>452.0400085</v>
      </c>
      <c r="AA290" s="7">
        <f t="shared" si="18"/>
        <v>447.52000851899999</v>
      </c>
      <c r="AB290" t="s">
        <v>45</v>
      </c>
      <c r="AC290" t="str">
        <f t="shared" si="19"/>
        <v>Non-Cash Payments</v>
      </c>
    </row>
    <row r="291" spans="1:29" x14ac:dyDescent="0.25">
      <c r="A291">
        <v>71112</v>
      </c>
      <c r="B291" s="2">
        <v>42836</v>
      </c>
      <c r="C291">
        <v>2</v>
      </c>
      <c r="D291" s="2">
        <f t="shared" si="16"/>
        <v>42838</v>
      </c>
      <c r="E291">
        <v>1</v>
      </c>
      <c r="F291" t="s">
        <v>23</v>
      </c>
      <c r="G291" t="str">
        <f t="shared" si="17"/>
        <v>Other</v>
      </c>
      <c r="H291">
        <v>65</v>
      </c>
      <c r="I291">
        <v>14665</v>
      </c>
      <c r="J291">
        <v>10</v>
      </c>
      <c r="K291" t="s">
        <v>260</v>
      </c>
      <c r="L291" t="s">
        <v>237</v>
      </c>
      <c r="M291" t="s">
        <v>267</v>
      </c>
      <c r="N291" t="s">
        <v>255</v>
      </c>
      <c r="P291" t="s">
        <v>244</v>
      </c>
      <c r="Q291" t="s">
        <v>241</v>
      </c>
      <c r="R291">
        <v>65</v>
      </c>
      <c r="T291">
        <v>1352</v>
      </c>
      <c r="U291" t="s">
        <v>1096</v>
      </c>
      <c r="V291" s="7">
        <v>252.88000489999999</v>
      </c>
      <c r="W291" s="7">
        <v>203.36417164041666</v>
      </c>
      <c r="X291">
        <v>1</v>
      </c>
      <c r="Y291" s="7">
        <v>2.5299999710000001</v>
      </c>
      <c r="Z291" s="7">
        <v>252.88000489999999</v>
      </c>
      <c r="AA291" s="7">
        <f t="shared" si="18"/>
        <v>250.35000492899999</v>
      </c>
      <c r="AB291" t="s">
        <v>45</v>
      </c>
      <c r="AC291" t="str">
        <f t="shared" si="19"/>
        <v>Non-Cash Payments</v>
      </c>
    </row>
    <row r="292" spans="1:29" x14ac:dyDescent="0.25">
      <c r="A292">
        <v>69810</v>
      </c>
      <c r="B292" s="2">
        <v>43024</v>
      </c>
      <c r="C292">
        <v>2</v>
      </c>
      <c r="D292" s="2">
        <f t="shared" si="16"/>
        <v>43026</v>
      </c>
      <c r="E292">
        <v>1</v>
      </c>
      <c r="F292" t="s">
        <v>23</v>
      </c>
      <c r="G292" t="str">
        <f t="shared" si="17"/>
        <v>Other</v>
      </c>
      <c r="H292">
        <v>62</v>
      </c>
      <c r="I292">
        <v>13363</v>
      </c>
      <c r="J292">
        <v>10</v>
      </c>
      <c r="K292" t="s">
        <v>260</v>
      </c>
      <c r="L292" t="s">
        <v>237</v>
      </c>
      <c r="M292" t="s">
        <v>268</v>
      </c>
      <c r="N292" t="s">
        <v>269</v>
      </c>
      <c r="P292" t="s">
        <v>240</v>
      </c>
      <c r="Q292" t="s">
        <v>241</v>
      </c>
      <c r="R292">
        <v>62</v>
      </c>
      <c r="T292">
        <v>1349</v>
      </c>
      <c r="U292" t="s">
        <v>1098</v>
      </c>
      <c r="V292" s="7">
        <v>452.0400085</v>
      </c>
      <c r="W292" s="7">
        <v>338.67539386846153</v>
      </c>
      <c r="X292">
        <v>1</v>
      </c>
      <c r="Y292" s="7">
        <v>9.0399999619999996</v>
      </c>
      <c r="Z292" s="7">
        <v>452.0400085</v>
      </c>
      <c r="AA292" s="7">
        <f t="shared" si="18"/>
        <v>443.00000853799997</v>
      </c>
      <c r="AB292" t="s">
        <v>45</v>
      </c>
      <c r="AC292" t="str">
        <f t="shared" si="19"/>
        <v>Non-Cash Payments</v>
      </c>
    </row>
    <row r="293" spans="1:29" x14ac:dyDescent="0.25">
      <c r="A293">
        <v>71092</v>
      </c>
      <c r="B293" s="2">
        <v>42805</v>
      </c>
      <c r="C293">
        <v>2</v>
      </c>
      <c r="D293" s="2">
        <f t="shared" si="16"/>
        <v>42808</v>
      </c>
      <c r="E293">
        <v>1</v>
      </c>
      <c r="F293" t="s">
        <v>23</v>
      </c>
      <c r="G293" t="str">
        <f t="shared" si="17"/>
        <v>Other</v>
      </c>
      <c r="H293">
        <v>65</v>
      </c>
      <c r="I293">
        <v>14645</v>
      </c>
      <c r="J293">
        <v>10</v>
      </c>
      <c r="K293" t="s">
        <v>260</v>
      </c>
      <c r="L293" t="s">
        <v>237</v>
      </c>
      <c r="M293" t="s">
        <v>270</v>
      </c>
      <c r="N293" t="s">
        <v>271</v>
      </c>
      <c r="P293" t="s">
        <v>240</v>
      </c>
      <c r="Q293" t="s">
        <v>241</v>
      </c>
      <c r="R293">
        <v>65</v>
      </c>
      <c r="T293">
        <v>1352</v>
      </c>
      <c r="U293" t="s">
        <v>1096</v>
      </c>
      <c r="V293" s="7">
        <v>252.88000489999999</v>
      </c>
      <c r="W293" s="7">
        <v>203.36417164041666</v>
      </c>
      <c r="X293">
        <v>1</v>
      </c>
      <c r="Y293" s="7">
        <v>7.5900001530000001</v>
      </c>
      <c r="Z293" s="7">
        <v>252.88000489999999</v>
      </c>
      <c r="AA293" s="7">
        <f t="shared" si="18"/>
        <v>245.29000474699998</v>
      </c>
      <c r="AB293" t="s">
        <v>45</v>
      </c>
      <c r="AC293" t="str">
        <f t="shared" si="19"/>
        <v>Non-Cash Payments</v>
      </c>
    </row>
    <row r="294" spans="1:29" x14ac:dyDescent="0.25">
      <c r="A294">
        <v>69610</v>
      </c>
      <c r="B294" s="2">
        <v>43021</v>
      </c>
      <c r="C294">
        <v>2</v>
      </c>
      <c r="D294" s="2">
        <f t="shared" si="16"/>
        <v>43025</v>
      </c>
      <c r="E294">
        <v>1</v>
      </c>
      <c r="F294" t="s">
        <v>23</v>
      </c>
      <c r="G294" t="str">
        <f t="shared" si="17"/>
        <v>Other</v>
      </c>
      <c r="H294">
        <v>62</v>
      </c>
      <c r="I294">
        <v>13163</v>
      </c>
      <c r="J294">
        <v>10</v>
      </c>
      <c r="K294" t="s">
        <v>260</v>
      </c>
      <c r="L294" t="s">
        <v>237</v>
      </c>
      <c r="M294" t="s">
        <v>272</v>
      </c>
      <c r="N294" t="s">
        <v>273</v>
      </c>
      <c r="P294" t="s">
        <v>263</v>
      </c>
      <c r="Q294" t="s">
        <v>264</v>
      </c>
      <c r="R294">
        <v>62</v>
      </c>
      <c r="T294">
        <v>1349</v>
      </c>
      <c r="U294" t="s">
        <v>1098</v>
      </c>
      <c r="V294" s="7">
        <v>452.0400085</v>
      </c>
      <c r="W294" s="7">
        <v>338.67539386846153</v>
      </c>
      <c r="X294">
        <v>1</v>
      </c>
      <c r="Y294" s="7">
        <v>18.079999919999999</v>
      </c>
      <c r="Z294" s="7">
        <v>452.0400085</v>
      </c>
      <c r="AA294" s="7">
        <f t="shared" si="18"/>
        <v>433.96000858000002</v>
      </c>
      <c r="AB294" t="s">
        <v>45</v>
      </c>
      <c r="AC294" t="str">
        <f t="shared" si="19"/>
        <v>Non-Cash Payments</v>
      </c>
    </row>
    <row r="295" spans="1:29" x14ac:dyDescent="0.25">
      <c r="A295">
        <v>71000</v>
      </c>
      <c r="B295" s="2">
        <v>42777</v>
      </c>
      <c r="C295">
        <v>2</v>
      </c>
      <c r="D295" s="2">
        <f t="shared" si="16"/>
        <v>42780</v>
      </c>
      <c r="E295">
        <v>1</v>
      </c>
      <c r="F295" t="s">
        <v>23</v>
      </c>
      <c r="G295" t="str">
        <f t="shared" si="17"/>
        <v>Other</v>
      </c>
      <c r="H295">
        <v>65</v>
      </c>
      <c r="I295">
        <v>14553</v>
      </c>
      <c r="J295">
        <v>10</v>
      </c>
      <c r="K295" t="s">
        <v>260</v>
      </c>
      <c r="L295" t="s">
        <v>237</v>
      </c>
      <c r="M295" t="s">
        <v>274</v>
      </c>
      <c r="N295" t="s">
        <v>239</v>
      </c>
      <c r="P295" t="s">
        <v>240</v>
      </c>
      <c r="Q295" t="s">
        <v>241</v>
      </c>
      <c r="R295">
        <v>65</v>
      </c>
      <c r="T295">
        <v>1352</v>
      </c>
      <c r="U295" t="s">
        <v>1096</v>
      </c>
      <c r="V295" s="7">
        <v>252.88000489999999</v>
      </c>
      <c r="W295" s="7">
        <v>203.36417164041666</v>
      </c>
      <c r="X295">
        <v>1</v>
      </c>
      <c r="Y295" s="7">
        <v>12.64000034</v>
      </c>
      <c r="Z295" s="7">
        <v>252.88000489999999</v>
      </c>
      <c r="AA295" s="7">
        <f t="shared" si="18"/>
        <v>240.24000455999999</v>
      </c>
      <c r="AB295" t="s">
        <v>45</v>
      </c>
      <c r="AC295" t="str">
        <f t="shared" si="19"/>
        <v>Non-Cash Payments</v>
      </c>
    </row>
    <row r="296" spans="1:29" x14ac:dyDescent="0.25">
      <c r="A296">
        <v>70734</v>
      </c>
      <c r="B296" s="2">
        <v>43037</v>
      </c>
      <c r="C296">
        <v>2</v>
      </c>
      <c r="D296" s="2">
        <f t="shared" si="16"/>
        <v>43039</v>
      </c>
      <c r="E296">
        <v>1</v>
      </c>
      <c r="F296" t="s">
        <v>23</v>
      </c>
      <c r="G296" t="str">
        <f t="shared" si="17"/>
        <v>Other</v>
      </c>
      <c r="H296">
        <v>64</v>
      </c>
      <c r="I296">
        <v>14287</v>
      </c>
      <c r="J296">
        <v>10</v>
      </c>
      <c r="K296" t="s">
        <v>260</v>
      </c>
      <c r="L296" t="s">
        <v>237</v>
      </c>
      <c r="M296" t="s">
        <v>275</v>
      </c>
      <c r="N296" t="s">
        <v>250</v>
      </c>
      <c r="P296" t="s">
        <v>251</v>
      </c>
      <c r="Q296" t="s">
        <v>252</v>
      </c>
      <c r="R296">
        <v>64</v>
      </c>
      <c r="T296">
        <v>1351</v>
      </c>
      <c r="U296" t="s">
        <v>1100</v>
      </c>
      <c r="V296" s="7">
        <v>1500</v>
      </c>
      <c r="W296" s="7">
        <v>1293.21250629</v>
      </c>
      <c r="X296">
        <v>1</v>
      </c>
      <c r="Y296" s="7">
        <v>82.5</v>
      </c>
      <c r="Z296" s="7">
        <v>1500</v>
      </c>
      <c r="AA296" s="7">
        <f t="shared" si="18"/>
        <v>1417.5</v>
      </c>
      <c r="AB296" t="s">
        <v>45</v>
      </c>
      <c r="AC296" t="str">
        <f t="shared" si="19"/>
        <v>Non-Cash Payments</v>
      </c>
    </row>
    <row r="297" spans="1:29" x14ac:dyDescent="0.25">
      <c r="A297">
        <v>69626</v>
      </c>
      <c r="B297" s="2">
        <v>43021</v>
      </c>
      <c r="C297">
        <v>2</v>
      </c>
      <c r="D297" s="2">
        <f t="shared" si="16"/>
        <v>43025</v>
      </c>
      <c r="E297">
        <v>0</v>
      </c>
      <c r="F297" t="s">
        <v>23</v>
      </c>
      <c r="G297" t="str">
        <f t="shared" si="17"/>
        <v>Other</v>
      </c>
      <c r="H297">
        <v>62</v>
      </c>
      <c r="I297">
        <v>13179</v>
      </c>
      <c r="J297">
        <v>10</v>
      </c>
      <c r="K297" t="s">
        <v>260</v>
      </c>
      <c r="L297" t="s">
        <v>237</v>
      </c>
      <c r="M297" t="s">
        <v>242</v>
      </c>
      <c r="N297" t="s">
        <v>243</v>
      </c>
      <c r="P297" t="s">
        <v>244</v>
      </c>
      <c r="Q297" t="s">
        <v>241</v>
      </c>
      <c r="R297">
        <v>62</v>
      </c>
      <c r="T297">
        <v>1349</v>
      </c>
      <c r="U297" t="s">
        <v>1098</v>
      </c>
      <c r="V297" s="7">
        <v>452.0400085</v>
      </c>
      <c r="W297" s="7">
        <v>338.67539386846153</v>
      </c>
      <c r="X297">
        <v>1</v>
      </c>
      <c r="Y297" s="7">
        <v>24.86000061</v>
      </c>
      <c r="Z297" s="7">
        <v>452.0400085</v>
      </c>
      <c r="AA297" s="7">
        <f t="shared" si="18"/>
        <v>427.18000789000001</v>
      </c>
      <c r="AB297" t="s">
        <v>45</v>
      </c>
      <c r="AC297" t="str">
        <f t="shared" si="19"/>
        <v>Non-Cash Payments</v>
      </c>
    </row>
    <row r="298" spans="1:29" x14ac:dyDescent="0.25">
      <c r="A298">
        <v>69482</v>
      </c>
      <c r="B298" s="2">
        <v>43049</v>
      </c>
      <c r="C298">
        <v>2</v>
      </c>
      <c r="D298" s="2">
        <f t="shared" si="16"/>
        <v>43053</v>
      </c>
      <c r="E298">
        <v>1</v>
      </c>
      <c r="F298" t="s">
        <v>23</v>
      </c>
      <c r="G298" t="str">
        <f t="shared" si="17"/>
        <v>Other</v>
      </c>
      <c r="H298">
        <v>62</v>
      </c>
      <c r="I298">
        <v>13035</v>
      </c>
      <c r="J298">
        <v>10</v>
      </c>
      <c r="K298" t="s">
        <v>260</v>
      </c>
      <c r="L298" t="s">
        <v>237</v>
      </c>
      <c r="M298" t="s">
        <v>276</v>
      </c>
      <c r="N298" t="s">
        <v>239</v>
      </c>
      <c r="P298" t="s">
        <v>240</v>
      </c>
      <c r="Q298" t="s">
        <v>241</v>
      </c>
      <c r="R298">
        <v>62</v>
      </c>
      <c r="T298">
        <v>1349</v>
      </c>
      <c r="U298" t="s">
        <v>1098</v>
      </c>
      <c r="V298" s="7">
        <v>452.0400085</v>
      </c>
      <c r="W298" s="7">
        <v>338.67539386846153</v>
      </c>
      <c r="X298">
        <v>1</v>
      </c>
      <c r="Y298" s="7">
        <v>24.86000061</v>
      </c>
      <c r="Z298" s="7">
        <v>452.0400085</v>
      </c>
      <c r="AA298" s="7">
        <f t="shared" si="18"/>
        <v>427.18000789000001</v>
      </c>
      <c r="AB298" t="s">
        <v>45</v>
      </c>
      <c r="AC298" t="str">
        <f t="shared" si="19"/>
        <v>Non-Cash Payments</v>
      </c>
    </row>
    <row r="299" spans="1:29" x14ac:dyDescent="0.25">
      <c r="A299">
        <v>70769</v>
      </c>
      <c r="B299" s="2">
        <v>43038</v>
      </c>
      <c r="C299">
        <v>2</v>
      </c>
      <c r="D299" s="2">
        <f t="shared" si="16"/>
        <v>43040</v>
      </c>
      <c r="E299">
        <v>1</v>
      </c>
      <c r="F299" t="s">
        <v>23</v>
      </c>
      <c r="G299" t="str">
        <f t="shared" si="17"/>
        <v>Other</v>
      </c>
      <c r="H299">
        <v>64</v>
      </c>
      <c r="I299">
        <v>14322</v>
      </c>
      <c r="J299">
        <v>10</v>
      </c>
      <c r="K299" t="s">
        <v>260</v>
      </c>
      <c r="L299" t="s">
        <v>237</v>
      </c>
      <c r="M299" t="s">
        <v>277</v>
      </c>
      <c r="N299" t="s">
        <v>250</v>
      </c>
      <c r="P299" t="s">
        <v>251</v>
      </c>
      <c r="Q299" t="s">
        <v>252</v>
      </c>
      <c r="R299">
        <v>64</v>
      </c>
      <c r="T299">
        <v>1351</v>
      </c>
      <c r="U299" t="s">
        <v>1100</v>
      </c>
      <c r="V299" s="7">
        <v>1500</v>
      </c>
      <c r="W299" s="7">
        <v>1293.21250629</v>
      </c>
      <c r="X299">
        <v>1</v>
      </c>
      <c r="Y299" s="7">
        <v>105</v>
      </c>
      <c r="Z299" s="7">
        <v>1500</v>
      </c>
      <c r="AA299" s="7">
        <f t="shared" si="18"/>
        <v>1395</v>
      </c>
      <c r="AB299" t="s">
        <v>45</v>
      </c>
      <c r="AC299" t="str">
        <f t="shared" si="19"/>
        <v>Non-Cash Payments</v>
      </c>
    </row>
    <row r="300" spans="1:29" x14ac:dyDescent="0.25">
      <c r="A300">
        <v>69643</v>
      </c>
      <c r="B300" s="2">
        <v>43021</v>
      </c>
      <c r="C300">
        <v>2</v>
      </c>
      <c r="D300" s="2">
        <f t="shared" si="16"/>
        <v>43025</v>
      </c>
      <c r="E300">
        <v>1</v>
      </c>
      <c r="F300" t="s">
        <v>23</v>
      </c>
      <c r="G300" t="str">
        <f t="shared" si="17"/>
        <v>Other</v>
      </c>
      <c r="H300">
        <v>62</v>
      </c>
      <c r="I300">
        <v>13196</v>
      </c>
      <c r="J300">
        <v>10</v>
      </c>
      <c r="K300" t="s">
        <v>260</v>
      </c>
      <c r="L300" t="s">
        <v>237</v>
      </c>
      <c r="M300" t="s">
        <v>278</v>
      </c>
      <c r="N300" t="s">
        <v>279</v>
      </c>
      <c r="P300" t="s">
        <v>263</v>
      </c>
      <c r="Q300" t="s">
        <v>264</v>
      </c>
      <c r="R300">
        <v>62</v>
      </c>
      <c r="T300">
        <v>1349</v>
      </c>
      <c r="U300" t="s">
        <v>1098</v>
      </c>
      <c r="V300" s="7">
        <v>452.0400085</v>
      </c>
      <c r="W300" s="7">
        <v>338.67539386846153</v>
      </c>
      <c r="X300">
        <v>1</v>
      </c>
      <c r="Y300" s="7">
        <v>31.63999939</v>
      </c>
      <c r="Z300" s="7">
        <v>452.0400085</v>
      </c>
      <c r="AA300" s="7">
        <f t="shared" si="18"/>
        <v>420.40000910999998</v>
      </c>
      <c r="AB300" t="s">
        <v>45</v>
      </c>
      <c r="AC300" t="str">
        <f t="shared" si="19"/>
        <v>Non-Cash Payments</v>
      </c>
    </row>
    <row r="301" spans="1:29" x14ac:dyDescent="0.25">
      <c r="A301">
        <v>71051</v>
      </c>
      <c r="B301" s="2">
        <v>42805</v>
      </c>
      <c r="C301">
        <v>2</v>
      </c>
      <c r="D301" s="2">
        <f t="shared" si="16"/>
        <v>42808</v>
      </c>
      <c r="E301">
        <v>0</v>
      </c>
      <c r="F301" t="s">
        <v>23</v>
      </c>
      <c r="G301" t="str">
        <f t="shared" si="17"/>
        <v>Other</v>
      </c>
      <c r="H301">
        <v>65</v>
      </c>
      <c r="I301">
        <v>14604</v>
      </c>
      <c r="J301">
        <v>10</v>
      </c>
      <c r="K301" t="s">
        <v>260</v>
      </c>
      <c r="L301" t="s">
        <v>237</v>
      </c>
      <c r="M301" t="s">
        <v>280</v>
      </c>
      <c r="N301" t="s">
        <v>250</v>
      </c>
      <c r="P301" t="s">
        <v>251</v>
      </c>
      <c r="Q301" t="s">
        <v>252</v>
      </c>
      <c r="R301">
        <v>65</v>
      </c>
      <c r="T301">
        <v>1352</v>
      </c>
      <c r="U301" t="s">
        <v>1096</v>
      </c>
      <c r="V301" s="7">
        <v>252.88000489999999</v>
      </c>
      <c r="W301" s="7">
        <v>203.36417164041666</v>
      </c>
      <c r="X301">
        <v>1</v>
      </c>
      <c r="Y301" s="7">
        <v>22.760000229999999</v>
      </c>
      <c r="Z301" s="7">
        <v>252.88000489999999</v>
      </c>
      <c r="AA301" s="7">
        <f t="shared" si="18"/>
        <v>230.12000466999999</v>
      </c>
      <c r="AB301" t="s">
        <v>45</v>
      </c>
      <c r="AC301" t="str">
        <f t="shared" si="19"/>
        <v>Non-Cash Payments</v>
      </c>
    </row>
    <row r="302" spans="1:29" x14ac:dyDescent="0.25">
      <c r="A302">
        <v>69408</v>
      </c>
      <c r="B302" s="2">
        <v>43018</v>
      </c>
      <c r="C302">
        <v>2</v>
      </c>
      <c r="D302" s="2">
        <f t="shared" si="16"/>
        <v>43020</v>
      </c>
      <c r="E302">
        <v>1</v>
      </c>
      <c r="F302" t="s">
        <v>23</v>
      </c>
      <c r="G302" t="str">
        <f t="shared" si="17"/>
        <v>Other</v>
      </c>
      <c r="H302">
        <v>62</v>
      </c>
      <c r="I302">
        <v>12961</v>
      </c>
      <c r="J302">
        <v>10</v>
      </c>
      <c r="K302" t="s">
        <v>260</v>
      </c>
      <c r="L302" t="s">
        <v>237</v>
      </c>
      <c r="M302" t="s">
        <v>281</v>
      </c>
      <c r="N302" t="s">
        <v>279</v>
      </c>
      <c r="P302" t="s">
        <v>263</v>
      </c>
      <c r="Q302" t="s">
        <v>264</v>
      </c>
      <c r="R302">
        <v>62</v>
      </c>
      <c r="T302">
        <v>1349</v>
      </c>
      <c r="U302" t="s">
        <v>1098</v>
      </c>
      <c r="V302" s="7">
        <v>452.0400085</v>
      </c>
      <c r="W302" s="7">
        <v>338.67539386846153</v>
      </c>
      <c r="X302">
        <v>1</v>
      </c>
      <c r="Y302" s="7">
        <v>40.680000309999997</v>
      </c>
      <c r="Z302" s="7">
        <v>452.0400085</v>
      </c>
      <c r="AA302" s="7">
        <f t="shared" si="18"/>
        <v>411.36000819000003</v>
      </c>
      <c r="AB302" t="s">
        <v>45</v>
      </c>
      <c r="AC302" t="str">
        <f t="shared" si="19"/>
        <v>Non-Cash Payments</v>
      </c>
    </row>
    <row r="303" spans="1:29" x14ac:dyDescent="0.25">
      <c r="A303">
        <v>71123</v>
      </c>
      <c r="B303" s="2">
        <v>42836</v>
      </c>
      <c r="C303">
        <v>2</v>
      </c>
      <c r="D303" s="2">
        <f t="shared" si="16"/>
        <v>42838</v>
      </c>
      <c r="E303">
        <v>1</v>
      </c>
      <c r="F303" t="s">
        <v>23</v>
      </c>
      <c r="G303" t="str">
        <f t="shared" si="17"/>
        <v>Other</v>
      </c>
      <c r="H303">
        <v>65</v>
      </c>
      <c r="I303">
        <v>14676</v>
      </c>
      <c r="J303">
        <v>10</v>
      </c>
      <c r="K303" t="s">
        <v>260</v>
      </c>
      <c r="L303" t="s">
        <v>237</v>
      </c>
      <c r="M303" t="s">
        <v>282</v>
      </c>
      <c r="N303" t="s">
        <v>282</v>
      </c>
      <c r="P303" t="s">
        <v>283</v>
      </c>
      <c r="Q303" t="s">
        <v>264</v>
      </c>
      <c r="R303">
        <v>65</v>
      </c>
      <c r="T303">
        <v>1352</v>
      </c>
      <c r="U303" t="s">
        <v>1096</v>
      </c>
      <c r="V303" s="7">
        <v>252.88000489999999</v>
      </c>
      <c r="W303" s="7">
        <v>203.36417164041666</v>
      </c>
      <c r="X303">
        <v>1</v>
      </c>
      <c r="Y303" s="7">
        <v>22.760000229999999</v>
      </c>
      <c r="Z303" s="7">
        <v>252.88000489999999</v>
      </c>
      <c r="AA303" s="7">
        <f t="shared" si="18"/>
        <v>230.12000466999999</v>
      </c>
      <c r="AB303" t="s">
        <v>45</v>
      </c>
      <c r="AC303" t="str">
        <f t="shared" si="19"/>
        <v>Non-Cash Payments</v>
      </c>
    </row>
    <row r="304" spans="1:29" x14ac:dyDescent="0.25">
      <c r="A304">
        <v>70534</v>
      </c>
      <c r="B304" s="2">
        <v>43034</v>
      </c>
      <c r="C304">
        <v>2</v>
      </c>
      <c r="D304" s="2">
        <f t="shared" si="16"/>
        <v>43038</v>
      </c>
      <c r="E304">
        <v>1</v>
      </c>
      <c r="F304" t="s">
        <v>23</v>
      </c>
      <c r="G304" t="str">
        <f t="shared" si="17"/>
        <v>Other</v>
      </c>
      <c r="H304">
        <v>64</v>
      </c>
      <c r="I304">
        <v>14087</v>
      </c>
      <c r="J304">
        <v>10</v>
      </c>
      <c r="K304" t="s">
        <v>260</v>
      </c>
      <c r="L304" t="s">
        <v>237</v>
      </c>
      <c r="M304" t="s">
        <v>284</v>
      </c>
      <c r="N304" t="s">
        <v>255</v>
      </c>
      <c r="P304" t="s">
        <v>244</v>
      </c>
      <c r="Q304" t="s">
        <v>241</v>
      </c>
      <c r="R304">
        <v>64</v>
      </c>
      <c r="T304">
        <v>1351</v>
      </c>
      <c r="U304" t="s">
        <v>1100</v>
      </c>
      <c r="V304" s="7">
        <v>1500</v>
      </c>
      <c r="W304" s="7">
        <v>1293.21250629</v>
      </c>
      <c r="X304">
        <v>1</v>
      </c>
      <c r="Y304" s="7">
        <v>135</v>
      </c>
      <c r="Z304" s="7">
        <v>1500</v>
      </c>
      <c r="AA304" s="7">
        <f t="shared" si="18"/>
        <v>1365</v>
      </c>
      <c r="AB304" t="s">
        <v>45</v>
      </c>
      <c r="AC304" t="str">
        <f t="shared" si="19"/>
        <v>Non-Cash Payments</v>
      </c>
    </row>
    <row r="305" spans="1:29" x14ac:dyDescent="0.25">
      <c r="A305">
        <v>69641</v>
      </c>
      <c r="B305" s="2">
        <v>43021</v>
      </c>
      <c r="C305">
        <v>2</v>
      </c>
      <c r="D305" s="2">
        <f t="shared" si="16"/>
        <v>43025</v>
      </c>
      <c r="E305">
        <v>0</v>
      </c>
      <c r="F305" t="s">
        <v>23</v>
      </c>
      <c r="G305" t="str">
        <f t="shared" si="17"/>
        <v>Other</v>
      </c>
      <c r="H305">
        <v>62</v>
      </c>
      <c r="I305">
        <v>13194</v>
      </c>
      <c r="J305">
        <v>10</v>
      </c>
      <c r="K305" t="s">
        <v>260</v>
      </c>
      <c r="L305" t="s">
        <v>237</v>
      </c>
      <c r="M305" t="s">
        <v>285</v>
      </c>
      <c r="N305" t="s">
        <v>286</v>
      </c>
      <c r="P305" t="s">
        <v>283</v>
      </c>
      <c r="Q305" t="s">
        <v>264</v>
      </c>
      <c r="R305">
        <v>62</v>
      </c>
      <c r="T305">
        <v>1349</v>
      </c>
      <c r="U305" t="s">
        <v>1098</v>
      </c>
      <c r="V305" s="7">
        <v>452.0400085</v>
      </c>
      <c r="W305" s="7">
        <v>338.67539386846153</v>
      </c>
      <c r="X305">
        <v>1</v>
      </c>
      <c r="Y305" s="7">
        <v>45.200000760000002</v>
      </c>
      <c r="Z305" s="7">
        <v>452.0400085</v>
      </c>
      <c r="AA305" s="7">
        <f t="shared" si="18"/>
        <v>406.84000773999998</v>
      </c>
      <c r="AB305" t="s">
        <v>45</v>
      </c>
      <c r="AC305" t="str">
        <f t="shared" si="19"/>
        <v>Non-Cash Payments</v>
      </c>
    </row>
    <row r="306" spans="1:29" x14ac:dyDescent="0.25">
      <c r="A306">
        <v>70960</v>
      </c>
      <c r="B306" s="2">
        <v>42746</v>
      </c>
      <c r="C306">
        <v>2</v>
      </c>
      <c r="D306" s="2">
        <f t="shared" si="16"/>
        <v>42748</v>
      </c>
      <c r="E306">
        <v>1</v>
      </c>
      <c r="F306" t="s">
        <v>23</v>
      </c>
      <c r="G306" t="str">
        <f t="shared" si="17"/>
        <v>Other</v>
      </c>
      <c r="H306">
        <v>65</v>
      </c>
      <c r="I306">
        <v>14513</v>
      </c>
      <c r="J306">
        <v>10</v>
      </c>
      <c r="K306" t="s">
        <v>260</v>
      </c>
      <c r="L306" t="s">
        <v>237</v>
      </c>
      <c r="M306" t="s">
        <v>287</v>
      </c>
      <c r="N306" t="s">
        <v>288</v>
      </c>
      <c r="P306" t="s">
        <v>244</v>
      </c>
      <c r="Q306" t="s">
        <v>241</v>
      </c>
      <c r="R306">
        <v>65</v>
      </c>
      <c r="T306">
        <v>1352</v>
      </c>
      <c r="U306" t="s">
        <v>1096</v>
      </c>
      <c r="V306" s="7">
        <v>252.88000489999999</v>
      </c>
      <c r="W306" s="7">
        <v>203.36417164041666</v>
      </c>
      <c r="X306">
        <v>1</v>
      </c>
      <c r="Y306" s="7">
        <v>25.290000920000001</v>
      </c>
      <c r="Z306" s="7">
        <v>252.88000489999999</v>
      </c>
      <c r="AA306" s="7">
        <f t="shared" si="18"/>
        <v>227.59000397999998</v>
      </c>
      <c r="AB306" t="s">
        <v>45</v>
      </c>
      <c r="AC306" t="str">
        <f t="shared" si="19"/>
        <v>Non-Cash Payments</v>
      </c>
    </row>
    <row r="307" spans="1:29" x14ac:dyDescent="0.25">
      <c r="A307">
        <v>69908</v>
      </c>
      <c r="B307" s="2">
        <v>43025</v>
      </c>
      <c r="C307">
        <v>2</v>
      </c>
      <c r="D307" s="2">
        <f t="shared" si="16"/>
        <v>43027</v>
      </c>
      <c r="E307">
        <v>1</v>
      </c>
      <c r="F307" t="s">
        <v>23</v>
      </c>
      <c r="G307" t="str">
        <f t="shared" si="17"/>
        <v>Other</v>
      </c>
      <c r="H307">
        <v>62</v>
      </c>
      <c r="I307">
        <v>13461</v>
      </c>
      <c r="J307">
        <v>10</v>
      </c>
      <c r="K307" t="s">
        <v>260</v>
      </c>
      <c r="L307" t="s">
        <v>237</v>
      </c>
      <c r="M307" t="s">
        <v>289</v>
      </c>
      <c r="N307" t="s">
        <v>250</v>
      </c>
      <c r="P307" t="s">
        <v>251</v>
      </c>
      <c r="Q307" t="s">
        <v>252</v>
      </c>
      <c r="R307">
        <v>62</v>
      </c>
      <c r="T307">
        <v>1349</v>
      </c>
      <c r="U307" t="s">
        <v>1098</v>
      </c>
      <c r="V307" s="7">
        <v>452.0400085</v>
      </c>
      <c r="W307" s="7">
        <v>338.67539386846153</v>
      </c>
      <c r="X307">
        <v>1</v>
      </c>
      <c r="Y307" s="7">
        <v>67.809997559999999</v>
      </c>
      <c r="Z307" s="7">
        <v>452.0400085</v>
      </c>
      <c r="AA307" s="7">
        <f t="shared" si="18"/>
        <v>384.23001094</v>
      </c>
      <c r="AB307" t="s">
        <v>45</v>
      </c>
      <c r="AC307" t="str">
        <f t="shared" si="19"/>
        <v>Non-Cash Payments</v>
      </c>
    </row>
    <row r="308" spans="1:29" x14ac:dyDescent="0.25">
      <c r="A308">
        <v>70957</v>
      </c>
      <c r="B308" s="2">
        <v>42746</v>
      </c>
      <c r="C308">
        <v>2</v>
      </c>
      <c r="D308" s="2">
        <f t="shared" si="16"/>
        <v>42748</v>
      </c>
      <c r="E308">
        <v>1</v>
      </c>
      <c r="F308" t="s">
        <v>23</v>
      </c>
      <c r="G308" t="str">
        <f t="shared" si="17"/>
        <v>Other</v>
      </c>
      <c r="H308">
        <v>65</v>
      </c>
      <c r="I308">
        <v>14510</v>
      </c>
      <c r="J308">
        <v>10</v>
      </c>
      <c r="K308" t="s">
        <v>260</v>
      </c>
      <c r="L308" t="s">
        <v>237</v>
      </c>
      <c r="M308" t="s">
        <v>290</v>
      </c>
      <c r="N308" t="s">
        <v>243</v>
      </c>
      <c r="P308" t="s">
        <v>244</v>
      </c>
      <c r="Q308" t="s">
        <v>241</v>
      </c>
      <c r="R308">
        <v>65</v>
      </c>
      <c r="T308">
        <v>1352</v>
      </c>
      <c r="U308" t="s">
        <v>1096</v>
      </c>
      <c r="V308" s="7">
        <v>252.88000489999999</v>
      </c>
      <c r="W308" s="7">
        <v>203.36417164041666</v>
      </c>
      <c r="X308">
        <v>1</v>
      </c>
      <c r="Y308" s="7">
        <v>37.930000309999997</v>
      </c>
      <c r="Z308" s="7">
        <v>252.88000489999999</v>
      </c>
      <c r="AA308" s="7">
        <f t="shared" si="18"/>
        <v>214.95000458999999</v>
      </c>
      <c r="AB308" t="s">
        <v>45</v>
      </c>
      <c r="AC308" t="str">
        <f t="shared" si="19"/>
        <v>Non-Cash Payments</v>
      </c>
    </row>
    <row r="309" spans="1:29" x14ac:dyDescent="0.25">
      <c r="A309">
        <v>69637</v>
      </c>
      <c r="B309" s="2">
        <v>43021</v>
      </c>
      <c r="C309">
        <v>2</v>
      </c>
      <c r="D309" s="2">
        <f t="shared" si="16"/>
        <v>43025</v>
      </c>
      <c r="E309">
        <v>1</v>
      </c>
      <c r="F309" t="s">
        <v>23</v>
      </c>
      <c r="G309" t="str">
        <f t="shared" si="17"/>
        <v>Other</v>
      </c>
      <c r="H309">
        <v>62</v>
      </c>
      <c r="I309">
        <v>13190</v>
      </c>
      <c r="J309">
        <v>10</v>
      </c>
      <c r="K309" t="s">
        <v>260</v>
      </c>
      <c r="L309" t="s">
        <v>237</v>
      </c>
      <c r="M309" t="s">
        <v>291</v>
      </c>
      <c r="N309" t="s">
        <v>292</v>
      </c>
      <c r="P309" t="s">
        <v>244</v>
      </c>
      <c r="Q309" t="s">
        <v>241</v>
      </c>
      <c r="R309">
        <v>62</v>
      </c>
      <c r="T309">
        <v>1349</v>
      </c>
      <c r="U309" t="s">
        <v>1098</v>
      </c>
      <c r="V309" s="7">
        <v>452.0400085</v>
      </c>
      <c r="W309" s="7">
        <v>338.67539386846153</v>
      </c>
      <c r="X309">
        <v>1</v>
      </c>
      <c r="Y309" s="7">
        <v>72.33000183</v>
      </c>
      <c r="Z309" s="7">
        <v>452.0400085</v>
      </c>
      <c r="AA309" s="7">
        <f t="shared" si="18"/>
        <v>379.71000666999998</v>
      </c>
      <c r="AB309" t="s">
        <v>45</v>
      </c>
      <c r="AC309" t="str">
        <f t="shared" si="19"/>
        <v>Non-Cash Payments</v>
      </c>
    </row>
    <row r="310" spans="1:29" x14ac:dyDescent="0.25">
      <c r="A310">
        <v>70955</v>
      </c>
      <c r="B310" s="2">
        <v>42746</v>
      </c>
      <c r="C310">
        <v>2</v>
      </c>
      <c r="D310" s="2">
        <f t="shared" si="16"/>
        <v>42748</v>
      </c>
      <c r="E310">
        <v>1</v>
      </c>
      <c r="F310" t="s">
        <v>23</v>
      </c>
      <c r="G310" t="str">
        <f t="shared" si="17"/>
        <v>Other</v>
      </c>
      <c r="H310">
        <v>65</v>
      </c>
      <c r="I310">
        <v>14508</v>
      </c>
      <c r="J310">
        <v>10</v>
      </c>
      <c r="K310" t="s">
        <v>260</v>
      </c>
      <c r="L310" t="s">
        <v>237</v>
      </c>
      <c r="M310" t="s">
        <v>293</v>
      </c>
      <c r="N310" t="s">
        <v>294</v>
      </c>
      <c r="P310" t="s">
        <v>251</v>
      </c>
      <c r="Q310" t="s">
        <v>252</v>
      </c>
      <c r="R310">
        <v>65</v>
      </c>
      <c r="T310">
        <v>1352</v>
      </c>
      <c r="U310" t="s">
        <v>1096</v>
      </c>
      <c r="V310" s="7">
        <v>252.88000489999999</v>
      </c>
      <c r="W310" s="7">
        <v>203.36417164041666</v>
      </c>
      <c r="X310">
        <v>1</v>
      </c>
      <c r="Y310" s="7">
        <v>42.990001679999999</v>
      </c>
      <c r="Z310" s="7">
        <v>252.88000489999999</v>
      </c>
      <c r="AA310" s="7">
        <f t="shared" si="18"/>
        <v>209.89000321999998</v>
      </c>
      <c r="AB310" t="s">
        <v>45</v>
      </c>
      <c r="AC310" t="str">
        <f t="shared" si="19"/>
        <v>Non-Cash Payments</v>
      </c>
    </row>
    <row r="311" spans="1:29" x14ac:dyDescent="0.25">
      <c r="A311">
        <v>70919</v>
      </c>
      <c r="B311" s="2">
        <v>42746</v>
      </c>
      <c r="C311">
        <v>2</v>
      </c>
      <c r="D311" s="2">
        <f t="shared" si="16"/>
        <v>42748</v>
      </c>
      <c r="E311">
        <v>1</v>
      </c>
      <c r="F311" t="s">
        <v>23</v>
      </c>
      <c r="G311" t="str">
        <f t="shared" si="17"/>
        <v>Other</v>
      </c>
      <c r="H311">
        <v>65</v>
      </c>
      <c r="I311">
        <v>14472</v>
      </c>
      <c r="J311">
        <v>10</v>
      </c>
      <c r="K311" t="s">
        <v>260</v>
      </c>
      <c r="L311" t="s">
        <v>237</v>
      </c>
      <c r="M311" t="s">
        <v>295</v>
      </c>
      <c r="N311" t="s">
        <v>273</v>
      </c>
      <c r="P311" t="s">
        <v>263</v>
      </c>
      <c r="Q311" t="s">
        <v>264</v>
      </c>
      <c r="R311">
        <v>65</v>
      </c>
      <c r="T311">
        <v>1352</v>
      </c>
      <c r="U311" t="s">
        <v>1096</v>
      </c>
      <c r="V311" s="7">
        <v>252.88000489999999</v>
      </c>
      <c r="W311" s="7">
        <v>203.36417164041666</v>
      </c>
      <c r="X311">
        <v>1</v>
      </c>
      <c r="Y311" s="7">
        <v>42.990001679999999</v>
      </c>
      <c r="Z311" s="7">
        <v>252.88000489999999</v>
      </c>
      <c r="AA311" s="7">
        <f t="shared" si="18"/>
        <v>209.89000321999998</v>
      </c>
      <c r="AB311" t="s">
        <v>45</v>
      </c>
      <c r="AC311" t="str">
        <f t="shared" si="19"/>
        <v>Non-Cash Payments</v>
      </c>
    </row>
    <row r="312" spans="1:29" x14ac:dyDescent="0.25">
      <c r="A312">
        <v>71009</v>
      </c>
      <c r="B312" s="2">
        <v>42777</v>
      </c>
      <c r="C312">
        <v>2</v>
      </c>
      <c r="D312" s="2">
        <f t="shared" si="16"/>
        <v>42780</v>
      </c>
      <c r="E312">
        <v>1</v>
      </c>
      <c r="F312" t="s">
        <v>23</v>
      </c>
      <c r="G312" t="str">
        <f t="shared" si="17"/>
        <v>Other</v>
      </c>
      <c r="H312">
        <v>65</v>
      </c>
      <c r="I312">
        <v>14562</v>
      </c>
      <c r="J312">
        <v>10</v>
      </c>
      <c r="K312" t="s">
        <v>260</v>
      </c>
      <c r="L312" t="s">
        <v>237</v>
      </c>
      <c r="M312" t="s">
        <v>296</v>
      </c>
      <c r="N312" t="s">
        <v>297</v>
      </c>
      <c r="P312" t="s">
        <v>240</v>
      </c>
      <c r="Q312" t="s">
        <v>241</v>
      </c>
      <c r="R312">
        <v>65</v>
      </c>
      <c r="T312">
        <v>1352</v>
      </c>
      <c r="U312" t="s">
        <v>1096</v>
      </c>
      <c r="V312" s="7">
        <v>252.88000489999999</v>
      </c>
      <c r="W312" s="7">
        <v>203.36417164041666</v>
      </c>
      <c r="X312">
        <v>1</v>
      </c>
      <c r="Y312" s="7">
        <v>42.990001679999999</v>
      </c>
      <c r="Z312" s="7">
        <v>252.88000489999999</v>
      </c>
      <c r="AA312" s="7">
        <f t="shared" si="18"/>
        <v>209.89000321999998</v>
      </c>
      <c r="AB312" t="s">
        <v>45</v>
      </c>
      <c r="AC312" t="str">
        <f t="shared" si="19"/>
        <v>Non-Cash Payments</v>
      </c>
    </row>
    <row r="313" spans="1:29" x14ac:dyDescent="0.25">
      <c r="A313">
        <v>69653</v>
      </c>
      <c r="B313" s="2">
        <v>43021</v>
      </c>
      <c r="C313">
        <v>2</v>
      </c>
      <c r="D313" s="2">
        <f t="shared" si="16"/>
        <v>43025</v>
      </c>
      <c r="E313">
        <v>1</v>
      </c>
      <c r="F313" t="s">
        <v>23</v>
      </c>
      <c r="G313" t="str">
        <f t="shared" si="17"/>
        <v>Other</v>
      </c>
      <c r="H313">
        <v>62</v>
      </c>
      <c r="I313">
        <v>13206</v>
      </c>
      <c r="J313">
        <v>10</v>
      </c>
      <c r="K313" t="s">
        <v>260</v>
      </c>
      <c r="L313" t="s">
        <v>237</v>
      </c>
      <c r="M313" t="s">
        <v>298</v>
      </c>
      <c r="N313" t="s">
        <v>250</v>
      </c>
      <c r="P313" t="s">
        <v>251</v>
      </c>
      <c r="Q313" t="s">
        <v>252</v>
      </c>
      <c r="R313">
        <v>62</v>
      </c>
      <c r="T313">
        <v>1349</v>
      </c>
      <c r="U313" t="s">
        <v>1098</v>
      </c>
      <c r="V313" s="7">
        <v>452.0400085</v>
      </c>
      <c r="W313" s="7">
        <v>338.67539386846153</v>
      </c>
      <c r="X313">
        <v>1</v>
      </c>
      <c r="Y313" s="7">
        <v>81.370002749999998</v>
      </c>
      <c r="Z313" s="7">
        <v>452.0400085</v>
      </c>
      <c r="AA313" s="7">
        <f t="shared" si="18"/>
        <v>370.67000574999997</v>
      </c>
      <c r="AB313" t="s">
        <v>45</v>
      </c>
      <c r="AC313" t="str">
        <f t="shared" si="19"/>
        <v>Non-Cash Payments</v>
      </c>
    </row>
    <row r="314" spans="1:29" x14ac:dyDescent="0.25">
      <c r="A314">
        <v>69527</v>
      </c>
      <c r="B314" s="2">
        <v>43049</v>
      </c>
      <c r="C314">
        <v>2</v>
      </c>
      <c r="D314" s="2">
        <f t="shared" si="16"/>
        <v>43053</v>
      </c>
      <c r="E314">
        <v>1</v>
      </c>
      <c r="F314" t="s">
        <v>23</v>
      </c>
      <c r="G314" t="str">
        <f t="shared" si="17"/>
        <v>Other</v>
      </c>
      <c r="H314">
        <v>62</v>
      </c>
      <c r="I314">
        <v>13080</v>
      </c>
      <c r="J314">
        <v>10</v>
      </c>
      <c r="K314" t="s">
        <v>260</v>
      </c>
      <c r="L314" t="s">
        <v>237</v>
      </c>
      <c r="M314" t="s">
        <v>299</v>
      </c>
      <c r="N314" t="s">
        <v>279</v>
      </c>
      <c r="P314" t="s">
        <v>263</v>
      </c>
      <c r="Q314" t="s">
        <v>264</v>
      </c>
      <c r="R314">
        <v>62</v>
      </c>
      <c r="T314">
        <v>1349</v>
      </c>
      <c r="U314" t="s">
        <v>1098</v>
      </c>
      <c r="V314" s="7">
        <v>452.0400085</v>
      </c>
      <c r="W314" s="7">
        <v>338.67539386846153</v>
      </c>
      <c r="X314">
        <v>1</v>
      </c>
      <c r="Y314" s="7">
        <v>81.370002749999998</v>
      </c>
      <c r="Z314" s="7">
        <v>452.0400085</v>
      </c>
      <c r="AA314" s="7">
        <f t="shared" si="18"/>
        <v>370.67000574999997</v>
      </c>
      <c r="AB314" t="s">
        <v>45</v>
      </c>
      <c r="AC314" t="str">
        <f t="shared" si="19"/>
        <v>Non-Cash Payments</v>
      </c>
    </row>
    <row r="315" spans="1:29" x14ac:dyDescent="0.25">
      <c r="A315">
        <v>71080</v>
      </c>
      <c r="B315" s="2">
        <v>42805</v>
      </c>
      <c r="C315">
        <v>2</v>
      </c>
      <c r="D315" s="2">
        <f t="shared" si="16"/>
        <v>42808</v>
      </c>
      <c r="E315">
        <v>1</v>
      </c>
      <c r="F315" t="s">
        <v>23</v>
      </c>
      <c r="G315" t="str">
        <f t="shared" si="17"/>
        <v>Other</v>
      </c>
      <c r="H315">
        <v>65</v>
      </c>
      <c r="I315">
        <v>14633</v>
      </c>
      <c r="J315">
        <v>10</v>
      </c>
      <c r="K315" t="s">
        <v>260</v>
      </c>
      <c r="L315" t="s">
        <v>237</v>
      </c>
      <c r="M315" t="s">
        <v>300</v>
      </c>
      <c r="N315" t="s">
        <v>297</v>
      </c>
      <c r="P315" t="s">
        <v>240</v>
      </c>
      <c r="Q315" t="s">
        <v>241</v>
      </c>
      <c r="R315">
        <v>65</v>
      </c>
      <c r="T315">
        <v>1352</v>
      </c>
      <c r="U315" t="s">
        <v>1096</v>
      </c>
      <c r="V315" s="7">
        <v>252.88000489999999</v>
      </c>
      <c r="W315" s="7">
        <v>203.36417164041666</v>
      </c>
      <c r="X315">
        <v>1</v>
      </c>
      <c r="Y315" s="7">
        <v>45.520000459999999</v>
      </c>
      <c r="Z315" s="7">
        <v>252.88000489999999</v>
      </c>
      <c r="AA315" s="7">
        <f t="shared" si="18"/>
        <v>207.36000443999998</v>
      </c>
      <c r="AB315" t="s">
        <v>45</v>
      </c>
      <c r="AC315" t="str">
        <f t="shared" si="19"/>
        <v>Non-Cash Payments</v>
      </c>
    </row>
    <row r="316" spans="1:29" x14ac:dyDescent="0.25">
      <c r="A316">
        <v>70544</v>
      </c>
      <c r="B316" s="2">
        <v>43034</v>
      </c>
      <c r="C316">
        <v>2</v>
      </c>
      <c r="D316" s="2">
        <f t="shared" si="16"/>
        <v>43038</v>
      </c>
      <c r="E316">
        <v>1</v>
      </c>
      <c r="F316" t="s">
        <v>23</v>
      </c>
      <c r="G316" t="str">
        <f t="shared" si="17"/>
        <v>Other</v>
      </c>
      <c r="H316">
        <v>64</v>
      </c>
      <c r="I316">
        <v>14097</v>
      </c>
      <c r="J316">
        <v>10</v>
      </c>
      <c r="K316" t="s">
        <v>260</v>
      </c>
      <c r="L316" t="s">
        <v>237</v>
      </c>
      <c r="M316" t="s">
        <v>301</v>
      </c>
      <c r="N316" t="s">
        <v>250</v>
      </c>
      <c r="P316" t="s">
        <v>251</v>
      </c>
      <c r="Q316" t="s">
        <v>252</v>
      </c>
      <c r="R316">
        <v>64</v>
      </c>
      <c r="T316">
        <v>1351</v>
      </c>
      <c r="U316" t="s">
        <v>1100</v>
      </c>
      <c r="V316" s="7">
        <v>1500</v>
      </c>
      <c r="W316" s="7">
        <v>1293.21250629</v>
      </c>
      <c r="X316">
        <v>1</v>
      </c>
      <c r="Y316" s="7">
        <v>300</v>
      </c>
      <c r="Z316" s="7">
        <v>1500</v>
      </c>
      <c r="AA316" s="7">
        <f t="shared" si="18"/>
        <v>1200</v>
      </c>
      <c r="AB316" t="s">
        <v>45</v>
      </c>
      <c r="AC316" t="str">
        <f t="shared" si="19"/>
        <v>Non-Cash Payments</v>
      </c>
    </row>
    <row r="317" spans="1:29" x14ac:dyDescent="0.25">
      <c r="A317">
        <v>69471</v>
      </c>
      <c r="B317" s="2">
        <v>43049</v>
      </c>
      <c r="C317">
        <v>2</v>
      </c>
      <c r="D317" s="2">
        <f t="shared" si="16"/>
        <v>43053</v>
      </c>
      <c r="E317">
        <v>0</v>
      </c>
      <c r="F317" t="s">
        <v>23</v>
      </c>
      <c r="G317" t="str">
        <f t="shared" si="17"/>
        <v>Other</v>
      </c>
      <c r="H317">
        <v>62</v>
      </c>
      <c r="I317">
        <v>13024</v>
      </c>
      <c r="J317">
        <v>10</v>
      </c>
      <c r="K317" t="s">
        <v>260</v>
      </c>
      <c r="L317" t="s">
        <v>237</v>
      </c>
      <c r="M317" t="s">
        <v>302</v>
      </c>
      <c r="N317" t="s">
        <v>294</v>
      </c>
      <c r="P317" t="s">
        <v>251</v>
      </c>
      <c r="Q317" t="s">
        <v>252</v>
      </c>
      <c r="R317">
        <v>62</v>
      </c>
      <c r="T317">
        <v>1349</v>
      </c>
      <c r="U317" t="s">
        <v>1098</v>
      </c>
      <c r="V317" s="7">
        <v>452.0400085</v>
      </c>
      <c r="W317" s="7">
        <v>338.67539386846153</v>
      </c>
      <c r="X317">
        <v>1</v>
      </c>
      <c r="Y317" s="7">
        <v>113.01000209999999</v>
      </c>
      <c r="Z317" s="7">
        <v>452.0400085</v>
      </c>
      <c r="AA317" s="7">
        <f t="shared" si="18"/>
        <v>339.03000639999999</v>
      </c>
      <c r="AB317" t="s">
        <v>45</v>
      </c>
      <c r="AC317" t="str">
        <f t="shared" si="19"/>
        <v>Non-Cash Payments</v>
      </c>
    </row>
    <row r="318" spans="1:29" x14ac:dyDescent="0.25">
      <c r="A318">
        <v>68879</v>
      </c>
      <c r="B318" s="2">
        <v>42776</v>
      </c>
      <c r="C318">
        <v>2</v>
      </c>
      <c r="D318" s="2">
        <f t="shared" si="16"/>
        <v>42780</v>
      </c>
      <c r="E318">
        <v>1</v>
      </c>
      <c r="F318" t="s">
        <v>23</v>
      </c>
      <c r="G318" t="str">
        <f t="shared" si="17"/>
        <v>Other</v>
      </c>
      <c r="H318">
        <v>4</v>
      </c>
      <c r="I318">
        <v>778</v>
      </c>
      <c r="J318">
        <v>2</v>
      </c>
      <c r="K318" t="s">
        <v>136</v>
      </c>
      <c r="L318" t="s">
        <v>237</v>
      </c>
      <c r="M318" t="s">
        <v>303</v>
      </c>
      <c r="N318" t="s">
        <v>243</v>
      </c>
      <c r="P318" t="s">
        <v>244</v>
      </c>
      <c r="Q318" t="s">
        <v>241</v>
      </c>
      <c r="R318">
        <v>4</v>
      </c>
      <c r="T318">
        <v>60</v>
      </c>
      <c r="U318" t="s">
        <v>1102</v>
      </c>
      <c r="V318" s="7">
        <v>999.98999019999997</v>
      </c>
      <c r="W318" s="7">
        <v>584.19000239999991</v>
      </c>
      <c r="X318">
        <v>1</v>
      </c>
      <c r="Y318" s="7">
        <v>10</v>
      </c>
      <c r="Z318" s="7">
        <v>999.98999019999997</v>
      </c>
      <c r="AA318" s="7">
        <f t="shared" si="18"/>
        <v>989.98999019999997</v>
      </c>
      <c r="AB318" t="s">
        <v>45</v>
      </c>
      <c r="AC318" t="str">
        <f t="shared" si="19"/>
        <v>Non-Cash Payments</v>
      </c>
    </row>
    <row r="319" spans="1:29" x14ac:dyDescent="0.25">
      <c r="A319">
        <v>67214</v>
      </c>
      <c r="B319" s="2">
        <v>42956</v>
      </c>
      <c r="C319">
        <v>2</v>
      </c>
      <c r="D319" s="2">
        <f t="shared" si="16"/>
        <v>42958</v>
      </c>
      <c r="E319">
        <v>1</v>
      </c>
      <c r="F319" t="s">
        <v>23</v>
      </c>
      <c r="G319" t="str">
        <f t="shared" si="17"/>
        <v>Other</v>
      </c>
      <c r="H319">
        <v>2</v>
      </c>
      <c r="I319">
        <v>7146</v>
      </c>
      <c r="J319">
        <v>2</v>
      </c>
      <c r="K319" t="s">
        <v>136</v>
      </c>
      <c r="L319" t="s">
        <v>237</v>
      </c>
      <c r="M319" t="s">
        <v>304</v>
      </c>
      <c r="N319" t="s">
        <v>305</v>
      </c>
      <c r="P319" t="s">
        <v>283</v>
      </c>
      <c r="Q319" t="s">
        <v>264</v>
      </c>
      <c r="R319">
        <v>2</v>
      </c>
      <c r="T319">
        <v>24</v>
      </c>
      <c r="U319" t="s">
        <v>1104</v>
      </c>
      <c r="V319" s="7">
        <v>79.989997860000003</v>
      </c>
      <c r="W319" s="7">
        <v>71.369997974</v>
      </c>
      <c r="X319">
        <v>1</v>
      </c>
      <c r="Y319" s="7">
        <v>1.6000000240000001</v>
      </c>
      <c r="Z319" s="7">
        <v>79.989997860000003</v>
      </c>
      <c r="AA319" s="7">
        <f t="shared" si="18"/>
        <v>78.389997836000006</v>
      </c>
      <c r="AB319" t="s">
        <v>45</v>
      </c>
      <c r="AC319" t="str">
        <f t="shared" si="19"/>
        <v>Non-Cash Payments</v>
      </c>
    </row>
    <row r="320" spans="1:29" x14ac:dyDescent="0.25">
      <c r="A320">
        <v>17810</v>
      </c>
      <c r="B320" s="2">
        <v>42264</v>
      </c>
      <c r="C320">
        <v>2</v>
      </c>
      <c r="D320" s="2">
        <f t="shared" si="16"/>
        <v>42268</v>
      </c>
      <c r="E320">
        <v>1</v>
      </c>
      <c r="F320" t="s">
        <v>23</v>
      </c>
      <c r="G320" t="str">
        <f t="shared" si="17"/>
        <v>Other</v>
      </c>
      <c r="H320">
        <v>3</v>
      </c>
      <c r="I320">
        <v>6365</v>
      </c>
      <c r="J320">
        <v>2</v>
      </c>
      <c r="K320" t="s">
        <v>136</v>
      </c>
      <c r="L320" t="s">
        <v>237</v>
      </c>
      <c r="M320" t="s">
        <v>306</v>
      </c>
      <c r="N320" t="s">
        <v>306</v>
      </c>
      <c r="P320" t="s">
        <v>307</v>
      </c>
      <c r="Q320" t="s">
        <v>252</v>
      </c>
      <c r="R320">
        <v>3</v>
      </c>
      <c r="T320">
        <v>44</v>
      </c>
      <c r="U320" t="s">
        <v>1088</v>
      </c>
      <c r="V320" s="7">
        <v>59.990001679999999</v>
      </c>
      <c r="W320" s="7">
        <v>57.194418487916671</v>
      </c>
      <c r="X320">
        <v>1</v>
      </c>
      <c r="Y320" s="7">
        <v>7.8000001909999996</v>
      </c>
      <c r="Z320" s="7">
        <v>59.990001679999999</v>
      </c>
      <c r="AA320" s="7">
        <f t="shared" si="18"/>
        <v>52.190001488999997</v>
      </c>
      <c r="AB320" t="s">
        <v>45</v>
      </c>
      <c r="AC320" t="str">
        <f t="shared" si="19"/>
        <v>Non-Cash Payments</v>
      </c>
    </row>
    <row r="321" spans="1:29" x14ac:dyDescent="0.25">
      <c r="A321">
        <v>18793</v>
      </c>
      <c r="B321" s="2">
        <v>42045</v>
      </c>
      <c r="C321">
        <v>2</v>
      </c>
      <c r="D321" s="2">
        <f t="shared" si="16"/>
        <v>42047</v>
      </c>
      <c r="E321">
        <v>1</v>
      </c>
      <c r="F321" t="s">
        <v>23</v>
      </c>
      <c r="G321" t="str">
        <f t="shared" si="17"/>
        <v>Other</v>
      </c>
      <c r="H321">
        <v>13</v>
      </c>
      <c r="I321">
        <v>8422</v>
      </c>
      <c r="J321">
        <v>3</v>
      </c>
      <c r="K321" t="s">
        <v>24</v>
      </c>
      <c r="L321" t="s">
        <v>237</v>
      </c>
      <c r="M321" t="s">
        <v>308</v>
      </c>
      <c r="N321" t="s">
        <v>250</v>
      </c>
      <c r="P321" t="s">
        <v>251</v>
      </c>
      <c r="Q321" t="s">
        <v>252</v>
      </c>
      <c r="R321">
        <v>13</v>
      </c>
      <c r="T321">
        <v>278</v>
      </c>
      <c r="U321" t="s">
        <v>1106</v>
      </c>
      <c r="V321" s="7">
        <v>44.990001679999999</v>
      </c>
      <c r="W321" s="7">
        <v>31.547668386333335</v>
      </c>
      <c r="X321">
        <v>1</v>
      </c>
      <c r="Y321" s="7">
        <v>1.7999999520000001</v>
      </c>
      <c r="Z321" s="7">
        <v>44.990001679999999</v>
      </c>
      <c r="AA321" s="7">
        <f t="shared" si="18"/>
        <v>43.190001727999999</v>
      </c>
      <c r="AB321" t="s">
        <v>45</v>
      </c>
      <c r="AC321" t="str">
        <f t="shared" si="19"/>
        <v>Non-Cash Payments</v>
      </c>
    </row>
    <row r="322" spans="1:29" x14ac:dyDescent="0.25">
      <c r="A322">
        <v>65109</v>
      </c>
      <c r="B322" s="2">
        <v>42955</v>
      </c>
      <c r="C322">
        <v>2</v>
      </c>
      <c r="D322" s="2">
        <f t="shared" si="16"/>
        <v>42957</v>
      </c>
      <c r="E322">
        <v>1</v>
      </c>
      <c r="F322" t="s">
        <v>23</v>
      </c>
      <c r="G322" t="str">
        <f t="shared" si="17"/>
        <v>Other</v>
      </c>
      <c r="H322">
        <v>9</v>
      </c>
      <c r="I322">
        <v>8524</v>
      </c>
      <c r="J322">
        <v>3</v>
      </c>
      <c r="K322" t="s">
        <v>24</v>
      </c>
      <c r="L322" t="s">
        <v>237</v>
      </c>
      <c r="M322" t="s">
        <v>309</v>
      </c>
      <c r="N322" t="s">
        <v>297</v>
      </c>
      <c r="P322" t="s">
        <v>240</v>
      </c>
      <c r="Q322" t="s">
        <v>241</v>
      </c>
      <c r="R322">
        <v>9</v>
      </c>
      <c r="T322">
        <v>191</v>
      </c>
      <c r="U322" t="s">
        <v>1044</v>
      </c>
      <c r="V322" s="7">
        <v>99.989997860000003</v>
      </c>
      <c r="W322" s="7">
        <v>95.114003926871064</v>
      </c>
      <c r="X322">
        <v>1</v>
      </c>
      <c r="Y322" s="7">
        <v>4</v>
      </c>
      <c r="Z322" s="7">
        <v>99.989997860000003</v>
      </c>
      <c r="AA322" s="7">
        <f t="shared" si="18"/>
        <v>95.989997860000003</v>
      </c>
      <c r="AB322" t="s">
        <v>45</v>
      </c>
      <c r="AC322" t="str">
        <f t="shared" si="19"/>
        <v>Non-Cash Payments</v>
      </c>
    </row>
    <row r="323" spans="1:29" x14ac:dyDescent="0.25">
      <c r="A323">
        <v>15673</v>
      </c>
      <c r="B323" s="2">
        <v>42233</v>
      </c>
      <c r="C323">
        <v>2</v>
      </c>
      <c r="D323" s="2">
        <f t="shared" ref="D323:D386" si="20">WORKDAY(B323,C323)</f>
        <v>42235</v>
      </c>
      <c r="E323">
        <v>1</v>
      </c>
      <c r="F323" t="s">
        <v>23</v>
      </c>
      <c r="G323" t="str">
        <f t="shared" ref="G323:G386" si="21">IF(AND(E323=0,F323="Same Day"),"Same Day - On Time","Other")</f>
        <v>Other</v>
      </c>
      <c r="H323">
        <v>9</v>
      </c>
      <c r="I323">
        <v>3784</v>
      </c>
      <c r="J323">
        <v>3</v>
      </c>
      <c r="K323" t="s">
        <v>24</v>
      </c>
      <c r="L323" t="s">
        <v>237</v>
      </c>
      <c r="M323" t="s">
        <v>310</v>
      </c>
      <c r="N323" t="s">
        <v>250</v>
      </c>
      <c r="P323" t="s">
        <v>251</v>
      </c>
      <c r="Q323" t="s">
        <v>252</v>
      </c>
      <c r="R323">
        <v>9</v>
      </c>
      <c r="T323">
        <v>191</v>
      </c>
      <c r="U323" t="s">
        <v>1044</v>
      </c>
      <c r="V323" s="7">
        <v>99.989997860000003</v>
      </c>
      <c r="W323" s="7">
        <v>95.114003926871064</v>
      </c>
      <c r="X323">
        <v>1</v>
      </c>
      <c r="Y323" s="7">
        <v>5</v>
      </c>
      <c r="Z323" s="7">
        <v>99.989997860000003</v>
      </c>
      <c r="AA323" s="7">
        <f t="shared" ref="AA323:AA386" si="22">Z323-Y323</f>
        <v>94.989997860000003</v>
      </c>
      <c r="AB323" t="s">
        <v>45</v>
      </c>
      <c r="AC323" t="str">
        <f t="shared" ref="AC323:AC386" si="23">IF(AND(AA323&gt;200,AB323="CASH"),"Cash Over 200",IF(AB323="CASH","Cash Not Over 200","Non-Cash Payments"))</f>
        <v>Non-Cash Payments</v>
      </c>
    </row>
    <row r="324" spans="1:29" x14ac:dyDescent="0.25">
      <c r="A324">
        <v>18183</v>
      </c>
      <c r="B324" s="2">
        <v>42270</v>
      </c>
      <c r="C324">
        <v>2</v>
      </c>
      <c r="D324" s="2">
        <f t="shared" si="20"/>
        <v>42272</v>
      </c>
      <c r="E324">
        <v>1</v>
      </c>
      <c r="F324" t="s">
        <v>23</v>
      </c>
      <c r="G324" t="str">
        <f t="shared" si="21"/>
        <v>Other</v>
      </c>
      <c r="H324">
        <v>13</v>
      </c>
      <c r="I324">
        <v>10519</v>
      </c>
      <c r="J324">
        <v>3</v>
      </c>
      <c r="K324" t="s">
        <v>24</v>
      </c>
      <c r="L324" t="s">
        <v>237</v>
      </c>
      <c r="M324" t="s">
        <v>311</v>
      </c>
      <c r="N324" t="s">
        <v>312</v>
      </c>
      <c r="P324" t="s">
        <v>248</v>
      </c>
      <c r="Q324" t="s">
        <v>241</v>
      </c>
      <c r="R324">
        <v>13</v>
      </c>
      <c r="T324">
        <v>278</v>
      </c>
      <c r="U324" t="s">
        <v>1106</v>
      </c>
      <c r="V324" s="7">
        <v>44.990001679999999</v>
      </c>
      <c r="W324" s="7">
        <v>31.547668386333335</v>
      </c>
      <c r="X324">
        <v>1</v>
      </c>
      <c r="Y324" s="7">
        <v>3.1500000950000002</v>
      </c>
      <c r="Z324" s="7">
        <v>44.990001679999999</v>
      </c>
      <c r="AA324" s="7">
        <f t="shared" si="22"/>
        <v>41.840001584999996</v>
      </c>
      <c r="AB324" t="s">
        <v>45</v>
      </c>
      <c r="AC324" t="str">
        <f t="shared" si="23"/>
        <v>Non-Cash Payments</v>
      </c>
    </row>
    <row r="325" spans="1:29" x14ac:dyDescent="0.25">
      <c r="A325">
        <v>20234</v>
      </c>
      <c r="B325" s="2">
        <v>42300</v>
      </c>
      <c r="C325">
        <v>2</v>
      </c>
      <c r="D325" s="2">
        <f t="shared" si="20"/>
        <v>42304</v>
      </c>
      <c r="E325">
        <v>1</v>
      </c>
      <c r="F325" t="s">
        <v>23</v>
      </c>
      <c r="G325" t="str">
        <f t="shared" si="21"/>
        <v>Other</v>
      </c>
      <c r="H325">
        <v>9</v>
      </c>
      <c r="I325">
        <v>7132</v>
      </c>
      <c r="J325">
        <v>3</v>
      </c>
      <c r="K325" t="s">
        <v>24</v>
      </c>
      <c r="L325" t="s">
        <v>237</v>
      </c>
      <c r="M325" t="s">
        <v>313</v>
      </c>
      <c r="N325" t="s">
        <v>313</v>
      </c>
      <c r="P325" t="s">
        <v>314</v>
      </c>
      <c r="Q325" t="s">
        <v>241</v>
      </c>
      <c r="R325">
        <v>9</v>
      </c>
      <c r="T325">
        <v>191</v>
      </c>
      <c r="U325" t="s">
        <v>1044</v>
      </c>
      <c r="V325" s="7">
        <v>99.989997860000003</v>
      </c>
      <c r="W325" s="7">
        <v>95.114003926871064</v>
      </c>
      <c r="X325">
        <v>1</v>
      </c>
      <c r="Y325" s="7">
        <v>10</v>
      </c>
      <c r="Z325" s="7">
        <v>99.989997860000003</v>
      </c>
      <c r="AA325" s="7">
        <f t="shared" si="22"/>
        <v>89.989997860000003</v>
      </c>
      <c r="AB325" t="s">
        <v>45</v>
      </c>
      <c r="AC325" t="str">
        <f t="shared" si="23"/>
        <v>Non-Cash Payments</v>
      </c>
    </row>
    <row r="326" spans="1:29" x14ac:dyDescent="0.25">
      <c r="A326">
        <v>13139</v>
      </c>
      <c r="B326" s="2">
        <v>42315</v>
      </c>
      <c r="C326">
        <v>2</v>
      </c>
      <c r="D326" s="2">
        <f t="shared" si="20"/>
        <v>42318</v>
      </c>
      <c r="E326">
        <v>1</v>
      </c>
      <c r="F326" t="s">
        <v>23</v>
      </c>
      <c r="G326" t="str">
        <f t="shared" si="21"/>
        <v>Other</v>
      </c>
      <c r="H326">
        <v>9</v>
      </c>
      <c r="I326">
        <v>3709</v>
      </c>
      <c r="J326">
        <v>3</v>
      </c>
      <c r="K326" t="s">
        <v>24</v>
      </c>
      <c r="L326" t="s">
        <v>237</v>
      </c>
      <c r="M326" t="s">
        <v>313</v>
      </c>
      <c r="N326" t="s">
        <v>313</v>
      </c>
      <c r="P326" t="s">
        <v>314</v>
      </c>
      <c r="Q326" t="s">
        <v>241</v>
      </c>
      <c r="R326">
        <v>9</v>
      </c>
      <c r="T326">
        <v>191</v>
      </c>
      <c r="U326" t="s">
        <v>1044</v>
      </c>
      <c r="V326" s="7">
        <v>99.989997860000003</v>
      </c>
      <c r="W326" s="7">
        <v>95.114003926871064</v>
      </c>
      <c r="X326">
        <v>1</v>
      </c>
      <c r="Y326" s="7">
        <v>12</v>
      </c>
      <c r="Z326" s="7">
        <v>99.989997860000003</v>
      </c>
      <c r="AA326" s="7">
        <f t="shared" si="22"/>
        <v>87.989997860000003</v>
      </c>
      <c r="AB326" t="s">
        <v>45</v>
      </c>
      <c r="AC326" t="str">
        <f t="shared" si="23"/>
        <v>Non-Cash Payments</v>
      </c>
    </row>
    <row r="327" spans="1:29" x14ac:dyDescent="0.25">
      <c r="A327">
        <v>19590</v>
      </c>
      <c r="B327" s="2">
        <v>42290</v>
      </c>
      <c r="C327">
        <v>4</v>
      </c>
      <c r="D327" s="2">
        <f t="shared" si="20"/>
        <v>42296</v>
      </c>
      <c r="E327">
        <v>1</v>
      </c>
      <c r="F327" t="s">
        <v>62</v>
      </c>
      <c r="G327" t="str">
        <f t="shared" si="21"/>
        <v>Other</v>
      </c>
      <c r="H327">
        <v>3</v>
      </c>
      <c r="I327">
        <v>7518</v>
      </c>
      <c r="J327">
        <v>2</v>
      </c>
      <c r="K327" t="s">
        <v>136</v>
      </c>
      <c r="L327" t="s">
        <v>237</v>
      </c>
      <c r="M327" t="s">
        <v>315</v>
      </c>
      <c r="N327" t="s">
        <v>316</v>
      </c>
      <c r="P327" t="s">
        <v>244</v>
      </c>
      <c r="Q327" t="s">
        <v>241</v>
      </c>
      <c r="R327">
        <v>3</v>
      </c>
      <c r="T327">
        <v>44</v>
      </c>
      <c r="U327" t="s">
        <v>1088</v>
      </c>
      <c r="V327" s="7">
        <v>59.990001679999999</v>
      </c>
      <c r="W327" s="7">
        <v>57.194418487916671</v>
      </c>
      <c r="X327">
        <v>5</v>
      </c>
      <c r="Y327" s="7">
        <v>15</v>
      </c>
      <c r="Z327" s="7">
        <v>299.9500084</v>
      </c>
      <c r="AA327" s="7">
        <f t="shared" si="22"/>
        <v>284.9500084</v>
      </c>
      <c r="AB327" t="s">
        <v>45</v>
      </c>
      <c r="AC327" t="str">
        <f t="shared" si="23"/>
        <v>Non-Cash Payments</v>
      </c>
    </row>
    <row r="328" spans="1:29" x14ac:dyDescent="0.25">
      <c r="A328">
        <v>43650</v>
      </c>
      <c r="B328" s="2">
        <v>42642</v>
      </c>
      <c r="C328">
        <v>4</v>
      </c>
      <c r="D328" s="2">
        <f t="shared" si="20"/>
        <v>42648</v>
      </c>
      <c r="E328">
        <v>1</v>
      </c>
      <c r="F328" t="s">
        <v>62</v>
      </c>
      <c r="G328" t="str">
        <f t="shared" si="21"/>
        <v>Other</v>
      </c>
      <c r="H328">
        <v>11</v>
      </c>
      <c r="I328">
        <v>1738</v>
      </c>
      <c r="J328">
        <v>3</v>
      </c>
      <c r="K328" t="s">
        <v>24</v>
      </c>
      <c r="L328" t="s">
        <v>237</v>
      </c>
      <c r="M328" t="s">
        <v>317</v>
      </c>
      <c r="N328" t="s">
        <v>318</v>
      </c>
      <c r="P328" t="s">
        <v>319</v>
      </c>
      <c r="Q328" t="s">
        <v>320</v>
      </c>
      <c r="R328">
        <v>11</v>
      </c>
      <c r="T328">
        <v>235</v>
      </c>
      <c r="U328" t="s">
        <v>1093</v>
      </c>
      <c r="V328" s="7">
        <v>34.990001679999999</v>
      </c>
      <c r="W328" s="7">
        <v>25.521801568600001</v>
      </c>
      <c r="X328">
        <v>5</v>
      </c>
      <c r="Y328" s="7">
        <v>0</v>
      </c>
      <c r="Z328" s="7">
        <v>174.9500084</v>
      </c>
      <c r="AA328" s="7">
        <f t="shared" si="22"/>
        <v>174.9500084</v>
      </c>
      <c r="AB328" t="s">
        <v>45</v>
      </c>
      <c r="AC328" t="str">
        <f t="shared" si="23"/>
        <v>Non-Cash Payments</v>
      </c>
    </row>
    <row r="329" spans="1:29" x14ac:dyDescent="0.25">
      <c r="A329">
        <v>15202</v>
      </c>
      <c r="B329" s="2">
        <v>42285</v>
      </c>
      <c r="C329">
        <v>4</v>
      </c>
      <c r="D329" s="2">
        <f t="shared" si="20"/>
        <v>42291</v>
      </c>
      <c r="E329">
        <v>0</v>
      </c>
      <c r="F329" t="s">
        <v>62</v>
      </c>
      <c r="G329" t="str">
        <f t="shared" si="21"/>
        <v>Other</v>
      </c>
      <c r="H329">
        <v>9</v>
      </c>
      <c r="I329">
        <v>1622</v>
      </c>
      <c r="J329">
        <v>3</v>
      </c>
      <c r="K329" t="s">
        <v>24</v>
      </c>
      <c r="L329" t="s">
        <v>237</v>
      </c>
      <c r="M329" t="s">
        <v>321</v>
      </c>
      <c r="N329" t="s">
        <v>322</v>
      </c>
      <c r="P329" t="s">
        <v>244</v>
      </c>
      <c r="Q329" t="s">
        <v>241</v>
      </c>
      <c r="R329">
        <v>9</v>
      </c>
      <c r="T329">
        <v>191</v>
      </c>
      <c r="U329" t="s">
        <v>1044</v>
      </c>
      <c r="V329" s="7">
        <v>99.989997860000003</v>
      </c>
      <c r="W329" s="7">
        <v>95.114003926871064</v>
      </c>
      <c r="X329">
        <v>5</v>
      </c>
      <c r="Y329" s="7">
        <v>5</v>
      </c>
      <c r="Z329" s="7">
        <v>499.94998930000003</v>
      </c>
      <c r="AA329" s="7">
        <f t="shared" si="22"/>
        <v>494.94998930000003</v>
      </c>
      <c r="AB329" t="s">
        <v>45</v>
      </c>
      <c r="AC329" t="str">
        <f t="shared" si="23"/>
        <v>Non-Cash Payments</v>
      </c>
    </row>
    <row r="330" spans="1:29" x14ac:dyDescent="0.25">
      <c r="A330">
        <v>15462</v>
      </c>
      <c r="B330" s="2">
        <v>42230</v>
      </c>
      <c r="C330">
        <v>4</v>
      </c>
      <c r="D330" s="2">
        <f t="shared" si="20"/>
        <v>42236</v>
      </c>
      <c r="E330">
        <v>0</v>
      </c>
      <c r="F330" t="s">
        <v>62</v>
      </c>
      <c r="G330" t="str">
        <f t="shared" si="21"/>
        <v>Other</v>
      </c>
      <c r="H330">
        <v>13</v>
      </c>
      <c r="I330">
        <v>1325</v>
      </c>
      <c r="J330">
        <v>3</v>
      </c>
      <c r="K330" t="s">
        <v>24</v>
      </c>
      <c r="L330" t="s">
        <v>237</v>
      </c>
      <c r="M330" t="s">
        <v>323</v>
      </c>
      <c r="N330" t="s">
        <v>282</v>
      </c>
      <c r="P330" t="s">
        <v>283</v>
      </c>
      <c r="Q330" t="s">
        <v>264</v>
      </c>
      <c r="R330">
        <v>13</v>
      </c>
      <c r="T330">
        <v>273</v>
      </c>
      <c r="U330" t="s">
        <v>1107</v>
      </c>
      <c r="V330" s="7">
        <v>27.989999770000001</v>
      </c>
      <c r="W330" s="7">
        <v>22.101999580000001</v>
      </c>
      <c r="X330">
        <v>5</v>
      </c>
      <c r="Y330" s="7">
        <v>2.7999999519999998</v>
      </c>
      <c r="Z330" s="7">
        <v>139.94999885000001</v>
      </c>
      <c r="AA330" s="7">
        <f t="shared" si="22"/>
        <v>137.14999889800001</v>
      </c>
      <c r="AB330" t="s">
        <v>45</v>
      </c>
      <c r="AC330" t="str">
        <f t="shared" si="23"/>
        <v>Non-Cash Payments</v>
      </c>
    </row>
    <row r="331" spans="1:29" x14ac:dyDescent="0.25">
      <c r="A331">
        <v>15155</v>
      </c>
      <c r="B331" s="2">
        <v>42285</v>
      </c>
      <c r="C331">
        <v>4</v>
      </c>
      <c r="D331" s="2">
        <f t="shared" si="20"/>
        <v>42291</v>
      </c>
      <c r="E331">
        <v>1</v>
      </c>
      <c r="F331" t="s">
        <v>62</v>
      </c>
      <c r="G331" t="str">
        <f t="shared" si="21"/>
        <v>Other</v>
      </c>
      <c r="H331">
        <v>9</v>
      </c>
      <c r="I331">
        <v>5505</v>
      </c>
      <c r="J331">
        <v>3</v>
      </c>
      <c r="K331" t="s">
        <v>24</v>
      </c>
      <c r="L331" t="s">
        <v>237</v>
      </c>
      <c r="M331" t="s">
        <v>324</v>
      </c>
      <c r="N331" t="s">
        <v>243</v>
      </c>
      <c r="P331" t="s">
        <v>244</v>
      </c>
      <c r="Q331" t="s">
        <v>241</v>
      </c>
      <c r="R331">
        <v>9</v>
      </c>
      <c r="T331">
        <v>191</v>
      </c>
      <c r="U331" t="s">
        <v>1044</v>
      </c>
      <c r="V331" s="7">
        <v>99.989997860000003</v>
      </c>
      <c r="W331" s="7">
        <v>95.114003926871064</v>
      </c>
      <c r="X331">
        <v>5</v>
      </c>
      <c r="Y331" s="7">
        <v>10</v>
      </c>
      <c r="Z331" s="7">
        <v>499.94998930000003</v>
      </c>
      <c r="AA331" s="7">
        <f t="shared" si="22"/>
        <v>489.94998930000003</v>
      </c>
      <c r="AB331" t="s">
        <v>45</v>
      </c>
      <c r="AC331" t="str">
        <f t="shared" si="23"/>
        <v>Non-Cash Payments</v>
      </c>
    </row>
    <row r="332" spans="1:29" x14ac:dyDescent="0.25">
      <c r="A332">
        <v>64451</v>
      </c>
      <c r="B332" s="2">
        <v>42945</v>
      </c>
      <c r="C332">
        <v>4</v>
      </c>
      <c r="D332" s="2">
        <f t="shared" si="20"/>
        <v>42950</v>
      </c>
      <c r="E332">
        <v>0</v>
      </c>
      <c r="F332" t="s">
        <v>62</v>
      </c>
      <c r="G332" t="str">
        <f t="shared" si="21"/>
        <v>Other</v>
      </c>
      <c r="H332">
        <v>9</v>
      </c>
      <c r="I332">
        <v>4210</v>
      </c>
      <c r="J332">
        <v>3</v>
      </c>
      <c r="K332" t="s">
        <v>24</v>
      </c>
      <c r="L332" t="s">
        <v>237</v>
      </c>
      <c r="M332" t="s">
        <v>315</v>
      </c>
      <c r="N332" t="s">
        <v>316</v>
      </c>
      <c r="P332" t="s">
        <v>244</v>
      </c>
      <c r="Q332" t="s">
        <v>241</v>
      </c>
      <c r="R332">
        <v>9</v>
      </c>
      <c r="T332">
        <v>191</v>
      </c>
      <c r="U332" t="s">
        <v>1044</v>
      </c>
      <c r="V332" s="7">
        <v>99.989997860000003</v>
      </c>
      <c r="W332" s="7">
        <v>95.114003926871064</v>
      </c>
      <c r="X332">
        <v>5</v>
      </c>
      <c r="Y332" s="7">
        <v>15</v>
      </c>
      <c r="Z332" s="7">
        <v>499.94998930000003</v>
      </c>
      <c r="AA332" s="7">
        <f t="shared" si="22"/>
        <v>484.94998930000003</v>
      </c>
      <c r="AB332" t="s">
        <v>45</v>
      </c>
      <c r="AC332" t="str">
        <f t="shared" si="23"/>
        <v>Non-Cash Payments</v>
      </c>
    </row>
    <row r="333" spans="1:29" x14ac:dyDescent="0.25">
      <c r="A333">
        <v>67028</v>
      </c>
      <c r="B333" s="2">
        <v>42864</v>
      </c>
      <c r="C333">
        <v>4</v>
      </c>
      <c r="D333" s="2">
        <f t="shared" si="20"/>
        <v>42870</v>
      </c>
      <c r="E333">
        <v>0</v>
      </c>
      <c r="F333" t="s">
        <v>62</v>
      </c>
      <c r="G333" t="str">
        <f t="shared" si="21"/>
        <v>Other</v>
      </c>
      <c r="H333">
        <v>9</v>
      </c>
      <c r="I333">
        <v>11229</v>
      </c>
      <c r="J333">
        <v>3</v>
      </c>
      <c r="K333" t="s">
        <v>24</v>
      </c>
      <c r="L333" t="s">
        <v>237</v>
      </c>
      <c r="M333" t="s">
        <v>325</v>
      </c>
      <c r="N333" t="s">
        <v>326</v>
      </c>
      <c r="P333" t="s">
        <v>244</v>
      </c>
      <c r="Q333" t="s">
        <v>241</v>
      </c>
      <c r="R333">
        <v>9</v>
      </c>
      <c r="T333">
        <v>191</v>
      </c>
      <c r="U333" t="s">
        <v>1044</v>
      </c>
      <c r="V333" s="7">
        <v>99.989997860000003</v>
      </c>
      <c r="W333" s="7">
        <v>95.114003926871064</v>
      </c>
      <c r="X333">
        <v>5</v>
      </c>
      <c r="Y333" s="7">
        <v>15</v>
      </c>
      <c r="Z333" s="7">
        <v>499.94998930000003</v>
      </c>
      <c r="AA333" s="7">
        <f t="shared" si="22"/>
        <v>484.94998930000003</v>
      </c>
      <c r="AB333" t="s">
        <v>45</v>
      </c>
      <c r="AC333" t="str">
        <f t="shared" si="23"/>
        <v>Non-Cash Payments</v>
      </c>
    </row>
    <row r="334" spans="1:29" x14ac:dyDescent="0.25">
      <c r="A334">
        <v>62336</v>
      </c>
      <c r="B334" s="2">
        <v>42914</v>
      </c>
      <c r="C334">
        <v>4</v>
      </c>
      <c r="D334" s="2">
        <f t="shared" si="20"/>
        <v>42920</v>
      </c>
      <c r="E334">
        <v>0</v>
      </c>
      <c r="F334" t="s">
        <v>62</v>
      </c>
      <c r="G334" t="str">
        <f t="shared" si="21"/>
        <v>Other</v>
      </c>
      <c r="H334">
        <v>9</v>
      </c>
      <c r="I334">
        <v>9385</v>
      </c>
      <c r="J334">
        <v>3</v>
      </c>
      <c r="K334" t="s">
        <v>24</v>
      </c>
      <c r="L334" t="s">
        <v>237</v>
      </c>
      <c r="M334" t="s">
        <v>327</v>
      </c>
      <c r="N334" t="s">
        <v>243</v>
      </c>
      <c r="P334" t="s">
        <v>244</v>
      </c>
      <c r="Q334" t="s">
        <v>241</v>
      </c>
      <c r="R334">
        <v>9</v>
      </c>
      <c r="T334">
        <v>191</v>
      </c>
      <c r="U334" t="s">
        <v>1044</v>
      </c>
      <c r="V334" s="7">
        <v>99.989997860000003</v>
      </c>
      <c r="W334" s="7">
        <v>95.114003926871064</v>
      </c>
      <c r="X334">
        <v>5</v>
      </c>
      <c r="Y334" s="7">
        <v>15</v>
      </c>
      <c r="Z334" s="7">
        <v>499.94998930000003</v>
      </c>
      <c r="AA334" s="7">
        <f t="shared" si="22"/>
        <v>484.94998930000003</v>
      </c>
      <c r="AB334" t="s">
        <v>45</v>
      </c>
      <c r="AC334" t="str">
        <f t="shared" si="23"/>
        <v>Non-Cash Payments</v>
      </c>
    </row>
    <row r="335" spans="1:29" x14ac:dyDescent="0.25">
      <c r="A335">
        <v>11334</v>
      </c>
      <c r="B335" s="2">
        <v>42170</v>
      </c>
      <c r="C335">
        <v>4</v>
      </c>
      <c r="D335" s="2">
        <f t="shared" si="20"/>
        <v>42174</v>
      </c>
      <c r="E335">
        <v>1</v>
      </c>
      <c r="F335" t="s">
        <v>62</v>
      </c>
      <c r="G335" t="str">
        <f t="shared" si="21"/>
        <v>Other</v>
      </c>
      <c r="H335">
        <v>13</v>
      </c>
      <c r="I335">
        <v>900</v>
      </c>
      <c r="J335">
        <v>3</v>
      </c>
      <c r="K335" t="s">
        <v>24</v>
      </c>
      <c r="L335" t="s">
        <v>237</v>
      </c>
      <c r="M335" t="s">
        <v>328</v>
      </c>
      <c r="N335" t="s">
        <v>239</v>
      </c>
      <c r="P335" t="s">
        <v>240</v>
      </c>
      <c r="Q335" t="s">
        <v>241</v>
      </c>
      <c r="R335">
        <v>13</v>
      </c>
      <c r="T335">
        <v>282</v>
      </c>
      <c r="U335" t="s">
        <v>1085</v>
      </c>
      <c r="V335" s="7">
        <v>31.989999770000001</v>
      </c>
      <c r="W335" s="7">
        <v>27.763856872771434</v>
      </c>
      <c r="X335">
        <v>5</v>
      </c>
      <c r="Y335" s="7">
        <v>4.8000001909999996</v>
      </c>
      <c r="Z335" s="7">
        <v>159.94999885000001</v>
      </c>
      <c r="AA335" s="7">
        <f t="shared" si="22"/>
        <v>155.149998659</v>
      </c>
      <c r="AB335" t="s">
        <v>45</v>
      </c>
      <c r="AC335" t="str">
        <f t="shared" si="23"/>
        <v>Non-Cash Payments</v>
      </c>
    </row>
    <row r="336" spans="1:29" x14ac:dyDescent="0.25">
      <c r="A336">
        <v>62885</v>
      </c>
      <c r="B336" s="2">
        <v>42893</v>
      </c>
      <c r="C336">
        <v>4</v>
      </c>
      <c r="D336" s="2">
        <f t="shared" si="20"/>
        <v>42899</v>
      </c>
      <c r="E336">
        <v>1</v>
      </c>
      <c r="F336" t="s">
        <v>62</v>
      </c>
      <c r="G336" t="str">
        <f t="shared" si="21"/>
        <v>Other</v>
      </c>
      <c r="H336">
        <v>9</v>
      </c>
      <c r="I336">
        <v>6217</v>
      </c>
      <c r="J336">
        <v>3</v>
      </c>
      <c r="K336" t="s">
        <v>24</v>
      </c>
      <c r="L336" t="s">
        <v>237</v>
      </c>
      <c r="M336" t="s">
        <v>329</v>
      </c>
      <c r="N336" t="s">
        <v>330</v>
      </c>
      <c r="P336" t="s">
        <v>263</v>
      </c>
      <c r="Q336" t="s">
        <v>264</v>
      </c>
      <c r="R336">
        <v>9</v>
      </c>
      <c r="T336">
        <v>191</v>
      </c>
      <c r="U336" t="s">
        <v>1044</v>
      </c>
      <c r="V336" s="7">
        <v>99.989997860000003</v>
      </c>
      <c r="W336" s="7">
        <v>95.114003926871064</v>
      </c>
      <c r="X336">
        <v>5</v>
      </c>
      <c r="Y336" s="7">
        <v>20</v>
      </c>
      <c r="Z336" s="7">
        <v>499.94998930000003</v>
      </c>
      <c r="AA336" s="7">
        <f t="shared" si="22"/>
        <v>479.94998930000003</v>
      </c>
      <c r="AB336" t="s">
        <v>45</v>
      </c>
      <c r="AC336" t="str">
        <f t="shared" si="23"/>
        <v>Non-Cash Payments</v>
      </c>
    </row>
    <row r="337" spans="1:29" x14ac:dyDescent="0.25">
      <c r="A337">
        <v>66998</v>
      </c>
      <c r="B337" s="2">
        <v>42864</v>
      </c>
      <c r="C337">
        <v>4</v>
      </c>
      <c r="D337" s="2">
        <f t="shared" si="20"/>
        <v>42870</v>
      </c>
      <c r="E337">
        <v>0</v>
      </c>
      <c r="F337" t="s">
        <v>62</v>
      </c>
      <c r="G337" t="str">
        <f t="shared" si="21"/>
        <v>Other</v>
      </c>
      <c r="H337">
        <v>9</v>
      </c>
      <c r="I337">
        <v>9466</v>
      </c>
      <c r="J337">
        <v>3</v>
      </c>
      <c r="K337" t="s">
        <v>24</v>
      </c>
      <c r="L337" t="s">
        <v>237</v>
      </c>
      <c r="M337" t="s">
        <v>331</v>
      </c>
      <c r="N337" t="s">
        <v>332</v>
      </c>
      <c r="P337" t="s">
        <v>263</v>
      </c>
      <c r="Q337" t="s">
        <v>264</v>
      </c>
      <c r="R337">
        <v>9</v>
      </c>
      <c r="T337">
        <v>191</v>
      </c>
      <c r="U337" t="s">
        <v>1044</v>
      </c>
      <c r="V337" s="7">
        <v>99.989997860000003</v>
      </c>
      <c r="W337" s="7">
        <v>95.114003926871064</v>
      </c>
      <c r="X337">
        <v>5</v>
      </c>
      <c r="Y337" s="7">
        <v>20</v>
      </c>
      <c r="Z337" s="7">
        <v>499.94998930000003</v>
      </c>
      <c r="AA337" s="7">
        <f t="shared" si="22"/>
        <v>479.94998930000003</v>
      </c>
      <c r="AB337" t="s">
        <v>45</v>
      </c>
      <c r="AC337" t="str">
        <f t="shared" si="23"/>
        <v>Non-Cash Payments</v>
      </c>
    </row>
    <row r="338" spans="1:29" x14ac:dyDescent="0.25">
      <c r="A338">
        <v>47002</v>
      </c>
      <c r="B338" s="2">
        <v>42691</v>
      </c>
      <c r="C338">
        <v>4</v>
      </c>
      <c r="D338" s="2">
        <f t="shared" si="20"/>
        <v>42697</v>
      </c>
      <c r="E338">
        <v>0</v>
      </c>
      <c r="F338" t="s">
        <v>62</v>
      </c>
      <c r="G338" t="str">
        <f t="shared" si="21"/>
        <v>Other</v>
      </c>
      <c r="H338">
        <v>9</v>
      </c>
      <c r="I338">
        <v>4596</v>
      </c>
      <c r="J338">
        <v>3</v>
      </c>
      <c r="K338" t="s">
        <v>24</v>
      </c>
      <c r="L338" t="s">
        <v>237</v>
      </c>
      <c r="M338" t="s">
        <v>333</v>
      </c>
      <c r="N338" t="s">
        <v>334</v>
      </c>
      <c r="P338" t="s">
        <v>335</v>
      </c>
      <c r="Q338" t="s">
        <v>320</v>
      </c>
      <c r="R338">
        <v>9</v>
      </c>
      <c r="T338">
        <v>191</v>
      </c>
      <c r="U338" t="s">
        <v>1044</v>
      </c>
      <c r="V338" s="7">
        <v>99.989997860000003</v>
      </c>
      <c r="W338" s="7">
        <v>95.114003926871064</v>
      </c>
      <c r="X338">
        <v>5</v>
      </c>
      <c r="Y338" s="7">
        <v>25</v>
      </c>
      <c r="Z338" s="7">
        <v>499.94998930000003</v>
      </c>
      <c r="AA338" s="7">
        <f t="shared" si="22"/>
        <v>474.94998930000003</v>
      </c>
      <c r="AB338" t="s">
        <v>45</v>
      </c>
      <c r="AC338" t="str">
        <f t="shared" si="23"/>
        <v>Non-Cash Payments</v>
      </c>
    </row>
    <row r="339" spans="1:29" x14ac:dyDescent="0.25">
      <c r="A339">
        <v>63445</v>
      </c>
      <c r="B339" s="2">
        <v>42931</v>
      </c>
      <c r="C339">
        <v>4</v>
      </c>
      <c r="D339" s="2">
        <f t="shared" si="20"/>
        <v>42936</v>
      </c>
      <c r="E339">
        <v>1</v>
      </c>
      <c r="F339" t="s">
        <v>62</v>
      </c>
      <c r="G339" t="str">
        <f t="shared" si="21"/>
        <v>Other</v>
      </c>
      <c r="H339">
        <v>9</v>
      </c>
      <c r="I339">
        <v>5206</v>
      </c>
      <c r="J339">
        <v>3</v>
      </c>
      <c r="K339" t="s">
        <v>24</v>
      </c>
      <c r="L339" t="s">
        <v>237</v>
      </c>
      <c r="M339" t="s">
        <v>336</v>
      </c>
      <c r="N339" t="s">
        <v>337</v>
      </c>
      <c r="P339" t="s">
        <v>283</v>
      </c>
      <c r="Q339" t="s">
        <v>264</v>
      </c>
      <c r="R339">
        <v>9</v>
      </c>
      <c r="T339">
        <v>191</v>
      </c>
      <c r="U339" t="s">
        <v>1044</v>
      </c>
      <c r="V339" s="7">
        <v>99.989997860000003</v>
      </c>
      <c r="W339" s="7">
        <v>95.114003926871064</v>
      </c>
      <c r="X339">
        <v>5</v>
      </c>
      <c r="Y339" s="7">
        <v>25</v>
      </c>
      <c r="Z339" s="7">
        <v>499.94998930000003</v>
      </c>
      <c r="AA339" s="7">
        <f t="shared" si="22"/>
        <v>474.94998930000003</v>
      </c>
      <c r="AB339" t="s">
        <v>45</v>
      </c>
      <c r="AC339" t="str">
        <f t="shared" si="23"/>
        <v>Non-Cash Payments</v>
      </c>
    </row>
    <row r="340" spans="1:29" x14ac:dyDescent="0.25">
      <c r="A340">
        <v>67566</v>
      </c>
      <c r="B340" s="2">
        <v>42991</v>
      </c>
      <c r="C340">
        <v>4</v>
      </c>
      <c r="D340" s="2">
        <f t="shared" si="20"/>
        <v>42997</v>
      </c>
      <c r="E340">
        <v>0</v>
      </c>
      <c r="F340" t="s">
        <v>62</v>
      </c>
      <c r="G340" t="str">
        <f t="shared" si="21"/>
        <v>Other</v>
      </c>
      <c r="H340">
        <v>9</v>
      </c>
      <c r="I340">
        <v>2823</v>
      </c>
      <c r="J340">
        <v>3</v>
      </c>
      <c r="K340" t="s">
        <v>24</v>
      </c>
      <c r="L340" t="s">
        <v>237</v>
      </c>
      <c r="M340" t="s">
        <v>338</v>
      </c>
      <c r="N340" t="s">
        <v>243</v>
      </c>
      <c r="P340" t="s">
        <v>244</v>
      </c>
      <c r="Q340" t="s">
        <v>241</v>
      </c>
      <c r="R340">
        <v>9</v>
      </c>
      <c r="T340">
        <v>191</v>
      </c>
      <c r="U340" t="s">
        <v>1044</v>
      </c>
      <c r="V340" s="7">
        <v>99.989997860000003</v>
      </c>
      <c r="W340" s="7">
        <v>95.114003926871064</v>
      </c>
      <c r="X340">
        <v>5</v>
      </c>
      <c r="Y340" s="7">
        <v>25</v>
      </c>
      <c r="Z340" s="7">
        <v>499.94998930000003</v>
      </c>
      <c r="AA340" s="7">
        <f t="shared" si="22"/>
        <v>474.94998930000003</v>
      </c>
      <c r="AB340" t="s">
        <v>45</v>
      </c>
      <c r="AC340" t="str">
        <f t="shared" si="23"/>
        <v>Non-Cash Payments</v>
      </c>
    </row>
    <row r="341" spans="1:29" x14ac:dyDescent="0.25">
      <c r="A341">
        <v>18884</v>
      </c>
      <c r="B341" s="2">
        <v>42073</v>
      </c>
      <c r="C341">
        <v>4</v>
      </c>
      <c r="D341" s="2">
        <f t="shared" si="20"/>
        <v>42079</v>
      </c>
      <c r="E341">
        <v>1</v>
      </c>
      <c r="F341" t="s">
        <v>62</v>
      </c>
      <c r="G341" t="str">
        <f t="shared" si="21"/>
        <v>Other</v>
      </c>
      <c r="H341">
        <v>11</v>
      </c>
      <c r="I341">
        <v>10408</v>
      </c>
      <c r="J341">
        <v>3</v>
      </c>
      <c r="K341" t="s">
        <v>24</v>
      </c>
      <c r="L341" t="s">
        <v>237</v>
      </c>
      <c r="M341" t="s">
        <v>339</v>
      </c>
      <c r="N341" t="s">
        <v>259</v>
      </c>
      <c r="P341" t="s">
        <v>244</v>
      </c>
      <c r="Q341" t="s">
        <v>241</v>
      </c>
      <c r="R341">
        <v>11</v>
      </c>
      <c r="T341">
        <v>235</v>
      </c>
      <c r="U341" t="s">
        <v>1093</v>
      </c>
      <c r="V341" s="7">
        <v>34.990001679999999</v>
      </c>
      <c r="W341" s="7">
        <v>25.521801568600001</v>
      </c>
      <c r="X341">
        <v>5</v>
      </c>
      <c r="Y341" s="7">
        <v>8.75</v>
      </c>
      <c r="Z341" s="7">
        <v>174.9500084</v>
      </c>
      <c r="AA341" s="7">
        <f t="shared" si="22"/>
        <v>166.2000084</v>
      </c>
      <c r="AB341" t="s">
        <v>45</v>
      </c>
      <c r="AC341" t="str">
        <f t="shared" si="23"/>
        <v>Non-Cash Payments</v>
      </c>
    </row>
    <row r="342" spans="1:29" x14ac:dyDescent="0.25">
      <c r="A342">
        <v>18845</v>
      </c>
      <c r="B342" s="2">
        <v>42073</v>
      </c>
      <c r="C342">
        <v>4</v>
      </c>
      <c r="D342" s="2">
        <f t="shared" si="20"/>
        <v>42079</v>
      </c>
      <c r="E342">
        <v>1</v>
      </c>
      <c r="F342" t="s">
        <v>62</v>
      </c>
      <c r="G342" t="str">
        <f t="shared" si="21"/>
        <v>Other</v>
      </c>
      <c r="H342">
        <v>11</v>
      </c>
      <c r="I342">
        <v>11011</v>
      </c>
      <c r="J342">
        <v>3</v>
      </c>
      <c r="K342" t="s">
        <v>24</v>
      </c>
      <c r="L342" t="s">
        <v>237</v>
      </c>
      <c r="M342" t="s">
        <v>340</v>
      </c>
      <c r="N342" t="s">
        <v>340</v>
      </c>
      <c r="P342" t="s">
        <v>341</v>
      </c>
      <c r="Q342" t="s">
        <v>264</v>
      </c>
      <c r="R342">
        <v>11</v>
      </c>
      <c r="T342">
        <v>235</v>
      </c>
      <c r="U342" t="s">
        <v>1093</v>
      </c>
      <c r="V342" s="7">
        <v>34.990001679999999</v>
      </c>
      <c r="W342" s="7">
        <v>25.521801568600001</v>
      </c>
      <c r="X342">
        <v>5</v>
      </c>
      <c r="Y342" s="7">
        <v>9.6199998860000004</v>
      </c>
      <c r="Z342" s="7">
        <v>174.9500084</v>
      </c>
      <c r="AA342" s="7">
        <f t="shared" si="22"/>
        <v>165.33000851400001</v>
      </c>
      <c r="AB342" t="s">
        <v>45</v>
      </c>
      <c r="AC342" t="str">
        <f t="shared" si="23"/>
        <v>Non-Cash Payments</v>
      </c>
    </row>
    <row r="343" spans="1:29" x14ac:dyDescent="0.25">
      <c r="A343">
        <v>66854</v>
      </c>
      <c r="B343" s="2">
        <v>42775</v>
      </c>
      <c r="C343">
        <v>4</v>
      </c>
      <c r="D343" s="2">
        <f t="shared" si="20"/>
        <v>42781</v>
      </c>
      <c r="E343">
        <v>1</v>
      </c>
      <c r="F343" t="s">
        <v>62</v>
      </c>
      <c r="G343" t="str">
        <f t="shared" si="21"/>
        <v>Other</v>
      </c>
      <c r="H343">
        <v>16</v>
      </c>
      <c r="I343">
        <v>40</v>
      </c>
      <c r="J343">
        <v>3</v>
      </c>
      <c r="K343" t="s">
        <v>24</v>
      </c>
      <c r="L343" t="s">
        <v>237</v>
      </c>
      <c r="M343" t="s">
        <v>342</v>
      </c>
      <c r="N343" t="s">
        <v>250</v>
      </c>
      <c r="P343" t="s">
        <v>251</v>
      </c>
      <c r="Q343" t="s">
        <v>252</v>
      </c>
      <c r="R343">
        <v>16</v>
      </c>
      <c r="T343">
        <v>359</v>
      </c>
      <c r="U343" t="s">
        <v>1108</v>
      </c>
      <c r="V343" s="7">
        <v>99.989997860000003</v>
      </c>
      <c r="W343" s="7">
        <v>65.117997740000007</v>
      </c>
      <c r="X343">
        <v>5</v>
      </c>
      <c r="Y343" s="7">
        <v>35</v>
      </c>
      <c r="Z343" s="7">
        <v>499.94998930000003</v>
      </c>
      <c r="AA343" s="7">
        <f t="shared" si="22"/>
        <v>464.94998930000003</v>
      </c>
      <c r="AB343" t="s">
        <v>45</v>
      </c>
      <c r="AC343" t="str">
        <f t="shared" si="23"/>
        <v>Non-Cash Payments</v>
      </c>
    </row>
    <row r="344" spans="1:29" x14ac:dyDescent="0.25">
      <c r="A344">
        <v>46955</v>
      </c>
      <c r="B344" s="2">
        <v>42690</v>
      </c>
      <c r="C344">
        <v>4</v>
      </c>
      <c r="D344" s="2">
        <f t="shared" si="20"/>
        <v>42696</v>
      </c>
      <c r="E344">
        <v>1</v>
      </c>
      <c r="F344" t="s">
        <v>62</v>
      </c>
      <c r="G344" t="str">
        <f t="shared" si="21"/>
        <v>Other</v>
      </c>
      <c r="H344">
        <v>9</v>
      </c>
      <c r="I344">
        <v>11636</v>
      </c>
      <c r="J344">
        <v>3</v>
      </c>
      <c r="K344" t="s">
        <v>24</v>
      </c>
      <c r="L344" t="s">
        <v>237</v>
      </c>
      <c r="M344" t="s">
        <v>343</v>
      </c>
      <c r="N344" t="s">
        <v>343</v>
      </c>
      <c r="P344" t="s">
        <v>344</v>
      </c>
      <c r="Q344" t="s">
        <v>320</v>
      </c>
      <c r="R344">
        <v>9</v>
      </c>
      <c r="T344">
        <v>191</v>
      </c>
      <c r="U344" t="s">
        <v>1044</v>
      </c>
      <c r="V344" s="7">
        <v>99.989997860000003</v>
      </c>
      <c r="W344" s="7">
        <v>95.114003926871064</v>
      </c>
      <c r="X344">
        <v>5</v>
      </c>
      <c r="Y344" s="7">
        <v>45</v>
      </c>
      <c r="Z344" s="7">
        <v>499.94998930000003</v>
      </c>
      <c r="AA344" s="7">
        <f t="shared" si="22"/>
        <v>454.94998930000003</v>
      </c>
      <c r="AB344" t="s">
        <v>45</v>
      </c>
      <c r="AC344" t="str">
        <f t="shared" si="23"/>
        <v>Non-Cash Payments</v>
      </c>
    </row>
    <row r="345" spans="1:29" x14ac:dyDescent="0.25">
      <c r="A345">
        <v>13890</v>
      </c>
      <c r="B345" s="2">
        <v>42207</v>
      </c>
      <c r="C345">
        <v>2</v>
      </c>
      <c r="D345" s="2">
        <f t="shared" si="20"/>
        <v>42209</v>
      </c>
      <c r="E345">
        <v>1</v>
      </c>
      <c r="F345" t="s">
        <v>23</v>
      </c>
      <c r="G345" t="str">
        <f t="shared" si="21"/>
        <v>Other</v>
      </c>
      <c r="H345">
        <v>9</v>
      </c>
      <c r="I345">
        <v>9120</v>
      </c>
      <c r="J345">
        <v>3</v>
      </c>
      <c r="K345" t="s">
        <v>24</v>
      </c>
      <c r="L345" t="s">
        <v>237</v>
      </c>
      <c r="M345" t="s">
        <v>345</v>
      </c>
      <c r="N345" t="s">
        <v>346</v>
      </c>
      <c r="P345" t="s">
        <v>240</v>
      </c>
      <c r="Q345" t="s">
        <v>241</v>
      </c>
      <c r="R345">
        <v>9</v>
      </c>
      <c r="T345">
        <v>191</v>
      </c>
      <c r="U345" t="s">
        <v>1044</v>
      </c>
      <c r="V345" s="7">
        <v>99.989997860000003</v>
      </c>
      <c r="W345" s="7">
        <v>95.114003926871064</v>
      </c>
      <c r="X345">
        <v>4</v>
      </c>
      <c r="Y345" s="7">
        <v>4</v>
      </c>
      <c r="Z345" s="7">
        <v>399.95999144000001</v>
      </c>
      <c r="AA345" s="7">
        <f t="shared" si="22"/>
        <v>395.95999144000001</v>
      </c>
      <c r="AB345" t="s">
        <v>30</v>
      </c>
      <c r="AC345" t="str">
        <f t="shared" si="23"/>
        <v>Cash Over 200</v>
      </c>
    </row>
    <row r="346" spans="1:29" x14ac:dyDescent="0.25">
      <c r="A346">
        <v>17071</v>
      </c>
      <c r="B346" s="2">
        <v>42194</v>
      </c>
      <c r="C346">
        <v>2</v>
      </c>
      <c r="D346" s="2">
        <f t="shared" si="20"/>
        <v>42198</v>
      </c>
      <c r="E346">
        <v>0</v>
      </c>
      <c r="F346" t="s">
        <v>23</v>
      </c>
      <c r="G346" t="str">
        <f t="shared" si="21"/>
        <v>Other</v>
      </c>
      <c r="H346">
        <v>13</v>
      </c>
      <c r="I346">
        <v>12221</v>
      </c>
      <c r="J346">
        <v>3</v>
      </c>
      <c r="K346" t="s">
        <v>24</v>
      </c>
      <c r="L346" t="s">
        <v>237</v>
      </c>
      <c r="M346" t="s">
        <v>315</v>
      </c>
      <c r="N346" t="s">
        <v>316</v>
      </c>
      <c r="P346" t="s">
        <v>244</v>
      </c>
      <c r="Q346" t="s">
        <v>241</v>
      </c>
      <c r="R346">
        <v>13</v>
      </c>
      <c r="T346">
        <v>276</v>
      </c>
      <c r="U346" t="s">
        <v>1110</v>
      </c>
      <c r="V346" s="7">
        <v>31.989999770000001</v>
      </c>
      <c r="W346" s="7">
        <v>27.113333001333334</v>
      </c>
      <c r="X346">
        <v>4</v>
      </c>
      <c r="Y346" s="7">
        <v>1.2799999710000001</v>
      </c>
      <c r="Z346" s="7">
        <v>127.95999908</v>
      </c>
      <c r="AA346" s="7">
        <f t="shared" si="22"/>
        <v>126.67999910900001</v>
      </c>
      <c r="AB346" t="s">
        <v>30</v>
      </c>
      <c r="AC346" t="str">
        <f t="shared" si="23"/>
        <v>Cash Not Over 200</v>
      </c>
    </row>
    <row r="347" spans="1:29" x14ac:dyDescent="0.25">
      <c r="A347">
        <v>11321</v>
      </c>
      <c r="B347" s="2">
        <v>42170</v>
      </c>
      <c r="C347">
        <v>2</v>
      </c>
      <c r="D347" s="2">
        <f t="shared" si="20"/>
        <v>42172</v>
      </c>
      <c r="E347">
        <v>0</v>
      </c>
      <c r="F347" t="s">
        <v>23</v>
      </c>
      <c r="G347" t="str">
        <f t="shared" si="21"/>
        <v>Other</v>
      </c>
      <c r="H347">
        <v>9</v>
      </c>
      <c r="I347">
        <v>9415</v>
      </c>
      <c r="J347">
        <v>3</v>
      </c>
      <c r="K347" t="s">
        <v>24</v>
      </c>
      <c r="L347" t="s">
        <v>237</v>
      </c>
      <c r="M347" t="s">
        <v>347</v>
      </c>
      <c r="N347" t="s">
        <v>266</v>
      </c>
      <c r="P347" t="s">
        <v>240</v>
      </c>
      <c r="Q347" t="s">
        <v>241</v>
      </c>
      <c r="R347">
        <v>9</v>
      </c>
      <c r="T347">
        <v>191</v>
      </c>
      <c r="U347" t="s">
        <v>1044</v>
      </c>
      <c r="V347" s="7">
        <v>99.989997860000003</v>
      </c>
      <c r="W347" s="7">
        <v>95.114003926871064</v>
      </c>
      <c r="X347">
        <v>4</v>
      </c>
      <c r="Y347" s="7">
        <v>8</v>
      </c>
      <c r="Z347" s="7">
        <v>399.95999144000001</v>
      </c>
      <c r="AA347" s="7">
        <f t="shared" si="22"/>
        <v>391.95999144000001</v>
      </c>
      <c r="AB347" t="s">
        <v>30</v>
      </c>
      <c r="AC347" t="str">
        <f t="shared" si="23"/>
        <v>Cash Over 200</v>
      </c>
    </row>
    <row r="348" spans="1:29" x14ac:dyDescent="0.25">
      <c r="A348">
        <v>64813</v>
      </c>
      <c r="B348" s="2">
        <v>42833</v>
      </c>
      <c r="C348">
        <v>2</v>
      </c>
      <c r="D348" s="2">
        <f t="shared" si="20"/>
        <v>42836</v>
      </c>
      <c r="E348">
        <v>1</v>
      </c>
      <c r="F348" t="s">
        <v>23</v>
      </c>
      <c r="G348" t="str">
        <f t="shared" si="21"/>
        <v>Other</v>
      </c>
      <c r="H348">
        <v>17</v>
      </c>
      <c r="I348">
        <v>10018</v>
      </c>
      <c r="J348">
        <v>4</v>
      </c>
      <c r="K348" t="s">
        <v>46</v>
      </c>
      <c r="L348" t="s">
        <v>237</v>
      </c>
      <c r="M348" t="s">
        <v>256</v>
      </c>
      <c r="N348" t="s">
        <v>250</v>
      </c>
      <c r="P348" t="s">
        <v>251</v>
      </c>
      <c r="Q348" t="s">
        <v>252</v>
      </c>
      <c r="R348">
        <v>17</v>
      </c>
      <c r="T348">
        <v>365</v>
      </c>
      <c r="U348" t="s">
        <v>1054</v>
      </c>
      <c r="V348" s="7">
        <v>59.990001679999999</v>
      </c>
      <c r="W348" s="7">
        <v>54.488929209402009</v>
      </c>
      <c r="X348">
        <v>4</v>
      </c>
      <c r="Y348" s="7">
        <v>12</v>
      </c>
      <c r="Z348" s="7">
        <v>239.96000672</v>
      </c>
      <c r="AA348" s="7">
        <f t="shared" si="22"/>
        <v>227.96000672</v>
      </c>
      <c r="AB348" t="s">
        <v>30</v>
      </c>
      <c r="AC348" t="str">
        <f t="shared" si="23"/>
        <v>Cash Over 200</v>
      </c>
    </row>
    <row r="349" spans="1:29" x14ac:dyDescent="0.25">
      <c r="A349">
        <v>17162</v>
      </c>
      <c r="B349" s="2">
        <v>42225</v>
      </c>
      <c r="C349">
        <v>2</v>
      </c>
      <c r="D349" s="2">
        <f t="shared" si="20"/>
        <v>42227</v>
      </c>
      <c r="E349">
        <v>1</v>
      </c>
      <c r="F349" t="s">
        <v>23</v>
      </c>
      <c r="G349" t="str">
        <f t="shared" si="21"/>
        <v>Other</v>
      </c>
      <c r="H349">
        <v>17</v>
      </c>
      <c r="I349">
        <v>54</v>
      </c>
      <c r="J349">
        <v>4</v>
      </c>
      <c r="K349" t="s">
        <v>46</v>
      </c>
      <c r="L349" t="s">
        <v>237</v>
      </c>
      <c r="M349" t="s">
        <v>253</v>
      </c>
      <c r="N349" t="s">
        <v>250</v>
      </c>
      <c r="P349" t="s">
        <v>251</v>
      </c>
      <c r="Q349" t="s">
        <v>252</v>
      </c>
      <c r="R349">
        <v>17</v>
      </c>
      <c r="T349">
        <v>365</v>
      </c>
      <c r="U349" t="s">
        <v>1054</v>
      </c>
      <c r="V349" s="7">
        <v>59.990001679999999</v>
      </c>
      <c r="W349" s="7">
        <v>54.488929209402009</v>
      </c>
      <c r="X349">
        <v>4</v>
      </c>
      <c r="Y349" s="7">
        <v>38.38999939</v>
      </c>
      <c r="Z349" s="7">
        <v>239.96000672</v>
      </c>
      <c r="AA349" s="7">
        <f t="shared" si="22"/>
        <v>201.57000733000001</v>
      </c>
      <c r="AB349" t="s">
        <v>30</v>
      </c>
      <c r="AC349" t="str">
        <f t="shared" si="23"/>
        <v>Cash Over 200</v>
      </c>
    </row>
    <row r="350" spans="1:29" x14ac:dyDescent="0.25">
      <c r="A350">
        <v>12827</v>
      </c>
      <c r="B350" s="2">
        <v>42192</v>
      </c>
      <c r="C350">
        <v>2</v>
      </c>
      <c r="D350" s="2">
        <f t="shared" si="20"/>
        <v>42194</v>
      </c>
      <c r="E350">
        <v>1</v>
      </c>
      <c r="F350" t="s">
        <v>23</v>
      </c>
      <c r="G350" t="str">
        <f t="shared" si="21"/>
        <v>Other</v>
      </c>
      <c r="H350">
        <v>17</v>
      </c>
      <c r="I350">
        <v>542</v>
      </c>
      <c r="J350">
        <v>4</v>
      </c>
      <c r="K350" t="s">
        <v>46</v>
      </c>
      <c r="L350" t="s">
        <v>237</v>
      </c>
      <c r="M350" t="s">
        <v>238</v>
      </c>
      <c r="N350" t="s">
        <v>239</v>
      </c>
      <c r="P350" t="s">
        <v>240</v>
      </c>
      <c r="Q350" t="s">
        <v>241</v>
      </c>
      <c r="R350">
        <v>17</v>
      </c>
      <c r="T350">
        <v>365</v>
      </c>
      <c r="U350" t="s">
        <v>1054</v>
      </c>
      <c r="V350" s="7">
        <v>59.990001679999999</v>
      </c>
      <c r="W350" s="7">
        <v>54.488929209402009</v>
      </c>
      <c r="X350">
        <v>4</v>
      </c>
      <c r="Y350" s="7">
        <v>38.38999939</v>
      </c>
      <c r="Z350" s="7">
        <v>239.96000672</v>
      </c>
      <c r="AA350" s="7">
        <f t="shared" si="22"/>
        <v>201.57000733000001</v>
      </c>
      <c r="AB350" t="s">
        <v>30</v>
      </c>
      <c r="AC350" t="str">
        <f t="shared" si="23"/>
        <v>Cash Over 200</v>
      </c>
    </row>
    <row r="351" spans="1:29" x14ac:dyDescent="0.25">
      <c r="A351">
        <v>11936</v>
      </c>
      <c r="B351" s="2">
        <v>42179</v>
      </c>
      <c r="C351">
        <v>2</v>
      </c>
      <c r="D351" s="2">
        <f t="shared" si="20"/>
        <v>42181</v>
      </c>
      <c r="E351">
        <v>0</v>
      </c>
      <c r="F351" t="s">
        <v>23</v>
      </c>
      <c r="G351" t="str">
        <f t="shared" si="21"/>
        <v>Other</v>
      </c>
      <c r="H351">
        <v>24</v>
      </c>
      <c r="I351">
        <v>724</v>
      </c>
      <c r="J351">
        <v>5</v>
      </c>
      <c r="K351" t="s">
        <v>31</v>
      </c>
      <c r="L351" t="s">
        <v>237</v>
      </c>
      <c r="M351" t="s">
        <v>348</v>
      </c>
      <c r="N351" t="s">
        <v>243</v>
      </c>
      <c r="P351" t="s">
        <v>244</v>
      </c>
      <c r="Q351" t="s">
        <v>241</v>
      </c>
      <c r="R351">
        <v>24</v>
      </c>
      <c r="T351">
        <v>502</v>
      </c>
      <c r="U351" t="s">
        <v>1058</v>
      </c>
      <c r="V351" s="7">
        <v>50</v>
      </c>
      <c r="W351" s="7">
        <v>43.678035218757444</v>
      </c>
      <c r="X351">
        <v>4</v>
      </c>
      <c r="Y351" s="7">
        <v>0</v>
      </c>
      <c r="Z351" s="7">
        <v>200</v>
      </c>
      <c r="AA351" s="7">
        <f t="shared" si="22"/>
        <v>200</v>
      </c>
      <c r="AB351" t="s">
        <v>30</v>
      </c>
      <c r="AC351" t="str">
        <f t="shared" si="23"/>
        <v>Cash Not Over 200</v>
      </c>
    </row>
    <row r="352" spans="1:29" x14ac:dyDescent="0.25">
      <c r="A352">
        <v>68337</v>
      </c>
      <c r="B352" s="2">
        <v>43002</v>
      </c>
      <c r="C352">
        <v>2</v>
      </c>
      <c r="D352" s="2">
        <f t="shared" si="20"/>
        <v>43004</v>
      </c>
      <c r="E352">
        <v>1</v>
      </c>
      <c r="F352" t="s">
        <v>23</v>
      </c>
      <c r="G352" t="str">
        <f t="shared" si="21"/>
        <v>Other</v>
      </c>
      <c r="H352">
        <v>29</v>
      </c>
      <c r="I352">
        <v>8897</v>
      </c>
      <c r="J352">
        <v>5</v>
      </c>
      <c r="K352" t="s">
        <v>31</v>
      </c>
      <c r="L352" t="s">
        <v>237</v>
      </c>
      <c r="M352" t="s">
        <v>349</v>
      </c>
      <c r="N352" t="s">
        <v>288</v>
      </c>
      <c r="P352" t="s">
        <v>244</v>
      </c>
      <c r="Q352" t="s">
        <v>241</v>
      </c>
      <c r="R352">
        <v>29</v>
      </c>
      <c r="T352">
        <v>627</v>
      </c>
      <c r="U352" t="s">
        <v>1046</v>
      </c>
      <c r="V352" s="7">
        <v>39.990001679999999</v>
      </c>
      <c r="W352" s="7">
        <v>34.198098313835338</v>
      </c>
      <c r="X352">
        <v>4</v>
      </c>
      <c r="Y352" s="7">
        <v>3.2000000480000002</v>
      </c>
      <c r="Z352" s="7">
        <v>159.96000672</v>
      </c>
      <c r="AA352" s="7">
        <f t="shared" si="22"/>
        <v>156.760006672</v>
      </c>
      <c r="AB352" t="s">
        <v>30</v>
      </c>
      <c r="AC352" t="str">
        <f t="shared" si="23"/>
        <v>Cash Not Over 200</v>
      </c>
    </row>
    <row r="353" spans="1:29" x14ac:dyDescent="0.25">
      <c r="A353">
        <v>45746</v>
      </c>
      <c r="B353" s="2">
        <v>42672</v>
      </c>
      <c r="C353">
        <v>2</v>
      </c>
      <c r="D353" s="2">
        <f t="shared" si="20"/>
        <v>42675</v>
      </c>
      <c r="E353">
        <v>0</v>
      </c>
      <c r="F353" t="s">
        <v>23</v>
      </c>
      <c r="G353" t="str">
        <f t="shared" si="21"/>
        <v>Other</v>
      </c>
      <c r="H353">
        <v>24</v>
      </c>
      <c r="I353">
        <v>7112</v>
      </c>
      <c r="J353">
        <v>5</v>
      </c>
      <c r="K353" t="s">
        <v>31</v>
      </c>
      <c r="L353" t="s">
        <v>237</v>
      </c>
      <c r="M353" t="s">
        <v>350</v>
      </c>
      <c r="N353" t="s">
        <v>350</v>
      </c>
      <c r="P353" t="s">
        <v>344</v>
      </c>
      <c r="Q353" t="s">
        <v>320</v>
      </c>
      <c r="R353">
        <v>24</v>
      </c>
      <c r="T353">
        <v>502</v>
      </c>
      <c r="U353" t="s">
        <v>1058</v>
      </c>
      <c r="V353" s="7">
        <v>50</v>
      </c>
      <c r="W353" s="7">
        <v>43.678035218757444</v>
      </c>
      <c r="X353">
        <v>4</v>
      </c>
      <c r="Y353" s="7">
        <v>10</v>
      </c>
      <c r="Z353" s="7">
        <v>200</v>
      </c>
      <c r="AA353" s="7">
        <f t="shared" si="22"/>
        <v>190</v>
      </c>
      <c r="AB353" t="s">
        <v>30</v>
      </c>
      <c r="AC353" t="str">
        <f t="shared" si="23"/>
        <v>Cash Not Over 200</v>
      </c>
    </row>
    <row r="354" spans="1:29" x14ac:dyDescent="0.25">
      <c r="A354">
        <v>64813</v>
      </c>
      <c r="B354" s="2">
        <v>42833</v>
      </c>
      <c r="C354">
        <v>2</v>
      </c>
      <c r="D354" s="2">
        <f t="shared" si="20"/>
        <v>42836</v>
      </c>
      <c r="E354">
        <v>1</v>
      </c>
      <c r="F354" t="s">
        <v>23</v>
      </c>
      <c r="G354" t="str">
        <f t="shared" si="21"/>
        <v>Other</v>
      </c>
      <c r="H354">
        <v>24</v>
      </c>
      <c r="I354">
        <v>10018</v>
      </c>
      <c r="J354">
        <v>5</v>
      </c>
      <c r="K354" t="s">
        <v>31</v>
      </c>
      <c r="L354" t="s">
        <v>237</v>
      </c>
      <c r="M354" t="s">
        <v>256</v>
      </c>
      <c r="N354" t="s">
        <v>250</v>
      </c>
      <c r="P354" t="s">
        <v>251</v>
      </c>
      <c r="Q354" t="s">
        <v>252</v>
      </c>
      <c r="R354">
        <v>24</v>
      </c>
      <c r="T354">
        <v>502</v>
      </c>
      <c r="U354" t="s">
        <v>1058</v>
      </c>
      <c r="V354" s="7">
        <v>50</v>
      </c>
      <c r="W354" s="7">
        <v>43.678035218757444</v>
      </c>
      <c r="X354">
        <v>4</v>
      </c>
      <c r="Y354" s="7">
        <v>11</v>
      </c>
      <c r="Z354" s="7">
        <v>200</v>
      </c>
      <c r="AA354" s="7">
        <f t="shared" si="22"/>
        <v>189</v>
      </c>
      <c r="AB354" t="s">
        <v>30</v>
      </c>
      <c r="AC354" t="str">
        <f t="shared" si="23"/>
        <v>Cash Not Over 200</v>
      </c>
    </row>
    <row r="355" spans="1:29" x14ac:dyDescent="0.25">
      <c r="A355">
        <v>13736</v>
      </c>
      <c r="B355" s="2">
        <v>42205</v>
      </c>
      <c r="C355">
        <v>2</v>
      </c>
      <c r="D355" s="2">
        <f t="shared" si="20"/>
        <v>42207</v>
      </c>
      <c r="E355">
        <v>0</v>
      </c>
      <c r="F355" t="s">
        <v>23</v>
      </c>
      <c r="G355" t="str">
        <f t="shared" si="21"/>
        <v>Other</v>
      </c>
      <c r="H355">
        <v>24</v>
      </c>
      <c r="I355">
        <v>1086</v>
      </c>
      <c r="J355">
        <v>5</v>
      </c>
      <c r="K355" t="s">
        <v>31</v>
      </c>
      <c r="L355" t="s">
        <v>237</v>
      </c>
      <c r="M355" t="s">
        <v>351</v>
      </c>
      <c r="N355" t="s">
        <v>250</v>
      </c>
      <c r="P355" t="s">
        <v>251</v>
      </c>
      <c r="Q355" t="s">
        <v>252</v>
      </c>
      <c r="R355">
        <v>24</v>
      </c>
      <c r="T355">
        <v>502</v>
      </c>
      <c r="U355" t="s">
        <v>1058</v>
      </c>
      <c r="V355" s="7">
        <v>50</v>
      </c>
      <c r="W355" s="7">
        <v>43.678035218757444</v>
      </c>
      <c r="X355">
        <v>4</v>
      </c>
      <c r="Y355" s="7">
        <v>14</v>
      </c>
      <c r="Z355" s="7">
        <v>200</v>
      </c>
      <c r="AA355" s="7">
        <f t="shared" si="22"/>
        <v>186</v>
      </c>
      <c r="AB355" t="s">
        <v>30</v>
      </c>
      <c r="AC355" t="str">
        <f t="shared" si="23"/>
        <v>Cash Not Over 200</v>
      </c>
    </row>
    <row r="356" spans="1:29" x14ac:dyDescent="0.25">
      <c r="A356">
        <v>49622</v>
      </c>
      <c r="B356" s="2">
        <v>42729</v>
      </c>
      <c r="C356">
        <v>2</v>
      </c>
      <c r="D356" s="2">
        <f t="shared" si="20"/>
        <v>42731</v>
      </c>
      <c r="E356">
        <v>1</v>
      </c>
      <c r="F356" t="s">
        <v>23</v>
      </c>
      <c r="G356" t="str">
        <f t="shared" si="21"/>
        <v>Other</v>
      </c>
      <c r="H356">
        <v>29</v>
      </c>
      <c r="I356">
        <v>7112</v>
      </c>
      <c r="J356">
        <v>5</v>
      </c>
      <c r="K356" t="s">
        <v>31</v>
      </c>
      <c r="L356" t="s">
        <v>237</v>
      </c>
      <c r="M356" t="s">
        <v>352</v>
      </c>
      <c r="N356" t="s">
        <v>352</v>
      </c>
      <c r="P356" t="s">
        <v>319</v>
      </c>
      <c r="Q356" t="s">
        <v>320</v>
      </c>
      <c r="R356">
        <v>29</v>
      </c>
      <c r="T356">
        <v>627</v>
      </c>
      <c r="U356" t="s">
        <v>1046</v>
      </c>
      <c r="V356" s="7">
        <v>39.990001679999999</v>
      </c>
      <c r="W356" s="7">
        <v>34.198098313835338</v>
      </c>
      <c r="X356">
        <v>4</v>
      </c>
      <c r="Y356" s="7">
        <v>14.399999619999999</v>
      </c>
      <c r="Z356" s="7">
        <v>159.96000672</v>
      </c>
      <c r="AA356" s="7">
        <f t="shared" si="22"/>
        <v>145.56000710000001</v>
      </c>
      <c r="AB356" t="s">
        <v>30</v>
      </c>
      <c r="AC356" t="str">
        <f t="shared" si="23"/>
        <v>Cash Not Over 200</v>
      </c>
    </row>
    <row r="357" spans="1:29" x14ac:dyDescent="0.25">
      <c r="A357">
        <v>19444</v>
      </c>
      <c r="B357" s="2">
        <v>42318</v>
      </c>
      <c r="C357">
        <v>2</v>
      </c>
      <c r="D357" s="2">
        <f t="shared" si="20"/>
        <v>42320</v>
      </c>
      <c r="E357">
        <v>1</v>
      </c>
      <c r="F357" t="s">
        <v>23</v>
      </c>
      <c r="G357" t="str">
        <f t="shared" si="21"/>
        <v>Other</v>
      </c>
      <c r="H357">
        <v>24</v>
      </c>
      <c r="I357">
        <v>2916</v>
      </c>
      <c r="J357">
        <v>5</v>
      </c>
      <c r="K357" t="s">
        <v>31</v>
      </c>
      <c r="L357" t="s">
        <v>237</v>
      </c>
      <c r="M357" t="s">
        <v>275</v>
      </c>
      <c r="N357" t="s">
        <v>250</v>
      </c>
      <c r="P357" t="s">
        <v>251</v>
      </c>
      <c r="Q357" t="s">
        <v>252</v>
      </c>
      <c r="R357">
        <v>24</v>
      </c>
      <c r="T357">
        <v>502</v>
      </c>
      <c r="U357" t="s">
        <v>1058</v>
      </c>
      <c r="V357" s="7">
        <v>50</v>
      </c>
      <c r="W357" s="7">
        <v>43.678035218757444</v>
      </c>
      <c r="X357">
        <v>4</v>
      </c>
      <c r="Y357" s="7">
        <v>20</v>
      </c>
      <c r="Z357" s="7">
        <v>200</v>
      </c>
      <c r="AA357" s="7">
        <f t="shared" si="22"/>
        <v>180</v>
      </c>
      <c r="AB357" t="s">
        <v>30</v>
      </c>
      <c r="AC357" t="str">
        <f t="shared" si="23"/>
        <v>Cash Not Over 200</v>
      </c>
    </row>
    <row r="358" spans="1:29" x14ac:dyDescent="0.25">
      <c r="A358">
        <v>63936</v>
      </c>
      <c r="B358" s="2">
        <v>42938</v>
      </c>
      <c r="C358">
        <v>2</v>
      </c>
      <c r="D358" s="2">
        <f t="shared" si="20"/>
        <v>42941</v>
      </c>
      <c r="E358">
        <v>0</v>
      </c>
      <c r="F358" t="s">
        <v>23</v>
      </c>
      <c r="G358" t="str">
        <f t="shared" si="21"/>
        <v>Other</v>
      </c>
      <c r="H358">
        <v>29</v>
      </c>
      <c r="I358">
        <v>11329</v>
      </c>
      <c r="J358">
        <v>5</v>
      </c>
      <c r="K358" t="s">
        <v>31</v>
      </c>
      <c r="L358" t="s">
        <v>237</v>
      </c>
      <c r="M358" t="s">
        <v>242</v>
      </c>
      <c r="N358" t="s">
        <v>243</v>
      </c>
      <c r="P358" t="s">
        <v>244</v>
      </c>
      <c r="Q358" t="s">
        <v>241</v>
      </c>
      <c r="R358">
        <v>29</v>
      </c>
      <c r="T358">
        <v>627</v>
      </c>
      <c r="U358" t="s">
        <v>1046</v>
      </c>
      <c r="V358" s="7">
        <v>39.990001679999999</v>
      </c>
      <c r="W358" s="7">
        <v>34.198098313835338</v>
      </c>
      <c r="X358">
        <v>4</v>
      </c>
      <c r="Y358" s="7">
        <v>31.989999770000001</v>
      </c>
      <c r="Z358" s="7">
        <v>159.96000672</v>
      </c>
      <c r="AA358" s="7">
        <f t="shared" si="22"/>
        <v>127.97000695</v>
      </c>
      <c r="AB358" t="s">
        <v>30</v>
      </c>
      <c r="AC358" t="str">
        <f t="shared" si="23"/>
        <v>Cash Not Over 200</v>
      </c>
    </row>
    <row r="359" spans="1:29" x14ac:dyDescent="0.25">
      <c r="A359">
        <v>49622</v>
      </c>
      <c r="B359" s="2">
        <v>42729</v>
      </c>
      <c r="C359">
        <v>2</v>
      </c>
      <c r="D359" s="2">
        <f t="shared" si="20"/>
        <v>42731</v>
      </c>
      <c r="E359">
        <v>1</v>
      </c>
      <c r="F359" t="s">
        <v>23</v>
      </c>
      <c r="G359" t="str">
        <f t="shared" si="21"/>
        <v>Other</v>
      </c>
      <c r="H359">
        <v>40</v>
      </c>
      <c r="I359">
        <v>7112</v>
      </c>
      <c r="J359">
        <v>6</v>
      </c>
      <c r="K359" t="s">
        <v>35</v>
      </c>
      <c r="L359" t="s">
        <v>237</v>
      </c>
      <c r="M359" t="s">
        <v>352</v>
      </c>
      <c r="N359" t="s">
        <v>352</v>
      </c>
      <c r="P359" t="s">
        <v>319</v>
      </c>
      <c r="Q359" t="s">
        <v>320</v>
      </c>
      <c r="R359">
        <v>40</v>
      </c>
      <c r="T359">
        <v>893</v>
      </c>
      <c r="U359" t="s">
        <v>1092</v>
      </c>
      <c r="V359" s="7">
        <v>24.989999770000001</v>
      </c>
      <c r="W359" s="7">
        <v>19.858499913833334</v>
      </c>
      <c r="X359">
        <v>4</v>
      </c>
      <c r="Y359" s="7">
        <v>14.989999770000001</v>
      </c>
      <c r="Z359" s="7">
        <v>99.959999080000003</v>
      </c>
      <c r="AA359" s="7">
        <f t="shared" si="22"/>
        <v>84.969999310000006</v>
      </c>
      <c r="AB359" t="s">
        <v>30</v>
      </c>
      <c r="AC359" t="str">
        <f t="shared" si="23"/>
        <v>Cash Not Over 200</v>
      </c>
    </row>
    <row r="360" spans="1:29" x14ac:dyDescent="0.25">
      <c r="A360">
        <v>17719</v>
      </c>
      <c r="B360" s="2">
        <v>42263</v>
      </c>
      <c r="C360">
        <v>2</v>
      </c>
      <c r="D360" s="2">
        <f t="shared" si="20"/>
        <v>42265</v>
      </c>
      <c r="E360">
        <v>1</v>
      </c>
      <c r="F360" t="s">
        <v>23</v>
      </c>
      <c r="G360" t="str">
        <f t="shared" si="21"/>
        <v>Other</v>
      </c>
      <c r="H360">
        <v>9</v>
      </c>
      <c r="I360">
        <v>2439</v>
      </c>
      <c r="J360">
        <v>3</v>
      </c>
      <c r="K360" t="s">
        <v>24</v>
      </c>
      <c r="L360" t="s">
        <v>237</v>
      </c>
      <c r="M360" t="s">
        <v>299</v>
      </c>
      <c r="N360" t="s">
        <v>279</v>
      </c>
      <c r="P360" t="s">
        <v>263</v>
      </c>
      <c r="Q360" t="s">
        <v>264</v>
      </c>
      <c r="R360">
        <v>9</v>
      </c>
      <c r="T360">
        <v>191</v>
      </c>
      <c r="U360" t="s">
        <v>1044</v>
      </c>
      <c r="V360" s="7">
        <v>99.989997860000003</v>
      </c>
      <c r="W360" s="7">
        <v>95.114003926871064</v>
      </c>
      <c r="X360">
        <v>5</v>
      </c>
      <c r="Y360" s="7">
        <v>0</v>
      </c>
      <c r="Z360" s="7">
        <v>499.94998930000003</v>
      </c>
      <c r="AA360" s="7">
        <f t="shared" si="22"/>
        <v>499.94998930000003</v>
      </c>
      <c r="AB360" t="s">
        <v>30</v>
      </c>
      <c r="AC360" t="str">
        <f t="shared" si="23"/>
        <v>Cash Over 200</v>
      </c>
    </row>
    <row r="361" spans="1:29" x14ac:dyDescent="0.25">
      <c r="A361">
        <v>15766</v>
      </c>
      <c r="B361" s="2">
        <v>42235</v>
      </c>
      <c r="C361">
        <v>2</v>
      </c>
      <c r="D361" s="2">
        <f t="shared" si="20"/>
        <v>42237</v>
      </c>
      <c r="E361">
        <v>0</v>
      </c>
      <c r="F361" t="s">
        <v>23</v>
      </c>
      <c r="G361" t="str">
        <f t="shared" si="21"/>
        <v>Other</v>
      </c>
      <c r="H361">
        <v>9</v>
      </c>
      <c r="I361">
        <v>6416</v>
      </c>
      <c r="J361">
        <v>3</v>
      </c>
      <c r="K361" t="s">
        <v>24</v>
      </c>
      <c r="L361" t="s">
        <v>237</v>
      </c>
      <c r="M361" t="s">
        <v>353</v>
      </c>
      <c r="N361" t="s">
        <v>354</v>
      </c>
      <c r="P361" t="s">
        <v>263</v>
      </c>
      <c r="Q361" t="s">
        <v>264</v>
      </c>
      <c r="R361">
        <v>9</v>
      </c>
      <c r="T361">
        <v>191</v>
      </c>
      <c r="U361" t="s">
        <v>1044</v>
      </c>
      <c r="V361" s="7">
        <v>99.989997860000003</v>
      </c>
      <c r="W361" s="7">
        <v>95.114003926871064</v>
      </c>
      <c r="X361">
        <v>5</v>
      </c>
      <c r="Y361" s="7">
        <v>59.990001679999999</v>
      </c>
      <c r="Z361" s="7">
        <v>499.94998930000003</v>
      </c>
      <c r="AA361" s="7">
        <f t="shared" si="22"/>
        <v>439.95998762000005</v>
      </c>
      <c r="AB361" t="s">
        <v>30</v>
      </c>
      <c r="AC361" t="str">
        <f t="shared" si="23"/>
        <v>Cash Over 200</v>
      </c>
    </row>
    <row r="362" spans="1:29" x14ac:dyDescent="0.25">
      <c r="A362">
        <v>12179</v>
      </c>
      <c r="B362" s="2">
        <v>42182</v>
      </c>
      <c r="C362">
        <v>2</v>
      </c>
      <c r="D362" s="2">
        <f t="shared" si="20"/>
        <v>42185</v>
      </c>
      <c r="E362">
        <v>1</v>
      </c>
      <c r="F362" t="s">
        <v>23</v>
      </c>
      <c r="G362" t="str">
        <f t="shared" si="21"/>
        <v>Other</v>
      </c>
      <c r="H362">
        <v>17</v>
      </c>
      <c r="I362">
        <v>6310</v>
      </c>
      <c r="J362">
        <v>4</v>
      </c>
      <c r="K362" t="s">
        <v>46</v>
      </c>
      <c r="L362" t="s">
        <v>237</v>
      </c>
      <c r="M362" t="s">
        <v>355</v>
      </c>
      <c r="N362" t="s">
        <v>355</v>
      </c>
      <c r="P362" t="s">
        <v>240</v>
      </c>
      <c r="Q362" t="s">
        <v>241</v>
      </c>
      <c r="R362">
        <v>17</v>
      </c>
      <c r="T362">
        <v>365</v>
      </c>
      <c r="U362" t="s">
        <v>1054</v>
      </c>
      <c r="V362" s="7">
        <v>59.990001679999999</v>
      </c>
      <c r="W362" s="7">
        <v>54.488929209402009</v>
      </c>
      <c r="X362">
        <v>5</v>
      </c>
      <c r="Y362" s="7">
        <v>9</v>
      </c>
      <c r="Z362" s="7">
        <v>299.9500084</v>
      </c>
      <c r="AA362" s="7">
        <f t="shared" si="22"/>
        <v>290.9500084</v>
      </c>
      <c r="AB362" t="s">
        <v>30</v>
      </c>
      <c r="AC362" t="str">
        <f t="shared" si="23"/>
        <v>Cash Over 200</v>
      </c>
    </row>
    <row r="363" spans="1:29" x14ac:dyDescent="0.25">
      <c r="A363">
        <v>66275</v>
      </c>
      <c r="B363" s="2">
        <v>42972</v>
      </c>
      <c r="C363">
        <v>2</v>
      </c>
      <c r="D363" s="2">
        <f t="shared" si="20"/>
        <v>42976</v>
      </c>
      <c r="E363">
        <v>1</v>
      </c>
      <c r="F363" t="s">
        <v>23</v>
      </c>
      <c r="G363" t="str">
        <f t="shared" si="21"/>
        <v>Other</v>
      </c>
      <c r="H363">
        <v>17</v>
      </c>
      <c r="I363">
        <v>9029</v>
      </c>
      <c r="J363">
        <v>4</v>
      </c>
      <c r="K363" t="s">
        <v>46</v>
      </c>
      <c r="L363" t="s">
        <v>237</v>
      </c>
      <c r="M363" t="s">
        <v>356</v>
      </c>
      <c r="N363" t="s">
        <v>357</v>
      </c>
      <c r="P363" t="s">
        <v>248</v>
      </c>
      <c r="Q363" t="s">
        <v>241</v>
      </c>
      <c r="R363">
        <v>17</v>
      </c>
      <c r="T363">
        <v>365</v>
      </c>
      <c r="U363" t="s">
        <v>1054</v>
      </c>
      <c r="V363" s="7">
        <v>59.990001679999999</v>
      </c>
      <c r="W363" s="7">
        <v>54.488929209402009</v>
      </c>
      <c r="X363">
        <v>5</v>
      </c>
      <c r="Y363" s="7">
        <v>50.990001679999999</v>
      </c>
      <c r="Z363" s="7">
        <v>299.9500084</v>
      </c>
      <c r="AA363" s="7">
        <f t="shared" si="22"/>
        <v>248.96000672</v>
      </c>
      <c r="AB363" t="s">
        <v>30</v>
      </c>
      <c r="AC363" t="str">
        <f t="shared" si="23"/>
        <v>Cash Over 200</v>
      </c>
    </row>
    <row r="364" spans="1:29" x14ac:dyDescent="0.25">
      <c r="A364">
        <v>13140</v>
      </c>
      <c r="B364" s="2">
        <v>42315</v>
      </c>
      <c r="C364">
        <v>2</v>
      </c>
      <c r="D364" s="2">
        <f t="shared" si="20"/>
        <v>42318</v>
      </c>
      <c r="E364">
        <v>1</v>
      </c>
      <c r="F364" t="s">
        <v>23</v>
      </c>
      <c r="G364" t="str">
        <f t="shared" si="21"/>
        <v>Other</v>
      </c>
      <c r="H364">
        <v>17</v>
      </c>
      <c r="I364">
        <v>295</v>
      </c>
      <c r="J364">
        <v>4</v>
      </c>
      <c r="K364" t="s">
        <v>46</v>
      </c>
      <c r="L364" t="s">
        <v>237</v>
      </c>
      <c r="M364" t="s">
        <v>313</v>
      </c>
      <c r="N364" t="s">
        <v>313</v>
      </c>
      <c r="P364" t="s">
        <v>314</v>
      </c>
      <c r="Q364" t="s">
        <v>241</v>
      </c>
      <c r="R364">
        <v>17</v>
      </c>
      <c r="T364">
        <v>365</v>
      </c>
      <c r="U364" t="s">
        <v>1054</v>
      </c>
      <c r="V364" s="7">
        <v>59.990001679999999</v>
      </c>
      <c r="W364" s="7">
        <v>54.488929209402009</v>
      </c>
      <c r="X364">
        <v>5</v>
      </c>
      <c r="Y364" s="7">
        <v>50.990001679999999</v>
      </c>
      <c r="Z364" s="7">
        <v>299.9500084</v>
      </c>
      <c r="AA364" s="7">
        <f t="shared" si="22"/>
        <v>248.96000672</v>
      </c>
      <c r="AB364" t="s">
        <v>30</v>
      </c>
      <c r="AC364" t="str">
        <f t="shared" si="23"/>
        <v>Cash Over 200</v>
      </c>
    </row>
    <row r="365" spans="1:29" x14ac:dyDescent="0.25">
      <c r="A365">
        <v>16444</v>
      </c>
      <c r="B365" s="2">
        <v>42245</v>
      </c>
      <c r="C365">
        <v>2</v>
      </c>
      <c r="D365" s="2">
        <f t="shared" si="20"/>
        <v>42248</v>
      </c>
      <c r="E365">
        <v>1</v>
      </c>
      <c r="F365" t="s">
        <v>23</v>
      </c>
      <c r="G365" t="str">
        <f t="shared" si="21"/>
        <v>Other</v>
      </c>
      <c r="H365">
        <v>17</v>
      </c>
      <c r="I365">
        <v>9011</v>
      </c>
      <c r="J365">
        <v>4</v>
      </c>
      <c r="K365" t="s">
        <v>46</v>
      </c>
      <c r="L365" t="s">
        <v>237</v>
      </c>
      <c r="M365" t="s">
        <v>276</v>
      </c>
      <c r="N365" t="s">
        <v>239</v>
      </c>
      <c r="P365" t="s">
        <v>240</v>
      </c>
      <c r="Q365" t="s">
        <v>241</v>
      </c>
      <c r="R365">
        <v>17</v>
      </c>
      <c r="T365">
        <v>365</v>
      </c>
      <c r="U365" t="s">
        <v>1054</v>
      </c>
      <c r="V365" s="7">
        <v>59.990001679999999</v>
      </c>
      <c r="W365" s="7">
        <v>54.488929209402009</v>
      </c>
      <c r="X365">
        <v>5</v>
      </c>
      <c r="Y365" s="7">
        <v>53.990001679999999</v>
      </c>
      <c r="Z365" s="7">
        <v>299.9500084</v>
      </c>
      <c r="AA365" s="7">
        <f t="shared" si="22"/>
        <v>245.96000672</v>
      </c>
      <c r="AB365" t="s">
        <v>30</v>
      </c>
      <c r="AC365" t="str">
        <f t="shared" si="23"/>
        <v>Cash Over 200</v>
      </c>
    </row>
    <row r="366" spans="1:29" x14ac:dyDescent="0.25">
      <c r="A366">
        <v>15766</v>
      </c>
      <c r="B366" s="2">
        <v>42235</v>
      </c>
      <c r="C366">
        <v>2</v>
      </c>
      <c r="D366" s="2">
        <f t="shared" si="20"/>
        <v>42237</v>
      </c>
      <c r="E366">
        <v>0</v>
      </c>
      <c r="F366" t="s">
        <v>23</v>
      </c>
      <c r="G366" t="str">
        <f t="shared" si="21"/>
        <v>Other</v>
      </c>
      <c r="H366">
        <v>26</v>
      </c>
      <c r="I366">
        <v>6416</v>
      </c>
      <c r="J366">
        <v>5</v>
      </c>
      <c r="K366" t="s">
        <v>31</v>
      </c>
      <c r="L366" t="s">
        <v>237</v>
      </c>
      <c r="M366" t="s">
        <v>353</v>
      </c>
      <c r="N366" t="s">
        <v>354</v>
      </c>
      <c r="P366" t="s">
        <v>263</v>
      </c>
      <c r="Q366" t="s">
        <v>264</v>
      </c>
      <c r="R366">
        <v>26</v>
      </c>
      <c r="T366">
        <v>572</v>
      </c>
      <c r="U366" t="s">
        <v>1111</v>
      </c>
      <c r="V366" s="7">
        <v>39.990001679999999</v>
      </c>
      <c r="W366" s="7">
        <v>30.892751576250003</v>
      </c>
      <c r="X366">
        <v>5</v>
      </c>
      <c r="Y366" s="7">
        <v>4</v>
      </c>
      <c r="Z366" s="7">
        <v>199.9500084</v>
      </c>
      <c r="AA366" s="7">
        <f t="shared" si="22"/>
        <v>195.9500084</v>
      </c>
      <c r="AB366" t="s">
        <v>30</v>
      </c>
      <c r="AC366" t="str">
        <f t="shared" si="23"/>
        <v>Cash Not Over 200</v>
      </c>
    </row>
    <row r="367" spans="1:29" x14ac:dyDescent="0.25">
      <c r="A367">
        <v>65030</v>
      </c>
      <c r="B367" s="2">
        <v>42924</v>
      </c>
      <c r="C367">
        <v>2</v>
      </c>
      <c r="D367" s="2">
        <f t="shared" si="20"/>
        <v>42927</v>
      </c>
      <c r="E367">
        <v>1</v>
      </c>
      <c r="F367" t="s">
        <v>23</v>
      </c>
      <c r="G367" t="str">
        <f t="shared" si="21"/>
        <v>Other</v>
      </c>
      <c r="H367">
        <v>24</v>
      </c>
      <c r="I367">
        <v>3570</v>
      </c>
      <c r="J367">
        <v>5</v>
      </c>
      <c r="K367" t="s">
        <v>31</v>
      </c>
      <c r="L367" t="s">
        <v>237</v>
      </c>
      <c r="M367" t="s">
        <v>245</v>
      </c>
      <c r="N367" t="s">
        <v>246</v>
      </c>
      <c r="P367" t="s">
        <v>244</v>
      </c>
      <c r="Q367" t="s">
        <v>241</v>
      </c>
      <c r="R367">
        <v>24</v>
      </c>
      <c r="T367">
        <v>502</v>
      </c>
      <c r="U367" t="s">
        <v>1058</v>
      </c>
      <c r="V367" s="7">
        <v>50</v>
      </c>
      <c r="W367" s="7">
        <v>43.678035218757444</v>
      </c>
      <c r="X367">
        <v>5</v>
      </c>
      <c r="Y367" s="7">
        <v>22.5</v>
      </c>
      <c r="Z367" s="7">
        <v>250</v>
      </c>
      <c r="AA367" s="7">
        <f t="shared" si="22"/>
        <v>227.5</v>
      </c>
      <c r="AB367" t="s">
        <v>30</v>
      </c>
      <c r="AC367" t="str">
        <f t="shared" si="23"/>
        <v>Cash Over 200</v>
      </c>
    </row>
    <row r="368" spans="1:29" x14ac:dyDescent="0.25">
      <c r="A368">
        <v>14454</v>
      </c>
      <c r="B368" s="2">
        <v>42215</v>
      </c>
      <c r="C368">
        <v>2</v>
      </c>
      <c r="D368" s="2">
        <f t="shared" si="20"/>
        <v>42219</v>
      </c>
      <c r="E368">
        <v>1</v>
      </c>
      <c r="F368" t="s">
        <v>23</v>
      </c>
      <c r="G368" t="str">
        <f t="shared" si="21"/>
        <v>Other</v>
      </c>
      <c r="H368">
        <v>24</v>
      </c>
      <c r="I368">
        <v>1577</v>
      </c>
      <c r="J368">
        <v>5</v>
      </c>
      <c r="K368" t="s">
        <v>31</v>
      </c>
      <c r="L368" t="s">
        <v>237</v>
      </c>
      <c r="M368" t="s">
        <v>358</v>
      </c>
      <c r="N368" t="s">
        <v>250</v>
      </c>
      <c r="P368" t="s">
        <v>251</v>
      </c>
      <c r="Q368" t="s">
        <v>252</v>
      </c>
      <c r="R368">
        <v>24</v>
      </c>
      <c r="T368">
        <v>502</v>
      </c>
      <c r="U368" t="s">
        <v>1058</v>
      </c>
      <c r="V368" s="7">
        <v>50</v>
      </c>
      <c r="W368" s="7">
        <v>43.678035218757444</v>
      </c>
      <c r="X368">
        <v>5</v>
      </c>
      <c r="Y368" s="7">
        <v>25</v>
      </c>
      <c r="Z368" s="7">
        <v>250</v>
      </c>
      <c r="AA368" s="7">
        <f t="shared" si="22"/>
        <v>225</v>
      </c>
      <c r="AB368" t="s">
        <v>30</v>
      </c>
      <c r="AC368" t="str">
        <f t="shared" si="23"/>
        <v>Cash Over 200</v>
      </c>
    </row>
    <row r="369" spans="1:29" x14ac:dyDescent="0.25">
      <c r="A369">
        <v>13736</v>
      </c>
      <c r="B369" s="2">
        <v>42205</v>
      </c>
      <c r="C369">
        <v>2</v>
      </c>
      <c r="D369" s="2">
        <f t="shared" si="20"/>
        <v>42207</v>
      </c>
      <c r="E369">
        <v>0</v>
      </c>
      <c r="F369" t="s">
        <v>23</v>
      </c>
      <c r="G369" t="str">
        <f t="shared" si="21"/>
        <v>Other</v>
      </c>
      <c r="H369">
        <v>24</v>
      </c>
      <c r="I369">
        <v>1086</v>
      </c>
      <c r="J369">
        <v>5</v>
      </c>
      <c r="K369" t="s">
        <v>31</v>
      </c>
      <c r="L369" t="s">
        <v>237</v>
      </c>
      <c r="M369" t="s">
        <v>351</v>
      </c>
      <c r="N369" t="s">
        <v>250</v>
      </c>
      <c r="P369" t="s">
        <v>251</v>
      </c>
      <c r="Q369" t="s">
        <v>252</v>
      </c>
      <c r="R369">
        <v>24</v>
      </c>
      <c r="T369">
        <v>502</v>
      </c>
      <c r="U369" t="s">
        <v>1058</v>
      </c>
      <c r="V369" s="7">
        <v>50</v>
      </c>
      <c r="W369" s="7">
        <v>43.678035218757444</v>
      </c>
      <c r="X369">
        <v>5</v>
      </c>
      <c r="Y369" s="7">
        <v>25</v>
      </c>
      <c r="Z369" s="7">
        <v>250</v>
      </c>
      <c r="AA369" s="7">
        <f t="shared" si="22"/>
        <v>225</v>
      </c>
      <c r="AB369" t="s">
        <v>30</v>
      </c>
      <c r="AC369" t="str">
        <f t="shared" si="23"/>
        <v>Cash Over 200</v>
      </c>
    </row>
    <row r="370" spans="1:29" x14ac:dyDescent="0.25">
      <c r="A370">
        <v>67979</v>
      </c>
      <c r="B370" s="2">
        <v>42997</v>
      </c>
      <c r="C370">
        <v>2</v>
      </c>
      <c r="D370" s="2">
        <f t="shared" si="20"/>
        <v>42999</v>
      </c>
      <c r="E370">
        <v>1</v>
      </c>
      <c r="F370" t="s">
        <v>23</v>
      </c>
      <c r="G370" t="str">
        <f t="shared" si="21"/>
        <v>Other</v>
      </c>
      <c r="H370">
        <v>29</v>
      </c>
      <c r="I370">
        <v>1568</v>
      </c>
      <c r="J370">
        <v>5</v>
      </c>
      <c r="K370" t="s">
        <v>31</v>
      </c>
      <c r="L370" t="s">
        <v>237</v>
      </c>
      <c r="M370" t="s">
        <v>291</v>
      </c>
      <c r="N370" t="s">
        <v>292</v>
      </c>
      <c r="P370" t="s">
        <v>244</v>
      </c>
      <c r="Q370" t="s">
        <v>241</v>
      </c>
      <c r="R370">
        <v>29</v>
      </c>
      <c r="T370">
        <v>627</v>
      </c>
      <c r="U370" t="s">
        <v>1046</v>
      </c>
      <c r="V370" s="7">
        <v>39.990001679999999</v>
      </c>
      <c r="W370" s="7">
        <v>34.198098313835338</v>
      </c>
      <c r="X370">
        <v>5</v>
      </c>
      <c r="Y370" s="7">
        <v>20</v>
      </c>
      <c r="Z370" s="7">
        <v>199.9500084</v>
      </c>
      <c r="AA370" s="7">
        <f t="shared" si="22"/>
        <v>179.9500084</v>
      </c>
      <c r="AB370" t="s">
        <v>30</v>
      </c>
      <c r="AC370" t="str">
        <f t="shared" si="23"/>
        <v>Cash Not Over 200</v>
      </c>
    </row>
    <row r="371" spans="1:29" x14ac:dyDescent="0.25">
      <c r="A371">
        <v>65030</v>
      </c>
      <c r="B371" s="2">
        <v>42924</v>
      </c>
      <c r="C371">
        <v>2</v>
      </c>
      <c r="D371" s="2">
        <f t="shared" si="20"/>
        <v>42927</v>
      </c>
      <c r="E371">
        <v>1</v>
      </c>
      <c r="F371" t="s">
        <v>23</v>
      </c>
      <c r="G371" t="str">
        <f t="shared" si="21"/>
        <v>Other</v>
      </c>
      <c r="H371">
        <v>24</v>
      </c>
      <c r="I371">
        <v>3570</v>
      </c>
      <c r="J371">
        <v>5</v>
      </c>
      <c r="K371" t="s">
        <v>31</v>
      </c>
      <c r="L371" t="s">
        <v>237</v>
      </c>
      <c r="M371" t="s">
        <v>245</v>
      </c>
      <c r="N371" t="s">
        <v>246</v>
      </c>
      <c r="P371" t="s">
        <v>244</v>
      </c>
      <c r="Q371" t="s">
        <v>241</v>
      </c>
      <c r="R371">
        <v>24</v>
      </c>
      <c r="T371">
        <v>502</v>
      </c>
      <c r="U371" t="s">
        <v>1058</v>
      </c>
      <c r="V371" s="7">
        <v>50</v>
      </c>
      <c r="W371" s="7">
        <v>43.678035218757444</v>
      </c>
      <c r="X371">
        <v>5</v>
      </c>
      <c r="Y371" s="7">
        <v>25</v>
      </c>
      <c r="Z371" s="7">
        <v>250</v>
      </c>
      <c r="AA371" s="7">
        <f t="shared" si="22"/>
        <v>225</v>
      </c>
      <c r="AB371" t="s">
        <v>30</v>
      </c>
      <c r="AC371" t="str">
        <f t="shared" si="23"/>
        <v>Cash Over 200</v>
      </c>
    </row>
    <row r="372" spans="1:29" x14ac:dyDescent="0.25">
      <c r="A372">
        <v>66275</v>
      </c>
      <c r="B372" s="2">
        <v>42972</v>
      </c>
      <c r="C372">
        <v>2</v>
      </c>
      <c r="D372" s="2">
        <f t="shared" si="20"/>
        <v>42976</v>
      </c>
      <c r="E372">
        <v>1</v>
      </c>
      <c r="F372" t="s">
        <v>23</v>
      </c>
      <c r="G372" t="str">
        <f t="shared" si="21"/>
        <v>Other</v>
      </c>
      <c r="H372">
        <v>24</v>
      </c>
      <c r="I372">
        <v>9029</v>
      </c>
      <c r="J372">
        <v>5</v>
      </c>
      <c r="K372" t="s">
        <v>31</v>
      </c>
      <c r="L372" t="s">
        <v>237</v>
      </c>
      <c r="M372" t="s">
        <v>356</v>
      </c>
      <c r="N372" t="s">
        <v>357</v>
      </c>
      <c r="P372" t="s">
        <v>248</v>
      </c>
      <c r="Q372" t="s">
        <v>241</v>
      </c>
      <c r="R372">
        <v>24</v>
      </c>
      <c r="T372">
        <v>502</v>
      </c>
      <c r="U372" t="s">
        <v>1058</v>
      </c>
      <c r="V372" s="7">
        <v>50</v>
      </c>
      <c r="W372" s="7">
        <v>43.678035218757444</v>
      </c>
      <c r="X372">
        <v>5</v>
      </c>
      <c r="Y372" s="7">
        <v>37.5</v>
      </c>
      <c r="Z372" s="7">
        <v>250</v>
      </c>
      <c r="AA372" s="7">
        <f t="shared" si="22"/>
        <v>212.5</v>
      </c>
      <c r="AB372" t="s">
        <v>30</v>
      </c>
      <c r="AC372" t="str">
        <f t="shared" si="23"/>
        <v>Cash Over 200</v>
      </c>
    </row>
    <row r="373" spans="1:29" x14ac:dyDescent="0.25">
      <c r="A373">
        <v>65264</v>
      </c>
      <c r="B373" s="2">
        <v>43016</v>
      </c>
      <c r="C373">
        <v>2</v>
      </c>
      <c r="D373" s="2">
        <f t="shared" si="20"/>
        <v>43018</v>
      </c>
      <c r="E373">
        <v>1</v>
      </c>
      <c r="F373" t="s">
        <v>23</v>
      </c>
      <c r="G373" t="str">
        <f t="shared" si="21"/>
        <v>Other</v>
      </c>
      <c r="H373">
        <v>24</v>
      </c>
      <c r="I373">
        <v>9047</v>
      </c>
      <c r="J373">
        <v>5</v>
      </c>
      <c r="K373" t="s">
        <v>31</v>
      </c>
      <c r="L373" t="s">
        <v>237</v>
      </c>
      <c r="M373" t="s">
        <v>359</v>
      </c>
      <c r="N373" t="s">
        <v>239</v>
      </c>
      <c r="P373" t="s">
        <v>240</v>
      </c>
      <c r="Q373" t="s">
        <v>241</v>
      </c>
      <c r="R373">
        <v>24</v>
      </c>
      <c r="T373">
        <v>502</v>
      </c>
      <c r="U373" t="s">
        <v>1058</v>
      </c>
      <c r="V373" s="7">
        <v>50</v>
      </c>
      <c r="W373" s="7">
        <v>43.678035218757444</v>
      </c>
      <c r="X373">
        <v>5</v>
      </c>
      <c r="Y373" s="7">
        <v>37.5</v>
      </c>
      <c r="Z373" s="7">
        <v>250</v>
      </c>
      <c r="AA373" s="7">
        <f t="shared" si="22"/>
        <v>212.5</v>
      </c>
      <c r="AB373" t="s">
        <v>30</v>
      </c>
      <c r="AC373" t="str">
        <f t="shared" si="23"/>
        <v>Cash Over 200</v>
      </c>
    </row>
    <row r="374" spans="1:29" x14ac:dyDescent="0.25">
      <c r="A374">
        <v>11936</v>
      </c>
      <c r="B374" s="2">
        <v>42179</v>
      </c>
      <c r="C374">
        <v>2</v>
      </c>
      <c r="D374" s="2">
        <f t="shared" si="20"/>
        <v>42181</v>
      </c>
      <c r="E374">
        <v>0</v>
      </c>
      <c r="F374" t="s">
        <v>23</v>
      </c>
      <c r="G374" t="str">
        <f t="shared" si="21"/>
        <v>Other</v>
      </c>
      <c r="H374">
        <v>26</v>
      </c>
      <c r="I374">
        <v>724</v>
      </c>
      <c r="J374">
        <v>5</v>
      </c>
      <c r="K374" t="s">
        <v>31</v>
      </c>
      <c r="L374" t="s">
        <v>237</v>
      </c>
      <c r="M374" t="s">
        <v>348</v>
      </c>
      <c r="N374" t="s">
        <v>243</v>
      </c>
      <c r="P374" t="s">
        <v>244</v>
      </c>
      <c r="Q374" t="s">
        <v>241</v>
      </c>
      <c r="R374">
        <v>26</v>
      </c>
      <c r="T374">
        <v>565</v>
      </c>
      <c r="U374" t="s">
        <v>1078</v>
      </c>
      <c r="V374" s="7">
        <v>70</v>
      </c>
      <c r="W374" s="7">
        <v>62.759999940857142</v>
      </c>
      <c r="X374">
        <v>5</v>
      </c>
      <c r="Y374" s="7">
        <v>59.5</v>
      </c>
      <c r="Z374" s="7">
        <v>350</v>
      </c>
      <c r="AA374" s="7">
        <f t="shared" si="22"/>
        <v>290.5</v>
      </c>
      <c r="AB374" t="s">
        <v>30</v>
      </c>
      <c r="AC374" t="str">
        <f t="shared" si="23"/>
        <v>Cash Over 200</v>
      </c>
    </row>
    <row r="375" spans="1:29" x14ac:dyDescent="0.25">
      <c r="A375">
        <v>13890</v>
      </c>
      <c r="B375" s="2">
        <v>42207</v>
      </c>
      <c r="C375">
        <v>2</v>
      </c>
      <c r="D375" s="2">
        <f t="shared" si="20"/>
        <v>42209</v>
      </c>
      <c r="E375">
        <v>1</v>
      </c>
      <c r="F375" t="s">
        <v>23</v>
      </c>
      <c r="G375" t="str">
        <f t="shared" si="21"/>
        <v>Other</v>
      </c>
      <c r="H375">
        <v>24</v>
      </c>
      <c r="I375">
        <v>9120</v>
      </c>
      <c r="J375">
        <v>5</v>
      </c>
      <c r="K375" t="s">
        <v>31</v>
      </c>
      <c r="L375" t="s">
        <v>237</v>
      </c>
      <c r="M375" t="s">
        <v>345</v>
      </c>
      <c r="N375" t="s">
        <v>346</v>
      </c>
      <c r="P375" t="s">
        <v>240</v>
      </c>
      <c r="Q375" t="s">
        <v>241</v>
      </c>
      <c r="R375">
        <v>24</v>
      </c>
      <c r="T375">
        <v>502</v>
      </c>
      <c r="U375" t="s">
        <v>1058</v>
      </c>
      <c r="V375" s="7">
        <v>50</v>
      </c>
      <c r="W375" s="7">
        <v>43.678035218757444</v>
      </c>
      <c r="X375">
        <v>5</v>
      </c>
      <c r="Y375" s="7">
        <v>45</v>
      </c>
      <c r="Z375" s="7">
        <v>250</v>
      </c>
      <c r="AA375" s="7">
        <f t="shared" si="22"/>
        <v>205</v>
      </c>
      <c r="AB375" t="s">
        <v>30</v>
      </c>
      <c r="AC375" t="str">
        <f t="shared" si="23"/>
        <v>Cash Over 200</v>
      </c>
    </row>
    <row r="376" spans="1:29" x14ac:dyDescent="0.25">
      <c r="A376">
        <v>51226</v>
      </c>
      <c r="B376" s="2">
        <v>42752</v>
      </c>
      <c r="C376">
        <v>2</v>
      </c>
      <c r="D376" s="2">
        <f t="shared" si="20"/>
        <v>42754</v>
      </c>
      <c r="E376">
        <v>0</v>
      </c>
      <c r="F376" t="s">
        <v>23</v>
      </c>
      <c r="G376" t="str">
        <f t="shared" si="21"/>
        <v>Other</v>
      </c>
      <c r="H376">
        <v>36</v>
      </c>
      <c r="I376">
        <v>7603</v>
      </c>
      <c r="J376">
        <v>6</v>
      </c>
      <c r="K376" t="s">
        <v>35</v>
      </c>
      <c r="L376" t="s">
        <v>237</v>
      </c>
      <c r="M376" t="s">
        <v>360</v>
      </c>
      <c r="N376" t="s">
        <v>360</v>
      </c>
      <c r="P376" t="s">
        <v>344</v>
      </c>
      <c r="Q376" t="s">
        <v>320</v>
      </c>
      <c r="R376">
        <v>36</v>
      </c>
      <c r="T376">
        <v>804</v>
      </c>
      <c r="U376" t="s">
        <v>1090</v>
      </c>
      <c r="V376" s="7">
        <v>19.989999770000001</v>
      </c>
      <c r="W376" s="7">
        <v>13.643874764125</v>
      </c>
      <c r="X376">
        <v>5</v>
      </c>
      <c r="Y376" s="7">
        <v>3</v>
      </c>
      <c r="Z376" s="7">
        <v>99.94999885</v>
      </c>
      <c r="AA376" s="7">
        <f t="shared" si="22"/>
        <v>96.94999885</v>
      </c>
      <c r="AB376" t="s">
        <v>30</v>
      </c>
      <c r="AC376" t="str">
        <f t="shared" si="23"/>
        <v>Cash Not Over 200</v>
      </c>
    </row>
    <row r="377" spans="1:29" x14ac:dyDescent="0.25">
      <c r="A377">
        <v>67753</v>
      </c>
      <c r="B377" s="2">
        <v>42994</v>
      </c>
      <c r="C377">
        <v>2</v>
      </c>
      <c r="D377" s="2">
        <f t="shared" si="20"/>
        <v>42997</v>
      </c>
      <c r="E377">
        <v>1</v>
      </c>
      <c r="F377" t="s">
        <v>23</v>
      </c>
      <c r="G377" t="str">
        <f t="shared" si="21"/>
        <v>Other</v>
      </c>
      <c r="H377">
        <v>10</v>
      </c>
      <c r="I377">
        <v>1566</v>
      </c>
      <c r="J377">
        <v>3</v>
      </c>
      <c r="K377" t="s">
        <v>24</v>
      </c>
      <c r="L377" t="s">
        <v>237</v>
      </c>
      <c r="M377" t="s">
        <v>361</v>
      </c>
      <c r="N377" t="s">
        <v>362</v>
      </c>
      <c r="P377" t="s">
        <v>248</v>
      </c>
      <c r="Q377" t="s">
        <v>241</v>
      </c>
      <c r="R377">
        <v>10</v>
      </c>
      <c r="T377">
        <v>203</v>
      </c>
      <c r="U377" t="s">
        <v>1112</v>
      </c>
      <c r="V377" s="7">
        <v>399.98999020000002</v>
      </c>
      <c r="W377" s="7">
        <v>294.3899917</v>
      </c>
      <c r="X377">
        <v>1</v>
      </c>
      <c r="Y377" s="7">
        <v>48</v>
      </c>
      <c r="Z377" s="7">
        <v>399.98999020000002</v>
      </c>
      <c r="AA377" s="7">
        <f t="shared" si="22"/>
        <v>351.98999020000002</v>
      </c>
      <c r="AB377" t="s">
        <v>45</v>
      </c>
      <c r="AC377" t="str">
        <f t="shared" si="23"/>
        <v>Non-Cash Payments</v>
      </c>
    </row>
    <row r="378" spans="1:29" x14ac:dyDescent="0.25">
      <c r="A378">
        <v>15421</v>
      </c>
      <c r="B378" s="2">
        <v>42230</v>
      </c>
      <c r="C378">
        <v>2</v>
      </c>
      <c r="D378" s="2">
        <f t="shared" si="20"/>
        <v>42234</v>
      </c>
      <c r="E378">
        <v>0</v>
      </c>
      <c r="F378" t="s">
        <v>23</v>
      </c>
      <c r="G378" t="str">
        <f t="shared" si="21"/>
        <v>Other</v>
      </c>
      <c r="H378">
        <v>9</v>
      </c>
      <c r="I378">
        <v>2918</v>
      </c>
      <c r="J378">
        <v>3</v>
      </c>
      <c r="K378" t="s">
        <v>24</v>
      </c>
      <c r="L378" t="s">
        <v>237</v>
      </c>
      <c r="M378" t="s">
        <v>363</v>
      </c>
      <c r="N378" t="s">
        <v>364</v>
      </c>
      <c r="P378" t="s">
        <v>263</v>
      </c>
      <c r="Q378" t="s">
        <v>264</v>
      </c>
      <c r="R378">
        <v>9</v>
      </c>
      <c r="T378">
        <v>191</v>
      </c>
      <c r="U378" t="s">
        <v>1044</v>
      </c>
      <c r="V378" s="7">
        <v>99.989997860000003</v>
      </c>
      <c r="W378" s="7">
        <v>95.114003926871064</v>
      </c>
      <c r="X378">
        <v>1</v>
      </c>
      <c r="Y378" s="7">
        <v>13</v>
      </c>
      <c r="Z378" s="7">
        <v>99.989997860000003</v>
      </c>
      <c r="AA378" s="7">
        <f t="shared" si="22"/>
        <v>86.989997860000003</v>
      </c>
      <c r="AB378" t="s">
        <v>45</v>
      </c>
      <c r="AC378" t="str">
        <f t="shared" si="23"/>
        <v>Non-Cash Payments</v>
      </c>
    </row>
    <row r="379" spans="1:29" x14ac:dyDescent="0.25">
      <c r="A379">
        <v>13225</v>
      </c>
      <c r="B379" s="2">
        <v>42198</v>
      </c>
      <c r="C379">
        <v>2</v>
      </c>
      <c r="D379" s="2">
        <f t="shared" si="20"/>
        <v>42200</v>
      </c>
      <c r="E379">
        <v>1</v>
      </c>
      <c r="F379" t="s">
        <v>23</v>
      </c>
      <c r="G379" t="str">
        <f t="shared" si="21"/>
        <v>Other</v>
      </c>
      <c r="H379">
        <v>13</v>
      </c>
      <c r="I379">
        <v>1491</v>
      </c>
      <c r="J379">
        <v>3</v>
      </c>
      <c r="K379" t="s">
        <v>24</v>
      </c>
      <c r="L379" t="s">
        <v>237</v>
      </c>
      <c r="M379" t="s">
        <v>365</v>
      </c>
      <c r="N379" t="s">
        <v>366</v>
      </c>
      <c r="P379" t="s">
        <v>367</v>
      </c>
      <c r="Q379" t="s">
        <v>252</v>
      </c>
      <c r="R379">
        <v>13</v>
      </c>
      <c r="T379">
        <v>273</v>
      </c>
      <c r="U379" t="s">
        <v>1107</v>
      </c>
      <c r="V379" s="7">
        <v>27.989999770000001</v>
      </c>
      <c r="W379" s="7">
        <v>22.101999580000001</v>
      </c>
      <c r="X379">
        <v>1</v>
      </c>
      <c r="Y379" s="7">
        <v>4.4800000190000002</v>
      </c>
      <c r="Z379" s="7">
        <v>27.989999770000001</v>
      </c>
      <c r="AA379" s="7">
        <f t="shared" si="22"/>
        <v>23.509999751000002</v>
      </c>
      <c r="AB379" t="s">
        <v>45</v>
      </c>
      <c r="AC379" t="str">
        <f t="shared" si="23"/>
        <v>Non-Cash Payments</v>
      </c>
    </row>
    <row r="380" spans="1:29" x14ac:dyDescent="0.25">
      <c r="A380">
        <v>71362</v>
      </c>
      <c r="B380" s="2">
        <v>42927</v>
      </c>
      <c r="C380">
        <v>2</v>
      </c>
      <c r="D380" s="2">
        <f t="shared" si="20"/>
        <v>42929</v>
      </c>
      <c r="E380">
        <v>1</v>
      </c>
      <c r="F380" t="s">
        <v>23</v>
      </c>
      <c r="G380" t="str">
        <f t="shared" si="21"/>
        <v>Other</v>
      </c>
      <c r="H380">
        <v>66</v>
      </c>
      <c r="I380">
        <v>14915</v>
      </c>
      <c r="J380">
        <v>4</v>
      </c>
      <c r="K380" t="s">
        <v>46</v>
      </c>
      <c r="L380" t="s">
        <v>237</v>
      </c>
      <c r="M380" t="s">
        <v>368</v>
      </c>
      <c r="N380" t="s">
        <v>369</v>
      </c>
      <c r="P380" t="s">
        <v>263</v>
      </c>
      <c r="Q380" t="s">
        <v>264</v>
      </c>
      <c r="R380">
        <v>66</v>
      </c>
      <c r="T380">
        <v>1353</v>
      </c>
      <c r="U380" t="s">
        <v>1114</v>
      </c>
      <c r="V380" s="7">
        <v>461.48001099999999</v>
      </c>
      <c r="W380" s="7">
        <v>376.77167767999998</v>
      </c>
      <c r="X380">
        <v>1</v>
      </c>
      <c r="Y380" s="7">
        <v>0</v>
      </c>
      <c r="Z380" s="7">
        <v>461.48001099999999</v>
      </c>
      <c r="AA380" s="7">
        <f t="shared" si="22"/>
        <v>461.48001099999999</v>
      </c>
      <c r="AB380" t="s">
        <v>45</v>
      </c>
      <c r="AC380" t="str">
        <f t="shared" si="23"/>
        <v>Non-Cash Payments</v>
      </c>
    </row>
    <row r="381" spans="1:29" x14ac:dyDescent="0.25">
      <c r="A381">
        <v>13232</v>
      </c>
      <c r="B381" s="2">
        <v>42198</v>
      </c>
      <c r="C381">
        <v>2</v>
      </c>
      <c r="D381" s="2">
        <f t="shared" si="20"/>
        <v>42200</v>
      </c>
      <c r="E381">
        <v>1</v>
      </c>
      <c r="F381" t="s">
        <v>23</v>
      </c>
      <c r="G381" t="str">
        <f t="shared" si="21"/>
        <v>Other</v>
      </c>
      <c r="H381">
        <v>18</v>
      </c>
      <c r="I381">
        <v>9619</v>
      </c>
      <c r="J381">
        <v>4</v>
      </c>
      <c r="K381" t="s">
        <v>46</v>
      </c>
      <c r="L381" t="s">
        <v>237</v>
      </c>
      <c r="M381" t="s">
        <v>370</v>
      </c>
      <c r="N381" t="s">
        <v>330</v>
      </c>
      <c r="P381" t="s">
        <v>263</v>
      </c>
      <c r="Q381" t="s">
        <v>264</v>
      </c>
      <c r="R381">
        <v>18</v>
      </c>
      <c r="T381">
        <v>403</v>
      </c>
      <c r="U381" t="s">
        <v>1052</v>
      </c>
      <c r="V381" s="7">
        <v>129.9900055</v>
      </c>
      <c r="W381" s="7">
        <v>110.80340837177086</v>
      </c>
      <c r="X381">
        <v>1</v>
      </c>
      <c r="Y381" s="7">
        <v>0</v>
      </c>
      <c r="Z381" s="7">
        <v>129.9900055</v>
      </c>
      <c r="AA381" s="7">
        <f t="shared" si="22"/>
        <v>129.9900055</v>
      </c>
      <c r="AB381" t="s">
        <v>45</v>
      </c>
      <c r="AC381" t="str">
        <f t="shared" si="23"/>
        <v>Non-Cash Payments</v>
      </c>
    </row>
    <row r="382" spans="1:29" x14ac:dyDescent="0.25">
      <c r="A382">
        <v>67753</v>
      </c>
      <c r="B382" s="2">
        <v>42994</v>
      </c>
      <c r="C382">
        <v>2</v>
      </c>
      <c r="D382" s="2">
        <f t="shared" si="20"/>
        <v>42997</v>
      </c>
      <c r="E382">
        <v>1</v>
      </c>
      <c r="F382" t="s">
        <v>23</v>
      </c>
      <c r="G382" t="str">
        <f t="shared" si="21"/>
        <v>Other</v>
      </c>
      <c r="H382">
        <v>17</v>
      </c>
      <c r="I382">
        <v>1566</v>
      </c>
      <c r="J382">
        <v>4</v>
      </c>
      <c r="K382" t="s">
        <v>46</v>
      </c>
      <c r="L382" t="s">
        <v>237</v>
      </c>
      <c r="M382" t="s">
        <v>361</v>
      </c>
      <c r="N382" t="s">
        <v>362</v>
      </c>
      <c r="P382" t="s">
        <v>248</v>
      </c>
      <c r="Q382" t="s">
        <v>241</v>
      </c>
      <c r="R382">
        <v>17</v>
      </c>
      <c r="T382">
        <v>364</v>
      </c>
      <c r="U382" t="s">
        <v>1116</v>
      </c>
      <c r="V382" s="7">
        <v>299.98999020000002</v>
      </c>
      <c r="W382" s="7">
        <v>155.98999020000002</v>
      </c>
      <c r="X382">
        <v>1</v>
      </c>
      <c r="Y382" s="7">
        <v>0</v>
      </c>
      <c r="Z382" s="7">
        <v>299.98999020000002</v>
      </c>
      <c r="AA382" s="7">
        <f t="shared" si="22"/>
        <v>299.98999020000002</v>
      </c>
      <c r="AB382" t="s">
        <v>45</v>
      </c>
      <c r="AC382" t="str">
        <f t="shared" si="23"/>
        <v>Non-Cash Payments</v>
      </c>
    </row>
    <row r="383" spans="1:29" x14ac:dyDescent="0.25">
      <c r="A383">
        <v>68879</v>
      </c>
      <c r="B383" s="2">
        <v>42776</v>
      </c>
      <c r="C383">
        <v>2</v>
      </c>
      <c r="D383" s="2">
        <f t="shared" si="20"/>
        <v>42780</v>
      </c>
      <c r="E383">
        <v>1</v>
      </c>
      <c r="F383" t="s">
        <v>23</v>
      </c>
      <c r="G383" t="str">
        <f t="shared" si="21"/>
        <v>Other</v>
      </c>
      <c r="H383">
        <v>18</v>
      </c>
      <c r="I383">
        <v>778</v>
      </c>
      <c r="J383">
        <v>4</v>
      </c>
      <c r="K383" t="s">
        <v>46</v>
      </c>
      <c r="L383" t="s">
        <v>237</v>
      </c>
      <c r="M383" t="s">
        <v>303</v>
      </c>
      <c r="N383" t="s">
        <v>243</v>
      </c>
      <c r="P383" t="s">
        <v>244</v>
      </c>
      <c r="Q383" t="s">
        <v>241</v>
      </c>
      <c r="R383">
        <v>18</v>
      </c>
      <c r="T383">
        <v>403</v>
      </c>
      <c r="U383" t="s">
        <v>1052</v>
      </c>
      <c r="V383" s="7">
        <v>129.9900055</v>
      </c>
      <c r="W383" s="7">
        <v>110.80340837177086</v>
      </c>
      <c r="X383">
        <v>1</v>
      </c>
      <c r="Y383" s="7">
        <v>0</v>
      </c>
      <c r="Z383" s="7">
        <v>129.9900055</v>
      </c>
      <c r="AA383" s="7">
        <f t="shared" si="22"/>
        <v>129.9900055</v>
      </c>
      <c r="AB383" t="s">
        <v>45</v>
      </c>
      <c r="AC383" t="str">
        <f t="shared" si="23"/>
        <v>Non-Cash Payments</v>
      </c>
    </row>
    <row r="384" spans="1:29" x14ac:dyDescent="0.25">
      <c r="A384">
        <v>65487</v>
      </c>
      <c r="B384" s="2">
        <v>42960</v>
      </c>
      <c r="C384">
        <v>2</v>
      </c>
      <c r="D384" s="2">
        <f t="shared" si="20"/>
        <v>42962</v>
      </c>
      <c r="E384">
        <v>1</v>
      </c>
      <c r="F384" t="s">
        <v>23</v>
      </c>
      <c r="G384" t="str">
        <f t="shared" si="21"/>
        <v>Other</v>
      </c>
      <c r="H384">
        <v>18</v>
      </c>
      <c r="I384">
        <v>2363</v>
      </c>
      <c r="J384">
        <v>4</v>
      </c>
      <c r="K384" t="s">
        <v>46</v>
      </c>
      <c r="L384" t="s">
        <v>237</v>
      </c>
      <c r="M384" t="s">
        <v>371</v>
      </c>
      <c r="N384" t="s">
        <v>288</v>
      </c>
      <c r="P384" t="s">
        <v>244</v>
      </c>
      <c r="Q384" t="s">
        <v>241</v>
      </c>
      <c r="R384">
        <v>18</v>
      </c>
      <c r="T384">
        <v>403</v>
      </c>
      <c r="U384" t="s">
        <v>1052</v>
      </c>
      <c r="V384" s="7">
        <v>129.9900055</v>
      </c>
      <c r="W384" s="7">
        <v>110.80340837177086</v>
      </c>
      <c r="X384">
        <v>1</v>
      </c>
      <c r="Y384" s="7">
        <v>0</v>
      </c>
      <c r="Z384" s="7">
        <v>129.9900055</v>
      </c>
      <c r="AA384" s="7">
        <f t="shared" si="22"/>
        <v>129.9900055</v>
      </c>
      <c r="AB384" t="s">
        <v>45</v>
      </c>
      <c r="AC384" t="str">
        <f t="shared" si="23"/>
        <v>Non-Cash Payments</v>
      </c>
    </row>
    <row r="385" spans="1:29" x14ac:dyDescent="0.25">
      <c r="A385">
        <v>65105</v>
      </c>
      <c r="B385" s="2">
        <v>42955</v>
      </c>
      <c r="C385">
        <v>2</v>
      </c>
      <c r="D385" s="2">
        <f t="shared" si="20"/>
        <v>42957</v>
      </c>
      <c r="E385">
        <v>1</v>
      </c>
      <c r="F385" t="s">
        <v>23</v>
      </c>
      <c r="G385" t="str">
        <f t="shared" si="21"/>
        <v>Other</v>
      </c>
      <c r="H385">
        <v>18</v>
      </c>
      <c r="I385">
        <v>5898</v>
      </c>
      <c r="J385">
        <v>4</v>
      </c>
      <c r="K385" t="s">
        <v>46</v>
      </c>
      <c r="L385" t="s">
        <v>237</v>
      </c>
      <c r="M385" t="s">
        <v>276</v>
      </c>
      <c r="N385" t="s">
        <v>239</v>
      </c>
      <c r="P385" t="s">
        <v>240</v>
      </c>
      <c r="Q385" t="s">
        <v>241</v>
      </c>
      <c r="R385">
        <v>18</v>
      </c>
      <c r="T385">
        <v>403</v>
      </c>
      <c r="U385" t="s">
        <v>1052</v>
      </c>
      <c r="V385" s="7">
        <v>129.9900055</v>
      </c>
      <c r="W385" s="7">
        <v>110.80340837177086</v>
      </c>
      <c r="X385">
        <v>1</v>
      </c>
      <c r="Y385" s="7">
        <v>0</v>
      </c>
      <c r="Z385" s="7">
        <v>129.9900055</v>
      </c>
      <c r="AA385" s="7">
        <f t="shared" si="22"/>
        <v>129.9900055</v>
      </c>
      <c r="AB385" t="s">
        <v>45</v>
      </c>
      <c r="AC385" t="str">
        <f t="shared" si="23"/>
        <v>Non-Cash Payments</v>
      </c>
    </row>
    <row r="386" spans="1:29" x14ac:dyDescent="0.25">
      <c r="A386">
        <v>14837</v>
      </c>
      <c r="B386" s="2">
        <v>42132</v>
      </c>
      <c r="C386">
        <v>2</v>
      </c>
      <c r="D386" s="2">
        <f t="shared" si="20"/>
        <v>42136</v>
      </c>
      <c r="E386">
        <v>1</v>
      </c>
      <c r="F386" t="s">
        <v>23</v>
      </c>
      <c r="G386" t="str">
        <f t="shared" si="21"/>
        <v>Other</v>
      </c>
      <c r="H386">
        <v>18</v>
      </c>
      <c r="I386">
        <v>1948</v>
      </c>
      <c r="J386">
        <v>4</v>
      </c>
      <c r="K386" t="s">
        <v>46</v>
      </c>
      <c r="L386" t="s">
        <v>237</v>
      </c>
      <c r="M386" t="s">
        <v>355</v>
      </c>
      <c r="N386" t="s">
        <v>355</v>
      </c>
      <c r="P386" t="s">
        <v>240</v>
      </c>
      <c r="Q386" t="s">
        <v>241</v>
      </c>
      <c r="R386">
        <v>18</v>
      </c>
      <c r="T386">
        <v>403</v>
      </c>
      <c r="U386" t="s">
        <v>1052</v>
      </c>
      <c r="V386" s="7">
        <v>129.9900055</v>
      </c>
      <c r="W386" s="7">
        <v>110.80340837177086</v>
      </c>
      <c r="X386">
        <v>1</v>
      </c>
      <c r="Y386" s="7">
        <v>0</v>
      </c>
      <c r="Z386" s="7">
        <v>129.9900055</v>
      </c>
      <c r="AA386" s="7">
        <f t="shared" si="22"/>
        <v>129.9900055</v>
      </c>
      <c r="AB386" t="s">
        <v>45</v>
      </c>
      <c r="AC386" t="str">
        <f t="shared" si="23"/>
        <v>Non-Cash Payments</v>
      </c>
    </row>
    <row r="387" spans="1:29" x14ac:dyDescent="0.25">
      <c r="A387">
        <v>46224</v>
      </c>
      <c r="B387" s="2">
        <v>42501</v>
      </c>
      <c r="C387">
        <v>2</v>
      </c>
      <c r="D387" s="2">
        <f t="shared" ref="D387:D450" si="24">WORKDAY(B387,C387)</f>
        <v>42503</v>
      </c>
      <c r="E387">
        <v>1</v>
      </c>
      <c r="F387" t="s">
        <v>23</v>
      </c>
      <c r="G387" t="str">
        <f t="shared" ref="G387:G450" si="25">IF(AND(E387=0,F387="Same Day"),"Same Day - On Time","Other")</f>
        <v>Other</v>
      </c>
      <c r="H387">
        <v>17</v>
      </c>
      <c r="I387">
        <v>1820</v>
      </c>
      <c r="J387">
        <v>4</v>
      </c>
      <c r="K387" t="s">
        <v>46</v>
      </c>
      <c r="L387" t="s">
        <v>237</v>
      </c>
      <c r="M387" t="s">
        <v>372</v>
      </c>
      <c r="N387" t="s">
        <v>372</v>
      </c>
      <c r="P387" t="s">
        <v>373</v>
      </c>
      <c r="Q387" t="s">
        <v>320</v>
      </c>
      <c r="R387">
        <v>17</v>
      </c>
      <c r="T387">
        <v>365</v>
      </c>
      <c r="U387" t="s">
        <v>1054</v>
      </c>
      <c r="V387" s="7">
        <v>59.990001679999999</v>
      </c>
      <c r="W387" s="7">
        <v>54.488929209402009</v>
      </c>
      <c r="X387">
        <v>1</v>
      </c>
      <c r="Y387" s="7">
        <v>0.60000002399999997</v>
      </c>
      <c r="Z387" s="7">
        <v>59.990001679999999</v>
      </c>
      <c r="AA387" s="7">
        <f t="shared" ref="AA387:AA450" si="26">Z387-Y387</f>
        <v>59.390001655999995</v>
      </c>
      <c r="AB387" t="s">
        <v>45</v>
      </c>
      <c r="AC387" t="str">
        <f t="shared" ref="AC387:AC450" si="27">IF(AND(AA387&gt;200,AB387="CASH"),"Cash Over 200",IF(AB387="CASH","Cash Not Over 200","Non-Cash Payments"))</f>
        <v>Non-Cash Payments</v>
      </c>
    </row>
    <row r="388" spans="1:29" x14ac:dyDescent="0.25">
      <c r="A388">
        <v>71217</v>
      </c>
      <c r="B388" s="2">
        <v>42866</v>
      </c>
      <c r="C388">
        <v>2</v>
      </c>
      <c r="D388" s="2">
        <f t="shared" si="24"/>
        <v>42870</v>
      </c>
      <c r="E388">
        <v>1</v>
      </c>
      <c r="F388" t="s">
        <v>23</v>
      </c>
      <c r="G388" t="str">
        <f t="shared" si="25"/>
        <v>Other</v>
      </c>
      <c r="H388">
        <v>66</v>
      </c>
      <c r="I388">
        <v>14770</v>
      </c>
      <c r="J388">
        <v>4</v>
      </c>
      <c r="K388" t="s">
        <v>46</v>
      </c>
      <c r="L388" t="s">
        <v>237</v>
      </c>
      <c r="M388" t="s">
        <v>275</v>
      </c>
      <c r="N388" t="s">
        <v>250</v>
      </c>
      <c r="P388" t="s">
        <v>251</v>
      </c>
      <c r="Q388" t="s">
        <v>252</v>
      </c>
      <c r="R388">
        <v>66</v>
      </c>
      <c r="T388">
        <v>1353</v>
      </c>
      <c r="U388" t="s">
        <v>1114</v>
      </c>
      <c r="V388" s="7">
        <v>461.48001099999999</v>
      </c>
      <c r="W388" s="7">
        <v>376.77167767999998</v>
      </c>
      <c r="X388">
        <v>1</v>
      </c>
      <c r="Y388" s="7">
        <v>4.6100001339999999</v>
      </c>
      <c r="Z388" s="7">
        <v>461.48001099999999</v>
      </c>
      <c r="AA388" s="7">
        <f t="shared" si="26"/>
        <v>456.87001086599997</v>
      </c>
      <c r="AB388" t="s">
        <v>45</v>
      </c>
      <c r="AC388" t="str">
        <f t="shared" si="27"/>
        <v>Non-Cash Payments</v>
      </c>
    </row>
    <row r="389" spans="1:29" x14ac:dyDescent="0.25">
      <c r="A389">
        <v>63972</v>
      </c>
      <c r="B389" s="2">
        <v>42938</v>
      </c>
      <c r="C389">
        <v>2</v>
      </c>
      <c r="D389" s="2">
        <f t="shared" si="24"/>
        <v>42941</v>
      </c>
      <c r="E389">
        <v>1</v>
      </c>
      <c r="F389" t="s">
        <v>23</v>
      </c>
      <c r="G389" t="str">
        <f t="shared" si="25"/>
        <v>Other</v>
      </c>
      <c r="H389">
        <v>18</v>
      </c>
      <c r="I389">
        <v>1962</v>
      </c>
      <c r="J389">
        <v>4</v>
      </c>
      <c r="K389" t="s">
        <v>46</v>
      </c>
      <c r="L389" t="s">
        <v>237</v>
      </c>
      <c r="M389" t="s">
        <v>374</v>
      </c>
      <c r="N389" t="s">
        <v>250</v>
      </c>
      <c r="P389" t="s">
        <v>251</v>
      </c>
      <c r="Q389" t="s">
        <v>252</v>
      </c>
      <c r="R389">
        <v>18</v>
      </c>
      <c r="T389">
        <v>403</v>
      </c>
      <c r="U389" t="s">
        <v>1052</v>
      </c>
      <c r="V389" s="7">
        <v>129.9900055</v>
      </c>
      <c r="W389" s="7">
        <v>110.80340837177086</v>
      </c>
      <c r="X389">
        <v>1</v>
      </c>
      <c r="Y389" s="7">
        <v>1.2999999520000001</v>
      </c>
      <c r="Z389" s="7">
        <v>129.9900055</v>
      </c>
      <c r="AA389" s="7">
        <f t="shared" si="26"/>
        <v>128.69000554799999</v>
      </c>
      <c r="AB389" t="s">
        <v>45</v>
      </c>
      <c r="AC389" t="str">
        <f t="shared" si="27"/>
        <v>Non-Cash Payments</v>
      </c>
    </row>
    <row r="390" spans="1:29" x14ac:dyDescent="0.25">
      <c r="A390">
        <v>19200</v>
      </c>
      <c r="B390" s="2">
        <v>42226</v>
      </c>
      <c r="C390">
        <v>2</v>
      </c>
      <c r="D390" s="2">
        <f t="shared" si="24"/>
        <v>42228</v>
      </c>
      <c r="E390">
        <v>1</v>
      </c>
      <c r="F390" t="s">
        <v>23</v>
      </c>
      <c r="G390" t="str">
        <f t="shared" si="25"/>
        <v>Other</v>
      </c>
      <c r="H390">
        <v>18</v>
      </c>
      <c r="I390">
        <v>7175</v>
      </c>
      <c r="J390">
        <v>4</v>
      </c>
      <c r="K390" t="s">
        <v>46</v>
      </c>
      <c r="L390" t="s">
        <v>237</v>
      </c>
      <c r="M390" t="s">
        <v>375</v>
      </c>
      <c r="N390" t="s">
        <v>250</v>
      </c>
      <c r="P390" t="s">
        <v>251</v>
      </c>
      <c r="Q390" t="s">
        <v>252</v>
      </c>
      <c r="R390">
        <v>18</v>
      </c>
      <c r="T390">
        <v>403</v>
      </c>
      <c r="U390" t="s">
        <v>1052</v>
      </c>
      <c r="V390" s="7">
        <v>129.9900055</v>
      </c>
      <c r="W390" s="7">
        <v>110.80340837177086</v>
      </c>
      <c r="X390">
        <v>1</v>
      </c>
      <c r="Y390" s="7">
        <v>1.2999999520000001</v>
      </c>
      <c r="Z390" s="7">
        <v>129.9900055</v>
      </c>
      <c r="AA390" s="7">
        <f t="shared" si="26"/>
        <v>128.69000554799999</v>
      </c>
      <c r="AB390" t="s">
        <v>45</v>
      </c>
      <c r="AC390" t="str">
        <f t="shared" si="27"/>
        <v>Non-Cash Payments</v>
      </c>
    </row>
    <row r="391" spans="1:29" x14ac:dyDescent="0.25">
      <c r="A391">
        <v>18009</v>
      </c>
      <c r="B391" s="2">
        <v>42267</v>
      </c>
      <c r="C391">
        <v>2</v>
      </c>
      <c r="D391" s="2">
        <f t="shared" si="24"/>
        <v>42269</v>
      </c>
      <c r="E391">
        <v>1</v>
      </c>
      <c r="F391" t="s">
        <v>23</v>
      </c>
      <c r="G391" t="str">
        <f t="shared" si="25"/>
        <v>Other</v>
      </c>
      <c r="H391">
        <v>18</v>
      </c>
      <c r="I391">
        <v>1222</v>
      </c>
      <c r="J391">
        <v>4</v>
      </c>
      <c r="K391" t="s">
        <v>46</v>
      </c>
      <c r="L391" t="s">
        <v>237</v>
      </c>
      <c r="M391" t="s">
        <v>376</v>
      </c>
      <c r="N391" t="s">
        <v>250</v>
      </c>
      <c r="P391" t="s">
        <v>251</v>
      </c>
      <c r="Q391" t="s">
        <v>252</v>
      </c>
      <c r="R391">
        <v>18</v>
      </c>
      <c r="T391">
        <v>403</v>
      </c>
      <c r="U391" t="s">
        <v>1052</v>
      </c>
      <c r="V391" s="7">
        <v>129.9900055</v>
      </c>
      <c r="W391" s="7">
        <v>110.80340837177086</v>
      </c>
      <c r="X391">
        <v>1</v>
      </c>
      <c r="Y391" s="7">
        <v>1.2999999520000001</v>
      </c>
      <c r="Z391" s="7">
        <v>129.9900055</v>
      </c>
      <c r="AA391" s="7">
        <f t="shared" si="26"/>
        <v>128.69000554799999</v>
      </c>
      <c r="AB391" t="s">
        <v>45</v>
      </c>
      <c r="AC391" t="str">
        <f t="shared" si="27"/>
        <v>Non-Cash Payments</v>
      </c>
    </row>
    <row r="392" spans="1:29" x14ac:dyDescent="0.25">
      <c r="A392">
        <v>10831</v>
      </c>
      <c r="B392" s="2">
        <v>42222</v>
      </c>
      <c r="C392">
        <v>2</v>
      </c>
      <c r="D392" s="2">
        <f t="shared" si="24"/>
        <v>42226</v>
      </c>
      <c r="E392">
        <v>0</v>
      </c>
      <c r="F392" t="s">
        <v>23</v>
      </c>
      <c r="G392" t="str">
        <f t="shared" si="25"/>
        <v>Other</v>
      </c>
      <c r="H392">
        <v>18</v>
      </c>
      <c r="I392">
        <v>487</v>
      </c>
      <c r="J392">
        <v>4</v>
      </c>
      <c r="K392" t="s">
        <v>46</v>
      </c>
      <c r="L392" t="s">
        <v>237</v>
      </c>
      <c r="M392" t="s">
        <v>377</v>
      </c>
      <c r="N392" t="s">
        <v>378</v>
      </c>
      <c r="P392" t="s">
        <v>367</v>
      </c>
      <c r="Q392" t="s">
        <v>252</v>
      </c>
      <c r="R392">
        <v>18</v>
      </c>
      <c r="T392">
        <v>403</v>
      </c>
      <c r="U392" t="s">
        <v>1052</v>
      </c>
      <c r="V392" s="7">
        <v>129.9900055</v>
      </c>
      <c r="W392" s="7">
        <v>110.80340837177086</v>
      </c>
      <c r="X392">
        <v>1</v>
      </c>
      <c r="Y392" s="7">
        <v>1.2999999520000001</v>
      </c>
      <c r="Z392" s="7">
        <v>129.9900055</v>
      </c>
      <c r="AA392" s="7">
        <f t="shared" si="26"/>
        <v>128.69000554799999</v>
      </c>
      <c r="AB392" t="s">
        <v>45</v>
      </c>
      <c r="AC392" t="str">
        <f t="shared" si="27"/>
        <v>Non-Cash Payments</v>
      </c>
    </row>
    <row r="393" spans="1:29" x14ac:dyDescent="0.25">
      <c r="A393">
        <v>68107</v>
      </c>
      <c r="B393" s="2">
        <v>42999</v>
      </c>
      <c r="C393">
        <v>2</v>
      </c>
      <c r="D393" s="2">
        <f t="shared" si="24"/>
        <v>43003</v>
      </c>
      <c r="E393">
        <v>1</v>
      </c>
      <c r="F393" t="s">
        <v>23</v>
      </c>
      <c r="G393" t="str">
        <f t="shared" si="25"/>
        <v>Other</v>
      </c>
      <c r="H393">
        <v>18</v>
      </c>
      <c r="I393">
        <v>2217</v>
      </c>
      <c r="J393">
        <v>4</v>
      </c>
      <c r="K393" t="s">
        <v>46</v>
      </c>
      <c r="L393" t="s">
        <v>237</v>
      </c>
      <c r="M393" t="s">
        <v>379</v>
      </c>
      <c r="N393" t="s">
        <v>305</v>
      </c>
      <c r="P393" t="s">
        <v>283</v>
      </c>
      <c r="Q393" t="s">
        <v>264</v>
      </c>
      <c r="R393">
        <v>18</v>
      </c>
      <c r="T393">
        <v>403</v>
      </c>
      <c r="U393" t="s">
        <v>1052</v>
      </c>
      <c r="V393" s="7">
        <v>129.9900055</v>
      </c>
      <c r="W393" s="7">
        <v>110.80340837177086</v>
      </c>
      <c r="X393">
        <v>1</v>
      </c>
      <c r="Y393" s="7">
        <v>1.2999999520000001</v>
      </c>
      <c r="Z393" s="7">
        <v>129.9900055</v>
      </c>
      <c r="AA393" s="7">
        <f t="shared" si="26"/>
        <v>128.69000554799999</v>
      </c>
      <c r="AB393" t="s">
        <v>45</v>
      </c>
      <c r="AC393" t="str">
        <f t="shared" si="27"/>
        <v>Non-Cash Payments</v>
      </c>
    </row>
    <row r="394" spans="1:29" x14ac:dyDescent="0.25">
      <c r="A394">
        <v>15421</v>
      </c>
      <c r="B394" s="2">
        <v>42230</v>
      </c>
      <c r="C394">
        <v>2</v>
      </c>
      <c r="D394" s="2">
        <f t="shared" si="24"/>
        <v>42234</v>
      </c>
      <c r="E394">
        <v>0</v>
      </c>
      <c r="F394" t="s">
        <v>23</v>
      </c>
      <c r="G394" t="str">
        <f t="shared" si="25"/>
        <v>Other</v>
      </c>
      <c r="H394">
        <v>18</v>
      </c>
      <c r="I394">
        <v>2918</v>
      </c>
      <c r="J394">
        <v>4</v>
      </c>
      <c r="K394" t="s">
        <v>46</v>
      </c>
      <c r="L394" t="s">
        <v>237</v>
      </c>
      <c r="M394" t="s">
        <v>363</v>
      </c>
      <c r="N394" t="s">
        <v>364</v>
      </c>
      <c r="P394" t="s">
        <v>263</v>
      </c>
      <c r="Q394" t="s">
        <v>264</v>
      </c>
      <c r="R394">
        <v>18</v>
      </c>
      <c r="T394">
        <v>403</v>
      </c>
      <c r="U394" t="s">
        <v>1052</v>
      </c>
      <c r="V394" s="7">
        <v>129.9900055</v>
      </c>
      <c r="W394" s="7">
        <v>110.80340837177086</v>
      </c>
      <c r="X394">
        <v>1</v>
      </c>
      <c r="Y394" s="7">
        <v>1.2999999520000001</v>
      </c>
      <c r="Z394" s="7">
        <v>129.9900055</v>
      </c>
      <c r="AA394" s="7">
        <f t="shared" si="26"/>
        <v>128.69000554799999</v>
      </c>
      <c r="AB394" t="s">
        <v>45</v>
      </c>
      <c r="AC394" t="str">
        <f t="shared" si="27"/>
        <v>Non-Cash Payments</v>
      </c>
    </row>
    <row r="395" spans="1:29" x14ac:dyDescent="0.25">
      <c r="A395">
        <v>71271</v>
      </c>
      <c r="B395" s="2">
        <v>42897</v>
      </c>
      <c r="C395">
        <v>2</v>
      </c>
      <c r="D395" s="2">
        <f t="shared" si="24"/>
        <v>42899</v>
      </c>
      <c r="E395">
        <v>0</v>
      </c>
      <c r="F395" t="s">
        <v>23</v>
      </c>
      <c r="G395" t="str">
        <f t="shared" si="25"/>
        <v>Other</v>
      </c>
      <c r="H395">
        <v>66</v>
      </c>
      <c r="I395">
        <v>14824</v>
      </c>
      <c r="J395">
        <v>4</v>
      </c>
      <c r="K395" t="s">
        <v>46</v>
      </c>
      <c r="L395" t="s">
        <v>237</v>
      </c>
      <c r="M395" t="s">
        <v>338</v>
      </c>
      <c r="N395" t="s">
        <v>243</v>
      </c>
      <c r="P395" t="s">
        <v>244</v>
      </c>
      <c r="Q395" t="s">
        <v>241</v>
      </c>
      <c r="R395">
        <v>66</v>
      </c>
      <c r="T395">
        <v>1353</v>
      </c>
      <c r="U395" t="s">
        <v>1114</v>
      </c>
      <c r="V395" s="7">
        <v>461.48001099999999</v>
      </c>
      <c r="W395" s="7">
        <v>376.77167767999998</v>
      </c>
      <c r="X395">
        <v>1</v>
      </c>
      <c r="Y395" s="7">
        <v>4.6100001339999999</v>
      </c>
      <c r="Z395" s="7">
        <v>461.48001099999999</v>
      </c>
      <c r="AA395" s="7">
        <f t="shared" si="26"/>
        <v>456.87001086599997</v>
      </c>
      <c r="AB395" t="s">
        <v>45</v>
      </c>
      <c r="AC395" t="str">
        <f t="shared" si="27"/>
        <v>Non-Cash Payments</v>
      </c>
    </row>
    <row r="396" spans="1:29" x14ac:dyDescent="0.25">
      <c r="A396">
        <v>68879</v>
      </c>
      <c r="B396" s="2">
        <v>42776</v>
      </c>
      <c r="C396">
        <v>2</v>
      </c>
      <c r="D396" s="2">
        <f t="shared" si="24"/>
        <v>42780</v>
      </c>
      <c r="E396">
        <v>1</v>
      </c>
      <c r="F396" t="s">
        <v>23</v>
      </c>
      <c r="G396" t="str">
        <f t="shared" si="25"/>
        <v>Other</v>
      </c>
      <c r="H396">
        <v>18</v>
      </c>
      <c r="I396">
        <v>778</v>
      </c>
      <c r="J396">
        <v>4</v>
      </c>
      <c r="K396" t="s">
        <v>46</v>
      </c>
      <c r="L396" t="s">
        <v>237</v>
      </c>
      <c r="M396" t="s">
        <v>303</v>
      </c>
      <c r="N396" t="s">
        <v>243</v>
      </c>
      <c r="P396" t="s">
        <v>244</v>
      </c>
      <c r="Q396" t="s">
        <v>241</v>
      </c>
      <c r="R396">
        <v>18</v>
      </c>
      <c r="T396">
        <v>403</v>
      </c>
      <c r="U396" t="s">
        <v>1052</v>
      </c>
      <c r="V396" s="7">
        <v>129.9900055</v>
      </c>
      <c r="W396" s="7">
        <v>110.80340837177086</v>
      </c>
      <c r="X396">
        <v>1</v>
      </c>
      <c r="Y396" s="7">
        <v>1.2999999520000001</v>
      </c>
      <c r="Z396" s="7">
        <v>129.9900055</v>
      </c>
      <c r="AA396" s="7">
        <f t="shared" si="26"/>
        <v>128.69000554799999</v>
      </c>
      <c r="AB396" t="s">
        <v>45</v>
      </c>
      <c r="AC396" t="str">
        <f t="shared" si="27"/>
        <v>Non-Cash Payments</v>
      </c>
    </row>
    <row r="397" spans="1:29" x14ac:dyDescent="0.25">
      <c r="A397">
        <v>65487</v>
      </c>
      <c r="B397" s="2">
        <v>42960</v>
      </c>
      <c r="C397">
        <v>2</v>
      </c>
      <c r="D397" s="2">
        <f t="shared" si="24"/>
        <v>42962</v>
      </c>
      <c r="E397">
        <v>1</v>
      </c>
      <c r="F397" t="s">
        <v>23</v>
      </c>
      <c r="G397" t="str">
        <f t="shared" si="25"/>
        <v>Other</v>
      </c>
      <c r="H397">
        <v>18</v>
      </c>
      <c r="I397">
        <v>2363</v>
      </c>
      <c r="J397">
        <v>4</v>
      </c>
      <c r="K397" t="s">
        <v>46</v>
      </c>
      <c r="L397" t="s">
        <v>237</v>
      </c>
      <c r="M397" t="s">
        <v>371</v>
      </c>
      <c r="N397" t="s">
        <v>288</v>
      </c>
      <c r="P397" t="s">
        <v>244</v>
      </c>
      <c r="Q397" t="s">
        <v>241</v>
      </c>
      <c r="R397">
        <v>18</v>
      </c>
      <c r="T397">
        <v>403</v>
      </c>
      <c r="U397" t="s">
        <v>1052</v>
      </c>
      <c r="V397" s="7">
        <v>129.9900055</v>
      </c>
      <c r="W397" s="7">
        <v>110.80340837177086</v>
      </c>
      <c r="X397">
        <v>1</v>
      </c>
      <c r="Y397" s="7">
        <v>1.2999999520000001</v>
      </c>
      <c r="Z397" s="7">
        <v>129.9900055</v>
      </c>
      <c r="AA397" s="7">
        <f t="shared" si="26"/>
        <v>128.69000554799999</v>
      </c>
      <c r="AB397" t="s">
        <v>45</v>
      </c>
      <c r="AC397" t="str">
        <f t="shared" si="27"/>
        <v>Non-Cash Payments</v>
      </c>
    </row>
    <row r="398" spans="1:29" x14ac:dyDescent="0.25">
      <c r="A398">
        <v>16953</v>
      </c>
      <c r="B398" s="2">
        <v>42133</v>
      </c>
      <c r="C398">
        <v>2</v>
      </c>
      <c r="D398" s="2">
        <f t="shared" si="24"/>
        <v>42136</v>
      </c>
      <c r="E398">
        <v>1</v>
      </c>
      <c r="F398" t="s">
        <v>23</v>
      </c>
      <c r="G398" t="str">
        <f t="shared" si="25"/>
        <v>Other</v>
      </c>
      <c r="H398">
        <v>18</v>
      </c>
      <c r="I398">
        <v>2078</v>
      </c>
      <c r="J398">
        <v>4</v>
      </c>
      <c r="K398" t="s">
        <v>46</v>
      </c>
      <c r="L398" t="s">
        <v>237</v>
      </c>
      <c r="M398" t="s">
        <v>380</v>
      </c>
      <c r="N398" t="s">
        <v>239</v>
      </c>
      <c r="P398" t="s">
        <v>240</v>
      </c>
      <c r="Q398" t="s">
        <v>241</v>
      </c>
      <c r="R398">
        <v>18</v>
      </c>
      <c r="T398">
        <v>403</v>
      </c>
      <c r="U398" t="s">
        <v>1052</v>
      </c>
      <c r="V398" s="7">
        <v>129.9900055</v>
      </c>
      <c r="W398" s="7">
        <v>110.80340837177086</v>
      </c>
      <c r="X398">
        <v>1</v>
      </c>
      <c r="Y398" s="7">
        <v>1.2999999520000001</v>
      </c>
      <c r="Z398" s="7">
        <v>129.9900055</v>
      </c>
      <c r="AA398" s="7">
        <f t="shared" si="26"/>
        <v>128.69000554799999</v>
      </c>
      <c r="AB398" t="s">
        <v>45</v>
      </c>
      <c r="AC398" t="str">
        <f t="shared" si="27"/>
        <v>Non-Cash Payments</v>
      </c>
    </row>
    <row r="399" spans="1:29" x14ac:dyDescent="0.25">
      <c r="A399">
        <v>49664</v>
      </c>
      <c r="B399" s="2">
        <v>42729</v>
      </c>
      <c r="C399">
        <v>2</v>
      </c>
      <c r="D399" s="2">
        <f t="shared" si="24"/>
        <v>42731</v>
      </c>
      <c r="E399">
        <v>1</v>
      </c>
      <c r="F399" t="s">
        <v>23</v>
      </c>
      <c r="G399" t="str">
        <f t="shared" si="25"/>
        <v>Other</v>
      </c>
      <c r="H399">
        <v>17</v>
      </c>
      <c r="I399">
        <v>10497</v>
      </c>
      <c r="J399">
        <v>4</v>
      </c>
      <c r="K399" t="s">
        <v>46</v>
      </c>
      <c r="L399" t="s">
        <v>237</v>
      </c>
      <c r="M399" t="s">
        <v>381</v>
      </c>
      <c r="N399" t="s">
        <v>382</v>
      </c>
      <c r="P399" t="s">
        <v>373</v>
      </c>
      <c r="Q399" t="s">
        <v>320</v>
      </c>
      <c r="R399">
        <v>17</v>
      </c>
      <c r="T399">
        <v>365</v>
      </c>
      <c r="U399" t="s">
        <v>1054</v>
      </c>
      <c r="V399" s="7">
        <v>59.990001679999999</v>
      </c>
      <c r="W399" s="7">
        <v>54.488929209402009</v>
      </c>
      <c r="X399">
        <v>1</v>
      </c>
      <c r="Y399" s="7">
        <v>1.2000000479999999</v>
      </c>
      <c r="Z399" s="7">
        <v>59.990001679999999</v>
      </c>
      <c r="AA399" s="7">
        <f t="shared" si="26"/>
        <v>58.790001631999999</v>
      </c>
      <c r="AB399" t="s">
        <v>45</v>
      </c>
      <c r="AC399" t="str">
        <f t="shared" si="27"/>
        <v>Non-Cash Payments</v>
      </c>
    </row>
    <row r="400" spans="1:29" x14ac:dyDescent="0.25">
      <c r="A400">
        <v>16446</v>
      </c>
      <c r="B400" s="2">
        <v>42245</v>
      </c>
      <c r="C400">
        <v>2</v>
      </c>
      <c r="D400" s="2">
        <f t="shared" si="24"/>
        <v>42248</v>
      </c>
      <c r="E400">
        <v>0</v>
      </c>
      <c r="F400" t="s">
        <v>23</v>
      </c>
      <c r="G400" t="str">
        <f t="shared" si="25"/>
        <v>Other</v>
      </c>
      <c r="H400">
        <v>18</v>
      </c>
      <c r="I400">
        <v>4695</v>
      </c>
      <c r="J400">
        <v>4</v>
      </c>
      <c r="K400" t="s">
        <v>46</v>
      </c>
      <c r="L400" t="s">
        <v>237</v>
      </c>
      <c r="M400" t="s">
        <v>383</v>
      </c>
      <c r="N400" t="s">
        <v>250</v>
      </c>
      <c r="P400" t="s">
        <v>251</v>
      </c>
      <c r="Q400" t="s">
        <v>252</v>
      </c>
      <c r="R400">
        <v>18</v>
      </c>
      <c r="T400">
        <v>403</v>
      </c>
      <c r="U400" t="s">
        <v>1052</v>
      </c>
      <c r="V400" s="7">
        <v>129.9900055</v>
      </c>
      <c r="W400" s="7">
        <v>110.80340837177086</v>
      </c>
      <c r="X400">
        <v>1</v>
      </c>
      <c r="Y400" s="7">
        <v>2.5999999049999998</v>
      </c>
      <c r="Z400" s="7">
        <v>129.9900055</v>
      </c>
      <c r="AA400" s="7">
        <f t="shared" si="26"/>
        <v>127.39000559499999</v>
      </c>
      <c r="AB400" t="s">
        <v>45</v>
      </c>
      <c r="AC400" t="str">
        <f t="shared" si="27"/>
        <v>Non-Cash Payments</v>
      </c>
    </row>
    <row r="401" spans="1:29" x14ac:dyDescent="0.25">
      <c r="A401">
        <v>10831</v>
      </c>
      <c r="B401" s="2">
        <v>42222</v>
      </c>
      <c r="C401">
        <v>2</v>
      </c>
      <c r="D401" s="2">
        <f t="shared" si="24"/>
        <v>42226</v>
      </c>
      <c r="E401">
        <v>0</v>
      </c>
      <c r="F401" t="s">
        <v>23</v>
      </c>
      <c r="G401" t="str">
        <f t="shared" si="25"/>
        <v>Other</v>
      </c>
      <c r="H401">
        <v>18</v>
      </c>
      <c r="I401">
        <v>487</v>
      </c>
      <c r="J401">
        <v>4</v>
      </c>
      <c r="K401" t="s">
        <v>46</v>
      </c>
      <c r="L401" t="s">
        <v>237</v>
      </c>
      <c r="M401" t="s">
        <v>377</v>
      </c>
      <c r="N401" t="s">
        <v>378</v>
      </c>
      <c r="P401" t="s">
        <v>367</v>
      </c>
      <c r="Q401" t="s">
        <v>252</v>
      </c>
      <c r="R401">
        <v>18</v>
      </c>
      <c r="T401">
        <v>403</v>
      </c>
      <c r="U401" t="s">
        <v>1052</v>
      </c>
      <c r="V401" s="7">
        <v>129.9900055</v>
      </c>
      <c r="W401" s="7">
        <v>110.80340837177086</v>
      </c>
      <c r="X401">
        <v>1</v>
      </c>
      <c r="Y401" s="7">
        <v>2.5999999049999998</v>
      </c>
      <c r="Z401" s="7">
        <v>129.9900055</v>
      </c>
      <c r="AA401" s="7">
        <f t="shared" si="26"/>
        <v>127.39000559499999</v>
      </c>
      <c r="AB401" t="s">
        <v>45</v>
      </c>
      <c r="AC401" t="str">
        <f t="shared" si="27"/>
        <v>Non-Cash Payments</v>
      </c>
    </row>
    <row r="402" spans="1:29" x14ac:dyDescent="0.25">
      <c r="A402">
        <v>14960</v>
      </c>
      <c r="B402" s="2">
        <v>42193</v>
      </c>
      <c r="C402">
        <v>2</v>
      </c>
      <c r="D402" s="2">
        <f t="shared" si="24"/>
        <v>42195</v>
      </c>
      <c r="E402">
        <v>1</v>
      </c>
      <c r="F402" t="s">
        <v>23</v>
      </c>
      <c r="G402" t="str">
        <f t="shared" si="25"/>
        <v>Other</v>
      </c>
      <c r="H402">
        <v>17</v>
      </c>
      <c r="I402">
        <v>9857</v>
      </c>
      <c r="J402">
        <v>4</v>
      </c>
      <c r="K402" t="s">
        <v>46</v>
      </c>
      <c r="L402" t="s">
        <v>237</v>
      </c>
      <c r="M402" t="s">
        <v>258</v>
      </c>
      <c r="N402" t="s">
        <v>259</v>
      </c>
      <c r="P402" t="s">
        <v>244</v>
      </c>
      <c r="Q402" t="s">
        <v>241</v>
      </c>
      <c r="R402">
        <v>17</v>
      </c>
      <c r="T402">
        <v>365</v>
      </c>
      <c r="U402" t="s">
        <v>1054</v>
      </c>
      <c r="V402" s="7">
        <v>59.990001679999999</v>
      </c>
      <c r="W402" s="7">
        <v>54.488929209402009</v>
      </c>
      <c r="X402">
        <v>1</v>
      </c>
      <c r="Y402" s="7">
        <v>1.2000000479999999</v>
      </c>
      <c r="Z402" s="7">
        <v>59.990001679999999</v>
      </c>
      <c r="AA402" s="7">
        <f t="shared" si="26"/>
        <v>58.790001631999999</v>
      </c>
      <c r="AB402" t="s">
        <v>45</v>
      </c>
      <c r="AC402" t="str">
        <f t="shared" si="27"/>
        <v>Non-Cash Payments</v>
      </c>
    </row>
    <row r="403" spans="1:29" x14ac:dyDescent="0.25">
      <c r="A403">
        <v>18005</v>
      </c>
      <c r="B403" s="2">
        <v>42267</v>
      </c>
      <c r="C403">
        <v>2</v>
      </c>
      <c r="D403" s="2">
        <f t="shared" si="24"/>
        <v>42269</v>
      </c>
      <c r="E403">
        <v>1</v>
      </c>
      <c r="F403" t="s">
        <v>23</v>
      </c>
      <c r="G403" t="str">
        <f t="shared" si="25"/>
        <v>Other</v>
      </c>
      <c r="H403">
        <v>18</v>
      </c>
      <c r="I403">
        <v>2168</v>
      </c>
      <c r="J403">
        <v>4</v>
      </c>
      <c r="K403" t="s">
        <v>46</v>
      </c>
      <c r="L403" t="s">
        <v>237</v>
      </c>
      <c r="M403" t="s">
        <v>376</v>
      </c>
      <c r="N403" t="s">
        <v>250</v>
      </c>
      <c r="P403" t="s">
        <v>251</v>
      </c>
      <c r="Q403" t="s">
        <v>252</v>
      </c>
      <c r="R403">
        <v>18</v>
      </c>
      <c r="T403">
        <v>403</v>
      </c>
      <c r="U403" t="s">
        <v>1052</v>
      </c>
      <c r="V403" s="7">
        <v>129.9900055</v>
      </c>
      <c r="W403" s="7">
        <v>110.80340837177086</v>
      </c>
      <c r="X403">
        <v>1</v>
      </c>
      <c r="Y403" s="7">
        <v>3.9000000950000002</v>
      </c>
      <c r="Z403" s="7">
        <v>129.9900055</v>
      </c>
      <c r="AA403" s="7">
        <f t="shared" si="26"/>
        <v>126.090005405</v>
      </c>
      <c r="AB403" t="s">
        <v>45</v>
      </c>
      <c r="AC403" t="str">
        <f t="shared" si="27"/>
        <v>Non-Cash Payments</v>
      </c>
    </row>
    <row r="404" spans="1:29" x14ac:dyDescent="0.25">
      <c r="A404">
        <v>10831</v>
      </c>
      <c r="B404" s="2">
        <v>42222</v>
      </c>
      <c r="C404">
        <v>2</v>
      </c>
      <c r="D404" s="2">
        <f t="shared" si="24"/>
        <v>42226</v>
      </c>
      <c r="E404">
        <v>0</v>
      </c>
      <c r="F404" t="s">
        <v>23</v>
      </c>
      <c r="G404" t="str">
        <f t="shared" si="25"/>
        <v>Other</v>
      </c>
      <c r="H404">
        <v>18</v>
      </c>
      <c r="I404">
        <v>487</v>
      </c>
      <c r="J404">
        <v>4</v>
      </c>
      <c r="K404" t="s">
        <v>46</v>
      </c>
      <c r="L404" t="s">
        <v>237</v>
      </c>
      <c r="M404" t="s">
        <v>377</v>
      </c>
      <c r="N404" t="s">
        <v>378</v>
      </c>
      <c r="P404" t="s">
        <v>367</v>
      </c>
      <c r="Q404" t="s">
        <v>252</v>
      </c>
      <c r="R404">
        <v>18</v>
      </c>
      <c r="T404">
        <v>403</v>
      </c>
      <c r="U404" t="s">
        <v>1052</v>
      </c>
      <c r="V404" s="7">
        <v>129.9900055</v>
      </c>
      <c r="W404" s="7">
        <v>110.80340837177086</v>
      </c>
      <c r="X404">
        <v>1</v>
      </c>
      <c r="Y404" s="7">
        <v>3.9000000950000002</v>
      </c>
      <c r="Z404" s="7">
        <v>129.9900055</v>
      </c>
      <c r="AA404" s="7">
        <f t="shared" si="26"/>
        <v>126.090005405</v>
      </c>
      <c r="AB404" t="s">
        <v>45</v>
      </c>
      <c r="AC404" t="str">
        <f t="shared" si="27"/>
        <v>Non-Cash Payments</v>
      </c>
    </row>
    <row r="405" spans="1:29" x14ac:dyDescent="0.25">
      <c r="A405">
        <v>12804</v>
      </c>
      <c r="B405" s="2">
        <v>42162</v>
      </c>
      <c r="C405">
        <v>2</v>
      </c>
      <c r="D405" s="2">
        <f t="shared" si="24"/>
        <v>42164</v>
      </c>
      <c r="E405">
        <v>1</v>
      </c>
      <c r="F405" t="s">
        <v>23</v>
      </c>
      <c r="G405" t="str">
        <f t="shared" si="25"/>
        <v>Other</v>
      </c>
      <c r="H405">
        <v>17</v>
      </c>
      <c r="I405">
        <v>4078</v>
      </c>
      <c r="J405">
        <v>4</v>
      </c>
      <c r="K405" t="s">
        <v>46</v>
      </c>
      <c r="L405" t="s">
        <v>237</v>
      </c>
      <c r="M405" t="s">
        <v>363</v>
      </c>
      <c r="N405" t="s">
        <v>364</v>
      </c>
      <c r="P405" t="s">
        <v>263</v>
      </c>
      <c r="Q405" t="s">
        <v>264</v>
      </c>
      <c r="R405">
        <v>17</v>
      </c>
      <c r="T405">
        <v>365</v>
      </c>
      <c r="U405" t="s">
        <v>1054</v>
      </c>
      <c r="V405" s="7">
        <v>59.990001679999999</v>
      </c>
      <c r="W405" s="7">
        <v>54.488929209402009</v>
      </c>
      <c r="X405">
        <v>1</v>
      </c>
      <c r="Y405" s="7">
        <v>1.7999999520000001</v>
      </c>
      <c r="Z405" s="7">
        <v>59.990001679999999</v>
      </c>
      <c r="AA405" s="7">
        <f t="shared" si="26"/>
        <v>58.190001727999999</v>
      </c>
      <c r="AB405" t="s">
        <v>45</v>
      </c>
      <c r="AC405" t="str">
        <f t="shared" si="27"/>
        <v>Non-Cash Payments</v>
      </c>
    </row>
    <row r="406" spans="1:29" x14ac:dyDescent="0.25">
      <c r="A406">
        <v>14651</v>
      </c>
      <c r="B406" s="2">
        <v>42043</v>
      </c>
      <c r="C406">
        <v>2</v>
      </c>
      <c r="D406" s="2">
        <f t="shared" si="24"/>
        <v>42045</v>
      </c>
      <c r="E406">
        <v>0</v>
      </c>
      <c r="F406" t="s">
        <v>23</v>
      </c>
      <c r="G406" t="str">
        <f t="shared" si="25"/>
        <v>Other</v>
      </c>
      <c r="H406">
        <v>18</v>
      </c>
      <c r="I406">
        <v>11887</v>
      </c>
      <c r="J406">
        <v>4</v>
      </c>
      <c r="K406" t="s">
        <v>46</v>
      </c>
      <c r="L406" t="s">
        <v>237</v>
      </c>
      <c r="M406" t="s">
        <v>384</v>
      </c>
      <c r="N406" t="s">
        <v>316</v>
      </c>
      <c r="P406" t="s">
        <v>244</v>
      </c>
      <c r="Q406" t="s">
        <v>241</v>
      </c>
      <c r="R406">
        <v>18</v>
      </c>
      <c r="T406">
        <v>403</v>
      </c>
      <c r="U406" t="s">
        <v>1052</v>
      </c>
      <c r="V406" s="7">
        <v>129.9900055</v>
      </c>
      <c r="W406" s="7">
        <v>110.80340837177086</v>
      </c>
      <c r="X406">
        <v>1</v>
      </c>
      <c r="Y406" s="7">
        <v>3.9000000950000002</v>
      </c>
      <c r="Z406" s="7">
        <v>129.9900055</v>
      </c>
      <c r="AA406" s="7">
        <f t="shared" si="26"/>
        <v>126.090005405</v>
      </c>
      <c r="AB406" t="s">
        <v>45</v>
      </c>
      <c r="AC406" t="str">
        <f t="shared" si="27"/>
        <v>Non-Cash Payments</v>
      </c>
    </row>
    <row r="407" spans="1:29" x14ac:dyDescent="0.25">
      <c r="A407">
        <v>10990</v>
      </c>
      <c r="B407" s="2">
        <v>42283</v>
      </c>
      <c r="C407">
        <v>2</v>
      </c>
      <c r="D407" s="2">
        <f t="shared" si="24"/>
        <v>42285</v>
      </c>
      <c r="E407">
        <v>1</v>
      </c>
      <c r="F407" t="s">
        <v>23</v>
      </c>
      <c r="G407" t="str">
        <f t="shared" si="25"/>
        <v>Other</v>
      </c>
      <c r="H407">
        <v>18</v>
      </c>
      <c r="I407">
        <v>6588</v>
      </c>
      <c r="J407">
        <v>4</v>
      </c>
      <c r="K407" t="s">
        <v>46</v>
      </c>
      <c r="L407" t="s">
        <v>237</v>
      </c>
      <c r="M407" t="s">
        <v>355</v>
      </c>
      <c r="N407" t="s">
        <v>355</v>
      </c>
      <c r="P407" t="s">
        <v>240</v>
      </c>
      <c r="Q407" t="s">
        <v>241</v>
      </c>
      <c r="R407">
        <v>18</v>
      </c>
      <c r="T407">
        <v>403</v>
      </c>
      <c r="U407" t="s">
        <v>1052</v>
      </c>
      <c r="V407" s="7">
        <v>129.9900055</v>
      </c>
      <c r="W407" s="7">
        <v>110.80340837177086</v>
      </c>
      <c r="X407">
        <v>1</v>
      </c>
      <c r="Y407" s="7">
        <v>3.9000000950000002</v>
      </c>
      <c r="Z407" s="7">
        <v>129.9900055</v>
      </c>
      <c r="AA407" s="7">
        <f t="shared" si="26"/>
        <v>126.090005405</v>
      </c>
      <c r="AB407" t="s">
        <v>45</v>
      </c>
      <c r="AC407" t="str">
        <f t="shared" si="27"/>
        <v>Non-Cash Payments</v>
      </c>
    </row>
    <row r="408" spans="1:29" x14ac:dyDescent="0.25">
      <c r="A408">
        <v>65609</v>
      </c>
      <c r="B408" s="2">
        <v>42962</v>
      </c>
      <c r="C408">
        <v>2</v>
      </c>
      <c r="D408" s="2">
        <f t="shared" si="24"/>
        <v>42964</v>
      </c>
      <c r="E408">
        <v>1</v>
      </c>
      <c r="F408" t="s">
        <v>23</v>
      </c>
      <c r="G408" t="str">
        <f t="shared" si="25"/>
        <v>Other</v>
      </c>
      <c r="H408">
        <v>18</v>
      </c>
      <c r="I408">
        <v>7167</v>
      </c>
      <c r="J408">
        <v>4</v>
      </c>
      <c r="K408" t="s">
        <v>46</v>
      </c>
      <c r="L408" t="s">
        <v>237</v>
      </c>
      <c r="M408" t="s">
        <v>385</v>
      </c>
      <c r="N408" t="s">
        <v>357</v>
      </c>
      <c r="P408" t="s">
        <v>248</v>
      </c>
      <c r="Q408" t="s">
        <v>241</v>
      </c>
      <c r="R408">
        <v>18</v>
      </c>
      <c r="T408">
        <v>403</v>
      </c>
      <c r="U408" t="s">
        <v>1052</v>
      </c>
      <c r="V408" s="7">
        <v>129.9900055</v>
      </c>
      <c r="W408" s="7">
        <v>110.80340837177086</v>
      </c>
      <c r="X408">
        <v>1</v>
      </c>
      <c r="Y408" s="7">
        <v>5.1999998090000004</v>
      </c>
      <c r="Z408" s="7">
        <v>129.9900055</v>
      </c>
      <c r="AA408" s="7">
        <f t="shared" si="26"/>
        <v>124.79000569099999</v>
      </c>
      <c r="AB408" t="s">
        <v>45</v>
      </c>
      <c r="AC408" t="str">
        <f t="shared" si="27"/>
        <v>Non-Cash Payments</v>
      </c>
    </row>
    <row r="409" spans="1:29" x14ac:dyDescent="0.25">
      <c r="A409">
        <v>17878</v>
      </c>
      <c r="B409" s="2">
        <v>42265</v>
      </c>
      <c r="C409">
        <v>2</v>
      </c>
      <c r="D409" s="2">
        <f t="shared" si="24"/>
        <v>42269</v>
      </c>
      <c r="E409">
        <v>1</v>
      </c>
      <c r="F409" t="s">
        <v>23</v>
      </c>
      <c r="G409" t="str">
        <f t="shared" si="25"/>
        <v>Other</v>
      </c>
      <c r="H409">
        <v>18</v>
      </c>
      <c r="I409">
        <v>1459</v>
      </c>
      <c r="J409">
        <v>4</v>
      </c>
      <c r="K409" t="s">
        <v>46</v>
      </c>
      <c r="L409" t="s">
        <v>237</v>
      </c>
      <c r="M409" t="s">
        <v>339</v>
      </c>
      <c r="N409" t="s">
        <v>259</v>
      </c>
      <c r="P409" t="s">
        <v>244</v>
      </c>
      <c r="Q409" t="s">
        <v>241</v>
      </c>
      <c r="R409">
        <v>18</v>
      </c>
      <c r="T409">
        <v>403</v>
      </c>
      <c r="U409" t="s">
        <v>1052</v>
      </c>
      <c r="V409" s="7">
        <v>129.9900055</v>
      </c>
      <c r="W409" s="7">
        <v>110.80340837177086</v>
      </c>
      <c r="X409">
        <v>1</v>
      </c>
      <c r="Y409" s="7">
        <v>5.1999998090000004</v>
      </c>
      <c r="Z409" s="7">
        <v>129.9900055</v>
      </c>
      <c r="AA409" s="7">
        <f t="shared" si="26"/>
        <v>124.79000569099999</v>
      </c>
      <c r="AB409" t="s">
        <v>45</v>
      </c>
      <c r="AC409" t="str">
        <f t="shared" si="27"/>
        <v>Non-Cash Payments</v>
      </c>
    </row>
    <row r="410" spans="1:29" x14ac:dyDescent="0.25">
      <c r="A410">
        <v>16998</v>
      </c>
      <c r="B410" s="2">
        <v>42164</v>
      </c>
      <c r="C410">
        <v>2</v>
      </c>
      <c r="D410" s="2">
        <f t="shared" si="24"/>
        <v>42166</v>
      </c>
      <c r="E410">
        <v>1</v>
      </c>
      <c r="F410" t="s">
        <v>23</v>
      </c>
      <c r="G410" t="str">
        <f t="shared" si="25"/>
        <v>Other</v>
      </c>
      <c r="H410">
        <v>18</v>
      </c>
      <c r="I410">
        <v>548</v>
      </c>
      <c r="J410">
        <v>4</v>
      </c>
      <c r="K410" t="s">
        <v>46</v>
      </c>
      <c r="L410" t="s">
        <v>237</v>
      </c>
      <c r="M410" t="s">
        <v>311</v>
      </c>
      <c r="N410" t="s">
        <v>312</v>
      </c>
      <c r="P410" t="s">
        <v>248</v>
      </c>
      <c r="Q410" t="s">
        <v>241</v>
      </c>
      <c r="R410">
        <v>18</v>
      </c>
      <c r="T410">
        <v>403</v>
      </c>
      <c r="U410" t="s">
        <v>1052</v>
      </c>
      <c r="V410" s="7">
        <v>129.9900055</v>
      </c>
      <c r="W410" s="7">
        <v>110.80340837177086</v>
      </c>
      <c r="X410">
        <v>1</v>
      </c>
      <c r="Y410" s="7">
        <v>5.1999998090000004</v>
      </c>
      <c r="Z410" s="7">
        <v>129.9900055</v>
      </c>
      <c r="AA410" s="7">
        <f t="shared" si="26"/>
        <v>124.79000569099999</v>
      </c>
      <c r="AB410" t="s">
        <v>45</v>
      </c>
      <c r="AC410" t="str">
        <f t="shared" si="27"/>
        <v>Non-Cash Payments</v>
      </c>
    </row>
    <row r="411" spans="1:29" x14ac:dyDescent="0.25">
      <c r="A411">
        <v>13970</v>
      </c>
      <c r="B411" s="2">
        <v>42208</v>
      </c>
      <c r="C411">
        <v>2</v>
      </c>
      <c r="D411" s="2">
        <f t="shared" si="24"/>
        <v>42212</v>
      </c>
      <c r="E411">
        <v>1</v>
      </c>
      <c r="F411" t="s">
        <v>23</v>
      </c>
      <c r="G411" t="str">
        <f t="shared" si="25"/>
        <v>Other</v>
      </c>
      <c r="H411">
        <v>18</v>
      </c>
      <c r="I411">
        <v>5224</v>
      </c>
      <c r="J411">
        <v>4</v>
      </c>
      <c r="K411" t="s">
        <v>46</v>
      </c>
      <c r="L411" t="s">
        <v>237</v>
      </c>
      <c r="M411" t="s">
        <v>386</v>
      </c>
      <c r="N411" t="s">
        <v>255</v>
      </c>
      <c r="P411" t="s">
        <v>244</v>
      </c>
      <c r="Q411" t="s">
        <v>241</v>
      </c>
      <c r="R411">
        <v>18</v>
      </c>
      <c r="T411">
        <v>403</v>
      </c>
      <c r="U411" t="s">
        <v>1052</v>
      </c>
      <c r="V411" s="7">
        <v>129.9900055</v>
      </c>
      <c r="W411" s="7">
        <v>110.80340837177086</v>
      </c>
      <c r="X411">
        <v>1</v>
      </c>
      <c r="Y411" s="7">
        <v>5.1999998090000004</v>
      </c>
      <c r="Z411" s="7">
        <v>129.9900055</v>
      </c>
      <c r="AA411" s="7">
        <f t="shared" si="26"/>
        <v>124.79000569099999</v>
      </c>
      <c r="AB411" t="s">
        <v>45</v>
      </c>
      <c r="AC411" t="str">
        <f t="shared" si="27"/>
        <v>Non-Cash Payments</v>
      </c>
    </row>
    <row r="412" spans="1:29" x14ac:dyDescent="0.25">
      <c r="A412">
        <v>10990</v>
      </c>
      <c r="B412" s="2">
        <v>42283</v>
      </c>
      <c r="C412">
        <v>2</v>
      </c>
      <c r="D412" s="2">
        <f t="shared" si="24"/>
        <v>42285</v>
      </c>
      <c r="E412">
        <v>1</v>
      </c>
      <c r="F412" t="s">
        <v>23</v>
      </c>
      <c r="G412" t="str">
        <f t="shared" si="25"/>
        <v>Other</v>
      </c>
      <c r="H412">
        <v>18</v>
      </c>
      <c r="I412">
        <v>6588</v>
      </c>
      <c r="J412">
        <v>4</v>
      </c>
      <c r="K412" t="s">
        <v>46</v>
      </c>
      <c r="L412" t="s">
        <v>237</v>
      </c>
      <c r="M412" t="s">
        <v>355</v>
      </c>
      <c r="N412" t="s">
        <v>355</v>
      </c>
      <c r="P412" t="s">
        <v>240</v>
      </c>
      <c r="Q412" t="s">
        <v>241</v>
      </c>
      <c r="R412">
        <v>18</v>
      </c>
      <c r="T412">
        <v>403</v>
      </c>
      <c r="U412" t="s">
        <v>1052</v>
      </c>
      <c r="V412" s="7">
        <v>129.9900055</v>
      </c>
      <c r="W412" s="7">
        <v>110.80340837177086</v>
      </c>
      <c r="X412">
        <v>1</v>
      </c>
      <c r="Y412" s="7">
        <v>5.1999998090000004</v>
      </c>
      <c r="Z412" s="7">
        <v>129.9900055</v>
      </c>
      <c r="AA412" s="7">
        <f t="shared" si="26"/>
        <v>124.79000569099999</v>
      </c>
      <c r="AB412" t="s">
        <v>45</v>
      </c>
      <c r="AC412" t="str">
        <f t="shared" si="27"/>
        <v>Non-Cash Payments</v>
      </c>
    </row>
    <row r="413" spans="1:29" x14ac:dyDescent="0.25">
      <c r="A413">
        <v>13614</v>
      </c>
      <c r="B413" s="2">
        <v>42203</v>
      </c>
      <c r="C413">
        <v>2</v>
      </c>
      <c r="D413" s="2">
        <f t="shared" si="24"/>
        <v>42206</v>
      </c>
      <c r="E413">
        <v>1</v>
      </c>
      <c r="F413" t="s">
        <v>23</v>
      </c>
      <c r="G413" t="str">
        <f t="shared" si="25"/>
        <v>Other</v>
      </c>
      <c r="H413">
        <v>17</v>
      </c>
      <c r="I413">
        <v>2686</v>
      </c>
      <c r="J413">
        <v>4</v>
      </c>
      <c r="K413" t="s">
        <v>46</v>
      </c>
      <c r="L413" t="s">
        <v>237</v>
      </c>
      <c r="M413" t="s">
        <v>387</v>
      </c>
      <c r="N413" t="s">
        <v>357</v>
      </c>
      <c r="P413" t="s">
        <v>248</v>
      </c>
      <c r="Q413" t="s">
        <v>241</v>
      </c>
      <c r="R413">
        <v>17</v>
      </c>
      <c r="T413">
        <v>365</v>
      </c>
      <c r="U413" t="s">
        <v>1054</v>
      </c>
      <c r="V413" s="7">
        <v>59.990001679999999</v>
      </c>
      <c r="W413" s="7">
        <v>54.488929209402009</v>
      </c>
      <c r="X413">
        <v>1</v>
      </c>
      <c r="Y413" s="7">
        <v>3</v>
      </c>
      <c r="Z413" s="7">
        <v>59.990001679999999</v>
      </c>
      <c r="AA413" s="7">
        <f t="shared" si="26"/>
        <v>56.990001679999999</v>
      </c>
      <c r="AB413" t="s">
        <v>45</v>
      </c>
      <c r="AC413" t="str">
        <f t="shared" si="27"/>
        <v>Non-Cash Payments</v>
      </c>
    </row>
    <row r="414" spans="1:29" x14ac:dyDescent="0.25">
      <c r="A414">
        <v>44388</v>
      </c>
      <c r="B414" s="2">
        <v>42623</v>
      </c>
      <c r="C414">
        <v>2</v>
      </c>
      <c r="D414" s="2">
        <f t="shared" si="24"/>
        <v>42626</v>
      </c>
      <c r="E414">
        <v>1</v>
      </c>
      <c r="F414" t="s">
        <v>23</v>
      </c>
      <c r="G414" t="str">
        <f t="shared" si="25"/>
        <v>Other</v>
      </c>
      <c r="H414">
        <v>18</v>
      </c>
      <c r="I414">
        <v>468</v>
      </c>
      <c r="J414">
        <v>4</v>
      </c>
      <c r="K414" t="s">
        <v>46</v>
      </c>
      <c r="L414" t="s">
        <v>237</v>
      </c>
      <c r="M414" t="s">
        <v>388</v>
      </c>
      <c r="N414" t="s">
        <v>388</v>
      </c>
      <c r="P414" t="s">
        <v>335</v>
      </c>
      <c r="Q414" t="s">
        <v>320</v>
      </c>
      <c r="R414">
        <v>18</v>
      </c>
      <c r="T414">
        <v>403</v>
      </c>
      <c r="U414" t="s">
        <v>1052</v>
      </c>
      <c r="V414" s="7">
        <v>129.9900055</v>
      </c>
      <c r="W414" s="7">
        <v>110.80340837177086</v>
      </c>
      <c r="X414">
        <v>1</v>
      </c>
      <c r="Y414" s="7">
        <v>7.1500000950000002</v>
      </c>
      <c r="Z414" s="7">
        <v>129.9900055</v>
      </c>
      <c r="AA414" s="7">
        <f t="shared" si="26"/>
        <v>122.840005405</v>
      </c>
      <c r="AB414" t="s">
        <v>45</v>
      </c>
      <c r="AC414" t="str">
        <f t="shared" si="27"/>
        <v>Non-Cash Payments</v>
      </c>
    </row>
    <row r="415" spans="1:29" x14ac:dyDescent="0.25">
      <c r="A415">
        <v>13050</v>
      </c>
      <c r="B415" s="2">
        <v>42284</v>
      </c>
      <c r="C415">
        <v>2</v>
      </c>
      <c r="D415" s="2">
        <f t="shared" si="24"/>
        <v>42286</v>
      </c>
      <c r="E415">
        <v>1</v>
      </c>
      <c r="F415" t="s">
        <v>23</v>
      </c>
      <c r="G415" t="str">
        <f t="shared" si="25"/>
        <v>Other</v>
      </c>
      <c r="H415">
        <v>17</v>
      </c>
      <c r="I415">
        <v>8456</v>
      </c>
      <c r="J415">
        <v>4</v>
      </c>
      <c r="K415" t="s">
        <v>46</v>
      </c>
      <c r="L415" t="s">
        <v>237</v>
      </c>
      <c r="M415" t="s">
        <v>306</v>
      </c>
      <c r="N415" t="s">
        <v>306</v>
      </c>
      <c r="P415" t="s">
        <v>307</v>
      </c>
      <c r="Q415" t="s">
        <v>252</v>
      </c>
      <c r="R415">
        <v>17</v>
      </c>
      <c r="T415">
        <v>365</v>
      </c>
      <c r="U415" t="s">
        <v>1054</v>
      </c>
      <c r="V415" s="7">
        <v>59.990001679999999</v>
      </c>
      <c r="W415" s="7">
        <v>54.488929209402009</v>
      </c>
      <c r="X415">
        <v>1</v>
      </c>
      <c r="Y415" s="7">
        <v>3.2999999519999998</v>
      </c>
      <c r="Z415" s="7">
        <v>59.990001679999999</v>
      </c>
      <c r="AA415" s="7">
        <f t="shared" si="26"/>
        <v>56.690001727999999</v>
      </c>
      <c r="AB415" t="s">
        <v>45</v>
      </c>
      <c r="AC415" t="str">
        <f t="shared" si="27"/>
        <v>Non-Cash Payments</v>
      </c>
    </row>
    <row r="416" spans="1:29" x14ac:dyDescent="0.25">
      <c r="A416">
        <v>12613</v>
      </c>
      <c r="B416" s="2">
        <v>42101</v>
      </c>
      <c r="C416">
        <v>2</v>
      </c>
      <c r="D416" s="2">
        <f t="shared" si="24"/>
        <v>42103</v>
      </c>
      <c r="E416">
        <v>1</v>
      </c>
      <c r="F416" t="s">
        <v>23</v>
      </c>
      <c r="G416" t="str">
        <f t="shared" si="25"/>
        <v>Other</v>
      </c>
      <c r="H416">
        <v>18</v>
      </c>
      <c r="I416">
        <v>1260</v>
      </c>
      <c r="J416">
        <v>4</v>
      </c>
      <c r="K416" t="s">
        <v>46</v>
      </c>
      <c r="L416" t="s">
        <v>237</v>
      </c>
      <c r="M416" t="s">
        <v>389</v>
      </c>
      <c r="N416" t="s">
        <v>389</v>
      </c>
      <c r="P416" t="s">
        <v>390</v>
      </c>
      <c r="Q416" t="s">
        <v>252</v>
      </c>
      <c r="R416">
        <v>18</v>
      </c>
      <c r="T416">
        <v>403</v>
      </c>
      <c r="U416" t="s">
        <v>1052</v>
      </c>
      <c r="V416" s="7">
        <v>129.9900055</v>
      </c>
      <c r="W416" s="7">
        <v>110.80340837177086</v>
      </c>
      <c r="X416">
        <v>1</v>
      </c>
      <c r="Y416" s="7">
        <v>7.1500000950000002</v>
      </c>
      <c r="Z416" s="7">
        <v>129.9900055</v>
      </c>
      <c r="AA416" s="7">
        <f t="shared" si="26"/>
        <v>122.840005405</v>
      </c>
      <c r="AB416" t="s">
        <v>45</v>
      </c>
      <c r="AC416" t="str">
        <f t="shared" si="27"/>
        <v>Non-Cash Payments</v>
      </c>
    </row>
    <row r="417" spans="1:29" x14ac:dyDescent="0.25">
      <c r="A417">
        <v>66587</v>
      </c>
      <c r="B417" s="2">
        <v>42977</v>
      </c>
      <c r="C417">
        <v>2</v>
      </c>
      <c r="D417" s="2">
        <f t="shared" si="24"/>
        <v>42979</v>
      </c>
      <c r="E417">
        <v>1</v>
      </c>
      <c r="F417" t="s">
        <v>23</v>
      </c>
      <c r="G417" t="str">
        <f t="shared" si="25"/>
        <v>Other</v>
      </c>
      <c r="H417">
        <v>18</v>
      </c>
      <c r="I417">
        <v>3050</v>
      </c>
      <c r="J417">
        <v>4</v>
      </c>
      <c r="K417" t="s">
        <v>46</v>
      </c>
      <c r="L417" t="s">
        <v>237</v>
      </c>
      <c r="M417" t="s">
        <v>282</v>
      </c>
      <c r="N417" t="s">
        <v>282</v>
      </c>
      <c r="P417" t="s">
        <v>283</v>
      </c>
      <c r="Q417" t="s">
        <v>264</v>
      </c>
      <c r="R417">
        <v>18</v>
      </c>
      <c r="T417">
        <v>403</v>
      </c>
      <c r="U417" t="s">
        <v>1052</v>
      </c>
      <c r="V417" s="7">
        <v>129.9900055</v>
      </c>
      <c r="W417" s="7">
        <v>110.80340837177086</v>
      </c>
      <c r="X417">
        <v>1</v>
      </c>
      <c r="Y417" s="7">
        <v>7.1500000950000002</v>
      </c>
      <c r="Z417" s="7">
        <v>129.9900055</v>
      </c>
      <c r="AA417" s="7">
        <f t="shared" si="26"/>
        <v>122.840005405</v>
      </c>
      <c r="AB417" t="s">
        <v>45</v>
      </c>
      <c r="AC417" t="str">
        <f t="shared" si="27"/>
        <v>Non-Cash Payments</v>
      </c>
    </row>
    <row r="418" spans="1:29" x14ac:dyDescent="0.25">
      <c r="A418">
        <v>62795</v>
      </c>
      <c r="B418" s="2">
        <v>42862</v>
      </c>
      <c r="C418">
        <v>2</v>
      </c>
      <c r="D418" s="2">
        <f t="shared" si="24"/>
        <v>42864</v>
      </c>
      <c r="E418">
        <v>1</v>
      </c>
      <c r="F418" t="s">
        <v>23</v>
      </c>
      <c r="G418" t="str">
        <f t="shared" si="25"/>
        <v>Other</v>
      </c>
      <c r="H418">
        <v>18</v>
      </c>
      <c r="I418">
        <v>10308</v>
      </c>
      <c r="J418">
        <v>4</v>
      </c>
      <c r="K418" t="s">
        <v>46</v>
      </c>
      <c r="L418" t="s">
        <v>237</v>
      </c>
      <c r="M418" t="s">
        <v>391</v>
      </c>
      <c r="N418" t="s">
        <v>259</v>
      </c>
      <c r="P418" t="s">
        <v>244</v>
      </c>
      <c r="Q418" t="s">
        <v>241</v>
      </c>
      <c r="R418">
        <v>18</v>
      </c>
      <c r="T418">
        <v>403</v>
      </c>
      <c r="U418" t="s">
        <v>1052</v>
      </c>
      <c r="V418" s="7">
        <v>129.9900055</v>
      </c>
      <c r="W418" s="7">
        <v>110.80340837177086</v>
      </c>
      <c r="X418">
        <v>1</v>
      </c>
      <c r="Y418" s="7">
        <v>7.1500000950000002</v>
      </c>
      <c r="Z418" s="7">
        <v>129.9900055</v>
      </c>
      <c r="AA418" s="7">
        <f t="shared" si="26"/>
        <v>122.840005405</v>
      </c>
      <c r="AB418" t="s">
        <v>45</v>
      </c>
      <c r="AC418" t="str">
        <f t="shared" si="27"/>
        <v>Non-Cash Payments</v>
      </c>
    </row>
    <row r="419" spans="1:29" x14ac:dyDescent="0.25">
      <c r="A419">
        <v>18950</v>
      </c>
      <c r="B419" s="2">
        <v>42104</v>
      </c>
      <c r="C419">
        <v>2</v>
      </c>
      <c r="D419" s="2">
        <f t="shared" si="24"/>
        <v>42108</v>
      </c>
      <c r="E419">
        <v>1</v>
      </c>
      <c r="F419" t="s">
        <v>23</v>
      </c>
      <c r="G419" t="str">
        <f t="shared" si="25"/>
        <v>Other</v>
      </c>
      <c r="H419">
        <v>18</v>
      </c>
      <c r="I419">
        <v>6428</v>
      </c>
      <c r="J419">
        <v>4</v>
      </c>
      <c r="K419" t="s">
        <v>46</v>
      </c>
      <c r="L419" t="s">
        <v>237</v>
      </c>
      <c r="M419" t="s">
        <v>392</v>
      </c>
      <c r="N419" t="s">
        <v>322</v>
      </c>
      <c r="P419" t="s">
        <v>244</v>
      </c>
      <c r="Q419" t="s">
        <v>241</v>
      </c>
      <c r="R419">
        <v>18</v>
      </c>
      <c r="T419">
        <v>403</v>
      </c>
      <c r="U419" t="s">
        <v>1052</v>
      </c>
      <c r="V419" s="7">
        <v>129.9900055</v>
      </c>
      <c r="W419" s="7">
        <v>110.80340837177086</v>
      </c>
      <c r="X419">
        <v>1</v>
      </c>
      <c r="Y419" s="7">
        <v>7.1500000950000002</v>
      </c>
      <c r="Z419" s="7">
        <v>129.9900055</v>
      </c>
      <c r="AA419" s="7">
        <f t="shared" si="26"/>
        <v>122.840005405</v>
      </c>
      <c r="AB419" t="s">
        <v>45</v>
      </c>
      <c r="AC419" t="str">
        <f t="shared" si="27"/>
        <v>Non-Cash Payments</v>
      </c>
    </row>
    <row r="420" spans="1:29" x14ac:dyDescent="0.25">
      <c r="A420">
        <v>19610</v>
      </c>
      <c r="B420" s="2">
        <v>42291</v>
      </c>
      <c r="C420">
        <v>2</v>
      </c>
      <c r="D420" s="2">
        <f t="shared" si="24"/>
        <v>42293</v>
      </c>
      <c r="E420">
        <v>1</v>
      </c>
      <c r="F420" t="s">
        <v>23</v>
      </c>
      <c r="G420" t="str">
        <f t="shared" si="25"/>
        <v>Other</v>
      </c>
      <c r="H420">
        <v>18</v>
      </c>
      <c r="I420">
        <v>387</v>
      </c>
      <c r="J420">
        <v>4</v>
      </c>
      <c r="K420" t="s">
        <v>46</v>
      </c>
      <c r="L420" t="s">
        <v>237</v>
      </c>
      <c r="M420" t="s">
        <v>393</v>
      </c>
      <c r="N420" t="s">
        <v>394</v>
      </c>
      <c r="P420" t="s">
        <v>263</v>
      </c>
      <c r="Q420" t="s">
        <v>264</v>
      </c>
      <c r="R420">
        <v>18</v>
      </c>
      <c r="T420">
        <v>403</v>
      </c>
      <c r="U420" t="s">
        <v>1052</v>
      </c>
      <c r="V420" s="7">
        <v>129.9900055</v>
      </c>
      <c r="W420" s="7">
        <v>110.80340837177086</v>
      </c>
      <c r="X420">
        <v>1</v>
      </c>
      <c r="Y420" s="7">
        <v>9.1000003809999992</v>
      </c>
      <c r="Z420" s="7">
        <v>129.9900055</v>
      </c>
      <c r="AA420" s="7">
        <f t="shared" si="26"/>
        <v>120.89000511899999</v>
      </c>
      <c r="AB420" t="s">
        <v>45</v>
      </c>
      <c r="AC420" t="str">
        <f t="shared" si="27"/>
        <v>Non-Cash Payments</v>
      </c>
    </row>
    <row r="421" spans="1:29" x14ac:dyDescent="0.25">
      <c r="A421">
        <v>65011</v>
      </c>
      <c r="B421" s="2">
        <v>42894</v>
      </c>
      <c r="C421">
        <v>2</v>
      </c>
      <c r="D421" s="2">
        <f t="shared" si="24"/>
        <v>42898</v>
      </c>
      <c r="E421">
        <v>0</v>
      </c>
      <c r="F421" t="s">
        <v>23</v>
      </c>
      <c r="G421" t="str">
        <f t="shared" si="25"/>
        <v>Other</v>
      </c>
      <c r="H421">
        <v>18</v>
      </c>
      <c r="I421">
        <v>2270</v>
      </c>
      <c r="J421">
        <v>4</v>
      </c>
      <c r="K421" t="s">
        <v>46</v>
      </c>
      <c r="L421" t="s">
        <v>237</v>
      </c>
      <c r="M421" t="s">
        <v>395</v>
      </c>
      <c r="N421" t="s">
        <v>396</v>
      </c>
      <c r="P421" t="s">
        <v>240</v>
      </c>
      <c r="Q421" t="s">
        <v>241</v>
      </c>
      <c r="R421">
        <v>18</v>
      </c>
      <c r="T421">
        <v>403</v>
      </c>
      <c r="U421" t="s">
        <v>1052</v>
      </c>
      <c r="V421" s="7">
        <v>129.9900055</v>
      </c>
      <c r="W421" s="7">
        <v>110.80340837177086</v>
      </c>
      <c r="X421">
        <v>1</v>
      </c>
      <c r="Y421" s="7">
        <v>9.1000003809999992</v>
      </c>
      <c r="Z421" s="7">
        <v>129.9900055</v>
      </c>
      <c r="AA421" s="7">
        <f t="shared" si="26"/>
        <v>120.89000511899999</v>
      </c>
      <c r="AB421" t="s">
        <v>45</v>
      </c>
      <c r="AC421" t="str">
        <f t="shared" si="27"/>
        <v>Non-Cash Payments</v>
      </c>
    </row>
    <row r="422" spans="1:29" x14ac:dyDescent="0.25">
      <c r="A422">
        <v>19380</v>
      </c>
      <c r="B422" s="2">
        <v>42287</v>
      </c>
      <c r="C422">
        <v>2</v>
      </c>
      <c r="D422" s="2">
        <f t="shared" si="24"/>
        <v>42290</v>
      </c>
      <c r="E422">
        <v>1</v>
      </c>
      <c r="F422" t="s">
        <v>23</v>
      </c>
      <c r="G422" t="str">
        <f t="shared" si="25"/>
        <v>Other</v>
      </c>
      <c r="H422">
        <v>18</v>
      </c>
      <c r="I422">
        <v>482</v>
      </c>
      <c r="J422">
        <v>4</v>
      </c>
      <c r="K422" t="s">
        <v>46</v>
      </c>
      <c r="L422" t="s">
        <v>237</v>
      </c>
      <c r="M422" t="s">
        <v>397</v>
      </c>
      <c r="N422" t="s">
        <v>243</v>
      </c>
      <c r="P422" t="s">
        <v>244</v>
      </c>
      <c r="Q422" t="s">
        <v>241</v>
      </c>
      <c r="R422">
        <v>18</v>
      </c>
      <c r="T422">
        <v>403</v>
      </c>
      <c r="U422" t="s">
        <v>1052</v>
      </c>
      <c r="V422" s="7">
        <v>129.9900055</v>
      </c>
      <c r="W422" s="7">
        <v>110.80340837177086</v>
      </c>
      <c r="X422">
        <v>1</v>
      </c>
      <c r="Y422" s="7">
        <v>9.1000003809999992</v>
      </c>
      <c r="Z422" s="7">
        <v>129.9900055</v>
      </c>
      <c r="AA422" s="7">
        <f t="shared" si="26"/>
        <v>120.89000511899999</v>
      </c>
      <c r="AB422" t="s">
        <v>45</v>
      </c>
      <c r="AC422" t="str">
        <f t="shared" si="27"/>
        <v>Non-Cash Payments</v>
      </c>
    </row>
    <row r="423" spans="1:29" x14ac:dyDescent="0.25">
      <c r="A423">
        <v>65005</v>
      </c>
      <c r="B423" s="2">
        <v>42894</v>
      </c>
      <c r="C423">
        <v>2</v>
      </c>
      <c r="D423" s="2">
        <f t="shared" si="24"/>
        <v>42898</v>
      </c>
      <c r="E423">
        <v>1</v>
      </c>
      <c r="F423" t="s">
        <v>23</v>
      </c>
      <c r="G423" t="str">
        <f t="shared" si="25"/>
        <v>Other</v>
      </c>
      <c r="H423">
        <v>18</v>
      </c>
      <c r="I423">
        <v>1956</v>
      </c>
      <c r="J423">
        <v>4</v>
      </c>
      <c r="K423" t="s">
        <v>46</v>
      </c>
      <c r="L423" t="s">
        <v>237</v>
      </c>
      <c r="M423" t="s">
        <v>398</v>
      </c>
      <c r="N423" t="s">
        <v>250</v>
      </c>
      <c r="P423" t="s">
        <v>251</v>
      </c>
      <c r="Q423" t="s">
        <v>252</v>
      </c>
      <c r="R423">
        <v>18</v>
      </c>
      <c r="T423">
        <v>403</v>
      </c>
      <c r="U423" t="s">
        <v>1052</v>
      </c>
      <c r="V423" s="7">
        <v>129.9900055</v>
      </c>
      <c r="W423" s="7">
        <v>110.80340837177086</v>
      </c>
      <c r="X423">
        <v>1</v>
      </c>
      <c r="Y423" s="7">
        <v>11.69999981</v>
      </c>
      <c r="Z423" s="7">
        <v>129.9900055</v>
      </c>
      <c r="AA423" s="7">
        <f t="shared" si="26"/>
        <v>118.29000569</v>
      </c>
      <c r="AB423" t="s">
        <v>45</v>
      </c>
      <c r="AC423" t="str">
        <f t="shared" si="27"/>
        <v>Non-Cash Payments</v>
      </c>
    </row>
    <row r="424" spans="1:29" x14ac:dyDescent="0.25">
      <c r="A424">
        <v>20085</v>
      </c>
      <c r="B424" s="2">
        <v>42298</v>
      </c>
      <c r="C424">
        <v>2</v>
      </c>
      <c r="D424" s="2">
        <f t="shared" si="24"/>
        <v>42300</v>
      </c>
      <c r="E424">
        <v>1</v>
      </c>
      <c r="F424" t="s">
        <v>23</v>
      </c>
      <c r="G424" t="str">
        <f t="shared" si="25"/>
        <v>Other</v>
      </c>
      <c r="H424">
        <v>18</v>
      </c>
      <c r="I424">
        <v>7466</v>
      </c>
      <c r="J424">
        <v>4</v>
      </c>
      <c r="K424" t="s">
        <v>46</v>
      </c>
      <c r="L424" t="s">
        <v>237</v>
      </c>
      <c r="M424" t="s">
        <v>399</v>
      </c>
      <c r="N424" t="s">
        <v>250</v>
      </c>
      <c r="P424" t="s">
        <v>251</v>
      </c>
      <c r="Q424" t="s">
        <v>252</v>
      </c>
      <c r="R424">
        <v>18</v>
      </c>
      <c r="T424">
        <v>403</v>
      </c>
      <c r="U424" t="s">
        <v>1052</v>
      </c>
      <c r="V424" s="7">
        <v>129.9900055</v>
      </c>
      <c r="W424" s="7">
        <v>110.80340837177086</v>
      </c>
      <c r="X424">
        <v>1</v>
      </c>
      <c r="Y424" s="7">
        <v>11.69999981</v>
      </c>
      <c r="Z424" s="7">
        <v>129.9900055</v>
      </c>
      <c r="AA424" s="7">
        <f t="shared" si="26"/>
        <v>118.29000569</v>
      </c>
      <c r="AB424" t="s">
        <v>45</v>
      </c>
      <c r="AC424" t="str">
        <f t="shared" si="27"/>
        <v>Non-Cash Payments</v>
      </c>
    </row>
    <row r="425" spans="1:29" x14ac:dyDescent="0.25">
      <c r="A425">
        <v>18245</v>
      </c>
      <c r="B425" s="2">
        <v>42271</v>
      </c>
      <c r="C425">
        <v>2</v>
      </c>
      <c r="D425" s="2">
        <f t="shared" si="24"/>
        <v>42275</v>
      </c>
      <c r="E425">
        <v>1</v>
      </c>
      <c r="F425" t="s">
        <v>23</v>
      </c>
      <c r="G425" t="str">
        <f t="shared" si="25"/>
        <v>Other</v>
      </c>
      <c r="H425">
        <v>18</v>
      </c>
      <c r="I425">
        <v>8224</v>
      </c>
      <c r="J425">
        <v>4</v>
      </c>
      <c r="K425" t="s">
        <v>46</v>
      </c>
      <c r="L425" t="s">
        <v>237</v>
      </c>
      <c r="M425" t="s">
        <v>400</v>
      </c>
      <c r="N425" t="s">
        <v>250</v>
      </c>
      <c r="P425" t="s">
        <v>251</v>
      </c>
      <c r="Q425" t="s">
        <v>252</v>
      </c>
      <c r="R425">
        <v>18</v>
      </c>
      <c r="T425">
        <v>403</v>
      </c>
      <c r="U425" t="s">
        <v>1052</v>
      </c>
      <c r="V425" s="7">
        <v>129.9900055</v>
      </c>
      <c r="W425" s="7">
        <v>110.80340837177086</v>
      </c>
      <c r="X425">
        <v>1</v>
      </c>
      <c r="Y425" s="7">
        <v>11.69999981</v>
      </c>
      <c r="Z425" s="7">
        <v>129.9900055</v>
      </c>
      <c r="AA425" s="7">
        <f t="shared" si="26"/>
        <v>118.29000569</v>
      </c>
      <c r="AB425" t="s">
        <v>45</v>
      </c>
      <c r="AC425" t="str">
        <f t="shared" si="27"/>
        <v>Non-Cash Payments</v>
      </c>
    </row>
    <row r="426" spans="1:29" x14ac:dyDescent="0.25">
      <c r="A426">
        <v>17810</v>
      </c>
      <c r="B426" s="2">
        <v>42264</v>
      </c>
      <c r="C426">
        <v>2</v>
      </c>
      <c r="D426" s="2">
        <f t="shared" si="24"/>
        <v>42268</v>
      </c>
      <c r="E426">
        <v>1</v>
      </c>
      <c r="F426" t="s">
        <v>23</v>
      </c>
      <c r="G426" t="str">
        <f t="shared" si="25"/>
        <v>Other</v>
      </c>
      <c r="H426">
        <v>18</v>
      </c>
      <c r="I426">
        <v>6365</v>
      </c>
      <c r="J426">
        <v>4</v>
      </c>
      <c r="K426" t="s">
        <v>46</v>
      </c>
      <c r="L426" t="s">
        <v>237</v>
      </c>
      <c r="M426" t="s">
        <v>306</v>
      </c>
      <c r="N426" t="s">
        <v>306</v>
      </c>
      <c r="P426" t="s">
        <v>307</v>
      </c>
      <c r="Q426" t="s">
        <v>252</v>
      </c>
      <c r="R426">
        <v>18</v>
      </c>
      <c r="T426">
        <v>403</v>
      </c>
      <c r="U426" t="s">
        <v>1052</v>
      </c>
      <c r="V426" s="7">
        <v>129.9900055</v>
      </c>
      <c r="W426" s="7">
        <v>110.80340837177086</v>
      </c>
      <c r="X426">
        <v>1</v>
      </c>
      <c r="Y426" s="7">
        <v>11.69999981</v>
      </c>
      <c r="Z426" s="7">
        <v>129.9900055</v>
      </c>
      <c r="AA426" s="7">
        <f t="shared" si="26"/>
        <v>118.29000569</v>
      </c>
      <c r="AB426" t="s">
        <v>45</v>
      </c>
      <c r="AC426" t="str">
        <f t="shared" si="27"/>
        <v>Non-Cash Payments</v>
      </c>
    </row>
    <row r="427" spans="1:29" x14ac:dyDescent="0.25">
      <c r="A427">
        <v>19817</v>
      </c>
      <c r="B427" s="2">
        <v>42294</v>
      </c>
      <c r="C427">
        <v>2</v>
      </c>
      <c r="D427" s="2">
        <f t="shared" si="24"/>
        <v>42297</v>
      </c>
      <c r="E427">
        <v>1</v>
      </c>
      <c r="F427" t="s">
        <v>23</v>
      </c>
      <c r="G427" t="str">
        <f t="shared" si="25"/>
        <v>Other</v>
      </c>
      <c r="H427">
        <v>18</v>
      </c>
      <c r="I427">
        <v>3490</v>
      </c>
      <c r="J427">
        <v>4</v>
      </c>
      <c r="K427" t="s">
        <v>46</v>
      </c>
      <c r="L427" t="s">
        <v>237</v>
      </c>
      <c r="M427" t="s">
        <v>401</v>
      </c>
      <c r="N427" t="s">
        <v>286</v>
      </c>
      <c r="P427" t="s">
        <v>283</v>
      </c>
      <c r="Q427" t="s">
        <v>264</v>
      </c>
      <c r="R427">
        <v>18</v>
      </c>
      <c r="T427">
        <v>403</v>
      </c>
      <c r="U427" t="s">
        <v>1052</v>
      </c>
      <c r="V427" s="7">
        <v>129.9900055</v>
      </c>
      <c r="W427" s="7">
        <v>110.80340837177086</v>
      </c>
      <c r="X427">
        <v>1</v>
      </c>
      <c r="Y427" s="7">
        <v>11.69999981</v>
      </c>
      <c r="Z427" s="7">
        <v>129.9900055</v>
      </c>
      <c r="AA427" s="7">
        <f t="shared" si="26"/>
        <v>118.29000569</v>
      </c>
      <c r="AB427" t="s">
        <v>45</v>
      </c>
      <c r="AC427" t="str">
        <f t="shared" si="27"/>
        <v>Non-Cash Payments</v>
      </c>
    </row>
    <row r="428" spans="1:29" x14ac:dyDescent="0.25">
      <c r="A428">
        <v>10444</v>
      </c>
      <c r="B428" s="2">
        <v>42041</v>
      </c>
      <c r="C428">
        <v>2</v>
      </c>
      <c r="D428" s="2">
        <f t="shared" si="24"/>
        <v>42045</v>
      </c>
      <c r="E428">
        <v>1</v>
      </c>
      <c r="F428" t="s">
        <v>23</v>
      </c>
      <c r="G428" t="str">
        <f t="shared" si="25"/>
        <v>Other</v>
      </c>
      <c r="H428">
        <v>18</v>
      </c>
      <c r="I428">
        <v>1596</v>
      </c>
      <c r="J428">
        <v>4</v>
      </c>
      <c r="K428" t="s">
        <v>46</v>
      </c>
      <c r="L428" t="s">
        <v>237</v>
      </c>
      <c r="M428" t="s">
        <v>402</v>
      </c>
      <c r="N428" t="s">
        <v>286</v>
      </c>
      <c r="P428" t="s">
        <v>283</v>
      </c>
      <c r="Q428" t="s">
        <v>264</v>
      </c>
      <c r="R428">
        <v>18</v>
      </c>
      <c r="T428">
        <v>403</v>
      </c>
      <c r="U428" t="s">
        <v>1052</v>
      </c>
      <c r="V428" s="7">
        <v>129.9900055</v>
      </c>
      <c r="W428" s="7">
        <v>110.80340837177086</v>
      </c>
      <c r="X428">
        <v>1</v>
      </c>
      <c r="Y428" s="7">
        <v>11.69999981</v>
      </c>
      <c r="Z428" s="7">
        <v>129.9900055</v>
      </c>
      <c r="AA428" s="7">
        <f t="shared" si="26"/>
        <v>118.29000569</v>
      </c>
      <c r="AB428" t="s">
        <v>45</v>
      </c>
      <c r="AC428" t="str">
        <f t="shared" si="27"/>
        <v>Non-Cash Payments</v>
      </c>
    </row>
    <row r="429" spans="1:29" x14ac:dyDescent="0.25">
      <c r="A429">
        <v>64637</v>
      </c>
      <c r="B429" s="2">
        <v>42743</v>
      </c>
      <c r="C429">
        <v>2</v>
      </c>
      <c r="D429" s="2">
        <f t="shared" si="24"/>
        <v>42745</v>
      </c>
      <c r="E429">
        <v>1</v>
      </c>
      <c r="F429" t="s">
        <v>23</v>
      </c>
      <c r="G429" t="str">
        <f t="shared" si="25"/>
        <v>Other</v>
      </c>
      <c r="H429">
        <v>18</v>
      </c>
      <c r="I429">
        <v>9857</v>
      </c>
      <c r="J429">
        <v>4</v>
      </c>
      <c r="K429" t="s">
        <v>46</v>
      </c>
      <c r="L429" t="s">
        <v>237</v>
      </c>
      <c r="M429" t="s">
        <v>275</v>
      </c>
      <c r="N429" t="s">
        <v>250</v>
      </c>
      <c r="P429" t="s">
        <v>251</v>
      </c>
      <c r="Q429" t="s">
        <v>252</v>
      </c>
      <c r="R429">
        <v>18</v>
      </c>
      <c r="T429">
        <v>403</v>
      </c>
      <c r="U429" t="s">
        <v>1052</v>
      </c>
      <c r="V429" s="7">
        <v>129.9900055</v>
      </c>
      <c r="W429" s="7">
        <v>110.80340837177086</v>
      </c>
      <c r="X429">
        <v>1</v>
      </c>
      <c r="Y429" s="7">
        <v>13</v>
      </c>
      <c r="Z429" s="7">
        <v>129.9900055</v>
      </c>
      <c r="AA429" s="7">
        <f t="shared" si="26"/>
        <v>116.9900055</v>
      </c>
      <c r="AB429" t="s">
        <v>45</v>
      </c>
      <c r="AC429" t="str">
        <f t="shared" si="27"/>
        <v>Non-Cash Payments</v>
      </c>
    </row>
    <row r="430" spans="1:29" x14ac:dyDescent="0.25">
      <c r="A430">
        <v>15269</v>
      </c>
      <c r="B430" s="2">
        <v>42316</v>
      </c>
      <c r="C430">
        <v>2</v>
      </c>
      <c r="D430" s="2">
        <f t="shared" si="24"/>
        <v>42318</v>
      </c>
      <c r="E430">
        <v>1</v>
      </c>
      <c r="F430" t="s">
        <v>23</v>
      </c>
      <c r="G430" t="str">
        <f t="shared" si="25"/>
        <v>Other</v>
      </c>
      <c r="H430">
        <v>18</v>
      </c>
      <c r="I430">
        <v>3969</v>
      </c>
      <c r="J430">
        <v>4</v>
      </c>
      <c r="K430" t="s">
        <v>46</v>
      </c>
      <c r="L430" t="s">
        <v>237</v>
      </c>
      <c r="M430" t="s">
        <v>403</v>
      </c>
      <c r="N430" t="s">
        <v>403</v>
      </c>
      <c r="P430" t="s">
        <v>404</v>
      </c>
      <c r="Q430" t="s">
        <v>252</v>
      </c>
      <c r="R430">
        <v>18</v>
      </c>
      <c r="T430">
        <v>403</v>
      </c>
      <c r="U430" t="s">
        <v>1052</v>
      </c>
      <c r="V430" s="7">
        <v>129.9900055</v>
      </c>
      <c r="W430" s="7">
        <v>110.80340837177086</v>
      </c>
      <c r="X430">
        <v>1</v>
      </c>
      <c r="Y430" s="7">
        <v>13</v>
      </c>
      <c r="Z430" s="7">
        <v>129.9900055</v>
      </c>
      <c r="AA430" s="7">
        <f t="shared" si="26"/>
        <v>116.9900055</v>
      </c>
      <c r="AB430" t="s">
        <v>45</v>
      </c>
      <c r="AC430" t="str">
        <f t="shared" si="27"/>
        <v>Non-Cash Payments</v>
      </c>
    </row>
    <row r="431" spans="1:29" x14ac:dyDescent="0.25">
      <c r="A431">
        <v>14064</v>
      </c>
      <c r="B431" s="2">
        <v>42210</v>
      </c>
      <c r="C431">
        <v>2</v>
      </c>
      <c r="D431" s="2">
        <f t="shared" si="24"/>
        <v>42213</v>
      </c>
      <c r="E431">
        <v>1</v>
      </c>
      <c r="F431" t="s">
        <v>23</v>
      </c>
      <c r="G431" t="str">
        <f t="shared" si="25"/>
        <v>Other</v>
      </c>
      <c r="H431">
        <v>18</v>
      </c>
      <c r="I431">
        <v>9342</v>
      </c>
      <c r="J431">
        <v>4</v>
      </c>
      <c r="K431" t="s">
        <v>46</v>
      </c>
      <c r="L431" t="s">
        <v>237</v>
      </c>
      <c r="M431" t="s">
        <v>310</v>
      </c>
      <c r="N431" t="s">
        <v>250</v>
      </c>
      <c r="P431" t="s">
        <v>251</v>
      </c>
      <c r="Q431" t="s">
        <v>252</v>
      </c>
      <c r="R431">
        <v>18</v>
      </c>
      <c r="T431">
        <v>403</v>
      </c>
      <c r="U431" t="s">
        <v>1052</v>
      </c>
      <c r="V431" s="7">
        <v>129.9900055</v>
      </c>
      <c r="W431" s="7">
        <v>110.80340837177086</v>
      </c>
      <c r="X431">
        <v>1</v>
      </c>
      <c r="Y431" s="7">
        <v>13</v>
      </c>
      <c r="Z431" s="7">
        <v>129.9900055</v>
      </c>
      <c r="AA431" s="7">
        <f t="shared" si="26"/>
        <v>116.9900055</v>
      </c>
      <c r="AB431" t="s">
        <v>45</v>
      </c>
      <c r="AC431" t="str">
        <f t="shared" si="27"/>
        <v>Non-Cash Payments</v>
      </c>
    </row>
    <row r="432" spans="1:29" x14ac:dyDescent="0.25">
      <c r="A432">
        <v>14551</v>
      </c>
      <c r="B432" s="2">
        <v>42012</v>
      </c>
      <c r="C432">
        <v>2</v>
      </c>
      <c r="D432" s="2">
        <f t="shared" si="24"/>
        <v>42016</v>
      </c>
      <c r="E432">
        <v>0</v>
      </c>
      <c r="F432" t="s">
        <v>23</v>
      </c>
      <c r="G432" t="str">
        <f t="shared" si="25"/>
        <v>Other</v>
      </c>
      <c r="H432">
        <v>17</v>
      </c>
      <c r="I432">
        <v>2028</v>
      </c>
      <c r="J432">
        <v>4</v>
      </c>
      <c r="K432" t="s">
        <v>46</v>
      </c>
      <c r="L432" t="s">
        <v>237</v>
      </c>
      <c r="M432" t="s">
        <v>311</v>
      </c>
      <c r="N432" t="s">
        <v>312</v>
      </c>
      <c r="P432" t="s">
        <v>248</v>
      </c>
      <c r="Q432" t="s">
        <v>241</v>
      </c>
      <c r="R432">
        <v>17</v>
      </c>
      <c r="T432">
        <v>365</v>
      </c>
      <c r="U432" t="s">
        <v>1054</v>
      </c>
      <c r="V432" s="7">
        <v>59.990001679999999</v>
      </c>
      <c r="W432" s="7">
        <v>54.488929209402009</v>
      </c>
      <c r="X432">
        <v>1</v>
      </c>
      <c r="Y432" s="7">
        <v>6</v>
      </c>
      <c r="Z432" s="7">
        <v>59.990001679999999</v>
      </c>
      <c r="AA432" s="7">
        <f t="shared" si="26"/>
        <v>53.990001679999999</v>
      </c>
      <c r="AB432" t="s">
        <v>45</v>
      </c>
      <c r="AC432" t="str">
        <f t="shared" si="27"/>
        <v>Non-Cash Payments</v>
      </c>
    </row>
    <row r="433" spans="1:29" x14ac:dyDescent="0.25">
      <c r="A433">
        <v>12698</v>
      </c>
      <c r="B433" s="2">
        <v>42131</v>
      </c>
      <c r="C433">
        <v>2</v>
      </c>
      <c r="D433" s="2">
        <f t="shared" si="24"/>
        <v>42135</v>
      </c>
      <c r="E433">
        <v>1</v>
      </c>
      <c r="F433" t="s">
        <v>23</v>
      </c>
      <c r="G433" t="str">
        <f t="shared" si="25"/>
        <v>Other</v>
      </c>
      <c r="H433">
        <v>17</v>
      </c>
      <c r="I433">
        <v>3940</v>
      </c>
      <c r="J433">
        <v>4</v>
      </c>
      <c r="K433" t="s">
        <v>46</v>
      </c>
      <c r="L433" t="s">
        <v>237</v>
      </c>
      <c r="M433" t="s">
        <v>405</v>
      </c>
      <c r="N433" t="s">
        <v>288</v>
      </c>
      <c r="P433" t="s">
        <v>244</v>
      </c>
      <c r="Q433" t="s">
        <v>241</v>
      </c>
      <c r="R433">
        <v>17</v>
      </c>
      <c r="T433">
        <v>365</v>
      </c>
      <c r="U433" t="s">
        <v>1054</v>
      </c>
      <c r="V433" s="7">
        <v>59.990001679999999</v>
      </c>
      <c r="W433" s="7">
        <v>54.488929209402009</v>
      </c>
      <c r="X433">
        <v>1</v>
      </c>
      <c r="Y433" s="7">
        <v>6</v>
      </c>
      <c r="Z433" s="7">
        <v>59.990001679999999</v>
      </c>
      <c r="AA433" s="7">
        <f t="shared" si="26"/>
        <v>53.990001679999999</v>
      </c>
      <c r="AB433" t="s">
        <v>45</v>
      </c>
      <c r="AC433" t="str">
        <f t="shared" si="27"/>
        <v>Non-Cash Payments</v>
      </c>
    </row>
    <row r="434" spans="1:29" x14ac:dyDescent="0.25">
      <c r="A434">
        <v>47758</v>
      </c>
      <c r="B434" s="2">
        <v>42702</v>
      </c>
      <c r="C434">
        <v>2</v>
      </c>
      <c r="D434" s="2">
        <f t="shared" si="24"/>
        <v>42704</v>
      </c>
      <c r="E434">
        <v>1</v>
      </c>
      <c r="F434" t="s">
        <v>23</v>
      </c>
      <c r="G434" t="str">
        <f t="shared" si="25"/>
        <v>Other</v>
      </c>
      <c r="H434">
        <v>18</v>
      </c>
      <c r="I434">
        <v>8293</v>
      </c>
      <c r="J434">
        <v>4</v>
      </c>
      <c r="K434" t="s">
        <v>46</v>
      </c>
      <c r="L434" t="s">
        <v>237</v>
      </c>
      <c r="M434" t="s">
        <v>406</v>
      </c>
      <c r="N434" t="s">
        <v>406</v>
      </c>
      <c r="P434" t="s">
        <v>407</v>
      </c>
      <c r="Q434" t="s">
        <v>320</v>
      </c>
      <c r="R434">
        <v>18</v>
      </c>
      <c r="T434">
        <v>403</v>
      </c>
      <c r="U434" t="s">
        <v>1052</v>
      </c>
      <c r="V434" s="7">
        <v>129.9900055</v>
      </c>
      <c r="W434" s="7">
        <v>110.80340837177086</v>
      </c>
      <c r="X434">
        <v>1</v>
      </c>
      <c r="Y434" s="7">
        <v>15.600000380000001</v>
      </c>
      <c r="Z434" s="7">
        <v>129.9900055</v>
      </c>
      <c r="AA434" s="7">
        <f t="shared" si="26"/>
        <v>114.39000512</v>
      </c>
      <c r="AB434" t="s">
        <v>45</v>
      </c>
      <c r="AC434" t="str">
        <f t="shared" si="27"/>
        <v>Non-Cash Payments</v>
      </c>
    </row>
    <row r="435" spans="1:29" x14ac:dyDescent="0.25">
      <c r="A435">
        <v>68220</v>
      </c>
      <c r="B435" s="2">
        <v>43000</v>
      </c>
      <c r="C435">
        <v>2</v>
      </c>
      <c r="D435" s="2">
        <f t="shared" si="24"/>
        <v>43004</v>
      </c>
      <c r="E435">
        <v>1</v>
      </c>
      <c r="F435" t="s">
        <v>23</v>
      </c>
      <c r="G435" t="str">
        <f t="shared" si="25"/>
        <v>Other</v>
      </c>
      <c r="H435">
        <v>18</v>
      </c>
      <c r="I435">
        <v>9962</v>
      </c>
      <c r="J435">
        <v>4</v>
      </c>
      <c r="K435" t="s">
        <v>46</v>
      </c>
      <c r="L435" t="s">
        <v>237</v>
      </c>
      <c r="M435" t="s">
        <v>408</v>
      </c>
      <c r="N435" t="s">
        <v>306</v>
      </c>
      <c r="P435" t="s">
        <v>307</v>
      </c>
      <c r="Q435" t="s">
        <v>252</v>
      </c>
      <c r="R435">
        <v>18</v>
      </c>
      <c r="T435">
        <v>403</v>
      </c>
      <c r="U435" t="s">
        <v>1052</v>
      </c>
      <c r="V435" s="7">
        <v>129.9900055</v>
      </c>
      <c r="W435" s="7">
        <v>110.80340837177086</v>
      </c>
      <c r="X435">
        <v>1</v>
      </c>
      <c r="Y435" s="7">
        <v>15.600000380000001</v>
      </c>
      <c r="Z435" s="7">
        <v>129.9900055</v>
      </c>
      <c r="AA435" s="7">
        <f t="shared" si="26"/>
        <v>114.39000512</v>
      </c>
      <c r="AB435" t="s">
        <v>45</v>
      </c>
      <c r="AC435" t="str">
        <f t="shared" si="27"/>
        <v>Non-Cash Payments</v>
      </c>
    </row>
    <row r="436" spans="1:29" x14ac:dyDescent="0.25">
      <c r="A436">
        <v>14730</v>
      </c>
      <c r="B436" s="2">
        <v>42102</v>
      </c>
      <c r="C436">
        <v>2</v>
      </c>
      <c r="D436" s="2">
        <f t="shared" si="24"/>
        <v>42104</v>
      </c>
      <c r="E436">
        <v>1</v>
      </c>
      <c r="F436" t="s">
        <v>23</v>
      </c>
      <c r="G436" t="str">
        <f t="shared" si="25"/>
        <v>Other</v>
      </c>
      <c r="H436">
        <v>18</v>
      </c>
      <c r="I436">
        <v>8098</v>
      </c>
      <c r="J436">
        <v>4</v>
      </c>
      <c r="K436" t="s">
        <v>46</v>
      </c>
      <c r="L436" t="s">
        <v>237</v>
      </c>
      <c r="M436" t="s">
        <v>409</v>
      </c>
      <c r="N436" t="s">
        <v>250</v>
      </c>
      <c r="P436" t="s">
        <v>251</v>
      </c>
      <c r="Q436" t="s">
        <v>252</v>
      </c>
      <c r="R436">
        <v>18</v>
      </c>
      <c r="T436">
        <v>403</v>
      </c>
      <c r="U436" t="s">
        <v>1052</v>
      </c>
      <c r="V436" s="7">
        <v>129.9900055</v>
      </c>
      <c r="W436" s="7">
        <v>110.80340837177086</v>
      </c>
      <c r="X436">
        <v>1</v>
      </c>
      <c r="Y436" s="7">
        <v>15.600000380000001</v>
      </c>
      <c r="Z436" s="7">
        <v>129.9900055</v>
      </c>
      <c r="AA436" s="7">
        <f t="shared" si="26"/>
        <v>114.39000512</v>
      </c>
      <c r="AB436" t="s">
        <v>45</v>
      </c>
      <c r="AC436" t="str">
        <f t="shared" si="27"/>
        <v>Non-Cash Payments</v>
      </c>
    </row>
    <row r="437" spans="1:29" x14ac:dyDescent="0.25">
      <c r="A437">
        <v>66411</v>
      </c>
      <c r="B437" s="2">
        <v>42974</v>
      </c>
      <c r="C437">
        <v>2</v>
      </c>
      <c r="D437" s="2">
        <f t="shared" si="24"/>
        <v>42976</v>
      </c>
      <c r="E437">
        <v>0</v>
      </c>
      <c r="F437" t="s">
        <v>23</v>
      </c>
      <c r="G437" t="str">
        <f t="shared" si="25"/>
        <v>Other</v>
      </c>
      <c r="H437">
        <v>18</v>
      </c>
      <c r="I437">
        <v>8348</v>
      </c>
      <c r="J437">
        <v>4</v>
      </c>
      <c r="K437" t="s">
        <v>46</v>
      </c>
      <c r="L437" t="s">
        <v>237</v>
      </c>
      <c r="M437" t="s">
        <v>410</v>
      </c>
      <c r="N437" t="s">
        <v>411</v>
      </c>
      <c r="P437" t="s">
        <v>263</v>
      </c>
      <c r="Q437" t="s">
        <v>264</v>
      </c>
      <c r="R437">
        <v>18</v>
      </c>
      <c r="T437">
        <v>403</v>
      </c>
      <c r="U437" t="s">
        <v>1052</v>
      </c>
      <c r="V437" s="7">
        <v>129.9900055</v>
      </c>
      <c r="W437" s="7">
        <v>110.80340837177086</v>
      </c>
      <c r="X437">
        <v>1</v>
      </c>
      <c r="Y437" s="7">
        <v>15.600000380000001</v>
      </c>
      <c r="Z437" s="7">
        <v>129.9900055</v>
      </c>
      <c r="AA437" s="7">
        <f t="shared" si="26"/>
        <v>114.39000512</v>
      </c>
      <c r="AB437" t="s">
        <v>45</v>
      </c>
      <c r="AC437" t="str">
        <f t="shared" si="27"/>
        <v>Non-Cash Payments</v>
      </c>
    </row>
    <row r="438" spans="1:29" x14ac:dyDescent="0.25">
      <c r="A438">
        <v>12535</v>
      </c>
      <c r="B438" s="2">
        <v>42042</v>
      </c>
      <c r="C438">
        <v>2</v>
      </c>
      <c r="D438" s="2">
        <f t="shared" si="24"/>
        <v>42045</v>
      </c>
      <c r="E438">
        <v>1</v>
      </c>
      <c r="F438" t="s">
        <v>23</v>
      </c>
      <c r="G438" t="str">
        <f t="shared" si="25"/>
        <v>Other</v>
      </c>
      <c r="H438">
        <v>18</v>
      </c>
      <c r="I438">
        <v>653</v>
      </c>
      <c r="J438">
        <v>4</v>
      </c>
      <c r="K438" t="s">
        <v>46</v>
      </c>
      <c r="L438" t="s">
        <v>237</v>
      </c>
      <c r="M438" t="s">
        <v>368</v>
      </c>
      <c r="N438" t="s">
        <v>369</v>
      </c>
      <c r="P438" t="s">
        <v>263</v>
      </c>
      <c r="Q438" t="s">
        <v>264</v>
      </c>
      <c r="R438">
        <v>18</v>
      </c>
      <c r="T438">
        <v>403</v>
      </c>
      <c r="U438" t="s">
        <v>1052</v>
      </c>
      <c r="V438" s="7">
        <v>129.9900055</v>
      </c>
      <c r="W438" s="7">
        <v>110.80340837177086</v>
      </c>
      <c r="X438">
        <v>1</v>
      </c>
      <c r="Y438" s="7">
        <v>15.600000380000001</v>
      </c>
      <c r="Z438" s="7">
        <v>129.9900055</v>
      </c>
      <c r="AA438" s="7">
        <f t="shared" si="26"/>
        <v>114.39000512</v>
      </c>
      <c r="AB438" t="s">
        <v>45</v>
      </c>
      <c r="AC438" t="str">
        <f t="shared" si="27"/>
        <v>Non-Cash Payments</v>
      </c>
    </row>
    <row r="439" spans="1:29" x14ac:dyDescent="0.25">
      <c r="A439">
        <v>67712</v>
      </c>
      <c r="B439" s="2">
        <v>42993</v>
      </c>
      <c r="C439">
        <v>2</v>
      </c>
      <c r="D439" s="2">
        <f t="shared" si="24"/>
        <v>42997</v>
      </c>
      <c r="E439">
        <v>1</v>
      </c>
      <c r="F439" t="s">
        <v>23</v>
      </c>
      <c r="G439" t="str">
        <f t="shared" si="25"/>
        <v>Other</v>
      </c>
      <c r="H439">
        <v>18</v>
      </c>
      <c r="I439">
        <v>8645</v>
      </c>
      <c r="J439">
        <v>4</v>
      </c>
      <c r="K439" t="s">
        <v>46</v>
      </c>
      <c r="L439" t="s">
        <v>237</v>
      </c>
      <c r="M439" t="s">
        <v>349</v>
      </c>
      <c r="N439" t="s">
        <v>288</v>
      </c>
      <c r="P439" t="s">
        <v>244</v>
      </c>
      <c r="Q439" t="s">
        <v>241</v>
      </c>
      <c r="R439">
        <v>18</v>
      </c>
      <c r="T439">
        <v>403</v>
      </c>
      <c r="U439" t="s">
        <v>1052</v>
      </c>
      <c r="V439" s="7">
        <v>129.9900055</v>
      </c>
      <c r="W439" s="7">
        <v>110.80340837177086</v>
      </c>
      <c r="X439">
        <v>1</v>
      </c>
      <c r="Y439" s="7">
        <v>15.600000380000001</v>
      </c>
      <c r="Z439" s="7">
        <v>129.9900055</v>
      </c>
      <c r="AA439" s="7">
        <f t="shared" si="26"/>
        <v>114.39000512</v>
      </c>
      <c r="AB439" t="s">
        <v>45</v>
      </c>
      <c r="AC439" t="str">
        <f t="shared" si="27"/>
        <v>Non-Cash Payments</v>
      </c>
    </row>
    <row r="440" spans="1:29" x14ac:dyDescent="0.25">
      <c r="A440">
        <v>18593</v>
      </c>
      <c r="B440" s="2">
        <v>42276</v>
      </c>
      <c r="C440">
        <v>2</v>
      </c>
      <c r="D440" s="2">
        <f t="shared" si="24"/>
        <v>42278</v>
      </c>
      <c r="E440">
        <v>1</v>
      </c>
      <c r="F440" t="s">
        <v>23</v>
      </c>
      <c r="G440" t="str">
        <f t="shared" si="25"/>
        <v>Other</v>
      </c>
      <c r="H440">
        <v>18</v>
      </c>
      <c r="I440">
        <v>1275</v>
      </c>
      <c r="J440">
        <v>4</v>
      </c>
      <c r="K440" t="s">
        <v>46</v>
      </c>
      <c r="L440" t="s">
        <v>237</v>
      </c>
      <c r="M440" t="s">
        <v>412</v>
      </c>
      <c r="N440" t="s">
        <v>250</v>
      </c>
      <c r="P440" t="s">
        <v>251</v>
      </c>
      <c r="Q440" t="s">
        <v>252</v>
      </c>
      <c r="R440">
        <v>18</v>
      </c>
      <c r="T440">
        <v>403</v>
      </c>
      <c r="U440" t="s">
        <v>1052</v>
      </c>
      <c r="V440" s="7">
        <v>129.9900055</v>
      </c>
      <c r="W440" s="7">
        <v>110.80340837177086</v>
      </c>
      <c r="X440">
        <v>1</v>
      </c>
      <c r="Y440" s="7">
        <v>16.899999619999999</v>
      </c>
      <c r="Z440" s="7">
        <v>129.9900055</v>
      </c>
      <c r="AA440" s="7">
        <f t="shared" si="26"/>
        <v>113.09000587999999</v>
      </c>
      <c r="AB440" t="s">
        <v>45</v>
      </c>
      <c r="AC440" t="str">
        <f t="shared" si="27"/>
        <v>Non-Cash Payments</v>
      </c>
    </row>
    <row r="441" spans="1:29" x14ac:dyDescent="0.25">
      <c r="A441">
        <v>17909</v>
      </c>
      <c r="B441" s="2">
        <v>42266</v>
      </c>
      <c r="C441">
        <v>2</v>
      </c>
      <c r="D441" s="2">
        <f t="shared" si="24"/>
        <v>42269</v>
      </c>
      <c r="E441">
        <v>1</v>
      </c>
      <c r="F441" t="s">
        <v>23</v>
      </c>
      <c r="G441" t="str">
        <f t="shared" si="25"/>
        <v>Other</v>
      </c>
      <c r="H441">
        <v>18</v>
      </c>
      <c r="I441">
        <v>11189</v>
      </c>
      <c r="J441">
        <v>4</v>
      </c>
      <c r="K441" t="s">
        <v>46</v>
      </c>
      <c r="L441" t="s">
        <v>237</v>
      </c>
      <c r="M441" t="s">
        <v>275</v>
      </c>
      <c r="N441" t="s">
        <v>250</v>
      </c>
      <c r="P441" t="s">
        <v>251</v>
      </c>
      <c r="Q441" t="s">
        <v>252</v>
      </c>
      <c r="R441">
        <v>18</v>
      </c>
      <c r="T441">
        <v>403</v>
      </c>
      <c r="U441" t="s">
        <v>1052</v>
      </c>
      <c r="V441" s="7">
        <v>129.9900055</v>
      </c>
      <c r="W441" s="7">
        <v>110.80340837177086</v>
      </c>
      <c r="X441">
        <v>1</v>
      </c>
      <c r="Y441" s="7">
        <v>16.899999619999999</v>
      </c>
      <c r="Z441" s="7">
        <v>129.9900055</v>
      </c>
      <c r="AA441" s="7">
        <f t="shared" si="26"/>
        <v>113.09000587999999</v>
      </c>
      <c r="AB441" t="s">
        <v>45</v>
      </c>
      <c r="AC441" t="str">
        <f t="shared" si="27"/>
        <v>Non-Cash Payments</v>
      </c>
    </row>
    <row r="442" spans="1:29" x14ac:dyDescent="0.25">
      <c r="A442">
        <v>16302</v>
      </c>
      <c r="B442" s="2">
        <v>42242</v>
      </c>
      <c r="C442">
        <v>2</v>
      </c>
      <c r="D442" s="2">
        <f t="shared" si="24"/>
        <v>42244</v>
      </c>
      <c r="E442">
        <v>1</v>
      </c>
      <c r="F442" t="s">
        <v>23</v>
      </c>
      <c r="G442" t="str">
        <f t="shared" si="25"/>
        <v>Other</v>
      </c>
      <c r="H442">
        <v>18</v>
      </c>
      <c r="I442">
        <v>5988</v>
      </c>
      <c r="J442">
        <v>4</v>
      </c>
      <c r="K442" t="s">
        <v>46</v>
      </c>
      <c r="L442" t="s">
        <v>237</v>
      </c>
      <c r="M442" t="s">
        <v>413</v>
      </c>
      <c r="N442" t="s">
        <v>250</v>
      </c>
      <c r="P442" t="s">
        <v>251</v>
      </c>
      <c r="Q442" t="s">
        <v>252</v>
      </c>
      <c r="R442">
        <v>18</v>
      </c>
      <c r="T442">
        <v>403</v>
      </c>
      <c r="U442" t="s">
        <v>1052</v>
      </c>
      <c r="V442" s="7">
        <v>129.9900055</v>
      </c>
      <c r="W442" s="7">
        <v>110.80340837177086</v>
      </c>
      <c r="X442">
        <v>1</v>
      </c>
      <c r="Y442" s="7">
        <v>16.899999619999999</v>
      </c>
      <c r="Z442" s="7">
        <v>129.9900055</v>
      </c>
      <c r="AA442" s="7">
        <f t="shared" si="26"/>
        <v>113.09000587999999</v>
      </c>
      <c r="AB442" t="s">
        <v>45</v>
      </c>
      <c r="AC442" t="str">
        <f t="shared" si="27"/>
        <v>Non-Cash Payments</v>
      </c>
    </row>
    <row r="443" spans="1:29" x14ac:dyDescent="0.25">
      <c r="A443">
        <v>14730</v>
      </c>
      <c r="B443" s="2">
        <v>42102</v>
      </c>
      <c r="C443">
        <v>2</v>
      </c>
      <c r="D443" s="2">
        <f t="shared" si="24"/>
        <v>42104</v>
      </c>
      <c r="E443">
        <v>1</v>
      </c>
      <c r="F443" t="s">
        <v>23</v>
      </c>
      <c r="G443" t="str">
        <f t="shared" si="25"/>
        <v>Other</v>
      </c>
      <c r="H443">
        <v>18</v>
      </c>
      <c r="I443">
        <v>8098</v>
      </c>
      <c r="J443">
        <v>4</v>
      </c>
      <c r="K443" t="s">
        <v>46</v>
      </c>
      <c r="L443" t="s">
        <v>237</v>
      </c>
      <c r="M443" t="s">
        <v>409</v>
      </c>
      <c r="N443" t="s">
        <v>250</v>
      </c>
      <c r="P443" t="s">
        <v>251</v>
      </c>
      <c r="Q443" t="s">
        <v>252</v>
      </c>
      <c r="R443">
        <v>18</v>
      </c>
      <c r="T443">
        <v>403</v>
      </c>
      <c r="U443" t="s">
        <v>1052</v>
      </c>
      <c r="V443" s="7">
        <v>129.9900055</v>
      </c>
      <c r="W443" s="7">
        <v>110.80340837177086</v>
      </c>
      <c r="X443">
        <v>1</v>
      </c>
      <c r="Y443" s="7">
        <v>16.899999619999999</v>
      </c>
      <c r="Z443" s="7">
        <v>129.9900055</v>
      </c>
      <c r="AA443" s="7">
        <f t="shared" si="26"/>
        <v>113.09000587999999</v>
      </c>
      <c r="AB443" t="s">
        <v>45</v>
      </c>
      <c r="AC443" t="str">
        <f t="shared" si="27"/>
        <v>Non-Cash Payments</v>
      </c>
    </row>
    <row r="444" spans="1:29" x14ac:dyDescent="0.25">
      <c r="A444">
        <v>13343</v>
      </c>
      <c r="B444" s="2">
        <v>42199</v>
      </c>
      <c r="C444">
        <v>2</v>
      </c>
      <c r="D444" s="2">
        <f t="shared" si="24"/>
        <v>42201</v>
      </c>
      <c r="E444">
        <v>1</v>
      </c>
      <c r="F444" t="s">
        <v>23</v>
      </c>
      <c r="G444" t="str">
        <f t="shared" si="25"/>
        <v>Other</v>
      </c>
      <c r="H444">
        <v>18</v>
      </c>
      <c r="I444">
        <v>9726</v>
      </c>
      <c r="J444">
        <v>4</v>
      </c>
      <c r="K444" t="s">
        <v>46</v>
      </c>
      <c r="L444" t="s">
        <v>237</v>
      </c>
      <c r="M444" t="s">
        <v>275</v>
      </c>
      <c r="N444" t="s">
        <v>250</v>
      </c>
      <c r="P444" t="s">
        <v>251</v>
      </c>
      <c r="Q444" t="s">
        <v>252</v>
      </c>
      <c r="R444">
        <v>18</v>
      </c>
      <c r="T444">
        <v>403</v>
      </c>
      <c r="U444" t="s">
        <v>1052</v>
      </c>
      <c r="V444" s="7">
        <v>129.9900055</v>
      </c>
      <c r="W444" s="7">
        <v>110.80340837177086</v>
      </c>
      <c r="X444">
        <v>1</v>
      </c>
      <c r="Y444" s="7">
        <v>16.899999619999999</v>
      </c>
      <c r="Z444" s="7">
        <v>129.9900055</v>
      </c>
      <c r="AA444" s="7">
        <f t="shared" si="26"/>
        <v>113.09000587999999</v>
      </c>
      <c r="AB444" t="s">
        <v>45</v>
      </c>
      <c r="AC444" t="str">
        <f t="shared" si="27"/>
        <v>Non-Cash Payments</v>
      </c>
    </row>
    <row r="445" spans="1:29" x14ac:dyDescent="0.25">
      <c r="A445">
        <v>62117</v>
      </c>
      <c r="B445" s="2">
        <v>42911</v>
      </c>
      <c r="C445">
        <v>2</v>
      </c>
      <c r="D445" s="2">
        <f t="shared" si="24"/>
        <v>42913</v>
      </c>
      <c r="E445">
        <v>1</v>
      </c>
      <c r="F445" t="s">
        <v>23</v>
      </c>
      <c r="G445" t="str">
        <f t="shared" si="25"/>
        <v>Other</v>
      </c>
      <c r="H445">
        <v>17</v>
      </c>
      <c r="I445">
        <v>5113</v>
      </c>
      <c r="J445">
        <v>4</v>
      </c>
      <c r="K445" t="s">
        <v>46</v>
      </c>
      <c r="L445" t="s">
        <v>237</v>
      </c>
      <c r="M445" t="s">
        <v>414</v>
      </c>
      <c r="N445" t="s">
        <v>415</v>
      </c>
      <c r="P445" t="s">
        <v>283</v>
      </c>
      <c r="Q445" t="s">
        <v>264</v>
      </c>
      <c r="R445">
        <v>17</v>
      </c>
      <c r="T445">
        <v>365</v>
      </c>
      <c r="U445" t="s">
        <v>1054</v>
      </c>
      <c r="V445" s="7">
        <v>59.990001679999999</v>
      </c>
      <c r="W445" s="7">
        <v>54.488929209402009</v>
      </c>
      <c r="X445">
        <v>1</v>
      </c>
      <c r="Y445" s="7">
        <v>7.8000001909999996</v>
      </c>
      <c r="Z445" s="7">
        <v>59.990001679999999</v>
      </c>
      <c r="AA445" s="7">
        <f t="shared" si="26"/>
        <v>52.190001488999997</v>
      </c>
      <c r="AB445" t="s">
        <v>45</v>
      </c>
      <c r="AC445" t="str">
        <f t="shared" si="27"/>
        <v>Non-Cash Payments</v>
      </c>
    </row>
    <row r="446" spans="1:29" x14ac:dyDescent="0.25">
      <c r="A446">
        <v>62637</v>
      </c>
      <c r="B446" s="2">
        <v>42801</v>
      </c>
      <c r="C446">
        <v>2</v>
      </c>
      <c r="D446" s="2">
        <f t="shared" si="24"/>
        <v>42803</v>
      </c>
      <c r="E446">
        <v>1</v>
      </c>
      <c r="F446" t="s">
        <v>23</v>
      </c>
      <c r="G446" t="str">
        <f t="shared" si="25"/>
        <v>Other</v>
      </c>
      <c r="H446">
        <v>18</v>
      </c>
      <c r="I446">
        <v>9726</v>
      </c>
      <c r="J446">
        <v>4</v>
      </c>
      <c r="K446" t="s">
        <v>46</v>
      </c>
      <c r="L446" t="s">
        <v>237</v>
      </c>
      <c r="M446" t="s">
        <v>416</v>
      </c>
      <c r="N446" t="s">
        <v>417</v>
      </c>
      <c r="P446" t="s">
        <v>263</v>
      </c>
      <c r="Q446" t="s">
        <v>264</v>
      </c>
      <c r="R446">
        <v>18</v>
      </c>
      <c r="T446">
        <v>403</v>
      </c>
      <c r="U446" t="s">
        <v>1052</v>
      </c>
      <c r="V446" s="7">
        <v>129.9900055</v>
      </c>
      <c r="W446" s="7">
        <v>110.80340837177086</v>
      </c>
      <c r="X446">
        <v>1</v>
      </c>
      <c r="Y446" s="7">
        <v>16.899999619999999</v>
      </c>
      <c r="Z446" s="7">
        <v>129.9900055</v>
      </c>
      <c r="AA446" s="7">
        <f t="shared" si="26"/>
        <v>113.09000587999999</v>
      </c>
      <c r="AB446" t="s">
        <v>45</v>
      </c>
      <c r="AC446" t="str">
        <f t="shared" si="27"/>
        <v>Non-Cash Payments</v>
      </c>
    </row>
    <row r="447" spans="1:29" x14ac:dyDescent="0.25">
      <c r="A447">
        <v>67845</v>
      </c>
      <c r="B447" s="2">
        <v>42995</v>
      </c>
      <c r="C447">
        <v>2</v>
      </c>
      <c r="D447" s="2">
        <f t="shared" si="24"/>
        <v>42997</v>
      </c>
      <c r="E447">
        <v>1</v>
      </c>
      <c r="F447" t="s">
        <v>23</v>
      </c>
      <c r="G447" t="str">
        <f t="shared" si="25"/>
        <v>Other</v>
      </c>
      <c r="H447">
        <v>18</v>
      </c>
      <c r="I447">
        <v>482</v>
      </c>
      <c r="J447">
        <v>4</v>
      </c>
      <c r="K447" t="s">
        <v>46</v>
      </c>
      <c r="L447" t="s">
        <v>237</v>
      </c>
      <c r="M447" t="s">
        <v>267</v>
      </c>
      <c r="N447" t="s">
        <v>255</v>
      </c>
      <c r="P447" t="s">
        <v>244</v>
      </c>
      <c r="Q447" t="s">
        <v>241</v>
      </c>
      <c r="R447">
        <v>18</v>
      </c>
      <c r="T447">
        <v>403</v>
      </c>
      <c r="U447" t="s">
        <v>1052</v>
      </c>
      <c r="V447" s="7">
        <v>129.9900055</v>
      </c>
      <c r="W447" s="7">
        <v>110.80340837177086</v>
      </c>
      <c r="X447">
        <v>1</v>
      </c>
      <c r="Y447" s="7">
        <v>16.899999619999999</v>
      </c>
      <c r="Z447" s="7">
        <v>129.9900055</v>
      </c>
      <c r="AA447" s="7">
        <f t="shared" si="26"/>
        <v>113.09000587999999</v>
      </c>
      <c r="AB447" t="s">
        <v>45</v>
      </c>
      <c r="AC447" t="str">
        <f t="shared" si="27"/>
        <v>Non-Cash Payments</v>
      </c>
    </row>
    <row r="448" spans="1:29" x14ac:dyDescent="0.25">
      <c r="A448">
        <v>67712</v>
      </c>
      <c r="B448" s="2">
        <v>42993</v>
      </c>
      <c r="C448">
        <v>2</v>
      </c>
      <c r="D448" s="2">
        <f t="shared" si="24"/>
        <v>42997</v>
      </c>
      <c r="E448">
        <v>1</v>
      </c>
      <c r="F448" t="s">
        <v>23</v>
      </c>
      <c r="G448" t="str">
        <f t="shared" si="25"/>
        <v>Other</v>
      </c>
      <c r="H448">
        <v>18</v>
      </c>
      <c r="I448">
        <v>8645</v>
      </c>
      <c r="J448">
        <v>4</v>
      </c>
      <c r="K448" t="s">
        <v>46</v>
      </c>
      <c r="L448" t="s">
        <v>237</v>
      </c>
      <c r="M448" t="s">
        <v>349</v>
      </c>
      <c r="N448" t="s">
        <v>288</v>
      </c>
      <c r="P448" t="s">
        <v>244</v>
      </c>
      <c r="Q448" t="s">
        <v>241</v>
      </c>
      <c r="R448">
        <v>18</v>
      </c>
      <c r="T448">
        <v>403</v>
      </c>
      <c r="U448" t="s">
        <v>1052</v>
      </c>
      <c r="V448" s="7">
        <v>129.9900055</v>
      </c>
      <c r="W448" s="7">
        <v>110.80340837177086</v>
      </c>
      <c r="X448">
        <v>1</v>
      </c>
      <c r="Y448" s="7">
        <v>16.899999619999999</v>
      </c>
      <c r="Z448" s="7">
        <v>129.9900055</v>
      </c>
      <c r="AA448" s="7">
        <f t="shared" si="26"/>
        <v>113.09000587999999</v>
      </c>
      <c r="AB448" t="s">
        <v>45</v>
      </c>
      <c r="AC448" t="str">
        <f t="shared" si="27"/>
        <v>Non-Cash Payments</v>
      </c>
    </row>
    <row r="449" spans="1:29" x14ac:dyDescent="0.25">
      <c r="A449">
        <v>11209</v>
      </c>
      <c r="B449" s="2">
        <v>42168</v>
      </c>
      <c r="C449">
        <v>2</v>
      </c>
      <c r="D449" s="2">
        <f t="shared" si="24"/>
        <v>42171</v>
      </c>
      <c r="E449">
        <v>1</v>
      </c>
      <c r="F449" t="s">
        <v>23</v>
      </c>
      <c r="G449" t="str">
        <f t="shared" si="25"/>
        <v>Other</v>
      </c>
      <c r="H449">
        <v>18</v>
      </c>
      <c r="I449">
        <v>7202</v>
      </c>
      <c r="J449">
        <v>4</v>
      </c>
      <c r="K449" t="s">
        <v>46</v>
      </c>
      <c r="L449" t="s">
        <v>237</v>
      </c>
      <c r="M449" t="s">
        <v>418</v>
      </c>
      <c r="N449" t="s">
        <v>419</v>
      </c>
      <c r="P449" t="s">
        <v>420</v>
      </c>
      <c r="Q449" t="s">
        <v>241</v>
      </c>
      <c r="R449">
        <v>18</v>
      </c>
      <c r="T449">
        <v>403</v>
      </c>
      <c r="U449" t="s">
        <v>1052</v>
      </c>
      <c r="V449" s="7">
        <v>129.9900055</v>
      </c>
      <c r="W449" s="7">
        <v>110.80340837177086</v>
      </c>
      <c r="X449">
        <v>1</v>
      </c>
      <c r="Y449" s="7">
        <v>16.899999619999999</v>
      </c>
      <c r="Z449" s="7">
        <v>129.9900055</v>
      </c>
      <c r="AA449" s="7">
        <f t="shared" si="26"/>
        <v>113.09000587999999</v>
      </c>
      <c r="AB449" t="s">
        <v>45</v>
      </c>
      <c r="AC449" t="str">
        <f t="shared" si="27"/>
        <v>Non-Cash Payments</v>
      </c>
    </row>
    <row r="450" spans="1:29" x14ac:dyDescent="0.25">
      <c r="A450">
        <v>41494</v>
      </c>
      <c r="B450" s="2">
        <v>42610</v>
      </c>
      <c r="C450">
        <v>2</v>
      </c>
      <c r="D450" s="2">
        <f t="shared" si="24"/>
        <v>42612</v>
      </c>
      <c r="E450">
        <v>1</v>
      </c>
      <c r="F450" t="s">
        <v>23</v>
      </c>
      <c r="G450" t="str">
        <f t="shared" si="25"/>
        <v>Other</v>
      </c>
      <c r="H450">
        <v>17</v>
      </c>
      <c r="I450">
        <v>1173</v>
      </c>
      <c r="J450">
        <v>4</v>
      </c>
      <c r="K450" t="s">
        <v>46</v>
      </c>
      <c r="L450" t="s">
        <v>237</v>
      </c>
      <c r="M450" t="s">
        <v>421</v>
      </c>
      <c r="N450" t="s">
        <v>422</v>
      </c>
      <c r="P450" t="s">
        <v>319</v>
      </c>
      <c r="Q450" t="s">
        <v>320</v>
      </c>
      <c r="R450">
        <v>17</v>
      </c>
      <c r="T450">
        <v>365</v>
      </c>
      <c r="U450" t="s">
        <v>1054</v>
      </c>
      <c r="V450" s="7">
        <v>59.990001679999999</v>
      </c>
      <c r="W450" s="7">
        <v>54.488929209402009</v>
      </c>
      <c r="X450">
        <v>1</v>
      </c>
      <c r="Y450" s="7">
        <v>9</v>
      </c>
      <c r="Z450" s="7">
        <v>59.990001679999999</v>
      </c>
      <c r="AA450" s="7">
        <f t="shared" si="26"/>
        <v>50.990001679999999</v>
      </c>
      <c r="AB450" t="s">
        <v>45</v>
      </c>
      <c r="AC450" t="str">
        <f t="shared" si="27"/>
        <v>Non-Cash Payments</v>
      </c>
    </row>
    <row r="451" spans="1:29" x14ac:dyDescent="0.25">
      <c r="A451">
        <v>18593</v>
      </c>
      <c r="B451" s="2">
        <v>42276</v>
      </c>
      <c r="C451">
        <v>2</v>
      </c>
      <c r="D451" s="2">
        <f t="shared" ref="D451:D514" si="28">WORKDAY(B451,C451)</f>
        <v>42278</v>
      </c>
      <c r="E451">
        <v>1</v>
      </c>
      <c r="F451" t="s">
        <v>23</v>
      </c>
      <c r="G451" t="str">
        <f t="shared" ref="G451:G514" si="29">IF(AND(E451=0,F451="Same Day"),"Same Day - On Time","Other")</f>
        <v>Other</v>
      </c>
      <c r="H451">
        <v>18</v>
      </c>
      <c r="I451">
        <v>1275</v>
      </c>
      <c r="J451">
        <v>4</v>
      </c>
      <c r="K451" t="s">
        <v>46</v>
      </c>
      <c r="L451" t="s">
        <v>237</v>
      </c>
      <c r="M451" t="s">
        <v>412</v>
      </c>
      <c r="N451" t="s">
        <v>250</v>
      </c>
      <c r="P451" t="s">
        <v>251</v>
      </c>
      <c r="Q451" t="s">
        <v>252</v>
      </c>
      <c r="R451">
        <v>18</v>
      </c>
      <c r="T451">
        <v>403</v>
      </c>
      <c r="U451" t="s">
        <v>1052</v>
      </c>
      <c r="V451" s="7">
        <v>129.9900055</v>
      </c>
      <c r="W451" s="7">
        <v>110.80340837177086</v>
      </c>
      <c r="X451">
        <v>1</v>
      </c>
      <c r="Y451" s="7">
        <v>19.5</v>
      </c>
      <c r="Z451" s="7">
        <v>129.9900055</v>
      </c>
      <c r="AA451" s="7">
        <f t="shared" ref="AA451:AA514" si="30">Z451-Y451</f>
        <v>110.4900055</v>
      </c>
      <c r="AB451" t="s">
        <v>45</v>
      </c>
      <c r="AC451" t="str">
        <f t="shared" ref="AC451:AC514" si="31">IF(AND(AA451&gt;200,AB451="CASH"),"Cash Over 200",IF(AB451="CASH","Cash Not Over 200","Non-Cash Payments"))</f>
        <v>Non-Cash Payments</v>
      </c>
    </row>
    <row r="452" spans="1:29" x14ac:dyDescent="0.25">
      <c r="A452">
        <v>13343</v>
      </c>
      <c r="B452" s="2">
        <v>42199</v>
      </c>
      <c r="C452">
        <v>2</v>
      </c>
      <c r="D452" s="2">
        <f t="shared" si="28"/>
        <v>42201</v>
      </c>
      <c r="E452">
        <v>1</v>
      </c>
      <c r="F452" t="s">
        <v>23</v>
      </c>
      <c r="G452" t="str">
        <f t="shared" si="29"/>
        <v>Other</v>
      </c>
      <c r="H452">
        <v>18</v>
      </c>
      <c r="I452">
        <v>9726</v>
      </c>
      <c r="J452">
        <v>4</v>
      </c>
      <c r="K452" t="s">
        <v>46</v>
      </c>
      <c r="L452" t="s">
        <v>237</v>
      </c>
      <c r="M452" t="s">
        <v>275</v>
      </c>
      <c r="N452" t="s">
        <v>250</v>
      </c>
      <c r="P452" t="s">
        <v>251</v>
      </c>
      <c r="Q452" t="s">
        <v>252</v>
      </c>
      <c r="R452">
        <v>18</v>
      </c>
      <c r="T452">
        <v>403</v>
      </c>
      <c r="U452" t="s">
        <v>1052</v>
      </c>
      <c r="V452" s="7">
        <v>129.9900055</v>
      </c>
      <c r="W452" s="7">
        <v>110.80340837177086</v>
      </c>
      <c r="X452">
        <v>1</v>
      </c>
      <c r="Y452" s="7">
        <v>19.5</v>
      </c>
      <c r="Z452" s="7">
        <v>129.9900055</v>
      </c>
      <c r="AA452" s="7">
        <f t="shared" si="30"/>
        <v>110.4900055</v>
      </c>
      <c r="AB452" t="s">
        <v>45</v>
      </c>
      <c r="AC452" t="str">
        <f t="shared" si="31"/>
        <v>Non-Cash Payments</v>
      </c>
    </row>
    <row r="453" spans="1:29" x14ac:dyDescent="0.25">
      <c r="A453">
        <v>62637</v>
      </c>
      <c r="B453" s="2">
        <v>42801</v>
      </c>
      <c r="C453">
        <v>2</v>
      </c>
      <c r="D453" s="2">
        <f t="shared" si="28"/>
        <v>42803</v>
      </c>
      <c r="E453">
        <v>1</v>
      </c>
      <c r="F453" t="s">
        <v>23</v>
      </c>
      <c r="G453" t="str">
        <f t="shared" si="29"/>
        <v>Other</v>
      </c>
      <c r="H453">
        <v>18</v>
      </c>
      <c r="I453">
        <v>9726</v>
      </c>
      <c r="J453">
        <v>4</v>
      </c>
      <c r="K453" t="s">
        <v>46</v>
      </c>
      <c r="L453" t="s">
        <v>237</v>
      </c>
      <c r="M453" t="s">
        <v>416</v>
      </c>
      <c r="N453" t="s">
        <v>417</v>
      </c>
      <c r="P453" t="s">
        <v>263</v>
      </c>
      <c r="Q453" t="s">
        <v>264</v>
      </c>
      <c r="R453">
        <v>18</v>
      </c>
      <c r="T453">
        <v>403</v>
      </c>
      <c r="U453" t="s">
        <v>1052</v>
      </c>
      <c r="V453" s="7">
        <v>129.9900055</v>
      </c>
      <c r="W453" s="7">
        <v>110.80340837177086</v>
      </c>
      <c r="X453">
        <v>1</v>
      </c>
      <c r="Y453" s="7">
        <v>19.5</v>
      </c>
      <c r="Z453" s="7">
        <v>129.9900055</v>
      </c>
      <c r="AA453" s="7">
        <f t="shared" si="30"/>
        <v>110.4900055</v>
      </c>
      <c r="AB453" t="s">
        <v>45</v>
      </c>
      <c r="AC453" t="str">
        <f t="shared" si="31"/>
        <v>Non-Cash Payments</v>
      </c>
    </row>
    <row r="454" spans="1:29" x14ac:dyDescent="0.25">
      <c r="A454">
        <v>70044</v>
      </c>
      <c r="B454" s="2">
        <v>43027</v>
      </c>
      <c r="C454">
        <v>2</v>
      </c>
      <c r="D454" s="2">
        <f t="shared" si="28"/>
        <v>43031</v>
      </c>
      <c r="E454">
        <v>1</v>
      </c>
      <c r="F454" t="s">
        <v>23</v>
      </c>
      <c r="G454" t="str">
        <f t="shared" si="29"/>
        <v>Other</v>
      </c>
      <c r="H454">
        <v>63</v>
      </c>
      <c r="I454">
        <v>13597</v>
      </c>
      <c r="J454">
        <v>4</v>
      </c>
      <c r="K454" t="s">
        <v>46</v>
      </c>
      <c r="L454" t="s">
        <v>237</v>
      </c>
      <c r="M454" t="s">
        <v>423</v>
      </c>
      <c r="N454" t="s">
        <v>424</v>
      </c>
      <c r="P454" t="s">
        <v>240</v>
      </c>
      <c r="Q454" t="s">
        <v>241</v>
      </c>
      <c r="R454">
        <v>63</v>
      </c>
      <c r="T454">
        <v>1350</v>
      </c>
      <c r="U454" t="s">
        <v>1117</v>
      </c>
      <c r="V454" s="7">
        <v>357.10000609999997</v>
      </c>
      <c r="W454" s="7">
        <v>263.94000818499995</v>
      </c>
      <c r="X454">
        <v>1</v>
      </c>
      <c r="Y454" s="7">
        <v>53.569999699999997</v>
      </c>
      <c r="Z454" s="7">
        <v>357.10000609999997</v>
      </c>
      <c r="AA454" s="7">
        <f t="shared" si="30"/>
        <v>303.53000639999999</v>
      </c>
      <c r="AB454" t="s">
        <v>45</v>
      </c>
      <c r="AC454" t="str">
        <f t="shared" si="31"/>
        <v>Non-Cash Payments</v>
      </c>
    </row>
    <row r="455" spans="1:29" x14ac:dyDescent="0.25">
      <c r="A455">
        <v>67753</v>
      </c>
      <c r="B455" s="2">
        <v>42994</v>
      </c>
      <c r="C455">
        <v>2</v>
      </c>
      <c r="D455" s="2">
        <f t="shared" si="28"/>
        <v>42997</v>
      </c>
      <c r="E455">
        <v>1</v>
      </c>
      <c r="F455" t="s">
        <v>23</v>
      </c>
      <c r="G455" t="str">
        <f t="shared" si="29"/>
        <v>Other</v>
      </c>
      <c r="H455">
        <v>18</v>
      </c>
      <c r="I455">
        <v>1566</v>
      </c>
      <c r="J455">
        <v>4</v>
      </c>
      <c r="K455" t="s">
        <v>46</v>
      </c>
      <c r="L455" t="s">
        <v>237</v>
      </c>
      <c r="M455" t="s">
        <v>361</v>
      </c>
      <c r="N455" t="s">
        <v>362</v>
      </c>
      <c r="P455" t="s">
        <v>248</v>
      </c>
      <c r="Q455" t="s">
        <v>241</v>
      </c>
      <c r="R455">
        <v>18</v>
      </c>
      <c r="T455">
        <v>403</v>
      </c>
      <c r="U455" t="s">
        <v>1052</v>
      </c>
      <c r="V455" s="7">
        <v>129.9900055</v>
      </c>
      <c r="W455" s="7">
        <v>110.80340837177086</v>
      </c>
      <c r="X455">
        <v>1</v>
      </c>
      <c r="Y455" s="7">
        <v>19.5</v>
      </c>
      <c r="Z455" s="7">
        <v>129.9900055</v>
      </c>
      <c r="AA455" s="7">
        <f t="shared" si="30"/>
        <v>110.4900055</v>
      </c>
      <c r="AB455" t="s">
        <v>45</v>
      </c>
      <c r="AC455" t="str">
        <f t="shared" si="31"/>
        <v>Non-Cash Payments</v>
      </c>
    </row>
    <row r="456" spans="1:29" x14ac:dyDescent="0.25">
      <c r="A456">
        <v>16617</v>
      </c>
      <c r="B456" s="2">
        <v>42247</v>
      </c>
      <c r="C456">
        <v>2</v>
      </c>
      <c r="D456" s="2">
        <f t="shared" si="28"/>
        <v>42249</v>
      </c>
      <c r="E456">
        <v>1</v>
      </c>
      <c r="F456" t="s">
        <v>23</v>
      </c>
      <c r="G456" t="str">
        <f t="shared" si="29"/>
        <v>Other</v>
      </c>
      <c r="H456">
        <v>18</v>
      </c>
      <c r="I456">
        <v>4047</v>
      </c>
      <c r="J456">
        <v>4</v>
      </c>
      <c r="K456" t="s">
        <v>46</v>
      </c>
      <c r="L456" t="s">
        <v>237</v>
      </c>
      <c r="M456" t="s">
        <v>338</v>
      </c>
      <c r="N456" t="s">
        <v>243</v>
      </c>
      <c r="P456" t="s">
        <v>244</v>
      </c>
      <c r="Q456" t="s">
        <v>241</v>
      </c>
      <c r="R456">
        <v>18</v>
      </c>
      <c r="T456">
        <v>403</v>
      </c>
      <c r="U456" t="s">
        <v>1052</v>
      </c>
      <c r="V456" s="7">
        <v>129.9900055</v>
      </c>
      <c r="W456" s="7">
        <v>110.80340837177086</v>
      </c>
      <c r="X456">
        <v>1</v>
      </c>
      <c r="Y456" s="7">
        <v>19.5</v>
      </c>
      <c r="Z456" s="7">
        <v>129.9900055</v>
      </c>
      <c r="AA456" s="7">
        <f t="shared" si="30"/>
        <v>110.4900055</v>
      </c>
      <c r="AB456" t="s">
        <v>45</v>
      </c>
      <c r="AC456" t="str">
        <f t="shared" si="31"/>
        <v>Non-Cash Payments</v>
      </c>
    </row>
    <row r="457" spans="1:29" x14ac:dyDescent="0.25">
      <c r="A457">
        <v>14574</v>
      </c>
      <c r="B457" s="2">
        <v>42012</v>
      </c>
      <c r="C457">
        <v>2</v>
      </c>
      <c r="D457" s="2">
        <f t="shared" si="28"/>
        <v>42016</v>
      </c>
      <c r="E457">
        <v>1</v>
      </c>
      <c r="F457" t="s">
        <v>23</v>
      </c>
      <c r="G457" t="str">
        <f t="shared" si="29"/>
        <v>Other</v>
      </c>
      <c r="H457">
        <v>18</v>
      </c>
      <c r="I457">
        <v>6594</v>
      </c>
      <c r="J457">
        <v>4</v>
      </c>
      <c r="K457" t="s">
        <v>46</v>
      </c>
      <c r="L457" t="s">
        <v>237</v>
      </c>
      <c r="M457" t="s">
        <v>238</v>
      </c>
      <c r="N457" t="s">
        <v>239</v>
      </c>
      <c r="P457" t="s">
        <v>240</v>
      </c>
      <c r="Q457" t="s">
        <v>241</v>
      </c>
      <c r="R457">
        <v>18</v>
      </c>
      <c r="T457">
        <v>403</v>
      </c>
      <c r="U457" t="s">
        <v>1052</v>
      </c>
      <c r="V457" s="7">
        <v>129.9900055</v>
      </c>
      <c r="W457" s="7">
        <v>110.80340837177086</v>
      </c>
      <c r="X457">
        <v>1</v>
      </c>
      <c r="Y457" s="7">
        <v>19.5</v>
      </c>
      <c r="Z457" s="7">
        <v>129.9900055</v>
      </c>
      <c r="AA457" s="7">
        <f t="shared" si="30"/>
        <v>110.4900055</v>
      </c>
      <c r="AB457" t="s">
        <v>45</v>
      </c>
      <c r="AC457" t="str">
        <f t="shared" si="31"/>
        <v>Non-Cash Payments</v>
      </c>
    </row>
    <row r="458" spans="1:29" x14ac:dyDescent="0.25">
      <c r="A458">
        <v>12698</v>
      </c>
      <c r="B458" s="2">
        <v>42131</v>
      </c>
      <c r="C458">
        <v>2</v>
      </c>
      <c r="D458" s="2">
        <f t="shared" si="28"/>
        <v>42135</v>
      </c>
      <c r="E458">
        <v>1</v>
      </c>
      <c r="F458" t="s">
        <v>23</v>
      </c>
      <c r="G458" t="str">
        <f t="shared" si="29"/>
        <v>Other</v>
      </c>
      <c r="H458">
        <v>18</v>
      </c>
      <c r="I458">
        <v>3940</v>
      </c>
      <c r="J458">
        <v>4</v>
      </c>
      <c r="K458" t="s">
        <v>46</v>
      </c>
      <c r="L458" t="s">
        <v>237</v>
      </c>
      <c r="M458" t="s">
        <v>405</v>
      </c>
      <c r="N458" t="s">
        <v>288</v>
      </c>
      <c r="P458" t="s">
        <v>244</v>
      </c>
      <c r="Q458" t="s">
        <v>241</v>
      </c>
      <c r="R458">
        <v>18</v>
      </c>
      <c r="T458">
        <v>403</v>
      </c>
      <c r="U458" t="s">
        <v>1052</v>
      </c>
      <c r="V458" s="7">
        <v>129.9900055</v>
      </c>
      <c r="W458" s="7">
        <v>110.80340837177086</v>
      </c>
      <c r="X458">
        <v>1</v>
      </c>
      <c r="Y458" s="7">
        <v>19.5</v>
      </c>
      <c r="Z458" s="7">
        <v>129.9900055</v>
      </c>
      <c r="AA458" s="7">
        <f t="shared" si="30"/>
        <v>110.4900055</v>
      </c>
      <c r="AB458" t="s">
        <v>45</v>
      </c>
      <c r="AC458" t="str">
        <f t="shared" si="31"/>
        <v>Non-Cash Payments</v>
      </c>
    </row>
    <row r="459" spans="1:29" x14ac:dyDescent="0.25">
      <c r="A459">
        <v>15599</v>
      </c>
      <c r="B459" s="2">
        <v>42232</v>
      </c>
      <c r="C459">
        <v>2</v>
      </c>
      <c r="D459" s="2">
        <f t="shared" si="28"/>
        <v>42234</v>
      </c>
      <c r="E459">
        <v>1</v>
      </c>
      <c r="F459" t="s">
        <v>23</v>
      </c>
      <c r="G459" t="str">
        <f t="shared" si="29"/>
        <v>Other</v>
      </c>
      <c r="H459">
        <v>18</v>
      </c>
      <c r="I459">
        <v>1186</v>
      </c>
      <c r="J459">
        <v>4</v>
      </c>
      <c r="K459" t="s">
        <v>46</v>
      </c>
      <c r="L459" t="s">
        <v>237</v>
      </c>
      <c r="M459" t="s">
        <v>425</v>
      </c>
      <c r="N459" t="s">
        <v>250</v>
      </c>
      <c r="P459" t="s">
        <v>251</v>
      </c>
      <c r="Q459" t="s">
        <v>252</v>
      </c>
      <c r="R459">
        <v>18</v>
      </c>
      <c r="T459">
        <v>403</v>
      </c>
      <c r="U459" t="s">
        <v>1052</v>
      </c>
      <c r="V459" s="7">
        <v>129.9900055</v>
      </c>
      <c r="W459" s="7">
        <v>110.80340837177086</v>
      </c>
      <c r="X459">
        <v>1</v>
      </c>
      <c r="Y459" s="7">
        <v>20.799999239999998</v>
      </c>
      <c r="Z459" s="7">
        <v>129.9900055</v>
      </c>
      <c r="AA459" s="7">
        <f t="shared" si="30"/>
        <v>109.19000625999999</v>
      </c>
      <c r="AB459" t="s">
        <v>45</v>
      </c>
      <c r="AC459" t="str">
        <f t="shared" si="31"/>
        <v>Non-Cash Payments</v>
      </c>
    </row>
    <row r="460" spans="1:29" x14ac:dyDescent="0.25">
      <c r="A460">
        <v>13343</v>
      </c>
      <c r="B460" s="2">
        <v>42199</v>
      </c>
      <c r="C460">
        <v>2</v>
      </c>
      <c r="D460" s="2">
        <f t="shared" si="28"/>
        <v>42201</v>
      </c>
      <c r="E460">
        <v>1</v>
      </c>
      <c r="F460" t="s">
        <v>23</v>
      </c>
      <c r="G460" t="str">
        <f t="shared" si="29"/>
        <v>Other</v>
      </c>
      <c r="H460">
        <v>18</v>
      </c>
      <c r="I460">
        <v>9726</v>
      </c>
      <c r="J460">
        <v>4</v>
      </c>
      <c r="K460" t="s">
        <v>46</v>
      </c>
      <c r="L460" t="s">
        <v>237</v>
      </c>
      <c r="M460" t="s">
        <v>275</v>
      </c>
      <c r="N460" t="s">
        <v>250</v>
      </c>
      <c r="P460" t="s">
        <v>251</v>
      </c>
      <c r="Q460" t="s">
        <v>252</v>
      </c>
      <c r="R460">
        <v>18</v>
      </c>
      <c r="T460">
        <v>403</v>
      </c>
      <c r="U460" t="s">
        <v>1052</v>
      </c>
      <c r="V460" s="7">
        <v>129.9900055</v>
      </c>
      <c r="W460" s="7">
        <v>110.80340837177086</v>
      </c>
      <c r="X460">
        <v>1</v>
      </c>
      <c r="Y460" s="7">
        <v>20.799999239999998</v>
      </c>
      <c r="Z460" s="7">
        <v>129.9900055</v>
      </c>
      <c r="AA460" s="7">
        <f t="shared" si="30"/>
        <v>109.19000625999999</v>
      </c>
      <c r="AB460" t="s">
        <v>45</v>
      </c>
      <c r="AC460" t="str">
        <f t="shared" si="31"/>
        <v>Non-Cash Payments</v>
      </c>
    </row>
    <row r="461" spans="1:29" x14ac:dyDescent="0.25">
      <c r="A461">
        <v>20072</v>
      </c>
      <c r="B461" s="2">
        <v>42297</v>
      </c>
      <c r="C461">
        <v>2</v>
      </c>
      <c r="D461" s="2">
        <f t="shared" si="28"/>
        <v>42299</v>
      </c>
      <c r="E461">
        <v>1</v>
      </c>
      <c r="F461" t="s">
        <v>23</v>
      </c>
      <c r="G461" t="str">
        <f t="shared" si="29"/>
        <v>Other</v>
      </c>
      <c r="H461">
        <v>18</v>
      </c>
      <c r="I461">
        <v>4279</v>
      </c>
      <c r="J461">
        <v>4</v>
      </c>
      <c r="K461" t="s">
        <v>46</v>
      </c>
      <c r="L461" t="s">
        <v>237</v>
      </c>
      <c r="M461" t="s">
        <v>368</v>
      </c>
      <c r="N461" t="s">
        <v>369</v>
      </c>
      <c r="P461" t="s">
        <v>263</v>
      </c>
      <c r="Q461" t="s">
        <v>264</v>
      </c>
      <c r="R461">
        <v>18</v>
      </c>
      <c r="T461">
        <v>403</v>
      </c>
      <c r="U461" t="s">
        <v>1052</v>
      </c>
      <c r="V461" s="7">
        <v>129.9900055</v>
      </c>
      <c r="W461" s="7">
        <v>110.80340837177086</v>
      </c>
      <c r="X461">
        <v>1</v>
      </c>
      <c r="Y461" s="7">
        <v>20.799999239999998</v>
      </c>
      <c r="Z461" s="7">
        <v>129.9900055</v>
      </c>
      <c r="AA461" s="7">
        <f t="shared" si="30"/>
        <v>109.19000625999999</v>
      </c>
      <c r="AB461" t="s">
        <v>45</v>
      </c>
      <c r="AC461" t="str">
        <f t="shared" si="31"/>
        <v>Non-Cash Payments</v>
      </c>
    </row>
    <row r="462" spans="1:29" x14ac:dyDescent="0.25">
      <c r="A462">
        <v>12323</v>
      </c>
      <c r="B462" s="2">
        <v>42184</v>
      </c>
      <c r="C462">
        <v>2</v>
      </c>
      <c r="D462" s="2">
        <f t="shared" si="28"/>
        <v>42186</v>
      </c>
      <c r="E462">
        <v>1</v>
      </c>
      <c r="F462" t="s">
        <v>23</v>
      </c>
      <c r="G462" t="str">
        <f t="shared" si="29"/>
        <v>Other</v>
      </c>
      <c r="H462">
        <v>17</v>
      </c>
      <c r="I462">
        <v>4151</v>
      </c>
      <c r="J462">
        <v>4</v>
      </c>
      <c r="K462" t="s">
        <v>46</v>
      </c>
      <c r="L462" t="s">
        <v>237</v>
      </c>
      <c r="M462" t="s">
        <v>426</v>
      </c>
      <c r="N462" t="s">
        <v>266</v>
      </c>
      <c r="P462" t="s">
        <v>240</v>
      </c>
      <c r="Q462" t="s">
        <v>241</v>
      </c>
      <c r="R462">
        <v>17</v>
      </c>
      <c r="T462">
        <v>365</v>
      </c>
      <c r="U462" t="s">
        <v>1054</v>
      </c>
      <c r="V462" s="7">
        <v>59.990001679999999</v>
      </c>
      <c r="W462" s="7">
        <v>54.488929209402009</v>
      </c>
      <c r="X462">
        <v>1</v>
      </c>
      <c r="Y462" s="7">
        <v>9.6000003809999992</v>
      </c>
      <c r="Z462" s="7">
        <v>59.990001679999999</v>
      </c>
      <c r="AA462" s="7">
        <f t="shared" si="30"/>
        <v>50.390001298999998</v>
      </c>
      <c r="AB462" t="s">
        <v>45</v>
      </c>
      <c r="AC462" t="str">
        <f t="shared" si="31"/>
        <v>Non-Cash Payments</v>
      </c>
    </row>
    <row r="463" spans="1:29" x14ac:dyDescent="0.25">
      <c r="A463">
        <v>71295</v>
      </c>
      <c r="B463" s="2">
        <v>42897</v>
      </c>
      <c r="C463">
        <v>2</v>
      </c>
      <c r="D463" s="2">
        <f t="shared" si="28"/>
        <v>42899</v>
      </c>
      <c r="E463">
        <v>1</v>
      </c>
      <c r="F463" t="s">
        <v>23</v>
      </c>
      <c r="G463" t="str">
        <f t="shared" si="29"/>
        <v>Other</v>
      </c>
      <c r="H463">
        <v>66</v>
      </c>
      <c r="I463">
        <v>14848</v>
      </c>
      <c r="J463">
        <v>4</v>
      </c>
      <c r="K463" t="s">
        <v>46</v>
      </c>
      <c r="L463" t="s">
        <v>237</v>
      </c>
      <c r="M463" t="s">
        <v>427</v>
      </c>
      <c r="N463" t="s">
        <v>292</v>
      </c>
      <c r="P463" t="s">
        <v>244</v>
      </c>
      <c r="Q463" t="s">
        <v>241</v>
      </c>
      <c r="R463">
        <v>66</v>
      </c>
      <c r="T463">
        <v>1353</v>
      </c>
      <c r="U463" t="s">
        <v>1114</v>
      </c>
      <c r="V463" s="7">
        <v>461.48001099999999</v>
      </c>
      <c r="W463" s="7">
        <v>376.77167767999998</v>
      </c>
      <c r="X463">
        <v>1</v>
      </c>
      <c r="Y463" s="7">
        <v>73.839996339999999</v>
      </c>
      <c r="Z463" s="7">
        <v>461.48001099999999</v>
      </c>
      <c r="AA463" s="7">
        <f t="shared" si="30"/>
        <v>387.64001466000002</v>
      </c>
      <c r="AB463" t="s">
        <v>45</v>
      </c>
      <c r="AC463" t="str">
        <f t="shared" si="31"/>
        <v>Non-Cash Payments</v>
      </c>
    </row>
    <row r="464" spans="1:29" x14ac:dyDescent="0.25">
      <c r="A464">
        <v>66351</v>
      </c>
      <c r="B464" s="2">
        <v>42973</v>
      </c>
      <c r="C464">
        <v>2</v>
      </c>
      <c r="D464" s="2">
        <f t="shared" si="28"/>
        <v>42976</v>
      </c>
      <c r="E464">
        <v>0</v>
      </c>
      <c r="F464" t="s">
        <v>23</v>
      </c>
      <c r="G464" t="str">
        <f t="shared" si="29"/>
        <v>Other</v>
      </c>
      <c r="H464">
        <v>18</v>
      </c>
      <c r="I464">
        <v>4697</v>
      </c>
      <c r="J464">
        <v>4</v>
      </c>
      <c r="K464" t="s">
        <v>46</v>
      </c>
      <c r="L464" t="s">
        <v>237</v>
      </c>
      <c r="M464" t="s">
        <v>428</v>
      </c>
      <c r="N464" t="s">
        <v>239</v>
      </c>
      <c r="P464" t="s">
        <v>240</v>
      </c>
      <c r="Q464" t="s">
        <v>241</v>
      </c>
      <c r="R464">
        <v>18</v>
      </c>
      <c r="T464">
        <v>403</v>
      </c>
      <c r="U464" t="s">
        <v>1052</v>
      </c>
      <c r="V464" s="7">
        <v>129.9900055</v>
      </c>
      <c r="W464" s="7">
        <v>110.80340837177086</v>
      </c>
      <c r="X464">
        <v>1</v>
      </c>
      <c r="Y464" s="7">
        <v>20.799999239999998</v>
      </c>
      <c r="Z464" s="7">
        <v>129.9900055</v>
      </c>
      <c r="AA464" s="7">
        <f t="shared" si="30"/>
        <v>109.19000625999999</v>
      </c>
      <c r="AB464" t="s">
        <v>45</v>
      </c>
      <c r="AC464" t="str">
        <f t="shared" si="31"/>
        <v>Non-Cash Payments</v>
      </c>
    </row>
    <row r="465" spans="1:29" x14ac:dyDescent="0.25">
      <c r="A465">
        <v>12698</v>
      </c>
      <c r="B465" s="2">
        <v>42131</v>
      </c>
      <c r="C465">
        <v>2</v>
      </c>
      <c r="D465" s="2">
        <f t="shared" si="28"/>
        <v>42135</v>
      </c>
      <c r="E465">
        <v>1</v>
      </c>
      <c r="F465" t="s">
        <v>23</v>
      </c>
      <c r="G465" t="str">
        <f t="shared" si="29"/>
        <v>Other</v>
      </c>
      <c r="H465">
        <v>18</v>
      </c>
      <c r="I465">
        <v>3940</v>
      </c>
      <c r="J465">
        <v>4</v>
      </c>
      <c r="K465" t="s">
        <v>46</v>
      </c>
      <c r="L465" t="s">
        <v>237</v>
      </c>
      <c r="M465" t="s">
        <v>405</v>
      </c>
      <c r="N465" t="s">
        <v>288</v>
      </c>
      <c r="P465" t="s">
        <v>244</v>
      </c>
      <c r="Q465" t="s">
        <v>241</v>
      </c>
      <c r="R465">
        <v>18</v>
      </c>
      <c r="T465">
        <v>403</v>
      </c>
      <c r="U465" t="s">
        <v>1052</v>
      </c>
      <c r="V465" s="7">
        <v>129.9900055</v>
      </c>
      <c r="W465" s="7">
        <v>110.80340837177086</v>
      </c>
      <c r="X465">
        <v>1</v>
      </c>
      <c r="Y465" s="7">
        <v>20.799999239999998</v>
      </c>
      <c r="Z465" s="7">
        <v>129.9900055</v>
      </c>
      <c r="AA465" s="7">
        <f t="shared" si="30"/>
        <v>109.19000625999999</v>
      </c>
      <c r="AB465" t="s">
        <v>45</v>
      </c>
      <c r="AC465" t="str">
        <f t="shared" si="31"/>
        <v>Non-Cash Payments</v>
      </c>
    </row>
    <row r="466" spans="1:29" x14ac:dyDescent="0.25">
      <c r="A466">
        <v>44148</v>
      </c>
      <c r="B466" s="2">
        <v>42531</v>
      </c>
      <c r="C466">
        <v>2</v>
      </c>
      <c r="D466" s="2">
        <f t="shared" si="28"/>
        <v>42535</v>
      </c>
      <c r="E466">
        <v>1</v>
      </c>
      <c r="F466" t="s">
        <v>23</v>
      </c>
      <c r="G466" t="str">
        <f t="shared" si="29"/>
        <v>Other</v>
      </c>
      <c r="H466">
        <v>18</v>
      </c>
      <c r="I466">
        <v>5887</v>
      </c>
      <c r="J466">
        <v>4</v>
      </c>
      <c r="K466" t="s">
        <v>46</v>
      </c>
      <c r="L466" t="s">
        <v>237</v>
      </c>
      <c r="M466" t="s">
        <v>429</v>
      </c>
      <c r="N466" t="s">
        <v>430</v>
      </c>
      <c r="P466" t="s">
        <v>335</v>
      </c>
      <c r="Q466" t="s">
        <v>320</v>
      </c>
      <c r="R466">
        <v>18</v>
      </c>
      <c r="T466">
        <v>403</v>
      </c>
      <c r="U466" t="s">
        <v>1052</v>
      </c>
      <c r="V466" s="7">
        <v>129.9900055</v>
      </c>
      <c r="W466" s="7">
        <v>110.80340837177086</v>
      </c>
      <c r="X466">
        <v>1</v>
      </c>
      <c r="Y466" s="7">
        <v>22.100000380000001</v>
      </c>
      <c r="Z466" s="7">
        <v>129.9900055</v>
      </c>
      <c r="AA466" s="7">
        <f t="shared" si="30"/>
        <v>107.89000512</v>
      </c>
      <c r="AB466" t="s">
        <v>45</v>
      </c>
      <c r="AC466" t="str">
        <f t="shared" si="31"/>
        <v>Non-Cash Payments</v>
      </c>
    </row>
    <row r="467" spans="1:29" x14ac:dyDescent="0.25">
      <c r="A467">
        <v>64274</v>
      </c>
      <c r="B467" s="2">
        <v>42943</v>
      </c>
      <c r="C467">
        <v>4</v>
      </c>
      <c r="D467" s="2">
        <f t="shared" si="28"/>
        <v>42949</v>
      </c>
      <c r="E467">
        <v>0</v>
      </c>
      <c r="F467" t="s">
        <v>62</v>
      </c>
      <c r="G467" t="str">
        <f t="shared" si="29"/>
        <v>Other</v>
      </c>
      <c r="H467">
        <v>9</v>
      </c>
      <c r="I467">
        <v>12019</v>
      </c>
      <c r="J467">
        <v>3</v>
      </c>
      <c r="K467" t="s">
        <v>24</v>
      </c>
      <c r="L467" t="s">
        <v>237</v>
      </c>
      <c r="M467" t="s">
        <v>247</v>
      </c>
      <c r="N467" t="s">
        <v>247</v>
      </c>
      <c r="P467" t="s">
        <v>248</v>
      </c>
      <c r="Q467" t="s">
        <v>241</v>
      </c>
      <c r="R467">
        <v>9</v>
      </c>
      <c r="T467">
        <v>191</v>
      </c>
      <c r="U467" t="s">
        <v>1044</v>
      </c>
      <c r="V467" s="7">
        <v>99.989997860000003</v>
      </c>
      <c r="W467" s="7">
        <v>95.114003926871064</v>
      </c>
      <c r="X467">
        <v>4</v>
      </c>
      <c r="Y467" s="7">
        <v>79.989997860000003</v>
      </c>
      <c r="Z467" s="7">
        <v>399.95999144000001</v>
      </c>
      <c r="AA467" s="7">
        <f t="shared" si="30"/>
        <v>319.96999357999999</v>
      </c>
      <c r="AB467" t="s">
        <v>66</v>
      </c>
      <c r="AC467" t="str">
        <f t="shared" si="31"/>
        <v>Non-Cash Payments</v>
      </c>
    </row>
    <row r="468" spans="1:29" x14ac:dyDescent="0.25">
      <c r="A468">
        <v>13298</v>
      </c>
      <c r="B468" s="2">
        <v>42199</v>
      </c>
      <c r="C468">
        <v>4</v>
      </c>
      <c r="D468" s="2">
        <f t="shared" si="28"/>
        <v>42205</v>
      </c>
      <c r="E468">
        <v>0</v>
      </c>
      <c r="F468" t="s">
        <v>62</v>
      </c>
      <c r="G468" t="str">
        <f t="shared" si="29"/>
        <v>Other</v>
      </c>
      <c r="H468">
        <v>17</v>
      </c>
      <c r="I468">
        <v>10549</v>
      </c>
      <c r="J468">
        <v>4</v>
      </c>
      <c r="K468" t="s">
        <v>46</v>
      </c>
      <c r="L468" t="s">
        <v>237</v>
      </c>
      <c r="M468" t="s">
        <v>431</v>
      </c>
      <c r="N468" t="s">
        <v>417</v>
      </c>
      <c r="P468" t="s">
        <v>263</v>
      </c>
      <c r="Q468" t="s">
        <v>264</v>
      </c>
      <c r="R468">
        <v>17</v>
      </c>
      <c r="T468">
        <v>365</v>
      </c>
      <c r="U468" t="s">
        <v>1054</v>
      </c>
      <c r="V468" s="7">
        <v>59.990001679999999</v>
      </c>
      <c r="W468" s="7">
        <v>54.488929209402009</v>
      </c>
      <c r="X468">
        <v>4</v>
      </c>
      <c r="Y468" s="7">
        <v>4.8000001909999996</v>
      </c>
      <c r="Z468" s="7">
        <v>239.96000672</v>
      </c>
      <c r="AA468" s="7">
        <f t="shared" si="30"/>
        <v>235.16000652899999</v>
      </c>
      <c r="AB468" t="s">
        <v>66</v>
      </c>
      <c r="AC468" t="str">
        <f t="shared" si="31"/>
        <v>Non-Cash Payments</v>
      </c>
    </row>
    <row r="469" spans="1:29" x14ac:dyDescent="0.25">
      <c r="A469">
        <v>62786</v>
      </c>
      <c r="B469" s="2">
        <v>42862</v>
      </c>
      <c r="C469">
        <v>4</v>
      </c>
      <c r="D469" s="2">
        <f t="shared" si="28"/>
        <v>42866</v>
      </c>
      <c r="E469">
        <v>0</v>
      </c>
      <c r="F469" t="s">
        <v>62</v>
      </c>
      <c r="G469" t="str">
        <f t="shared" si="29"/>
        <v>Other</v>
      </c>
      <c r="H469">
        <v>17</v>
      </c>
      <c r="I469">
        <v>4909</v>
      </c>
      <c r="J469">
        <v>4</v>
      </c>
      <c r="K469" t="s">
        <v>46</v>
      </c>
      <c r="L469" t="s">
        <v>237</v>
      </c>
      <c r="M469" t="s">
        <v>432</v>
      </c>
      <c r="N469" t="s">
        <v>239</v>
      </c>
      <c r="P469" t="s">
        <v>240</v>
      </c>
      <c r="Q469" t="s">
        <v>241</v>
      </c>
      <c r="R469">
        <v>17</v>
      </c>
      <c r="T469">
        <v>365</v>
      </c>
      <c r="U469" t="s">
        <v>1054</v>
      </c>
      <c r="V469" s="7">
        <v>59.990001679999999</v>
      </c>
      <c r="W469" s="7">
        <v>54.488929209402009</v>
      </c>
      <c r="X469">
        <v>4</v>
      </c>
      <c r="Y469" s="7">
        <v>9.6000003809999992</v>
      </c>
      <c r="Z469" s="7">
        <v>239.96000672</v>
      </c>
      <c r="AA469" s="7">
        <f t="shared" si="30"/>
        <v>230.36000633899999</v>
      </c>
      <c r="AB469" t="s">
        <v>66</v>
      </c>
      <c r="AC469" t="str">
        <f t="shared" si="31"/>
        <v>Non-Cash Payments</v>
      </c>
    </row>
    <row r="470" spans="1:29" x14ac:dyDescent="0.25">
      <c r="A470">
        <v>13939</v>
      </c>
      <c r="B470" s="2">
        <v>42208</v>
      </c>
      <c r="C470">
        <v>4</v>
      </c>
      <c r="D470" s="2">
        <f t="shared" si="28"/>
        <v>42214</v>
      </c>
      <c r="E470">
        <v>0</v>
      </c>
      <c r="F470" t="s">
        <v>62</v>
      </c>
      <c r="G470" t="str">
        <f t="shared" si="29"/>
        <v>Other</v>
      </c>
      <c r="H470">
        <v>17</v>
      </c>
      <c r="I470">
        <v>5854</v>
      </c>
      <c r="J470">
        <v>4</v>
      </c>
      <c r="K470" t="s">
        <v>46</v>
      </c>
      <c r="L470" t="s">
        <v>237</v>
      </c>
      <c r="M470" t="s">
        <v>410</v>
      </c>
      <c r="N470" t="s">
        <v>411</v>
      </c>
      <c r="P470" t="s">
        <v>263</v>
      </c>
      <c r="Q470" t="s">
        <v>264</v>
      </c>
      <c r="R470">
        <v>17</v>
      </c>
      <c r="T470">
        <v>365</v>
      </c>
      <c r="U470" t="s">
        <v>1054</v>
      </c>
      <c r="V470" s="7">
        <v>59.990001679999999</v>
      </c>
      <c r="W470" s="7">
        <v>54.488929209402009</v>
      </c>
      <c r="X470">
        <v>4</v>
      </c>
      <c r="Y470" s="7">
        <v>28.799999239999998</v>
      </c>
      <c r="Z470" s="7">
        <v>239.96000672</v>
      </c>
      <c r="AA470" s="7">
        <f t="shared" si="30"/>
        <v>211.16000747999999</v>
      </c>
      <c r="AB470" t="s">
        <v>66</v>
      </c>
      <c r="AC470" t="str">
        <f t="shared" si="31"/>
        <v>Non-Cash Payments</v>
      </c>
    </row>
    <row r="471" spans="1:29" x14ac:dyDescent="0.25">
      <c r="A471">
        <v>46864</v>
      </c>
      <c r="B471" s="2">
        <v>42689</v>
      </c>
      <c r="C471">
        <v>4</v>
      </c>
      <c r="D471" s="2">
        <f t="shared" si="28"/>
        <v>42695</v>
      </c>
      <c r="E471">
        <v>0</v>
      </c>
      <c r="F471" t="s">
        <v>62</v>
      </c>
      <c r="G471" t="str">
        <f t="shared" si="29"/>
        <v>Other</v>
      </c>
      <c r="H471">
        <v>17</v>
      </c>
      <c r="I471">
        <v>3066</v>
      </c>
      <c r="J471">
        <v>4</v>
      </c>
      <c r="K471" t="s">
        <v>46</v>
      </c>
      <c r="L471" t="s">
        <v>237</v>
      </c>
      <c r="M471" t="s">
        <v>433</v>
      </c>
      <c r="N471" t="s">
        <v>434</v>
      </c>
      <c r="P471" t="s">
        <v>373</v>
      </c>
      <c r="Q471" t="s">
        <v>320</v>
      </c>
      <c r="R471">
        <v>17</v>
      </c>
      <c r="T471">
        <v>365</v>
      </c>
      <c r="U471" t="s">
        <v>1054</v>
      </c>
      <c r="V471" s="7">
        <v>59.990001679999999</v>
      </c>
      <c r="W471" s="7">
        <v>54.488929209402009</v>
      </c>
      <c r="X471">
        <v>4</v>
      </c>
      <c r="Y471" s="7">
        <v>31.190000529999999</v>
      </c>
      <c r="Z471" s="7">
        <v>239.96000672</v>
      </c>
      <c r="AA471" s="7">
        <f t="shared" si="30"/>
        <v>208.77000619</v>
      </c>
      <c r="AB471" t="s">
        <v>66</v>
      </c>
      <c r="AC471" t="str">
        <f t="shared" si="31"/>
        <v>Non-Cash Payments</v>
      </c>
    </row>
    <row r="472" spans="1:29" x14ac:dyDescent="0.25">
      <c r="A472">
        <v>16590</v>
      </c>
      <c r="B472" s="2">
        <v>42247</v>
      </c>
      <c r="C472">
        <v>4</v>
      </c>
      <c r="D472" s="2">
        <f t="shared" si="28"/>
        <v>42251</v>
      </c>
      <c r="E472">
        <v>0</v>
      </c>
      <c r="F472" t="s">
        <v>62</v>
      </c>
      <c r="G472" t="str">
        <f t="shared" si="29"/>
        <v>Other</v>
      </c>
      <c r="H472">
        <v>17</v>
      </c>
      <c r="I472">
        <v>11431</v>
      </c>
      <c r="J472">
        <v>4</v>
      </c>
      <c r="K472" t="s">
        <v>46</v>
      </c>
      <c r="L472" t="s">
        <v>237</v>
      </c>
      <c r="M472" t="s">
        <v>435</v>
      </c>
      <c r="N472" t="s">
        <v>250</v>
      </c>
      <c r="P472" t="s">
        <v>251</v>
      </c>
      <c r="Q472" t="s">
        <v>252</v>
      </c>
      <c r="R472">
        <v>17</v>
      </c>
      <c r="T472">
        <v>365</v>
      </c>
      <c r="U472" t="s">
        <v>1054</v>
      </c>
      <c r="V472" s="7">
        <v>59.990001679999999</v>
      </c>
      <c r="W472" s="7">
        <v>54.488929209402009</v>
      </c>
      <c r="X472">
        <v>4</v>
      </c>
      <c r="Y472" s="7">
        <v>43.189998629999998</v>
      </c>
      <c r="Z472" s="7">
        <v>239.96000672</v>
      </c>
      <c r="AA472" s="7">
        <f t="shared" si="30"/>
        <v>196.77000809</v>
      </c>
      <c r="AB472" t="s">
        <v>66</v>
      </c>
      <c r="AC472" t="str">
        <f t="shared" si="31"/>
        <v>Non-Cash Payments</v>
      </c>
    </row>
    <row r="473" spans="1:29" x14ac:dyDescent="0.25">
      <c r="A473">
        <v>62840</v>
      </c>
      <c r="B473" s="2">
        <v>42893</v>
      </c>
      <c r="C473">
        <v>4</v>
      </c>
      <c r="D473" s="2">
        <f t="shared" si="28"/>
        <v>42899</v>
      </c>
      <c r="E473">
        <v>0</v>
      </c>
      <c r="F473" t="s">
        <v>62</v>
      </c>
      <c r="G473" t="str">
        <f t="shared" si="29"/>
        <v>Other</v>
      </c>
      <c r="H473">
        <v>17</v>
      </c>
      <c r="I473">
        <v>9906</v>
      </c>
      <c r="J473">
        <v>4</v>
      </c>
      <c r="K473" t="s">
        <v>46</v>
      </c>
      <c r="L473" t="s">
        <v>237</v>
      </c>
      <c r="M473" t="s">
        <v>436</v>
      </c>
      <c r="N473" t="s">
        <v>250</v>
      </c>
      <c r="P473" t="s">
        <v>251</v>
      </c>
      <c r="Q473" t="s">
        <v>252</v>
      </c>
      <c r="R473">
        <v>17</v>
      </c>
      <c r="T473">
        <v>365</v>
      </c>
      <c r="U473" t="s">
        <v>1054</v>
      </c>
      <c r="V473" s="7">
        <v>59.990001679999999</v>
      </c>
      <c r="W473" s="7">
        <v>54.488929209402009</v>
      </c>
      <c r="X473">
        <v>4</v>
      </c>
      <c r="Y473" s="7">
        <v>59.990001679999999</v>
      </c>
      <c r="Z473" s="7">
        <v>239.96000672</v>
      </c>
      <c r="AA473" s="7">
        <f t="shared" si="30"/>
        <v>179.97000503999999</v>
      </c>
      <c r="AB473" t="s">
        <v>66</v>
      </c>
      <c r="AC473" t="str">
        <f t="shared" si="31"/>
        <v>Non-Cash Payments</v>
      </c>
    </row>
    <row r="474" spans="1:29" x14ac:dyDescent="0.25">
      <c r="A474">
        <v>66959</v>
      </c>
      <c r="B474" s="2">
        <v>42834</v>
      </c>
      <c r="C474">
        <v>4</v>
      </c>
      <c r="D474" s="2">
        <f t="shared" si="28"/>
        <v>42838</v>
      </c>
      <c r="E474">
        <v>0</v>
      </c>
      <c r="F474" t="s">
        <v>62</v>
      </c>
      <c r="G474" t="str">
        <f t="shared" si="29"/>
        <v>Other</v>
      </c>
      <c r="H474">
        <v>24</v>
      </c>
      <c r="I474">
        <v>2048</v>
      </c>
      <c r="J474">
        <v>5</v>
      </c>
      <c r="K474" t="s">
        <v>31</v>
      </c>
      <c r="L474" t="s">
        <v>237</v>
      </c>
      <c r="M474" t="s">
        <v>386</v>
      </c>
      <c r="N474" t="s">
        <v>255</v>
      </c>
      <c r="P474" t="s">
        <v>244</v>
      </c>
      <c r="Q474" t="s">
        <v>241</v>
      </c>
      <c r="R474">
        <v>24</v>
      </c>
      <c r="T474">
        <v>502</v>
      </c>
      <c r="U474" t="s">
        <v>1058</v>
      </c>
      <c r="V474" s="7">
        <v>50</v>
      </c>
      <c r="W474" s="7">
        <v>43.678035218757444</v>
      </c>
      <c r="X474">
        <v>4</v>
      </c>
      <c r="Y474" s="7">
        <v>2</v>
      </c>
      <c r="Z474" s="7">
        <v>200</v>
      </c>
      <c r="AA474" s="7">
        <f t="shared" si="30"/>
        <v>198</v>
      </c>
      <c r="AB474" t="s">
        <v>66</v>
      </c>
      <c r="AC474" t="str">
        <f t="shared" si="31"/>
        <v>Non-Cash Payments</v>
      </c>
    </row>
    <row r="475" spans="1:29" x14ac:dyDescent="0.25">
      <c r="A475">
        <v>63220</v>
      </c>
      <c r="B475" s="2">
        <v>43046</v>
      </c>
      <c r="C475">
        <v>4</v>
      </c>
      <c r="D475" s="2">
        <f t="shared" si="28"/>
        <v>43052</v>
      </c>
      <c r="E475">
        <v>0</v>
      </c>
      <c r="F475" t="s">
        <v>62</v>
      </c>
      <c r="G475" t="str">
        <f t="shared" si="29"/>
        <v>Other</v>
      </c>
      <c r="H475">
        <v>29</v>
      </c>
      <c r="I475">
        <v>3071</v>
      </c>
      <c r="J475">
        <v>5</v>
      </c>
      <c r="K475" t="s">
        <v>31</v>
      </c>
      <c r="L475" t="s">
        <v>237</v>
      </c>
      <c r="M475" t="s">
        <v>437</v>
      </c>
      <c r="N475" t="s">
        <v>259</v>
      </c>
      <c r="P475" t="s">
        <v>244</v>
      </c>
      <c r="Q475" t="s">
        <v>241</v>
      </c>
      <c r="R475">
        <v>29</v>
      </c>
      <c r="T475">
        <v>627</v>
      </c>
      <c r="U475" t="s">
        <v>1046</v>
      </c>
      <c r="V475" s="7">
        <v>39.990001679999999</v>
      </c>
      <c r="W475" s="7">
        <v>34.198098313835338</v>
      </c>
      <c r="X475">
        <v>4</v>
      </c>
      <c r="Y475" s="7">
        <v>8</v>
      </c>
      <c r="Z475" s="7">
        <v>159.96000672</v>
      </c>
      <c r="AA475" s="7">
        <f t="shared" si="30"/>
        <v>151.96000672</v>
      </c>
      <c r="AB475" t="s">
        <v>66</v>
      </c>
      <c r="AC475" t="str">
        <f t="shared" si="31"/>
        <v>Non-Cash Payments</v>
      </c>
    </row>
    <row r="476" spans="1:29" x14ac:dyDescent="0.25">
      <c r="A476">
        <v>19642</v>
      </c>
      <c r="B476" s="2">
        <v>42291</v>
      </c>
      <c r="C476">
        <v>4</v>
      </c>
      <c r="D476" s="2">
        <f t="shared" si="28"/>
        <v>42297</v>
      </c>
      <c r="E476">
        <v>0</v>
      </c>
      <c r="F476" t="s">
        <v>62</v>
      </c>
      <c r="G476" t="str">
        <f t="shared" si="29"/>
        <v>Other</v>
      </c>
      <c r="H476">
        <v>24</v>
      </c>
      <c r="I476">
        <v>11065</v>
      </c>
      <c r="J476">
        <v>5</v>
      </c>
      <c r="K476" t="s">
        <v>31</v>
      </c>
      <c r="L476" t="s">
        <v>237</v>
      </c>
      <c r="M476" t="s">
        <v>438</v>
      </c>
      <c r="N476" t="s">
        <v>438</v>
      </c>
      <c r="P476" t="s">
        <v>248</v>
      </c>
      <c r="Q476" t="s">
        <v>241</v>
      </c>
      <c r="R476">
        <v>24</v>
      </c>
      <c r="T476">
        <v>502</v>
      </c>
      <c r="U476" t="s">
        <v>1058</v>
      </c>
      <c r="V476" s="7">
        <v>50</v>
      </c>
      <c r="W476" s="7">
        <v>43.678035218757444</v>
      </c>
      <c r="X476">
        <v>4</v>
      </c>
      <c r="Y476" s="7">
        <v>11</v>
      </c>
      <c r="Z476" s="7">
        <v>200</v>
      </c>
      <c r="AA476" s="7">
        <f t="shared" si="30"/>
        <v>189</v>
      </c>
      <c r="AB476" t="s">
        <v>66</v>
      </c>
      <c r="AC476" t="str">
        <f t="shared" si="31"/>
        <v>Non-Cash Payments</v>
      </c>
    </row>
    <row r="477" spans="1:29" x14ac:dyDescent="0.25">
      <c r="A477">
        <v>65439</v>
      </c>
      <c r="B477" s="2">
        <v>42960</v>
      </c>
      <c r="C477">
        <v>4</v>
      </c>
      <c r="D477" s="2">
        <f t="shared" si="28"/>
        <v>42964</v>
      </c>
      <c r="E477">
        <v>0</v>
      </c>
      <c r="F477" t="s">
        <v>62</v>
      </c>
      <c r="G477" t="str">
        <f t="shared" si="29"/>
        <v>Other</v>
      </c>
      <c r="H477">
        <v>24</v>
      </c>
      <c r="I477">
        <v>394</v>
      </c>
      <c r="J477">
        <v>5</v>
      </c>
      <c r="K477" t="s">
        <v>31</v>
      </c>
      <c r="L477" t="s">
        <v>237</v>
      </c>
      <c r="M477" t="s">
        <v>439</v>
      </c>
      <c r="N477" t="s">
        <v>440</v>
      </c>
      <c r="P477" t="s">
        <v>420</v>
      </c>
      <c r="Q477" t="s">
        <v>241</v>
      </c>
      <c r="R477">
        <v>24</v>
      </c>
      <c r="T477">
        <v>502</v>
      </c>
      <c r="U477" t="s">
        <v>1058</v>
      </c>
      <c r="V477" s="7">
        <v>50</v>
      </c>
      <c r="W477" s="7">
        <v>43.678035218757444</v>
      </c>
      <c r="X477">
        <v>4</v>
      </c>
      <c r="Y477" s="7">
        <v>14</v>
      </c>
      <c r="Z477" s="7">
        <v>200</v>
      </c>
      <c r="AA477" s="7">
        <f t="shared" si="30"/>
        <v>186</v>
      </c>
      <c r="AB477" t="s">
        <v>66</v>
      </c>
      <c r="AC477" t="str">
        <f t="shared" si="31"/>
        <v>Non-Cash Payments</v>
      </c>
    </row>
    <row r="478" spans="1:29" x14ac:dyDescent="0.25">
      <c r="A478">
        <v>62840</v>
      </c>
      <c r="B478" s="2">
        <v>42893</v>
      </c>
      <c r="C478">
        <v>4</v>
      </c>
      <c r="D478" s="2">
        <f t="shared" si="28"/>
        <v>42899</v>
      </c>
      <c r="E478">
        <v>0</v>
      </c>
      <c r="F478" t="s">
        <v>62</v>
      </c>
      <c r="G478" t="str">
        <f t="shared" si="29"/>
        <v>Other</v>
      </c>
      <c r="H478">
        <v>24</v>
      </c>
      <c r="I478">
        <v>9906</v>
      </c>
      <c r="J478">
        <v>5</v>
      </c>
      <c r="K478" t="s">
        <v>31</v>
      </c>
      <c r="L478" t="s">
        <v>237</v>
      </c>
      <c r="M478" t="s">
        <v>436</v>
      </c>
      <c r="N478" t="s">
        <v>250</v>
      </c>
      <c r="P478" t="s">
        <v>251</v>
      </c>
      <c r="Q478" t="s">
        <v>252</v>
      </c>
      <c r="R478">
        <v>24</v>
      </c>
      <c r="T478">
        <v>502</v>
      </c>
      <c r="U478" t="s">
        <v>1058</v>
      </c>
      <c r="V478" s="7">
        <v>50</v>
      </c>
      <c r="W478" s="7">
        <v>43.678035218757444</v>
      </c>
      <c r="X478">
        <v>4</v>
      </c>
      <c r="Y478" s="7">
        <v>20</v>
      </c>
      <c r="Z478" s="7">
        <v>200</v>
      </c>
      <c r="AA478" s="7">
        <f t="shared" si="30"/>
        <v>180</v>
      </c>
      <c r="AB478" t="s">
        <v>66</v>
      </c>
      <c r="AC478" t="str">
        <f t="shared" si="31"/>
        <v>Non-Cash Payments</v>
      </c>
    </row>
    <row r="479" spans="1:29" x14ac:dyDescent="0.25">
      <c r="A479">
        <v>17363</v>
      </c>
      <c r="B479" s="2">
        <v>42317</v>
      </c>
      <c r="C479">
        <v>4</v>
      </c>
      <c r="D479" s="2">
        <f t="shared" si="28"/>
        <v>42321</v>
      </c>
      <c r="E479">
        <v>0</v>
      </c>
      <c r="F479" t="s">
        <v>62</v>
      </c>
      <c r="G479" t="str">
        <f t="shared" si="29"/>
        <v>Other</v>
      </c>
      <c r="H479">
        <v>24</v>
      </c>
      <c r="I479">
        <v>5707</v>
      </c>
      <c r="J479">
        <v>5</v>
      </c>
      <c r="K479" t="s">
        <v>31</v>
      </c>
      <c r="L479" t="s">
        <v>237</v>
      </c>
      <c r="M479" t="s">
        <v>441</v>
      </c>
      <c r="N479" t="s">
        <v>250</v>
      </c>
      <c r="P479" t="s">
        <v>251</v>
      </c>
      <c r="Q479" t="s">
        <v>252</v>
      </c>
      <c r="R479">
        <v>24</v>
      </c>
      <c r="T479">
        <v>502</v>
      </c>
      <c r="U479" t="s">
        <v>1058</v>
      </c>
      <c r="V479" s="7">
        <v>50</v>
      </c>
      <c r="W479" s="7">
        <v>43.678035218757444</v>
      </c>
      <c r="X479">
        <v>4</v>
      </c>
      <c r="Y479" s="7">
        <v>20</v>
      </c>
      <c r="Z479" s="7">
        <v>200</v>
      </c>
      <c r="AA479" s="7">
        <f t="shared" si="30"/>
        <v>180</v>
      </c>
      <c r="AB479" t="s">
        <v>66</v>
      </c>
      <c r="AC479" t="str">
        <f t="shared" si="31"/>
        <v>Non-Cash Payments</v>
      </c>
    </row>
    <row r="480" spans="1:29" x14ac:dyDescent="0.25">
      <c r="A480">
        <v>13298</v>
      </c>
      <c r="B480" s="2">
        <v>42199</v>
      </c>
      <c r="C480">
        <v>4</v>
      </c>
      <c r="D480" s="2">
        <f t="shared" si="28"/>
        <v>42205</v>
      </c>
      <c r="E480">
        <v>0</v>
      </c>
      <c r="F480" t="s">
        <v>62</v>
      </c>
      <c r="G480" t="str">
        <f t="shared" si="29"/>
        <v>Other</v>
      </c>
      <c r="H480">
        <v>29</v>
      </c>
      <c r="I480">
        <v>10549</v>
      </c>
      <c r="J480">
        <v>5</v>
      </c>
      <c r="K480" t="s">
        <v>31</v>
      </c>
      <c r="L480" t="s">
        <v>237</v>
      </c>
      <c r="M480" t="s">
        <v>431</v>
      </c>
      <c r="N480" t="s">
        <v>417</v>
      </c>
      <c r="P480" t="s">
        <v>263</v>
      </c>
      <c r="Q480" t="s">
        <v>264</v>
      </c>
      <c r="R480">
        <v>29</v>
      </c>
      <c r="T480">
        <v>627</v>
      </c>
      <c r="U480" t="s">
        <v>1046</v>
      </c>
      <c r="V480" s="7">
        <v>39.990001679999999</v>
      </c>
      <c r="W480" s="7">
        <v>34.198098313835338</v>
      </c>
      <c r="X480">
        <v>4</v>
      </c>
      <c r="Y480" s="7">
        <v>16</v>
      </c>
      <c r="Z480" s="7">
        <v>159.96000672</v>
      </c>
      <c r="AA480" s="7">
        <f t="shared" si="30"/>
        <v>143.96000672</v>
      </c>
      <c r="AB480" t="s">
        <v>66</v>
      </c>
      <c r="AC480" t="str">
        <f t="shared" si="31"/>
        <v>Non-Cash Payments</v>
      </c>
    </row>
    <row r="481" spans="1:29" x14ac:dyDescent="0.25">
      <c r="A481">
        <v>18237</v>
      </c>
      <c r="B481" s="2">
        <v>42271</v>
      </c>
      <c r="C481">
        <v>4</v>
      </c>
      <c r="D481" s="2">
        <f t="shared" si="28"/>
        <v>42277</v>
      </c>
      <c r="E481">
        <v>0</v>
      </c>
      <c r="F481" t="s">
        <v>62</v>
      </c>
      <c r="G481" t="str">
        <f t="shared" si="29"/>
        <v>Other</v>
      </c>
      <c r="H481">
        <v>24</v>
      </c>
      <c r="I481">
        <v>2682</v>
      </c>
      <c r="J481">
        <v>5</v>
      </c>
      <c r="K481" t="s">
        <v>31</v>
      </c>
      <c r="L481" t="s">
        <v>237</v>
      </c>
      <c r="M481" t="s">
        <v>299</v>
      </c>
      <c r="N481" t="s">
        <v>279</v>
      </c>
      <c r="P481" t="s">
        <v>263</v>
      </c>
      <c r="Q481" t="s">
        <v>264</v>
      </c>
      <c r="R481">
        <v>24</v>
      </c>
      <c r="T481">
        <v>502</v>
      </c>
      <c r="U481" t="s">
        <v>1058</v>
      </c>
      <c r="V481" s="7">
        <v>50</v>
      </c>
      <c r="W481" s="7">
        <v>43.678035218757444</v>
      </c>
      <c r="X481">
        <v>4</v>
      </c>
      <c r="Y481" s="7">
        <v>34</v>
      </c>
      <c r="Z481" s="7">
        <v>200</v>
      </c>
      <c r="AA481" s="7">
        <f t="shared" si="30"/>
        <v>166</v>
      </c>
      <c r="AB481" t="s">
        <v>66</v>
      </c>
      <c r="AC481" t="str">
        <f t="shared" si="31"/>
        <v>Non-Cash Payments</v>
      </c>
    </row>
    <row r="482" spans="1:29" x14ac:dyDescent="0.25">
      <c r="A482">
        <v>66958</v>
      </c>
      <c r="B482" s="2">
        <v>42834</v>
      </c>
      <c r="C482">
        <v>4</v>
      </c>
      <c r="D482" s="2">
        <f t="shared" si="28"/>
        <v>42838</v>
      </c>
      <c r="E482">
        <v>0</v>
      </c>
      <c r="F482" t="s">
        <v>62</v>
      </c>
      <c r="G482" t="str">
        <f t="shared" si="29"/>
        <v>Other</v>
      </c>
      <c r="H482">
        <v>29</v>
      </c>
      <c r="I482">
        <v>467</v>
      </c>
      <c r="J482">
        <v>5</v>
      </c>
      <c r="K482" t="s">
        <v>31</v>
      </c>
      <c r="L482" t="s">
        <v>237</v>
      </c>
      <c r="M482" t="s">
        <v>442</v>
      </c>
      <c r="N482" t="s">
        <v>366</v>
      </c>
      <c r="P482" t="s">
        <v>367</v>
      </c>
      <c r="Q482" t="s">
        <v>252</v>
      </c>
      <c r="R482">
        <v>29</v>
      </c>
      <c r="T482">
        <v>627</v>
      </c>
      <c r="U482" t="s">
        <v>1046</v>
      </c>
      <c r="V482" s="7">
        <v>39.990001679999999</v>
      </c>
      <c r="W482" s="7">
        <v>34.198098313835338</v>
      </c>
      <c r="X482">
        <v>4</v>
      </c>
      <c r="Y482" s="7">
        <v>28.790000920000001</v>
      </c>
      <c r="Z482" s="7">
        <v>159.96000672</v>
      </c>
      <c r="AA482" s="7">
        <f t="shared" si="30"/>
        <v>131.17000579999998</v>
      </c>
      <c r="AB482" t="s">
        <v>66</v>
      </c>
      <c r="AC482" t="str">
        <f t="shared" si="31"/>
        <v>Non-Cash Payments</v>
      </c>
    </row>
    <row r="483" spans="1:29" x14ac:dyDescent="0.25">
      <c r="A483">
        <v>66764</v>
      </c>
      <c r="B483" s="2">
        <v>42744</v>
      </c>
      <c r="C483">
        <v>4</v>
      </c>
      <c r="D483" s="2">
        <f t="shared" si="28"/>
        <v>42748</v>
      </c>
      <c r="E483">
        <v>0</v>
      </c>
      <c r="F483" t="s">
        <v>62</v>
      </c>
      <c r="G483" t="str">
        <f t="shared" si="29"/>
        <v>Other</v>
      </c>
      <c r="H483">
        <v>24</v>
      </c>
      <c r="I483">
        <v>10577</v>
      </c>
      <c r="J483">
        <v>5</v>
      </c>
      <c r="K483" t="s">
        <v>31</v>
      </c>
      <c r="L483" t="s">
        <v>237</v>
      </c>
      <c r="M483" t="s">
        <v>443</v>
      </c>
      <c r="N483" t="s">
        <v>259</v>
      </c>
      <c r="P483" t="s">
        <v>244</v>
      </c>
      <c r="Q483" t="s">
        <v>241</v>
      </c>
      <c r="R483">
        <v>24</v>
      </c>
      <c r="T483">
        <v>502</v>
      </c>
      <c r="U483" t="s">
        <v>1058</v>
      </c>
      <c r="V483" s="7">
        <v>50</v>
      </c>
      <c r="W483" s="7">
        <v>43.678035218757444</v>
      </c>
      <c r="X483">
        <v>4</v>
      </c>
      <c r="Y483" s="7">
        <v>36</v>
      </c>
      <c r="Z483" s="7">
        <v>200</v>
      </c>
      <c r="AA483" s="7">
        <f t="shared" si="30"/>
        <v>164</v>
      </c>
      <c r="AB483" t="s">
        <v>66</v>
      </c>
      <c r="AC483" t="str">
        <f t="shared" si="31"/>
        <v>Non-Cash Payments</v>
      </c>
    </row>
    <row r="484" spans="1:29" x14ac:dyDescent="0.25">
      <c r="A484">
        <v>66764</v>
      </c>
      <c r="B484" s="2">
        <v>42744</v>
      </c>
      <c r="C484">
        <v>4</v>
      </c>
      <c r="D484" s="2">
        <f t="shared" si="28"/>
        <v>42748</v>
      </c>
      <c r="E484">
        <v>0</v>
      </c>
      <c r="F484" t="s">
        <v>62</v>
      </c>
      <c r="G484" t="str">
        <f t="shared" si="29"/>
        <v>Other</v>
      </c>
      <c r="H484">
        <v>24</v>
      </c>
      <c r="I484">
        <v>10577</v>
      </c>
      <c r="J484">
        <v>5</v>
      </c>
      <c r="K484" t="s">
        <v>31</v>
      </c>
      <c r="L484" t="s">
        <v>237</v>
      </c>
      <c r="M484" t="s">
        <v>443</v>
      </c>
      <c r="N484" t="s">
        <v>259</v>
      </c>
      <c r="P484" t="s">
        <v>244</v>
      </c>
      <c r="Q484" t="s">
        <v>241</v>
      </c>
      <c r="R484">
        <v>24</v>
      </c>
      <c r="T484">
        <v>502</v>
      </c>
      <c r="U484" t="s">
        <v>1058</v>
      </c>
      <c r="V484" s="7">
        <v>50</v>
      </c>
      <c r="W484" s="7">
        <v>43.678035218757444</v>
      </c>
      <c r="X484">
        <v>4</v>
      </c>
      <c r="Y484" s="7">
        <v>40</v>
      </c>
      <c r="Z484" s="7">
        <v>200</v>
      </c>
      <c r="AA484" s="7">
        <f t="shared" si="30"/>
        <v>160</v>
      </c>
      <c r="AB484" t="s">
        <v>66</v>
      </c>
      <c r="AC484" t="str">
        <f t="shared" si="31"/>
        <v>Non-Cash Payments</v>
      </c>
    </row>
    <row r="485" spans="1:29" x14ac:dyDescent="0.25">
      <c r="A485">
        <v>48193</v>
      </c>
      <c r="B485" s="2">
        <v>42472</v>
      </c>
      <c r="C485">
        <v>4</v>
      </c>
      <c r="D485" s="2">
        <f t="shared" si="28"/>
        <v>42478</v>
      </c>
      <c r="E485">
        <v>0</v>
      </c>
      <c r="F485" t="s">
        <v>62</v>
      </c>
      <c r="G485" t="str">
        <f t="shared" si="29"/>
        <v>Other</v>
      </c>
      <c r="H485">
        <v>40</v>
      </c>
      <c r="I485">
        <v>3471</v>
      </c>
      <c r="J485">
        <v>6</v>
      </c>
      <c r="K485" t="s">
        <v>35</v>
      </c>
      <c r="L485" t="s">
        <v>237</v>
      </c>
      <c r="M485" t="s">
        <v>444</v>
      </c>
      <c r="N485" t="s">
        <v>445</v>
      </c>
      <c r="P485" t="s">
        <v>446</v>
      </c>
      <c r="Q485" t="s">
        <v>320</v>
      </c>
      <c r="R485">
        <v>40</v>
      </c>
      <c r="T485">
        <v>905</v>
      </c>
      <c r="U485" t="s">
        <v>1060</v>
      </c>
      <c r="V485" s="7">
        <v>24.989999770000001</v>
      </c>
      <c r="W485" s="7">
        <v>20.52742837007143</v>
      </c>
      <c r="X485">
        <v>4</v>
      </c>
      <c r="Y485" s="7">
        <v>10</v>
      </c>
      <c r="Z485" s="7">
        <v>99.959999080000003</v>
      </c>
      <c r="AA485" s="7">
        <f t="shared" si="30"/>
        <v>89.959999080000003</v>
      </c>
      <c r="AB485" t="s">
        <v>66</v>
      </c>
      <c r="AC485" t="str">
        <f t="shared" si="31"/>
        <v>Non-Cash Payments</v>
      </c>
    </row>
    <row r="486" spans="1:29" x14ac:dyDescent="0.25">
      <c r="A486">
        <v>15231</v>
      </c>
      <c r="B486" s="2">
        <v>42316</v>
      </c>
      <c r="C486">
        <v>4</v>
      </c>
      <c r="D486" s="2">
        <f t="shared" si="28"/>
        <v>42320</v>
      </c>
      <c r="E486">
        <v>0</v>
      </c>
      <c r="F486" t="s">
        <v>62</v>
      </c>
      <c r="G486" t="str">
        <f t="shared" si="29"/>
        <v>Other</v>
      </c>
      <c r="H486">
        <v>5</v>
      </c>
      <c r="I486">
        <v>3535</v>
      </c>
      <c r="J486">
        <v>2</v>
      </c>
      <c r="K486" t="s">
        <v>136</v>
      </c>
      <c r="L486" t="s">
        <v>237</v>
      </c>
      <c r="M486" t="s">
        <v>447</v>
      </c>
      <c r="N486" t="s">
        <v>415</v>
      </c>
      <c r="P486" t="s">
        <v>283</v>
      </c>
      <c r="Q486" t="s">
        <v>264</v>
      </c>
      <c r="R486">
        <v>5</v>
      </c>
      <c r="T486">
        <v>93</v>
      </c>
      <c r="U486" t="s">
        <v>1119</v>
      </c>
      <c r="V486" s="7">
        <v>24.989999770000001</v>
      </c>
      <c r="W486" s="7">
        <v>17.455999691500001</v>
      </c>
      <c r="X486">
        <v>4</v>
      </c>
      <c r="Y486" s="7">
        <v>9</v>
      </c>
      <c r="Z486" s="7">
        <v>99.959999080000003</v>
      </c>
      <c r="AA486" s="7">
        <f t="shared" si="30"/>
        <v>90.959999080000003</v>
      </c>
      <c r="AB486" t="s">
        <v>66</v>
      </c>
      <c r="AC486" t="str">
        <f t="shared" si="31"/>
        <v>Non-Cash Payments</v>
      </c>
    </row>
    <row r="487" spans="1:29" x14ac:dyDescent="0.25">
      <c r="A487">
        <v>10451</v>
      </c>
      <c r="B487" s="2">
        <v>42041</v>
      </c>
      <c r="C487">
        <v>4</v>
      </c>
      <c r="D487" s="2">
        <f t="shared" si="28"/>
        <v>42047</v>
      </c>
      <c r="E487">
        <v>0</v>
      </c>
      <c r="F487" t="s">
        <v>62</v>
      </c>
      <c r="G487" t="str">
        <f t="shared" si="29"/>
        <v>Other</v>
      </c>
      <c r="H487">
        <v>3</v>
      </c>
      <c r="I487">
        <v>11715</v>
      </c>
      <c r="J487">
        <v>2</v>
      </c>
      <c r="K487" t="s">
        <v>136</v>
      </c>
      <c r="L487" t="s">
        <v>237</v>
      </c>
      <c r="M487" t="s">
        <v>448</v>
      </c>
      <c r="N487" t="s">
        <v>449</v>
      </c>
      <c r="P487" t="s">
        <v>244</v>
      </c>
      <c r="Q487" t="s">
        <v>241</v>
      </c>
      <c r="R487">
        <v>3</v>
      </c>
      <c r="T487">
        <v>44</v>
      </c>
      <c r="U487" t="s">
        <v>1088</v>
      </c>
      <c r="V487" s="7">
        <v>59.990001679999999</v>
      </c>
      <c r="W487" s="7">
        <v>57.194418487916671</v>
      </c>
      <c r="X487">
        <v>4</v>
      </c>
      <c r="Y487" s="7">
        <v>40.790000919999997</v>
      </c>
      <c r="Z487" s="7">
        <v>239.96000672</v>
      </c>
      <c r="AA487" s="7">
        <f t="shared" si="30"/>
        <v>199.17000580000001</v>
      </c>
      <c r="AB487" t="s">
        <v>66</v>
      </c>
      <c r="AC487" t="str">
        <f t="shared" si="31"/>
        <v>Non-Cash Payments</v>
      </c>
    </row>
    <row r="488" spans="1:29" x14ac:dyDescent="0.25">
      <c r="A488">
        <v>10459</v>
      </c>
      <c r="B488" s="2">
        <v>42041</v>
      </c>
      <c r="C488">
        <v>4</v>
      </c>
      <c r="D488" s="2">
        <f t="shared" si="28"/>
        <v>42047</v>
      </c>
      <c r="E488">
        <v>1</v>
      </c>
      <c r="F488" t="s">
        <v>62</v>
      </c>
      <c r="G488" t="str">
        <f t="shared" si="29"/>
        <v>Other</v>
      </c>
      <c r="H488">
        <v>9</v>
      </c>
      <c r="I488">
        <v>9814</v>
      </c>
      <c r="J488">
        <v>3</v>
      </c>
      <c r="K488" t="s">
        <v>24</v>
      </c>
      <c r="L488" t="s">
        <v>237</v>
      </c>
      <c r="M488" t="s">
        <v>450</v>
      </c>
      <c r="N488" t="s">
        <v>450</v>
      </c>
      <c r="P488" t="s">
        <v>240</v>
      </c>
      <c r="Q488" t="s">
        <v>241</v>
      </c>
      <c r="R488">
        <v>9</v>
      </c>
      <c r="T488">
        <v>191</v>
      </c>
      <c r="U488" t="s">
        <v>1044</v>
      </c>
      <c r="V488" s="7">
        <v>99.989997860000003</v>
      </c>
      <c r="W488" s="7">
        <v>95.114003926871064</v>
      </c>
      <c r="X488">
        <v>4</v>
      </c>
      <c r="Y488" s="7">
        <v>0</v>
      </c>
      <c r="Z488" s="7">
        <v>399.95999144000001</v>
      </c>
      <c r="AA488" s="7">
        <f t="shared" si="30"/>
        <v>399.95999144000001</v>
      </c>
      <c r="AB488" t="s">
        <v>66</v>
      </c>
      <c r="AC488" t="str">
        <f t="shared" si="31"/>
        <v>Non-Cash Payments</v>
      </c>
    </row>
    <row r="489" spans="1:29" x14ac:dyDescent="0.25">
      <c r="A489">
        <v>64222</v>
      </c>
      <c r="B489" s="2">
        <v>42942</v>
      </c>
      <c r="C489">
        <v>4</v>
      </c>
      <c r="D489" s="2">
        <f t="shared" si="28"/>
        <v>42948</v>
      </c>
      <c r="E489">
        <v>0</v>
      </c>
      <c r="F489" t="s">
        <v>62</v>
      </c>
      <c r="G489" t="str">
        <f t="shared" si="29"/>
        <v>Other</v>
      </c>
      <c r="H489">
        <v>9</v>
      </c>
      <c r="I489">
        <v>4848</v>
      </c>
      <c r="J489">
        <v>3</v>
      </c>
      <c r="K489" t="s">
        <v>24</v>
      </c>
      <c r="L489" t="s">
        <v>237</v>
      </c>
      <c r="M489" t="s">
        <v>431</v>
      </c>
      <c r="N489" t="s">
        <v>417</v>
      </c>
      <c r="P489" t="s">
        <v>263</v>
      </c>
      <c r="Q489" t="s">
        <v>264</v>
      </c>
      <c r="R489">
        <v>9</v>
      </c>
      <c r="T489">
        <v>191</v>
      </c>
      <c r="U489" t="s">
        <v>1044</v>
      </c>
      <c r="V489" s="7">
        <v>99.989997860000003</v>
      </c>
      <c r="W489" s="7">
        <v>95.114003926871064</v>
      </c>
      <c r="X489">
        <v>4</v>
      </c>
      <c r="Y489" s="7">
        <v>12</v>
      </c>
      <c r="Z489" s="7">
        <v>399.95999144000001</v>
      </c>
      <c r="AA489" s="7">
        <f t="shared" si="30"/>
        <v>387.95999144000001</v>
      </c>
      <c r="AB489" t="s">
        <v>66</v>
      </c>
      <c r="AC489" t="str">
        <f t="shared" si="31"/>
        <v>Non-Cash Payments</v>
      </c>
    </row>
    <row r="490" spans="1:29" x14ac:dyDescent="0.25">
      <c r="A490">
        <v>63907</v>
      </c>
      <c r="B490" s="2">
        <v>42937</v>
      </c>
      <c r="C490">
        <v>4</v>
      </c>
      <c r="D490" s="2">
        <f t="shared" si="28"/>
        <v>42943</v>
      </c>
      <c r="E490">
        <v>0</v>
      </c>
      <c r="F490" t="s">
        <v>62</v>
      </c>
      <c r="G490" t="str">
        <f t="shared" si="29"/>
        <v>Other</v>
      </c>
      <c r="H490">
        <v>9</v>
      </c>
      <c r="I490">
        <v>569</v>
      </c>
      <c r="J490">
        <v>3</v>
      </c>
      <c r="K490" t="s">
        <v>24</v>
      </c>
      <c r="L490" t="s">
        <v>237</v>
      </c>
      <c r="M490" t="s">
        <v>451</v>
      </c>
      <c r="N490" t="s">
        <v>452</v>
      </c>
      <c r="P490" t="s">
        <v>263</v>
      </c>
      <c r="Q490" t="s">
        <v>264</v>
      </c>
      <c r="R490">
        <v>9</v>
      </c>
      <c r="T490">
        <v>191</v>
      </c>
      <c r="U490" t="s">
        <v>1044</v>
      </c>
      <c r="V490" s="7">
        <v>99.989997860000003</v>
      </c>
      <c r="W490" s="7">
        <v>95.114003926871064</v>
      </c>
      <c r="X490">
        <v>4</v>
      </c>
      <c r="Y490" s="7">
        <v>16</v>
      </c>
      <c r="Z490" s="7">
        <v>399.95999144000001</v>
      </c>
      <c r="AA490" s="7">
        <f t="shared" si="30"/>
        <v>383.95999144000001</v>
      </c>
      <c r="AB490" t="s">
        <v>66</v>
      </c>
      <c r="AC490" t="str">
        <f t="shared" si="31"/>
        <v>Non-Cash Payments</v>
      </c>
    </row>
    <row r="491" spans="1:29" x14ac:dyDescent="0.25">
      <c r="A491">
        <v>19178</v>
      </c>
      <c r="B491" s="2">
        <v>42195</v>
      </c>
      <c r="C491">
        <v>4</v>
      </c>
      <c r="D491" s="2">
        <f t="shared" si="28"/>
        <v>42201</v>
      </c>
      <c r="E491">
        <v>0</v>
      </c>
      <c r="F491" t="s">
        <v>62</v>
      </c>
      <c r="G491" t="str">
        <f t="shared" si="29"/>
        <v>Other</v>
      </c>
      <c r="H491">
        <v>9</v>
      </c>
      <c r="I491">
        <v>5749</v>
      </c>
      <c r="J491">
        <v>3</v>
      </c>
      <c r="K491" t="s">
        <v>24</v>
      </c>
      <c r="L491" t="s">
        <v>237</v>
      </c>
      <c r="M491" t="s">
        <v>410</v>
      </c>
      <c r="N491" t="s">
        <v>411</v>
      </c>
      <c r="P491" t="s">
        <v>263</v>
      </c>
      <c r="Q491" t="s">
        <v>264</v>
      </c>
      <c r="R491">
        <v>9</v>
      </c>
      <c r="T491">
        <v>191</v>
      </c>
      <c r="U491" t="s">
        <v>1044</v>
      </c>
      <c r="V491" s="7">
        <v>99.989997860000003</v>
      </c>
      <c r="W491" s="7">
        <v>95.114003926871064</v>
      </c>
      <c r="X491">
        <v>4</v>
      </c>
      <c r="Y491" s="7">
        <v>20</v>
      </c>
      <c r="Z491" s="7">
        <v>399.95999144000001</v>
      </c>
      <c r="AA491" s="7">
        <f t="shared" si="30"/>
        <v>379.95999144000001</v>
      </c>
      <c r="AB491" t="s">
        <v>66</v>
      </c>
      <c r="AC491" t="str">
        <f t="shared" si="31"/>
        <v>Non-Cash Payments</v>
      </c>
    </row>
    <row r="492" spans="1:29" x14ac:dyDescent="0.25">
      <c r="A492">
        <v>67046</v>
      </c>
      <c r="B492" s="2">
        <v>42864</v>
      </c>
      <c r="C492">
        <v>4</v>
      </c>
      <c r="D492" s="2">
        <f t="shared" si="28"/>
        <v>42870</v>
      </c>
      <c r="E492">
        <v>0</v>
      </c>
      <c r="F492" t="s">
        <v>62</v>
      </c>
      <c r="G492" t="str">
        <f t="shared" si="29"/>
        <v>Other</v>
      </c>
      <c r="H492">
        <v>9</v>
      </c>
      <c r="I492">
        <v>4460</v>
      </c>
      <c r="J492">
        <v>3</v>
      </c>
      <c r="K492" t="s">
        <v>24</v>
      </c>
      <c r="L492" t="s">
        <v>237</v>
      </c>
      <c r="M492" t="s">
        <v>453</v>
      </c>
      <c r="N492" t="s">
        <v>239</v>
      </c>
      <c r="P492" t="s">
        <v>240</v>
      </c>
      <c r="Q492" t="s">
        <v>241</v>
      </c>
      <c r="R492">
        <v>9</v>
      </c>
      <c r="T492">
        <v>191</v>
      </c>
      <c r="U492" t="s">
        <v>1044</v>
      </c>
      <c r="V492" s="7">
        <v>99.989997860000003</v>
      </c>
      <c r="W492" s="7">
        <v>95.114003926871064</v>
      </c>
      <c r="X492">
        <v>4</v>
      </c>
      <c r="Y492" s="7">
        <v>20</v>
      </c>
      <c r="Z492" s="7">
        <v>399.95999144000001</v>
      </c>
      <c r="AA492" s="7">
        <f t="shared" si="30"/>
        <v>379.95999144000001</v>
      </c>
      <c r="AB492" t="s">
        <v>66</v>
      </c>
      <c r="AC492" t="str">
        <f t="shared" si="31"/>
        <v>Non-Cash Payments</v>
      </c>
    </row>
    <row r="493" spans="1:29" x14ac:dyDescent="0.25">
      <c r="A493">
        <v>65312</v>
      </c>
      <c r="B493" s="2">
        <v>43047</v>
      </c>
      <c r="C493">
        <v>4</v>
      </c>
      <c r="D493" s="2">
        <f t="shared" si="28"/>
        <v>43053</v>
      </c>
      <c r="E493">
        <v>0</v>
      </c>
      <c r="F493" t="s">
        <v>62</v>
      </c>
      <c r="G493" t="str">
        <f t="shared" si="29"/>
        <v>Other</v>
      </c>
      <c r="H493">
        <v>9</v>
      </c>
      <c r="I493">
        <v>6506</v>
      </c>
      <c r="J493">
        <v>3</v>
      </c>
      <c r="K493" t="s">
        <v>24</v>
      </c>
      <c r="L493" t="s">
        <v>237</v>
      </c>
      <c r="M493" t="s">
        <v>454</v>
      </c>
      <c r="N493" t="s">
        <v>250</v>
      </c>
      <c r="P493" t="s">
        <v>251</v>
      </c>
      <c r="Q493" t="s">
        <v>252</v>
      </c>
      <c r="R493">
        <v>9</v>
      </c>
      <c r="T493">
        <v>191</v>
      </c>
      <c r="U493" t="s">
        <v>1044</v>
      </c>
      <c r="V493" s="7">
        <v>99.989997860000003</v>
      </c>
      <c r="W493" s="7">
        <v>95.114003926871064</v>
      </c>
      <c r="X493">
        <v>4</v>
      </c>
      <c r="Y493" s="7">
        <v>22</v>
      </c>
      <c r="Z493" s="7">
        <v>399.95999144000001</v>
      </c>
      <c r="AA493" s="7">
        <f t="shared" si="30"/>
        <v>377.95999144000001</v>
      </c>
      <c r="AB493" t="s">
        <v>66</v>
      </c>
      <c r="AC493" t="str">
        <f t="shared" si="31"/>
        <v>Non-Cash Payments</v>
      </c>
    </row>
    <row r="494" spans="1:29" x14ac:dyDescent="0.25">
      <c r="A494">
        <v>16436</v>
      </c>
      <c r="B494" s="2">
        <v>42244</v>
      </c>
      <c r="C494">
        <v>4</v>
      </c>
      <c r="D494" s="2">
        <f t="shared" si="28"/>
        <v>42250</v>
      </c>
      <c r="E494">
        <v>0</v>
      </c>
      <c r="F494" t="s">
        <v>62</v>
      </c>
      <c r="G494" t="str">
        <f t="shared" si="29"/>
        <v>Other</v>
      </c>
      <c r="H494">
        <v>9</v>
      </c>
      <c r="I494">
        <v>6050</v>
      </c>
      <c r="J494">
        <v>3</v>
      </c>
      <c r="K494" t="s">
        <v>24</v>
      </c>
      <c r="L494" t="s">
        <v>237</v>
      </c>
      <c r="M494" t="s">
        <v>455</v>
      </c>
      <c r="N494" t="s">
        <v>456</v>
      </c>
      <c r="P494" t="s">
        <v>263</v>
      </c>
      <c r="Q494" t="s">
        <v>264</v>
      </c>
      <c r="R494">
        <v>9</v>
      </c>
      <c r="T494">
        <v>191</v>
      </c>
      <c r="U494" t="s">
        <v>1044</v>
      </c>
      <c r="V494" s="7">
        <v>99.989997860000003</v>
      </c>
      <c r="W494" s="7">
        <v>95.114003926871064</v>
      </c>
      <c r="X494">
        <v>4</v>
      </c>
      <c r="Y494" s="7">
        <v>36</v>
      </c>
      <c r="Z494" s="7">
        <v>399.95999144000001</v>
      </c>
      <c r="AA494" s="7">
        <f t="shared" si="30"/>
        <v>363.95999144000001</v>
      </c>
      <c r="AB494" t="s">
        <v>66</v>
      </c>
      <c r="AC494" t="str">
        <f t="shared" si="31"/>
        <v>Non-Cash Payments</v>
      </c>
    </row>
    <row r="495" spans="1:29" x14ac:dyDescent="0.25">
      <c r="A495">
        <v>11822</v>
      </c>
      <c r="B495" s="2">
        <v>42177</v>
      </c>
      <c r="C495">
        <v>4</v>
      </c>
      <c r="D495" s="2">
        <f t="shared" si="28"/>
        <v>42181</v>
      </c>
      <c r="E495">
        <v>0</v>
      </c>
      <c r="F495" t="s">
        <v>62</v>
      </c>
      <c r="G495" t="str">
        <f t="shared" si="29"/>
        <v>Other</v>
      </c>
      <c r="H495">
        <v>13</v>
      </c>
      <c r="I495">
        <v>3246</v>
      </c>
      <c r="J495">
        <v>3</v>
      </c>
      <c r="K495" t="s">
        <v>24</v>
      </c>
      <c r="L495" t="s">
        <v>237</v>
      </c>
      <c r="M495" t="s">
        <v>457</v>
      </c>
      <c r="N495" t="s">
        <v>288</v>
      </c>
      <c r="P495" t="s">
        <v>244</v>
      </c>
      <c r="Q495" t="s">
        <v>241</v>
      </c>
      <c r="R495">
        <v>13</v>
      </c>
      <c r="T495">
        <v>282</v>
      </c>
      <c r="U495" t="s">
        <v>1085</v>
      </c>
      <c r="V495" s="7">
        <v>31.989999770000001</v>
      </c>
      <c r="W495" s="7">
        <v>27.763856872771434</v>
      </c>
      <c r="X495">
        <v>4</v>
      </c>
      <c r="Y495" s="7">
        <v>11.52000046</v>
      </c>
      <c r="Z495" s="7">
        <v>127.95999908</v>
      </c>
      <c r="AA495" s="7">
        <f t="shared" si="30"/>
        <v>116.43999862</v>
      </c>
      <c r="AB495" t="s">
        <v>66</v>
      </c>
      <c r="AC495" t="str">
        <f t="shared" si="31"/>
        <v>Non-Cash Payments</v>
      </c>
    </row>
    <row r="496" spans="1:29" x14ac:dyDescent="0.25">
      <c r="A496">
        <v>19528</v>
      </c>
      <c r="B496" s="2">
        <v>42290</v>
      </c>
      <c r="C496">
        <v>4</v>
      </c>
      <c r="D496" s="2">
        <f t="shared" si="28"/>
        <v>42296</v>
      </c>
      <c r="E496">
        <v>0</v>
      </c>
      <c r="F496" t="s">
        <v>62</v>
      </c>
      <c r="G496" t="str">
        <f t="shared" si="29"/>
        <v>Other</v>
      </c>
      <c r="H496">
        <v>9</v>
      </c>
      <c r="I496">
        <v>2364</v>
      </c>
      <c r="J496">
        <v>3</v>
      </c>
      <c r="K496" t="s">
        <v>24</v>
      </c>
      <c r="L496" t="s">
        <v>237</v>
      </c>
      <c r="M496" t="s">
        <v>458</v>
      </c>
      <c r="N496" t="s">
        <v>273</v>
      </c>
      <c r="P496" t="s">
        <v>263</v>
      </c>
      <c r="Q496" t="s">
        <v>264</v>
      </c>
      <c r="R496">
        <v>9</v>
      </c>
      <c r="T496">
        <v>191</v>
      </c>
      <c r="U496" t="s">
        <v>1044</v>
      </c>
      <c r="V496" s="7">
        <v>99.989997860000003</v>
      </c>
      <c r="W496" s="7">
        <v>95.114003926871064</v>
      </c>
      <c r="X496">
        <v>4</v>
      </c>
      <c r="Y496" s="7">
        <v>40</v>
      </c>
      <c r="Z496" s="7">
        <v>399.95999144000001</v>
      </c>
      <c r="AA496" s="7">
        <f t="shared" si="30"/>
        <v>359.95999144000001</v>
      </c>
      <c r="AB496" t="s">
        <v>66</v>
      </c>
      <c r="AC496" t="str">
        <f t="shared" si="31"/>
        <v>Non-Cash Payments</v>
      </c>
    </row>
    <row r="497" spans="1:29" x14ac:dyDescent="0.25">
      <c r="A497">
        <v>49763</v>
      </c>
      <c r="B497" s="2">
        <v>42731</v>
      </c>
      <c r="C497">
        <v>4</v>
      </c>
      <c r="D497" s="2">
        <f t="shared" si="28"/>
        <v>42737</v>
      </c>
      <c r="E497">
        <v>0</v>
      </c>
      <c r="F497" t="s">
        <v>62</v>
      </c>
      <c r="G497" t="str">
        <f t="shared" si="29"/>
        <v>Other</v>
      </c>
      <c r="H497">
        <v>13</v>
      </c>
      <c r="I497">
        <v>12216</v>
      </c>
      <c r="J497">
        <v>3</v>
      </c>
      <c r="K497" t="s">
        <v>24</v>
      </c>
      <c r="L497" t="s">
        <v>237</v>
      </c>
      <c r="M497" t="s">
        <v>459</v>
      </c>
      <c r="N497" t="s">
        <v>460</v>
      </c>
      <c r="P497" t="s">
        <v>319</v>
      </c>
      <c r="Q497" t="s">
        <v>320</v>
      </c>
      <c r="R497">
        <v>13</v>
      </c>
      <c r="T497">
        <v>278</v>
      </c>
      <c r="U497" t="s">
        <v>1106</v>
      </c>
      <c r="V497" s="7">
        <v>44.990001679999999</v>
      </c>
      <c r="W497" s="7">
        <v>31.547668386333335</v>
      </c>
      <c r="X497">
        <v>4</v>
      </c>
      <c r="Y497" s="7">
        <v>21.600000380000001</v>
      </c>
      <c r="Z497" s="7">
        <v>179.96000672</v>
      </c>
      <c r="AA497" s="7">
        <f t="shared" si="30"/>
        <v>158.36000633999998</v>
      </c>
      <c r="AB497" t="s">
        <v>66</v>
      </c>
      <c r="AC497" t="str">
        <f t="shared" si="31"/>
        <v>Non-Cash Payments</v>
      </c>
    </row>
    <row r="498" spans="1:29" x14ac:dyDescent="0.25">
      <c r="A498">
        <v>16013</v>
      </c>
      <c r="B498" s="2">
        <v>42238</v>
      </c>
      <c r="C498">
        <v>4</v>
      </c>
      <c r="D498" s="2">
        <f t="shared" si="28"/>
        <v>42243</v>
      </c>
      <c r="E498">
        <v>0</v>
      </c>
      <c r="F498" t="s">
        <v>62</v>
      </c>
      <c r="G498" t="str">
        <f t="shared" si="29"/>
        <v>Other</v>
      </c>
      <c r="H498">
        <v>9</v>
      </c>
      <c r="I498">
        <v>4460</v>
      </c>
      <c r="J498">
        <v>3</v>
      </c>
      <c r="K498" t="s">
        <v>24</v>
      </c>
      <c r="L498" t="s">
        <v>237</v>
      </c>
      <c r="M498" t="s">
        <v>461</v>
      </c>
      <c r="N498" t="s">
        <v>250</v>
      </c>
      <c r="P498" t="s">
        <v>251</v>
      </c>
      <c r="Q498" t="s">
        <v>252</v>
      </c>
      <c r="R498">
        <v>9</v>
      </c>
      <c r="T498">
        <v>191</v>
      </c>
      <c r="U498" t="s">
        <v>1044</v>
      </c>
      <c r="V498" s="7">
        <v>99.989997860000003</v>
      </c>
      <c r="W498" s="7">
        <v>95.114003926871064</v>
      </c>
      <c r="X498">
        <v>4</v>
      </c>
      <c r="Y498" s="7">
        <v>48</v>
      </c>
      <c r="Z498" s="7">
        <v>399.95999144000001</v>
      </c>
      <c r="AA498" s="7">
        <f t="shared" si="30"/>
        <v>351.95999144000001</v>
      </c>
      <c r="AB498" t="s">
        <v>66</v>
      </c>
      <c r="AC498" t="str">
        <f t="shared" si="31"/>
        <v>Non-Cash Payments</v>
      </c>
    </row>
    <row r="499" spans="1:29" x14ac:dyDescent="0.25">
      <c r="A499">
        <v>17347</v>
      </c>
      <c r="B499" s="2">
        <v>42317</v>
      </c>
      <c r="C499">
        <v>4</v>
      </c>
      <c r="D499" s="2">
        <f t="shared" si="28"/>
        <v>42321</v>
      </c>
      <c r="E499">
        <v>0</v>
      </c>
      <c r="F499" t="s">
        <v>62</v>
      </c>
      <c r="G499" t="str">
        <f t="shared" si="29"/>
        <v>Other</v>
      </c>
      <c r="H499">
        <v>9</v>
      </c>
      <c r="I499">
        <v>11388</v>
      </c>
      <c r="J499">
        <v>3</v>
      </c>
      <c r="K499" t="s">
        <v>24</v>
      </c>
      <c r="L499" t="s">
        <v>237</v>
      </c>
      <c r="M499" t="s">
        <v>462</v>
      </c>
      <c r="N499" t="s">
        <v>243</v>
      </c>
      <c r="P499" t="s">
        <v>244</v>
      </c>
      <c r="Q499" t="s">
        <v>241</v>
      </c>
      <c r="R499">
        <v>9</v>
      </c>
      <c r="T499">
        <v>191</v>
      </c>
      <c r="U499" t="s">
        <v>1044</v>
      </c>
      <c r="V499" s="7">
        <v>99.989997860000003</v>
      </c>
      <c r="W499" s="7">
        <v>95.114003926871064</v>
      </c>
      <c r="X499">
        <v>4</v>
      </c>
      <c r="Y499" s="7">
        <v>48</v>
      </c>
      <c r="Z499" s="7">
        <v>399.95999144000001</v>
      </c>
      <c r="AA499" s="7">
        <f t="shared" si="30"/>
        <v>351.95999144000001</v>
      </c>
      <c r="AB499" t="s">
        <v>66</v>
      </c>
      <c r="AC499" t="str">
        <f t="shared" si="31"/>
        <v>Non-Cash Payments</v>
      </c>
    </row>
    <row r="500" spans="1:29" x14ac:dyDescent="0.25">
      <c r="A500">
        <v>19496</v>
      </c>
      <c r="B500" s="2">
        <v>42348</v>
      </c>
      <c r="C500">
        <v>4</v>
      </c>
      <c r="D500" s="2">
        <f t="shared" si="28"/>
        <v>42354</v>
      </c>
      <c r="E500">
        <v>0</v>
      </c>
      <c r="F500" t="s">
        <v>62</v>
      </c>
      <c r="G500" t="str">
        <f t="shared" si="29"/>
        <v>Other</v>
      </c>
      <c r="H500">
        <v>9</v>
      </c>
      <c r="I500">
        <v>7521</v>
      </c>
      <c r="J500">
        <v>3</v>
      </c>
      <c r="K500" t="s">
        <v>24</v>
      </c>
      <c r="L500" t="s">
        <v>237</v>
      </c>
      <c r="M500" t="s">
        <v>463</v>
      </c>
      <c r="N500" t="s">
        <v>464</v>
      </c>
      <c r="P500" t="s">
        <v>420</v>
      </c>
      <c r="Q500" t="s">
        <v>241</v>
      </c>
      <c r="R500">
        <v>9</v>
      </c>
      <c r="T500">
        <v>191</v>
      </c>
      <c r="U500" t="s">
        <v>1044</v>
      </c>
      <c r="V500" s="7">
        <v>99.989997860000003</v>
      </c>
      <c r="W500" s="7">
        <v>95.114003926871064</v>
      </c>
      <c r="X500">
        <v>4</v>
      </c>
      <c r="Y500" s="7">
        <v>51.990001679999999</v>
      </c>
      <c r="Z500" s="7">
        <v>399.95999144000001</v>
      </c>
      <c r="AA500" s="7">
        <f t="shared" si="30"/>
        <v>347.96998976000003</v>
      </c>
      <c r="AB500" t="s">
        <v>66</v>
      </c>
      <c r="AC500" t="str">
        <f t="shared" si="31"/>
        <v>Non-Cash Payments</v>
      </c>
    </row>
    <row r="501" spans="1:29" x14ac:dyDescent="0.25">
      <c r="A501">
        <v>62789</v>
      </c>
      <c r="B501" s="2">
        <v>42862</v>
      </c>
      <c r="C501">
        <v>4</v>
      </c>
      <c r="D501" s="2">
        <f t="shared" si="28"/>
        <v>42866</v>
      </c>
      <c r="E501">
        <v>1</v>
      </c>
      <c r="F501" t="s">
        <v>62</v>
      </c>
      <c r="G501" t="str">
        <f t="shared" si="29"/>
        <v>Other</v>
      </c>
      <c r="H501">
        <v>9</v>
      </c>
      <c r="I501">
        <v>1628</v>
      </c>
      <c r="J501">
        <v>3</v>
      </c>
      <c r="K501" t="s">
        <v>24</v>
      </c>
      <c r="L501" t="s">
        <v>237</v>
      </c>
      <c r="M501" t="s">
        <v>347</v>
      </c>
      <c r="N501" t="s">
        <v>266</v>
      </c>
      <c r="P501" t="s">
        <v>240</v>
      </c>
      <c r="Q501" t="s">
        <v>241</v>
      </c>
      <c r="R501">
        <v>9</v>
      </c>
      <c r="T501">
        <v>191</v>
      </c>
      <c r="U501" t="s">
        <v>1044</v>
      </c>
      <c r="V501" s="7">
        <v>99.989997860000003</v>
      </c>
      <c r="W501" s="7">
        <v>95.114003926871064</v>
      </c>
      <c r="X501">
        <v>4</v>
      </c>
      <c r="Y501" s="7">
        <v>59.990001679999999</v>
      </c>
      <c r="Z501" s="7">
        <v>399.95999144000001</v>
      </c>
      <c r="AA501" s="7">
        <f t="shared" si="30"/>
        <v>339.96998976000003</v>
      </c>
      <c r="AB501" t="s">
        <v>66</v>
      </c>
      <c r="AC501" t="str">
        <f t="shared" si="31"/>
        <v>Non-Cash Payments</v>
      </c>
    </row>
    <row r="502" spans="1:29" x14ac:dyDescent="0.25">
      <c r="A502">
        <v>11674</v>
      </c>
      <c r="B502" s="2">
        <v>42175</v>
      </c>
      <c r="C502">
        <v>4</v>
      </c>
      <c r="D502" s="2">
        <f t="shared" si="28"/>
        <v>42180</v>
      </c>
      <c r="E502">
        <v>1</v>
      </c>
      <c r="F502" t="s">
        <v>62</v>
      </c>
      <c r="G502" t="str">
        <f t="shared" si="29"/>
        <v>Other</v>
      </c>
      <c r="H502">
        <v>9</v>
      </c>
      <c r="I502">
        <v>7222</v>
      </c>
      <c r="J502">
        <v>3</v>
      </c>
      <c r="K502" t="s">
        <v>24</v>
      </c>
      <c r="L502" t="s">
        <v>237</v>
      </c>
      <c r="M502" t="s">
        <v>465</v>
      </c>
      <c r="N502" t="s">
        <v>292</v>
      </c>
      <c r="P502" t="s">
        <v>244</v>
      </c>
      <c r="Q502" t="s">
        <v>241</v>
      </c>
      <c r="R502">
        <v>9</v>
      </c>
      <c r="T502">
        <v>191</v>
      </c>
      <c r="U502" t="s">
        <v>1044</v>
      </c>
      <c r="V502" s="7">
        <v>99.989997860000003</v>
      </c>
      <c r="W502" s="7">
        <v>95.114003926871064</v>
      </c>
      <c r="X502">
        <v>4</v>
      </c>
      <c r="Y502" s="7">
        <v>63.990001679999999</v>
      </c>
      <c r="Z502" s="7">
        <v>399.95999144000001</v>
      </c>
      <c r="AA502" s="7">
        <f t="shared" si="30"/>
        <v>335.96998976000003</v>
      </c>
      <c r="AB502" t="s">
        <v>66</v>
      </c>
      <c r="AC502" t="str">
        <f t="shared" si="31"/>
        <v>Non-Cash Payments</v>
      </c>
    </row>
    <row r="503" spans="1:29" x14ac:dyDescent="0.25">
      <c r="A503">
        <v>67866</v>
      </c>
      <c r="B503" s="2">
        <v>42995</v>
      </c>
      <c r="C503">
        <v>4</v>
      </c>
      <c r="D503" s="2">
        <f t="shared" si="28"/>
        <v>42999</v>
      </c>
      <c r="E503">
        <v>0</v>
      </c>
      <c r="F503" t="s">
        <v>62</v>
      </c>
      <c r="G503" t="str">
        <f t="shared" si="29"/>
        <v>Other</v>
      </c>
      <c r="H503">
        <v>9</v>
      </c>
      <c r="I503">
        <v>5929</v>
      </c>
      <c r="J503">
        <v>3</v>
      </c>
      <c r="K503" t="s">
        <v>24</v>
      </c>
      <c r="L503" t="s">
        <v>237</v>
      </c>
      <c r="M503" t="s">
        <v>466</v>
      </c>
      <c r="N503" t="s">
        <v>330</v>
      </c>
      <c r="P503" t="s">
        <v>263</v>
      </c>
      <c r="Q503" t="s">
        <v>264</v>
      </c>
      <c r="R503">
        <v>9</v>
      </c>
      <c r="T503">
        <v>191</v>
      </c>
      <c r="U503" t="s">
        <v>1044</v>
      </c>
      <c r="V503" s="7">
        <v>99.989997860000003</v>
      </c>
      <c r="W503" s="7">
        <v>95.114003926871064</v>
      </c>
      <c r="X503">
        <v>4</v>
      </c>
      <c r="Y503" s="7">
        <v>71.989997860000003</v>
      </c>
      <c r="Z503" s="7">
        <v>399.95999144000001</v>
      </c>
      <c r="AA503" s="7">
        <f t="shared" si="30"/>
        <v>327.96999357999999</v>
      </c>
      <c r="AB503" t="s">
        <v>66</v>
      </c>
      <c r="AC503" t="str">
        <f t="shared" si="31"/>
        <v>Non-Cash Payments</v>
      </c>
    </row>
    <row r="504" spans="1:29" x14ac:dyDescent="0.25">
      <c r="A504">
        <v>13599</v>
      </c>
      <c r="B504" s="2">
        <v>42203</v>
      </c>
      <c r="C504">
        <v>4</v>
      </c>
      <c r="D504" s="2">
        <f t="shared" si="28"/>
        <v>42208</v>
      </c>
      <c r="E504">
        <v>1</v>
      </c>
      <c r="F504" t="s">
        <v>62</v>
      </c>
      <c r="G504" t="str">
        <f t="shared" si="29"/>
        <v>Other</v>
      </c>
      <c r="H504">
        <v>9</v>
      </c>
      <c r="I504">
        <v>6123</v>
      </c>
      <c r="J504">
        <v>3</v>
      </c>
      <c r="K504" t="s">
        <v>24</v>
      </c>
      <c r="L504" t="s">
        <v>237</v>
      </c>
      <c r="M504" t="s">
        <v>467</v>
      </c>
      <c r="N504" t="s">
        <v>396</v>
      </c>
      <c r="P504" t="s">
        <v>240</v>
      </c>
      <c r="Q504" t="s">
        <v>241</v>
      </c>
      <c r="R504">
        <v>9</v>
      </c>
      <c r="T504">
        <v>191</v>
      </c>
      <c r="U504" t="s">
        <v>1044</v>
      </c>
      <c r="V504" s="7">
        <v>99.989997860000003</v>
      </c>
      <c r="W504" s="7">
        <v>95.114003926871064</v>
      </c>
      <c r="X504">
        <v>4</v>
      </c>
      <c r="Y504" s="7">
        <v>79.989997860000003</v>
      </c>
      <c r="Z504" s="7">
        <v>399.95999144000001</v>
      </c>
      <c r="AA504" s="7">
        <f t="shared" si="30"/>
        <v>319.96999357999999</v>
      </c>
      <c r="AB504" t="s">
        <v>66</v>
      </c>
      <c r="AC504" t="str">
        <f t="shared" si="31"/>
        <v>Non-Cash Payments</v>
      </c>
    </row>
    <row r="505" spans="1:29" x14ac:dyDescent="0.25">
      <c r="A505">
        <v>10384</v>
      </c>
      <c r="B505" s="2">
        <v>42010</v>
      </c>
      <c r="C505">
        <v>4</v>
      </c>
      <c r="D505" s="2">
        <f t="shared" si="28"/>
        <v>42016</v>
      </c>
      <c r="E505">
        <v>1</v>
      </c>
      <c r="F505" t="s">
        <v>62</v>
      </c>
      <c r="G505" t="str">
        <f t="shared" si="29"/>
        <v>Other</v>
      </c>
      <c r="H505">
        <v>17</v>
      </c>
      <c r="I505">
        <v>587</v>
      </c>
      <c r="J505">
        <v>4</v>
      </c>
      <c r="K505" t="s">
        <v>46</v>
      </c>
      <c r="L505" t="s">
        <v>237</v>
      </c>
      <c r="M505" t="s">
        <v>468</v>
      </c>
      <c r="N505" t="s">
        <v>250</v>
      </c>
      <c r="P505" t="s">
        <v>251</v>
      </c>
      <c r="Q505" t="s">
        <v>252</v>
      </c>
      <c r="R505">
        <v>17</v>
      </c>
      <c r="T505">
        <v>365</v>
      </c>
      <c r="U505" t="s">
        <v>1054</v>
      </c>
      <c r="V505" s="7">
        <v>59.990001679999999</v>
      </c>
      <c r="W505" s="7">
        <v>54.488929209402009</v>
      </c>
      <c r="X505">
        <v>4</v>
      </c>
      <c r="Y505" s="7">
        <v>0</v>
      </c>
      <c r="Z505" s="7">
        <v>239.96000672</v>
      </c>
      <c r="AA505" s="7">
        <f t="shared" si="30"/>
        <v>239.96000672</v>
      </c>
      <c r="AB505" t="s">
        <v>66</v>
      </c>
      <c r="AC505" t="str">
        <f t="shared" si="31"/>
        <v>Non-Cash Payments</v>
      </c>
    </row>
    <row r="506" spans="1:29" x14ac:dyDescent="0.25">
      <c r="A506">
        <v>63115</v>
      </c>
      <c r="B506" s="2">
        <v>43015</v>
      </c>
      <c r="C506">
        <v>4</v>
      </c>
      <c r="D506" s="2">
        <f t="shared" si="28"/>
        <v>43020</v>
      </c>
      <c r="E506">
        <v>1</v>
      </c>
      <c r="F506" t="s">
        <v>62</v>
      </c>
      <c r="G506" t="str">
        <f t="shared" si="29"/>
        <v>Other</v>
      </c>
      <c r="H506">
        <v>17</v>
      </c>
      <c r="I506">
        <v>1240</v>
      </c>
      <c r="J506">
        <v>4</v>
      </c>
      <c r="K506" t="s">
        <v>46</v>
      </c>
      <c r="L506" t="s">
        <v>237</v>
      </c>
      <c r="M506" t="s">
        <v>469</v>
      </c>
      <c r="N506" t="s">
        <v>239</v>
      </c>
      <c r="P506" t="s">
        <v>240</v>
      </c>
      <c r="Q506" t="s">
        <v>241</v>
      </c>
      <c r="R506">
        <v>17</v>
      </c>
      <c r="T506">
        <v>365</v>
      </c>
      <c r="U506" t="s">
        <v>1054</v>
      </c>
      <c r="V506" s="7">
        <v>59.990001679999999</v>
      </c>
      <c r="W506" s="7">
        <v>54.488929209402009</v>
      </c>
      <c r="X506">
        <v>4</v>
      </c>
      <c r="Y506" s="7">
        <v>0</v>
      </c>
      <c r="Z506" s="7">
        <v>239.96000672</v>
      </c>
      <c r="AA506" s="7">
        <f t="shared" si="30"/>
        <v>239.96000672</v>
      </c>
      <c r="AB506" t="s">
        <v>66</v>
      </c>
      <c r="AC506" t="str">
        <f t="shared" si="31"/>
        <v>Non-Cash Payments</v>
      </c>
    </row>
    <row r="507" spans="1:29" x14ac:dyDescent="0.25">
      <c r="A507">
        <v>63516</v>
      </c>
      <c r="B507" s="2">
        <v>42932</v>
      </c>
      <c r="C507">
        <v>4</v>
      </c>
      <c r="D507" s="2">
        <f t="shared" si="28"/>
        <v>42936</v>
      </c>
      <c r="E507">
        <v>0</v>
      </c>
      <c r="F507" t="s">
        <v>62</v>
      </c>
      <c r="G507" t="str">
        <f t="shared" si="29"/>
        <v>Other</v>
      </c>
      <c r="H507">
        <v>17</v>
      </c>
      <c r="I507">
        <v>8806</v>
      </c>
      <c r="J507">
        <v>4</v>
      </c>
      <c r="K507" t="s">
        <v>46</v>
      </c>
      <c r="L507" t="s">
        <v>237</v>
      </c>
      <c r="M507" t="s">
        <v>245</v>
      </c>
      <c r="N507" t="s">
        <v>246</v>
      </c>
      <c r="P507" t="s">
        <v>244</v>
      </c>
      <c r="Q507" t="s">
        <v>241</v>
      </c>
      <c r="R507">
        <v>17</v>
      </c>
      <c r="T507">
        <v>365</v>
      </c>
      <c r="U507" t="s">
        <v>1054</v>
      </c>
      <c r="V507" s="7">
        <v>59.990001679999999</v>
      </c>
      <c r="W507" s="7">
        <v>54.488929209402009</v>
      </c>
      <c r="X507">
        <v>4</v>
      </c>
      <c r="Y507" s="7">
        <v>4.8000001909999996</v>
      </c>
      <c r="Z507" s="7">
        <v>239.96000672</v>
      </c>
      <c r="AA507" s="7">
        <f t="shared" si="30"/>
        <v>235.16000652899999</v>
      </c>
      <c r="AB507" t="s">
        <v>66</v>
      </c>
      <c r="AC507" t="str">
        <f t="shared" si="31"/>
        <v>Non-Cash Payments</v>
      </c>
    </row>
    <row r="508" spans="1:29" x14ac:dyDescent="0.25">
      <c r="A508">
        <v>62086</v>
      </c>
      <c r="B508" s="2">
        <v>42911</v>
      </c>
      <c r="C508">
        <v>4</v>
      </c>
      <c r="D508" s="2">
        <f t="shared" si="28"/>
        <v>42915</v>
      </c>
      <c r="E508">
        <v>0</v>
      </c>
      <c r="F508" t="s">
        <v>62</v>
      </c>
      <c r="G508" t="str">
        <f t="shared" si="29"/>
        <v>Other</v>
      </c>
      <c r="H508">
        <v>17</v>
      </c>
      <c r="I508">
        <v>341</v>
      </c>
      <c r="J508">
        <v>4</v>
      </c>
      <c r="K508" t="s">
        <v>46</v>
      </c>
      <c r="L508" t="s">
        <v>237</v>
      </c>
      <c r="M508" t="s">
        <v>275</v>
      </c>
      <c r="N508" t="s">
        <v>250</v>
      </c>
      <c r="P508" t="s">
        <v>251</v>
      </c>
      <c r="Q508" t="s">
        <v>252</v>
      </c>
      <c r="R508">
        <v>17</v>
      </c>
      <c r="T508">
        <v>365</v>
      </c>
      <c r="U508" t="s">
        <v>1054</v>
      </c>
      <c r="V508" s="7">
        <v>59.990001679999999</v>
      </c>
      <c r="W508" s="7">
        <v>54.488929209402009</v>
      </c>
      <c r="X508">
        <v>4</v>
      </c>
      <c r="Y508" s="7">
        <v>7.1999998090000004</v>
      </c>
      <c r="Z508" s="7">
        <v>239.96000672</v>
      </c>
      <c r="AA508" s="7">
        <f t="shared" si="30"/>
        <v>232.760006911</v>
      </c>
      <c r="AB508" t="s">
        <v>66</v>
      </c>
      <c r="AC508" t="str">
        <f t="shared" si="31"/>
        <v>Non-Cash Payments</v>
      </c>
    </row>
    <row r="509" spans="1:29" x14ac:dyDescent="0.25">
      <c r="A509">
        <v>62817</v>
      </c>
      <c r="B509" s="2">
        <v>42862</v>
      </c>
      <c r="C509">
        <v>4</v>
      </c>
      <c r="D509" s="2">
        <f t="shared" si="28"/>
        <v>42866</v>
      </c>
      <c r="E509">
        <v>0</v>
      </c>
      <c r="F509" t="s">
        <v>62</v>
      </c>
      <c r="G509" t="str">
        <f t="shared" si="29"/>
        <v>Other</v>
      </c>
      <c r="H509">
        <v>17</v>
      </c>
      <c r="I509">
        <v>3064</v>
      </c>
      <c r="J509">
        <v>4</v>
      </c>
      <c r="K509" t="s">
        <v>46</v>
      </c>
      <c r="L509" t="s">
        <v>237</v>
      </c>
      <c r="M509" t="s">
        <v>470</v>
      </c>
      <c r="N509" t="s">
        <v>282</v>
      </c>
      <c r="P509" t="s">
        <v>283</v>
      </c>
      <c r="Q509" t="s">
        <v>264</v>
      </c>
      <c r="R509">
        <v>17</v>
      </c>
      <c r="T509">
        <v>365</v>
      </c>
      <c r="U509" t="s">
        <v>1054</v>
      </c>
      <c r="V509" s="7">
        <v>59.990001679999999</v>
      </c>
      <c r="W509" s="7">
        <v>54.488929209402009</v>
      </c>
      <c r="X509">
        <v>4</v>
      </c>
      <c r="Y509" s="7">
        <v>7.1999998090000004</v>
      </c>
      <c r="Z509" s="7">
        <v>239.96000672</v>
      </c>
      <c r="AA509" s="7">
        <f t="shared" si="30"/>
        <v>232.760006911</v>
      </c>
      <c r="AB509" t="s">
        <v>66</v>
      </c>
      <c r="AC509" t="str">
        <f t="shared" si="31"/>
        <v>Non-Cash Payments</v>
      </c>
    </row>
    <row r="510" spans="1:29" x14ac:dyDescent="0.25">
      <c r="A510">
        <v>10856</v>
      </c>
      <c r="B510" s="2">
        <v>42222</v>
      </c>
      <c r="C510">
        <v>4</v>
      </c>
      <c r="D510" s="2">
        <f t="shared" si="28"/>
        <v>42228</v>
      </c>
      <c r="E510">
        <v>0</v>
      </c>
      <c r="F510" t="s">
        <v>62</v>
      </c>
      <c r="G510" t="str">
        <f t="shared" si="29"/>
        <v>Other</v>
      </c>
      <c r="H510">
        <v>17</v>
      </c>
      <c r="I510">
        <v>10614</v>
      </c>
      <c r="J510">
        <v>4</v>
      </c>
      <c r="K510" t="s">
        <v>46</v>
      </c>
      <c r="L510" t="s">
        <v>237</v>
      </c>
      <c r="M510" t="s">
        <v>471</v>
      </c>
      <c r="N510" t="s">
        <v>250</v>
      </c>
      <c r="P510" t="s">
        <v>251</v>
      </c>
      <c r="Q510" t="s">
        <v>252</v>
      </c>
      <c r="R510">
        <v>17</v>
      </c>
      <c r="T510">
        <v>365</v>
      </c>
      <c r="U510" t="s">
        <v>1054</v>
      </c>
      <c r="V510" s="7">
        <v>59.990001679999999</v>
      </c>
      <c r="W510" s="7">
        <v>54.488929209402009</v>
      </c>
      <c r="X510">
        <v>4</v>
      </c>
      <c r="Y510" s="7">
        <v>9.6000003809999992</v>
      </c>
      <c r="Z510" s="7">
        <v>239.96000672</v>
      </c>
      <c r="AA510" s="7">
        <f t="shared" si="30"/>
        <v>230.36000633899999</v>
      </c>
      <c r="AB510" t="s">
        <v>66</v>
      </c>
      <c r="AC510" t="str">
        <f t="shared" si="31"/>
        <v>Non-Cash Payments</v>
      </c>
    </row>
    <row r="511" spans="1:29" x14ac:dyDescent="0.25">
      <c r="A511">
        <v>14685</v>
      </c>
      <c r="B511" s="2">
        <v>42071</v>
      </c>
      <c r="C511">
        <v>4</v>
      </c>
      <c r="D511" s="2">
        <f t="shared" si="28"/>
        <v>42075</v>
      </c>
      <c r="E511">
        <v>1</v>
      </c>
      <c r="F511" t="s">
        <v>62</v>
      </c>
      <c r="G511" t="str">
        <f t="shared" si="29"/>
        <v>Other</v>
      </c>
      <c r="H511">
        <v>17</v>
      </c>
      <c r="I511">
        <v>10563</v>
      </c>
      <c r="J511">
        <v>4</v>
      </c>
      <c r="K511" t="s">
        <v>46</v>
      </c>
      <c r="L511" t="s">
        <v>237</v>
      </c>
      <c r="M511" t="s">
        <v>472</v>
      </c>
      <c r="N511" t="s">
        <v>255</v>
      </c>
      <c r="P511" t="s">
        <v>244</v>
      </c>
      <c r="Q511" t="s">
        <v>241</v>
      </c>
      <c r="R511">
        <v>17</v>
      </c>
      <c r="T511">
        <v>365</v>
      </c>
      <c r="U511" t="s">
        <v>1054</v>
      </c>
      <c r="V511" s="7">
        <v>59.990001679999999</v>
      </c>
      <c r="W511" s="7">
        <v>54.488929209402009</v>
      </c>
      <c r="X511">
        <v>4</v>
      </c>
      <c r="Y511" s="7">
        <v>9.6000003809999992</v>
      </c>
      <c r="Z511" s="7">
        <v>239.96000672</v>
      </c>
      <c r="AA511" s="7">
        <f t="shared" si="30"/>
        <v>230.36000633899999</v>
      </c>
      <c r="AB511" t="s">
        <v>66</v>
      </c>
      <c r="AC511" t="str">
        <f t="shared" si="31"/>
        <v>Non-Cash Payments</v>
      </c>
    </row>
    <row r="512" spans="1:29" x14ac:dyDescent="0.25">
      <c r="A512">
        <v>66229</v>
      </c>
      <c r="B512" s="2">
        <v>42971</v>
      </c>
      <c r="C512">
        <v>4</v>
      </c>
      <c r="D512" s="2">
        <f t="shared" si="28"/>
        <v>42977</v>
      </c>
      <c r="E512">
        <v>1</v>
      </c>
      <c r="F512" t="s">
        <v>62</v>
      </c>
      <c r="G512" t="str">
        <f t="shared" si="29"/>
        <v>Other</v>
      </c>
      <c r="H512">
        <v>17</v>
      </c>
      <c r="I512">
        <v>11002</v>
      </c>
      <c r="J512">
        <v>4</v>
      </c>
      <c r="K512" t="s">
        <v>46</v>
      </c>
      <c r="L512" t="s">
        <v>237</v>
      </c>
      <c r="M512" t="s">
        <v>473</v>
      </c>
      <c r="N512" t="s">
        <v>243</v>
      </c>
      <c r="P512" t="s">
        <v>244</v>
      </c>
      <c r="Q512" t="s">
        <v>241</v>
      </c>
      <c r="R512">
        <v>17</v>
      </c>
      <c r="T512">
        <v>365</v>
      </c>
      <c r="U512" t="s">
        <v>1054</v>
      </c>
      <c r="V512" s="7">
        <v>59.990001679999999</v>
      </c>
      <c r="W512" s="7">
        <v>54.488929209402009</v>
      </c>
      <c r="X512">
        <v>4</v>
      </c>
      <c r="Y512" s="7">
        <v>9.6000003809999992</v>
      </c>
      <c r="Z512" s="7">
        <v>239.96000672</v>
      </c>
      <c r="AA512" s="7">
        <f t="shared" si="30"/>
        <v>230.36000633899999</v>
      </c>
      <c r="AB512" t="s">
        <v>66</v>
      </c>
      <c r="AC512" t="str">
        <f t="shared" si="31"/>
        <v>Non-Cash Payments</v>
      </c>
    </row>
    <row r="513" spans="1:29" x14ac:dyDescent="0.25">
      <c r="A513">
        <v>14924</v>
      </c>
      <c r="B513" s="2">
        <v>42163</v>
      </c>
      <c r="C513">
        <v>4</v>
      </c>
      <c r="D513" s="2">
        <f t="shared" si="28"/>
        <v>42167</v>
      </c>
      <c r="E513">
        <v>1</v>
      </c>
      <c r="F513" t="s">
        <v>62</v>
      </c>
      <c r="G513" t="str">
        <f t="shared" si="29"/>
        <v>Other</v>
      </c>
      <c r="H513">
        <v>17</v>
      </c>
      <c r="I513">
        <v>11486</v>
      </c>
      <c r="J513">
        <v>4</v>
      </c>
      <c r="K513" t="s">
        <v>46</v>
      </c>
      <c r="L513" t="s">
        <v>237</v>
      </c>
      <c r="M513" t="s">
        <v>347</v>
      </c>
      <c r="N513" t="s">
        <v>266</v>
      </c>
      <c r="P513" t="s">
        <v>240</v>
      </c>
      <c r="Q513" t="s">
        <v>241</v>
      </c>
      <c r="R513">
        <v>17</v>
      </c>
      <c r="T513">
        <v>365</v>
      </c>
      <c r="U513" t="s">
        <v>1054</v>
      </c>
      <c r="V513" s="7">
        <v>59.990001679999999</v>
      </c>
      <c r="W513" s="7">
        <v>54.488929209402009</v>
      </c>
      <c r="X513">
        <v>4</v>
      </c>
      <c r="Y513" s="7">
        <v>9.6000003809999992</v>
      </c>
      <c r="Z513" s="7">
        <v>239.96000672</v>
      </c>
      <c r="AA513" s="7">
        <f t="shared" si="30"/>
        <v>230.36000633899999</v>
      </c>
      <c r="AB513" t="s">
        <v>66</v>
      </c>
      <c r="AC513" t="str">
        <f t="shared" si="31"/>
        <v>Non-Cash Payments</v>
      </c>
    </row>
    <row r="514" spans="1:29" x14ac:dyDescent="0.25">
      <c r="A514">
        <v>49839</v>
      </c>
      <c r="B514" s="2">
        <v>42732</v>
      </c>
      <c r="C514">
        <v>4</v>
      </c>
      <c r="D514" s="2">
        <f t="shared" si="28"/>
        <v>42738</v>
      </c>
      <c r="E514">
        <v>1</v>
      </c>
      <c r="F514" t="s">
        <v>62</v>
      </c>
      <c r="G514" t="str">
        <f t="shared" si="29"/>
        <v>Other</v>
      </c>
      <c r="H514">
        <v>17</v>
      </c>
      <c r="I514">
        <v>1759</v>
      </c>
      <c r="J514">
        <v>4</v>
      </c>
      <c r="K514" t="s">
        <v>46</v>
      </c>
      <c r="L514" t="s">
        <v>237</v>
      </c>
      <c r="M514" t="s">
        <v>313</v>
      </c>
      <c r="N514" t="s">
        <v>313</v>
      </c>
      <c r="P514" t="s">
        <v>314</v>
      </c>
      <c r="Q514" t="s">
        <v>241</v>
      </c>
      <c r="R514">
        <v>17</v>
      </c>
      <c r="T514">
        <v>365</v>
      </c>
      <c r="U514" t="s">
        <v>1054</v>
      </c>
      <c r="V514" s="7">
        <v>59.990001679999999</v>
      </c>
      <c r="W514" s="7">
        <v>54.488929209402009</v>
      </c>
      <c r="X514">
        <v>4</v>
      </c>
      <c r="Y514" s="7">
        <v>9.6000003809999992</v>
      </c>
      <c r="Z514" s="7">
        <v>239.96000672</v>
      </c>
      <c r="AA514" s="7">
        <f t="shared" si="30"/>
        <v>230.36000633899999</v>
      </c>
      <c r="AB514" t="s">
        <v>66</v>
      </c>
      <c r="AC514" t="str">
        <f t="shared" si="31"/>
        <v>Non-Cash Payments</v>
      </c>
    </row>
    <row r="515" spans="1:29" x14ac:dyDescent="0.25">
      <c r="A515">
        <v>12393</v>
      </c>
      <c r="B515" s="2">
        <v>42185</v>
      </c>
      <c r="C515">
        <v>4</v>
      </c>
      <c r="D515" s="2">
        <f t="shared" ref="D515:D578" si="32">WORKDAY(B515,C515)</f>
        <v>42191</v>
      </c>
      <c r="E515">
        <v>0</v>
      </c>
      <c r="F515" t="s">
        <v>62</v>
      </c>
      <c r="G515" t="str">
        <f t="shared" ref="G515:G578" si="33">IF(AND(E515=0,F515="Same Day"),"Same Day - On Time","Other")</f>
        <v>Other</v>
      </c>
      <c r="H515">
        <v>17</v>
      </c>
      <c r="I515">
        <v>10659</v>
      </c>
      <c r="J515">
        <v>4</v>
      </c>
      <c r="K515" t="s">
        <v>46</v>
      </c>
      <c r="L515" t="s">
        <v>237</v>
      </c>
      <c r="M515" t="s">
        <v>474</v>
      </c>
      <c r="N515" t="s">
        <v>411</v>
      </c>
      <c r="P515" t="s">
        <v>263</v>
      </c>
      <c r="Q515" t="s">
        <v>264</v>
      </c>
      <c r="R515">
        <v>17</v>
      </c>
      <c r="T515">
        <v>365</v>
      </c>
      <c r="U515" t="s">
        <v>1054</v>
      </c>
      <c r="V515" s="7">
        <v>59.990001679999999</v>
      </c>
      <c r="W515" s="7">
        <v>54.488929209402009</v>
      </c>
      <c r="X515">
        <v>4</v>
      </c>
      <c r="Y515" s="7">
        <v>13.19999981</v>
      </c>
      <c r="Z515" s="7">
        <v>239.96000672</v>
      </c>
      <c r="AA515" s="7">
        <f t="shared" ref="AA515:AA578" si="34">Z515-Y515</f>
        <v>226.76000690999999</v>
      </c>
      <c r="AB515" t="s">
        <v>66</v>
      </c>
      <c r="AC515" t="str">
        <f t="shared" ref="AC515:AC578" si="35">IF(AND(AA515&gt;200,AB515="CASH"),"Cash Over 200",IF(AB515="CASH","Cash Not Over 200","Non-Cash Payments"))</f>
        <v>Non-Cash Payments</v>
      </c>
    </row>
    <row r="516" spans="1:29" x14ac:dyDescent="0.25">
      <c r="A516">
        <v>65898</v>
      </c>
      <c r="B516" s="2">
        <v>42966</v>
      </c>
      <c r="C516">
        <v>4</v>
      </c>
      <c r="D516" s="2">
        <f t="shared" si="32"/>
        <v>42971</v>
      </c>
      <c r="E516">
        <v>0</v>
      </c>
      <c r="F516" t="s">
        <v>62</v>
      </c>
      <c r="G516" t="str">
        <f t="shared" si="33"/>
        <v>Other</v>
      </c>
      <c r="H516">
        <v>17</v>
      </c>
      <c r="I516">
        <v>8899</v>
      </c>
      <c r="J516">
        <v>4</v>
      </c>
      <c r="K516" t="s">
        <v>46</v>
      </c>
      <c r="L516" t="s">
        <v>237</v>
      </c>
      <c r="M516" t="s">
        <v>475</v>
      </c>
      <c r="N516" t="s">
        <v>243</v>
      </c>
      <c r="P516" t="s">
        <v>244</v>
      </c>
      <c r="Q516" t="s">
        <v>241</v>
      </c>
      <c r="R516">
        <v>17</v>
      </c>
      <c r="T516">
        <v>365</v>
      </c>
      <c r="U516" t="s">
        <v>1054</v>
      </c>
      <c r="V516" s="7">
        <v>59.990001679999999</v>
      </c>
      <c r="W516" s="7">
        <v>54.488929209402009</v>
      </c>
      <c r="X516">
        <v>4</v>
      </c>
      <c r="Y516" s="7">
        <v>13.19999981</v>
      </c>
      <c r="Z516" s="7">
        <v>239.96000672</v>
      </c>
      <c r="AA516" s="7">
        <f t="shared" si="34"/>
        <v>226.76000690999999</v>
      </c>
      <c r="AB516" t="s">
        <v>66</v>
      </c>
      <c r="AC516" t="str">
        <f t="shared" si="35"/>
        <v>Non-Cash Payments</v>
      </c>
    </row>
    <row r="517" spans="1:29" x14ac:dyDescent="0.25">
      <c r="A517">
        <v>64599</v>
      </c>
      <c r="B517" s="2">
        <v>42947</v>
      </c>
      <c r="C517">
        <v>4</v>
      </c>
      <c r="D517" s="2">
        <f t="shared" si="32"/>
        <v>42951</v>
      </c>
      <c r="E517">
        <v>1</v>
      </c>
      <c r="F517" t="s">
        <v>62</v>
      </c>
      <c r="G517" t="str">
        <f t="shared" si="33"/>
        <v>Other</v>
      </c>
      <c r="H517">
        <v>17</v>
      </c>
      <c r="I517">
        <v>3315</v>
      </c>
      <c r="J517">
        <v>4</v>
      </c>
      <c r="K517" t="s">
        <v>46</v>
      </c>
      <c r="L517" t="s">
        <v>237</v>
      </c>
      <c r="M517" t="s">
        <v>476</v>
      </c>
      <c r="N517" t="s">
        <v>477</v>
      </c>
      <c r="P517" t="s">
        <v>283</v>
      </c>
      <c r="Q517" t="s">
        <v>264</v>
      </c>
      <c r="R517">
        <v>17</v>
      </c>
      <c r="T517">
        <v>365</v>
      </c>
      <c r="U517" t="s">
        <v>1054</v>
      </c>
      <c r="V517" s="7">
        <v>59.990001679999999</v>
      </c>
      <c r="W517" s="7">
        <v>54.488929209402009</v>
      </c>
      <c r="X517">
        <v>4</v>
      </c>
      <c r="Y517" s="7">
        <v>16.799999239999998</v>
      </c>
      <c r="Z517" s="7">
        <v>239.96000672</v>
      </c>
      <c r="AA517" s="7">
        <f t="shared" si="34"/>
        <v>223.16000747999999</v>
      </c>
      <c r="AB517" t="s">
        <v>66</v>
      </c>
      <c r="AC517" t="str">
        <f t="shared" si="35"/>
        <v>Non-Cash Payments</v>
      </c>
    </row>
    <row r="518" spans="1:29" x14ac:dyDescent="0.25">
      <c r="A518">
        <v>65370</v>
      </c>
      <c r="B518" s="2">
        <v>43077</v>
      </c>
      <c r="C518">
        <v>4</v>
      </c>
      <c r="D518" s="2">
        <f t="shared" si="32"/>
        <v>43083</v>
      </c>
      <c r="E518">
        <v>1</v>
      </c>
      <c r="F518" t="s">
        <v>62</v>
      </c>
      <c r="G518" t="str">
        <f t="shared" si="33"/>
        <v>Other</v>
      </c>
      <c r="H518">
        <v>17</v>
      </c>
      <c r="I518">
        <v>10051</v>
      </c>
      <c r="J518">
        <v>4</v>
      </c>
      <c r="K518" t="s">
        <v>46</v>
      </c>
      <c r="L518" t="s">
        <v>237</v>
      </c>
      <c r="M518" t="s">
        <v>478</v>
      </c>
      <c r="N518" t="s">
        <v>243</v>
      </c>
      <c r="P518" t="s">
        <v>244</v>
      </c>
      <c r="Q518" t="s">
        <v>241</v>
      </c>
      <c r="R518">
        <v>17</v>
      </c>
      <c r="T518">
        <v>365</v>
      </c>
      <c r="U518" t="s">
        <v>1054</v>
      </c>
      <c r="V518" s="7">
        <v>59.990001679999999</v>
      </c>
      <c r="W518" s="7">
        <v>54.488929209402009</v>
      </c>
      <c r="X518">
        <v>4</v>
      </c>
      <c r="Y518" s="7">
        <v>16.799999239999998</v>
      </c>
      <c r="Z518" s="7">
        <v>239.96000672</v>
      </c>
      <c r="AA518" s="7">
        <f t="shared" si="34"/>
        <v>223.16000747999999</v>
      </c>
      <c r="AB518" t="s">
        <v>66</v>
      </c>
      <c r="AC518" t="str">
        <f t="shared" si="35"/>
        <v>Non-Cash Payments</v>
      </c>
    </row>
    <row r="519" spans="1:29" x14ac:dyDescent="0.25">
      <c r="A519">
        <v>19732</v>
      </c>
      <c r="B519" s="2">
        <v>42293</v>
      </c>
      <c r="C519">
        <v>4</v>
      </c>
      <c r="D519" s="2">
        <f t="shared" si="32"/>
        <v>42299</v>
      </c>
      <c r="E519">
        <v>0</v>
      </c>
      <c r="F519" t="s">
        <v>62</v>
      </c>
      <c r="G519" t="str">
        <f t="shared" si="33"/>
        <v>Other</v>
      </c>
      <c r="H519">
        <v>17</v>
      </c>
      <c r="I519">
        <v>6402</v>
      </c>
      <c r="J519">
        <v>4</v>
      </c>
      <c r="K519" t="s">
        <v>46</v>
      </c>
      <c r="L519" t="s">
        <v>237</v>
      </c>
      <c r="M519" t="s">
        <v>479</v>
      </c>
      <c r="N519" t="s">
        <v>477</v>
      </c>
      <c r="P519" t="s">
        <v>283</v>
      </c>
      <c r="Q519" t="s">
        <v>264</v>
      </c>
      <c r="R519">
        <v>17</v>
      </c>
      <c r="T519">
        <v>365</v>
      </c>
      <c r="U519" t="s">
        <v>1054</v>
      </c>
      <c r="V519" s="7">
        <v>59.990001679999999</v>
      </c>
      <c r="W519" s="7">
        <v>54.488929209402009</v>
      </c>
      <c r="X519">
        <v>4</v>
      </c>
      <c r="Y519" s="7">
        <v>21.600000380000001</v>
      </c>
      <c r="Z519" s="7">
        <v>239.96000672</v>
      </c>
      <c r="AA519" s="7">
        <f t="shared" si="34"/>
        <v>218.36000633999998</v>
      </c>
      <c r="AB519" t="s">
        <v>66</v>
      </c>
      <c r="AC519" t="str">
        <f t="shared" si="35"/>
        <v>Non-Cash Payments</v>
      </c>
    </row>
    <row r="520" spans="1:29" x14ac:dyDescent="0.25">
      <c r="A520">
        <v>5895</v>
      </c>
      <c r="B520" s="2">
        <v>42091</v>
      </c>
      <c r="C520">
        <v>2</v>
      </c>
      <c r="D520" s="2">
        <f t="shared" si="32"/>
        <v>42094</v>
      </c>
      <c r="E520">
        <v>1</v>
      </c>
      <c r="F520" t="s">
        <v>23</v>
      </c>
      <c r="G520" t="str">
        <f t="shared" si="33"/>
        <v>Other</v>
      </c>
      <c r="H520">
        <v>9</v>
      </c>
      <c r="I520">
        <v>8707</v>
      </c>
      <c r="J520">
        <v>3</v>
      </c>
      <c r="K520" t="s">
        <v>24</v>
      </c>
      <c r="L520" t="s">
        <v>480</v>
      </c>
      <c r="M520" t="s">
        <v>481</v>
      </c>
      <c r="N520" t="s">
        <v>482</v>
      </c>
      <c r="P520" t="s">
        <v>482</v>
      </c>
      <c r="Q520" t="s">
        <v>483</v>
      </c>
      <c r="R520">
        <v>9</v>
      </c>
      <c r="T520">
        <v>191</v>
      </c>
      <c r="U520" t="s">
        <v>1044</v>
      </c>
      <c r="V520" s="7">
        <v>99.989997860000003</v>
      </c>
      <c r="W520" s="7">
        <v>95.114003926871064</v>
      </c>
      <c r="X520">
        <v>3</v>
      </c>
      <c r="Y520" s="7">
        <v>0</v>
      </c>
      <c r="Z520" s="7">
        <v>299.96999357999999</v>
      </c>
      <c r="AA520" s="7">
        <f t="shared" si="34"/>
        <v>299.96999357999999</v>
      </c>
      <c r="AB520" t="s">
        <v>30</v>
      </c>
      <c r="AC520" t="str">
        <f t="shared" si="35"/>
        <v>Cash Over 200</v>
      </c>
    </row>
    <row r="521" spans="1:29" x14ac:dyDescent="0.25">
      <c r="A521">
        <v>56359</v>
      </c>
      <c r="B521" s="2">
        <v>42770</v>
      </c>
      <c r="C521">
        <v>2</v>
      </c>
      <c r="D521" s="2">
        <f t="shared" si="32"/>
        <v>42773</v>
      </c>
      <c r="E521">
        <v>1</v>
      </c>
      <c r="F521" t="s">
        <v>23</v>
      </c>
      <c r="G521" t="str">
        <f t="shared" si="33"/>
        <v>Other</v>
      </c>
      <c r="H521">
        <v>17</v>
      </c>
      <c r="I521">
        <v>1025</v>
      </c>
      <c r="J521">
        <v>4</v>
      </c>
      <c r="K521" t="s">
        <v>46</v>
      </c>
      <c r="L521" t="s">
        <v>480</v>
      </c>
      <c r="M521" t="s">
        <v>484</v>
      </c>
      <c r="N521" t="s">
        <v>485</v>
      </c>
      <c r="P521" t="s">
        <v>486</v>
      </c>
      <c r="Q521" t="s">
        <v>483</v>
      </c>
      <c r="R521">
        <v>17</v>
      </c>
      <c r="T521">
        <v>365</v>
      </c>
      <c r="U521" t="s">
        <v>1054</v>
      </c>
      <c r="V521" s="7">
        <v>59.990001679999999</v>
      </c>
      <c r="W521" s="7">
        <v>54.488929209402009</v>
      </c>
      <c r="X521">
        <v>3</v>
      </c>
      <c r="Y521" s="7">
        <v>1.7999999520000001</v>
      </c>
      <c r="Z521" s="7">
        <v>179.97000503999999</v>
      </c>
      <c r="AA521" s="7">
        <f t="shared" si="34"/>
        <v>178.17000508799998</v>
      </c>
      <c r="AB521" t="s">
        <v>30</v>
      </c>
      <c r="AC521" t="str">
        <f t="shared" si="35"/>
        <v>Cash Not Over 200</v>
      </c>
    </row>
    <row r="522" spans="1:29" x14ac:dyDescent="0.25">
      <c r="A522">
        <v>58613</v>
      </c>
      <c r="B522" s="2">
        <v>42860</v>
      </c>
      <c r="C522">
        <v>2</v>
      </c>
      <c r="D522" s="2">
        <f t="shared" si="32"/>
        <v>42864</v>
      </c>
      <c r="E522">
        <v>1</v>
      </c>
      <c r="F522" t="s">
        <v>23</v>
      </c>
      <c r="G522" t="str">
        <f t="shared" si="33"/>
        <v>Other</v>
      </c>
      <c r="H522">
        <v>17</v>
      </c>
      <c r="I522">
        <v>8831</v>
      </c>
      <c r="J522">
        <v>4</v>
      </c>
      <c r="K522" t="s">
        <v>46</v>
      </c>
      <c r="L522" t="s">
        <v>480</v>
      </c>
      <c r="M522" t="s">
        <v>487</v>
      </c>
      <c r="N522" t="s">
        <v>488</v>
      </c>
      <c r="P522" t="s">
        <v>489</v>
      </c>
      <c r="Q522" t="s">
        <v>483</v>
      </c>
      <c r="R522">
        <v>17</v>
      </c>
      <c r="T522">
        <v>365</v>
      </c>
      <c r="U522" t="s">
        <v>1054</v>
      </c>
      <c r="V522" s="7">
        <v>59.990001679999999</v>
      </c>
      <c r="W522" s="7">
        <v>54.488929209402009</v>
      </c>
      <c r="X522">
        <v>3</v>
      </c>
      <c r="Y522" s="7">
        <v>9</v>
      </c>
      <c r="Z522" s="7">
        <v>179.97000503999999</v>
      </c>
      <c r="AA522" s="7">
        <f t="shared" si="34"/>
        <v>170.97000503999999</v>
      </c>
      <c r="AB522" t="s">
        <v>30</v>
      </c>
      <c r="AC522" t="str">
        <f t="shared" si="35"/>
        <v>Cash Not Over 200</v>
      </c>
    </row>
    <row r="523" spans="1:29" x14ac:dyDescent="0.25">
      <c r="A523">
        <v>7824</v>
      </c>
      <c r="B523" s="2">
        <v>42119</v>
      </c>
      <c r="C523">
        <v>2</v>
      </c>
      <c r="D523" s="2">
        <f t="shared" si="32"/>
        <v>42122</v>
      </c>
      <c r="E523">
        <v>1</v>
      </c>
      <c r="F523" t="s">
        <v>23</v>
      </c>
      <c r="G523" t="str">
        <f t="shared" si="33"/>
        <v>Other</v>
      </c>
      <c r="H523">
        <v>17</v>
      </c>
      <c r="I523">
        <v>10679</v>
      </c>
      <c r="J523">
        <v>4</v>
      </c>
      <c r="K523" t="s">
        <v>46</v>
      </c>
      <c r="L523" t="s">
        <v>480</v>
      </c>
      <c r="M523" t="s">
        <v>490</v>
      </c>
      <c r="N523" t="s">
        <v>490</v>
      </c>
      <c r="P523" t="s">
        <v>491</v>
      </c>
      <c r="Q523" t="s">
        <v>492</v>
      </c>
      <c r="R523">
        <v>17</v>
      </c>
      <c r="T523">
        <v>365</v>
      </c>
      <c r="U523" t="s">
        <v>1054</v>
      </c>
      <c r="V523" s="7">
        <v>59.990001679999999</v>
      </c>
      <c r="W523" s="7">
        <v>54.488929209402009</v>
      </c>
      <c r="X523">
        <v>3</v>
      </c>
      <c r="Y523" s="7">
        <v>9.8999996190000008</v>
      </c>
      <c r="Z523" s="7">
        <v>179.97000503999999</v>
      </c>
      <c r="AA523" s="7">
        <f t="shared" si="34"/>
        <v>170.07000542099999</v>
      </c>
      <c r="AB523" t="s">
        <v>30</v>
      </c>
      <c r="AC523" t="str">
        <f t="shared" si="35"/>
        <v>Cash Not Over 200</v>
      </c>
    </row>
    <row r="524" spans="1:29" x14ac:dyDescent="0.25">
      <c r="A524">
        <v>7814</v>
      </c>
      <c r="B524" s="2">
        <v>42119</v>
      </c>
      <c r="C524">
        <v>2</v>
      </c>
      <c r="D524" s="2">
        <f t="shared" si="32"/>
        <v>42122</v>
      </c>
      <c r="E524">
        <v>1</v>
      </c>
      <c r="F524" t="s">
        <v>23</v>
      </c>
      <c r="G524" t="str">
        <f t="shared" si="33"/>
        <v>Other</v>
      </c>
      <c r="H524">
        <v>17</v>
      </c>
      <c r="I524">
        <v>5007</v>
      </c>
      <c r="J524">
        <v>4</v>
      </c>
      <c r="K524" t="s">
        <v>46</v>
      </c>
      <c r="L524" t="s">
        <v>480</v>
      </c>
      <c r="M524" t="s">
        <v>493</v>
      </c>
      <c r="N524" t="s">
        <v>494</v>
      </c>
      <c r="P524" t="s">
        <v>495</v>
      </c>
      <c r="Q524" t="s">
        <v>496</v>
      </c>
      <c r="R524">
        <v>17</v>
      </c>
      <c r="T524">
        <v>365</v>
      </c>
      <c r="U524" t="s">
        <v>1054</v>
      </c>
      <c r="V524" s="7">
        <v>59.990001679999999</v>
      </c>
      <c r="W524" s="7">
        <v>54.488929209402009</v>
      </c>
      <c r="X524">
        <v>3</v>
      </c>
      <c r="Y524" s="7">
        <v>12.600000380000001</v>
      </c>
      <c r="Z524" s="7">
        <v>179.97000503999999</v>
      </c>
      <c r="AA524" s="7">
        <f t="shared" si="34"/>
        <v>167.37000465999998</v>
      </c>
      <c r="AB524" t="s">
        <v>30</v>
      </c>
      <c r="AC524" t="str">
        <f t="shared" si="35"/>
        <v>Cash Not Over 200</v>
      </c>
    </row>
    <row r="525" spans="1:29" x14ac:dyDescent="0.25">
      <c r="A525">
        <v>7814</v>
      </c>
      <c r="B525" s="2">
        <v>42119</v>
      </c>
      <c r="C525">
        <v>2</v>
      </c>
      <c r="D525" s="2">
        <f t="shared" si="32"/>
        <v>42122</v>
      </c>
      <c r="E525">
        <v>1</v>
      </c>
      <c r="F525" t="s">
        <v>23</v>
      </c>
      <c r="G525" t="str">
        <f t="shared" si="33"/>
        <v>Other</v>
      </c>
      <c r="H525">
        <v>17</v>
      </c>
      <c r="I525">
        <v>5007</v>
      </c>
      <c r="J525">
        <v>4</v>
      </c>
      <c r="K525" t="s">
        <v>46</v>
      </c>
      <c r="L525" t="s">
        <v>480</v>
      </c>
      <c r="M525" t="s">
        <v>493</v>
      </c>
      <c r="N525" t="s">
        <v>494</v>
      </c>
      <c r="P525" t="s">
        <v>495</v>
      </c>
      <c r="Q525" t="s">
        <v>496</v>
      </c>
      <c r="R525">
        <v>17</v>
      </c>
      <c r="T525">
        <v>365</v>
      </c>
      <c r="U525" t="s">
        <v>1054</v>
      </c>
      <c r="V525" s="7">
        <v>59.990001679999999</v>
      </c>
      <c r="W525" s="7">
        <v>54.488929209402009</v>
      </c>
      <c r="X525">
        <v>3</v>
      </c>
      <c r="Y525" s="7">
        <v>16.200000760000002</v>
      </c>
      <c r="Z525" s="7">
        <v>179.97000503999999</v>
      </c>
      <c r="AA525" s="7">
        <f t="shared" si="34"/>
        <v>163.77000427999999</v>
      </c>
      <c r="AB525" t="s">
        <v>30</v>
      </c>
      <c r="AC525" t="str">
        <f t="shared" si="35"/>
        <v>Cash Not Over 200</v>
      </c>
    </row>
    <row r="526" spans="1:29" x14ac:dyDescent="0.25">
      <c r="A526">
        <v>60807</v>
      </c>
      <c r="B526" s="2">
        <v>42892</v>
      </c>
      <c r="C526">
        <v>2</v>
      </c>
      <c r="D526" s="2">
        <f t="shared" si="32"/>
        <v>42894</v>
      </c>
      <c r="E526">
        <v>1</v>
      </c>
      <c r="F526" t="s">
        <v>23</v>
      </c>
      <c r="G526" t="str">
        <f t="shared" si="33"/>
        <v>Other</v>
      </c>
      <c r="H526">
        <v>17</v>
      </c>
      <c r="I526">
        <v>9854</v>
      </c>
      <c r="J526">
        <v>4</v>
      </c>
      <c r="K526" t="s">
        <v>46</v>
      </c>
      <c r="L526" t="s">
        <v>480</v>
      </c>
      <c r="M526" t="s">
        <v>490</v>
      </c>
      <c r="N526" t="s">
        <v>490</v>
      </c>
      <c r="P526" t="s">
        <v>491</v>
      </c>
      <c r="Q526" t="s">
        <v>492</v>
      </c>
      <c r="R526">
        <v>17</v>
      </c>
      <c r="T526">
        <v>365</v>
      </c>
      <c r="U526" t="s">
        <v>1054</v>
      </c>
      <c r="V526" s="7">
        <v>59.990001679999999</v>
      </c>
      <c r="W526" s="7">
        <v>54.488929209402009</v>
      </c>
      <c r="X526">
        <v>3</v>
      </c>
      <c r="Y526" s="7">
        <v>27</v>
      </c>
      <c r="Z526" s="7">
        <v>179.97000503999999</v>
      </c>
      <c r="AA526" s="7">
        <f t="shared" si="34"/>
        <v>152.97000503999999</v>
      </c>
      <c r="AB526" t="s">
        <v>30</v>
      </c>
      <c r="AC526" t="str">
        <f t="shared" si="35"/>
        <v>Cash Not Over 200</v>
      </c>
    </row>
    <row r="527" spans="1:29" x14ac:dyDescent="0.25">
      <c r="A527">
        <v>53413</v>
      </c>
      <c r="B527" s="2">
        <v>42784</v>
      </c>
      <c r="C527">
        <v>2</v>
      </c>
      <c r="D527" s="2">
        <f t="shared" si="32"/>
        <v>42787</v>
      </c>
      <c r="E527">
        <v>1</v>
      </c>
      <c r="F527" t="s">
        <v>23</v>
      </c>
      <c r="G527" t="str">
        <f t="shared" si="33"/>
        <v>Other</v>
      </c>
      <c r="H527">
        <v>17</v>
      </c>
      <c r="I527">
        <v>376</v>
      </c>
      <c r="J527">
        <v>4</v>
      </c>
      <c r="K527" t="s">
        <v>46</v>
      </c>
      <c r="L527" t="s">
        <v>480</v>
      </c>
      <c r="M527" t="s">
        <v>497</v>
      </c>
      <c r="N527" t="s">
        <v>498</v>
      </c>
      <c r="P527" t="s">
        <v>499</v>
      </c>
      <c r="Q527" t="s">
        <v>496</v>
      </c>
      <c r="R527">
        <v>17</v>
      </c>
      <c r="T527">
        <v>365</v>
      </c>
      <c r="U527" t="s">
        <v>1054</v>
      </c>
      <c r="V527" s="7">
        <v>59.990001679999999</v>
      </c>
      <c r="W527" s="7">
        <v>54.488929209402009</v>
      </c>
      <c r="X527">
        <v>3</v>
      </c>
      <c r="Y527" s="7">
        <v>27</v>
      </c>
      <c r="Z527" s="7">
        <v>179.97000503999999</v>
      </c>
      <c r="AA527" s="7">
        <f t="shared" si="34"/>
        <v>152.97000503999999</v>
      </c>
      <c r="AB527" t="s">
        <v>30</v>
      </c>
      <c r="AC527" t="str">
        <f t="shared" si="35"/>
        <v>Cash Not Over 200</v>
      </c>
    </row>
    <row r="528" spans="1:29" x14ac:dyDescent="0.25">
      <c r="A528">
        <v>7888</v>
      </c>
      <c r="B528" s="2">
        <v>42120</v>
      </c>
      <c r="C528">
        <v>2</v>
      </c>
      <c r="D528" s="2">
        <f t="shared" si="32"/>
        <v>42122</v>
      </c>
      <c r="E528">
        <v>1</v>
      </c>
      <c r="F528" t="s">
        <v>23</v>
      </c>
      <c r="G528" t="str">
        <f t="shared" si="33"/>
        <v>Other</v>
      </c>
      <c r="H528">
        <v>24</v>
      </c>
      <c r="I528">
        <v>5417</v>
      </c>
      <c r="J528">
        <v>5</v>
      </c>
      <c r="K528" t="s">
        <v>31</v>
      </c>
      <c r="L528" t="s">
        <v>480</v>
      </c>
      <c r="M528" t="s">
        <v>500</v>
      </c>
      <c r="N528" t="s">
        <v>485</v>
      </c>
      <c r="P528" t="s">
        <v>486</v>
      </c>
      <c r="Q528" t="s">
        <v>483</v>
      </c>
      <c r="R528">
        <v>24</v>
      </c>
      <c r="T528">
        <v>502</v>
      </c>
      <c r="U528" t="s">
        <v>1058</v>
      </c>
      <c r="V528" s="7">
        <v>50</v>
      </c>
      <c r="W528" s="7">
        <v>43.678035218757444</v>
      </c>
      <c r="X528">
        <v>3</v>
      </c>
      <c r="Y528" s="7">
        <v>0</v>
      </c>
      <c r="Z528" s="7">
        <v>150</v>
      </c>
      <c r="AA528" s="7">
        <f t="shared" si="34"/>
        <v>150</v>
      </c>
      <c r="AB528" t="s">
        <v>30</v>
      </c>
      <c r="AC528" t="str">
        <f t="shared" si="35"/>
        <v>Cash Not Over 200</v>
      </c>
    </row>
    <row r="529" spans="1:29" x14ac:dyDescent="0.25">
      <c r="A529">
        <v>6783</v>
      </c>
      <c r="B529" s="2">
        <v>42281</v>
      </c>
      <c r="C529">
        <v>2</v>
      </c>
      <c r="D529" s="2">
        <f t="shared" si="32"/>
        <v>42283</v>
      </c>
      <c r="E529">
        <v>1</v>
      </c>
      <c r="F529" t="s">
        <v>23</v>
      </c>
      <c r="G529" t="str">
        <f t="shared" si="33"/>
        <v>Other</v>
      </c>
      <c r="H529">
        <v>29</v>
      </c>
      <c r="I529">
        <v>10759</v>
      </c>
      <c r="J529">
        <v>5</v>
      </c>
      <c r="K529" t="s">
        <v>31</v>
      </c>
      <c r="L529" t="s">
        <v>480</v>
      </c>
      <c r="M529" t="s">
        <v>501</v>
      </c>
      <c r="N529" t="s">
        <v>502</v>
      </c>
      <c r="P529" t="s">
        <v>503</v>
      </c>
      <c r="Q529" t="s">
        <v>483</v>
      </c>
      <c r="R529">
        <v>29</v>
      </c>
      <c r="T529">
        <v>627</v>
      </c>
      <c r="U529" t="s">
        <v>1046</v>
      </c>
      <c r="V529" s="7">
        <v>39.990001679999999</v>
      </c>
      <c r="W529" s="7">
        <v>34.198098313835338</v>
      </c>
      <c r="X529">
        <v>3</v>
      </c>
      <c r="Y529" s="7">
        <v>4.8000001909999996</v>
      </c>
      <c r="Z529" s="7">
        <v>119.97000503999999</v>
      </c>
      <c r="AA529" s="7">
        <f t="shared" si="34"/>
        <v>115.17000484899999</v>
      </c>
      <c r="AB529" t="s">
        <v>30</v>
      </c>
      <c r="AC529" t="str">
        <f t="shared" si="35"/>
        <v>Cash Not Over 200</v>
      </c>
    </row>
    <row r="530" spans="1:29" x14ac:dyDescent="0.25">
      <c r="A530">
        <v>56973</v>
      </c>
      <c r="B530" s="2">
        <v>43043</v>
      </c>
      <c r="C530">
        <v>2</v>
      </c>
      <c r="D530" s="2">
        <f t="shared" si="32"/>
        <v>43046</v>
      </c>
      <c r="E530">
        <v>1</v>
      </c>
      <c r="F530" t="s">
        <v>23</v>
      </c>
      <c r="G530" t="str">
        <f t="shared" si="33"/>
        <v>Other</v>
      </c>
      <c r="H530">
        <v>24</v>
      </c>
      <c r="I530">
        <v>8541</v>
      </c>
      <c r="J530">
        <v>5</v>
      </c>
      <c r="K530" t="s">
        <v>31</v>
      </c>
      <c r="L530" t="s">
        <v>480</v>
      </c>
      <c r="M530" t="s">
        <v>504</v>
      </c>
      <c r="N530" t="s">
        <v>505</v>
      </c>
      <c r="P530" t="s">
        <v>506</v>
      </c>
      <c r="Q530" t="s">
        <v>496</v>
      </c>
      <c r="R530">
        <v>24</v>
      </c>
      <c r="T530">
        <v>502</v>
      </c>
      <c r="U530" t="s">
        <v>1058</v>
      </c>
      <c r="V530" s="7">
        <v>50</v>
      </c>
      <c r="W530" s="7">
        <v>43.678035218757444</v>
      </c>
      <c r="X530">
        <v>3</v>
      </c>
      <c r="Y530" s="7">
        <v>6</v>
      </c>
      <c r="Z530" s="7">
        <v>150</v>
      </c>
      <c r="AA530" s="7">
        <f t="shared" si="34"/>
        <v>144</v>
      </c>
      <c r="AB530" t="s">
        <v>30</v>
      </c>
      <c r="AC530" t="str">
        <f t="shared" si="35"/>
        <v>Cash Not Over 200</v>
      </c>
    </row>
    <row r="531" spans="1:29" x14ac:dyDescent="0.25">
      <c r="A531">
        <v>7824</v>
      </c>
      <c r="B531" s="2">
        <v>42119</v>
      </c>
      <c r="C531">
        <v>2</v>
      </c>
      <c r="D531" s="2">
        <f t="shared" si="32"/>
        <v>42122</v>
      </c>
      <c r="E531">
        <v>1</v>
      </c>
      <c r="F531" t="s">
        <v>23</v>
      </c>
      <c r="G531" t="str">
        <f t="shared" si="33"/>
        <v>Other</v>
      </c>
      <c r="H531">
        <v>24</v>
      </c>
      <c r="I531">
        <v>10679</v>
      </c>
      <c r="J531">
        <v>5</v>
      </c>
      <c r="K531" t="s">
        <v>31</v>
      </c>
      <c r="L531" t="s">
        <v>480</v>
      </c>
      <c r="M531" t="s">
        <v>490</v>
      </c>
      <c r="N531" t="s">
        <v>490</v>
      </c>
      <c r="P531" t="s">
        <v>491</v>
      </c>
      <c r="Q531" t="s">
        <v>492</v>
      </c>
      <c r="R531">
        <v>24</v>
      </c>
      <c r="T531">
        <v>502</v>
      </c>
      <c r="U531" t="s">
        <v>1058</v>
      </c>
      <c r="V531" s="7">
        <v>50</v>
      </c>
      <c r="W531" s="7">
        <v>43.678035218757444</v>
      </c>
      <c r="X531">
        <v>3</v>
      </c>
      <c r="Y531" s="7">
        <v>7.5</v>
      </c>
      <c r="Z531" s="7">
        <v>150</v>
      </c>
      <c r="AA531" s="7">
        <f t="shared" si="34"/>
        <v>142.5</v>
      </c>
      <c r="AB531" t="s">
        <v>30</v>
      </c>
      <c r="AC531" t="str">
        <f t="shared" si="35"/>
        <v>Cash Not Over 200</v>
      </c>
    </row>
    <row r="532" spans="1:29" x14ac:dyDescent="0.25">
      <c r="A532">
        <v>55155</v>
      </c>
      <c r="B532" s="2">
        <v>42810</v>
      </c>
      <c r="C532">
        <v>2</v>
      </c>
      <c r="D532" s="2">
        <f t="shared" si="32"/>
        <v>42814</v>
      </c>
      <c r="E532">
        <v>1</v>
      </c>
      <c r="F532" t="s">
        <v>23</v>
      </c>
      <c r="G532" t="str">
        <f t="shared" si="33"/>
        <v>Other</v>
      </c>
      <c r="H532">
        <v>24</v>
      </c>
      <c r="I532">
        <v>3752</v>
      </c>
      <c r="J532">
        <v>5</v>
      </c>
      <c r="K532" t="s">
        <v>31</v>
      </c>
      <c r="L532" t="s">
        <v>480</v>
      </c>
      <c r="M532" t="s">
        <v>507</v>
      </c>
      <c r="N532" t="s">
        <v>508</v>
      </c>
      <c r="P532" t="s">
        <v>509</v>
      </c>
      <c r="Q532" t="s">
        <v>483</v>
      </c>
      <c r="R532">
        <v>24</v>
      </c>
      <c r="T532">
        <v>502</v>
      </c>
      <c r="U532" t="s">
        <v>1058</v>
      </c>
      <c r="V532" s="7">
        <v>50</v>
      </c>
      <c r="W532" s="7">
        <v>43.678035218757444</v>
      </c>
      <c r="X532">
        <v>3</v>
      </c>
      <c r="Y532" s="7">
        <v>10.5</v>
      </c>
      <c r="Z532" s="7">
        <v>150</v>
      </c>
      <c r="AA532" s="7">
        <f t="shared" si="34"/>
        <v>139.5</v>
      </c>
      <c r="AB532" t="s">
        <v>30</v>
      </c>
      <c r="AC532" t="str">
        <f t="shared" si="35"/>
        <v>Cash Not Over 200</v>
      </c>
    </row>
    <row r="533" spans="1:29" x14ac:dyDescent="0.25">
      <c r="A533">
        <v>5991</v>
      </c>
      <c r="B533" s="2">
        <v>42092</v>
      </c>
      <c r="C533">
        <v>2</v>
      </c>
      <c r="D533" s="2">
        <f t="shared" si="32"/>
        <v>42094</v>
      </c>
      <c r="E533">
        <v>0</v>
      </c>
      <c r="F533" t="s">
        <v>23</v>
      </c>
      <c r="G533" t="str">
        <f t="shared" si="33"/>
        <v>Other</v>
      </c>
      <c r="H533">
        <v>24</v>
      </c>
      <c r="I533">
        <v>4673</v>
      </c>
      <c r="J533">
        <v>5</v>
      </c>
      <c r="K533" t="s">
        <v>31</v>
      </c>
      <c r="L533" t="s">
        <v>480</v>
      </c>
      <c r="M533" t="s">
        <v>510</v>
      </c>
      <c r="N533" t="s">
        <v>511</v>
      </c>
      <c r="P533" t="s">
        <v>509</v>
      </c>
      <c r="Q533" t="s">
        <v>483</v>
      </c>
      <c r="R533">
        <v>24</v>
      </c>
      <c r="T533">
        <v>502</v>
      </c>
      <c r="U533" t="s">
        <v>1058</v>
      </c>
      <c r="V533" s="7">
        <v>50</v>
      </c>
      <c r="W533" s="7">
        <v>43.678035218757444</v>
      </c>
      <c r="X533">
        <v>3</v>
      </c>
      <c r="Y533" s="7">
        <v>18</v>
      </c>
      <c r="Z533" s="7">
        <v>150</v>
      </c>
      <c r="AA533" s="7">
        <f t="shared" si="34"/>
        <v>132</v>
      </c>
      <c r="AB533" t="s">
        <v>30</v>
      </c>
      <c r="AC533" t="str">
        <f t="shared" si="35"/>
        <v>Cash Not Over 200</v>
      </c>
    </row>
    <row r="534" spans="1:29" x14ac:dyDescent="0.25">
      <c r="A534">
        <v>2263</v>
      </c>
      <c r="B534" s="2">
        <v>42065</v>
      </c>
      <c r="C534">
        <v>2</v>
      </c>
      <c r="D534" s="2">
        <f t="shared" si="32"/>
        <v>42067</v>
      </c>
      <c r="E534">
        <v>1</v>
      </c>
      <c r="F534" t="s">
        <v>23</v>
      </c>
      <c r="G534" t="str">
        <f t="shared" si="33"/>
        <v>Other</v>
      </c>
      <c r="H534">
        <v>24</v>
      </c>
      <c r="I534">
        <v>5367</v>
      </c>
      <c r="J534">
        <v>5</v>
      </c>
      <c r="K534" t="s">
        <v>31</v>
      </c>
      <c r="L534" t="s">
        <v>480</v>
      </c>
      <c r="M534" t="s">
        <v>512</v>
      </c>
      <c r="N534" t="s">
        <v>512</v>
      </c>
      <c r="P534" t="s">
        <v>509</v>
      </c>
      <c r="Q534" t="s">
        <v>483</v>
      </c>
      <c r="R534">
        <v>24</v>
      </c>
      <c r="T534">
        <v>502</v>
      </c>
      <c r="U534" t="s">
        <v>1058</v>
      </c>
      <c r="V534" s="7">
        <v>50</v>
      </c>
      <c r="W534" s="7">
        <v>43.678035218757444</v>
      </c>
      <c r="X534">
        <v>3</v>
      </c>
      <c r="Y534" s="7">
        <v>18</v>
      </c>
      <c r="Z534" s="7">
        <v>150</v>
      </c>
      <c r="AA534" s="7">
        <f t="shared" si="34"/>
        <v>132</v>
      </c>
      <c r="AB534" t="s">
        <v>30</v>
      </c>
      <c r="AC534" t="str">
        <f t="shared" si="35"/>
        <v>Cash Not Over 200</v>
      </c>
    </row>
    <row r="535" spans="1:29" x14ac:dyDescent="0.25">
      <c r="A535">
        <v>2263</v>
      </c>
      <c r="B535" s="2">
        <v>42065</v>
      </c>
      <c r="C535">
        <v>2</v>
      </c>
      <c r="D535" s="2">
        <f t="shared" si="32"/>
        <v>42067</v>
      </c>
      <c r="E535">
        <v>1</v>
      </c>
      <c r="F535" t="s">
        <v>23</v>
      </c>
      <c r="G535" t="str">
        <f t="shared" si="33"/>
        <v>Other</v>
      </c>
      <c r="H535">
        <v>24</v>
      </c>
      <c r="I535">
        <v>5367</v>
      </c>
      <c r="J535">
        <v>5</v>
      </c>
      <c r="K535" t="s">
        <v>31</v>
      </c>
      <c r="L535" t="s">
        <v>480</v>
      </c>
      <c r="M535" t="s">
        <v>512</v>
      </c>
      <c r="N535" t="s">
        <v>512</v>
      </c>
      <c r="P535" t="s">
        <v>509</v>
      </c>
      <c r="Q535" t="s">
        <v>483</v>
      </c>
      <c r="R535">
        <v>24</v>
      </c>
      <c r="T535">
        <v>502</v>
      </c>
      <c r="U535" t="s">
        <v>1058</v>
      </c>
      <c r="V535" s="7">
        <v>50</v>
      </c>
      <c r="W535" s="7">
        <v>43.678035218757444</v>
      </c>
      <c r="X535">
        <v>3</v>
      </c>
      <c r="Y535" s="7">
        <v>19.5</v>
      </c>
      <c r="Z535" s="7">
        <v>150</v>
      </c>
      <c r="AA535" s="7">
        <f t="shared" si="34"/>
        <v>130.5</v>
      </c>
      <c r="AB535" t="s">
        <v>30</v>
      </c>
      <c r="AC535" t="str">
        <f t="shared" si="35"/>
        <v>Cash Not Over 200</v>
      </c>
    </row>
    <row r="536" spans="1:29" x14ac:dyDescent="0.25">
      <c r="A536">
        <v>53403</v>
      </c>
      <c r="B536" s="2">
        <v>42784</v>
      </c>
      <c r="C536">
        <v>2</v>
      </c>
      <c r="D536" s="2">
        <f t="shared" si="32"/>
        <v>42787</v>
      </c>
      <c r="E536">
        <v>1</v>
      </c>
      <c r="F536" t="s">
        <v>23</v>
      </c>
      <c r="G536" t="str">
        <f t="shared" si="33"/>
        <v>Other</v>
      </c>
      <c r="H536">
        <v>24</v>
      </c>
      <c r="I536">
        <v>10485</v>
      </c>
      <c r="J536">
        <v>5</v>
      </c>
      <c r="K536" t="s">
        <v>31</v>
      </c>
      <c r="L536" t="s">
        <v>480</v>
      </c>
      <c r="M536" t="s">
        <v>507</v>
      </c>
      <c r="N536" t="s">
        <v>508</v>
      </c>
      <c r="P536" t="s">
        <v>509</v>
      </c>
      <c r="Q536" t="s">
        <v>483</v>
      </c>
      <c r="R536">
        <v>24</v>
      </c>
      <c r="T536">
        <v>502</v>
      </c>
      <c r="U536" t="s">
        <v>1058</v>
      </c>
      <c r="V536" s="7">
        <v>50</v>
      </c>
      <c r="W536" s="7">
        <v>43.678035218757444</v>
      </c>
      <c r="X536">
        <v>3</v>
      </c>
      <c r="Y536" s="7">
        <v>25.5</v>
      </c>
      <c r="Z536" s="7">
        <v>150</v>
      </c>
      <c r="AA536" s="7">
        <f t="shared" si="34"/>
        <v>124.5</v>
      </c>
      <c r="AB536" t="s">
        <v>30</v>
      </c>
      <c r="AC536" t="str">
        <f t="shared" si="35"/>
        <v>Cash Not Over 200</v>
      </c>
    </row>
    <row r="537" spans="1:29" x14ac:dyDescent="0.25">
      <c r="A537">
        <v>51298</v>
      </c>
      <c r="B537" s="2">
        <v>42753</v>
      </c>
      <c r="C537">
        <v>2</v>
      </c>
      <c r="D537" s="2">
        <f t="shared" si="32"/>
        <v>42755</v>
      </c>
      <c r="E537">
        <v>1</v>
      </c>
      <c r="F537" t="s">
        <v>23</v>
      </c>
      <c r="G537" t="str">
        <f t="shared" si="33"/>
        <v>Other</v>
      </c>
      <c r="H537">
        <v>29</v>
      </c>
      <c r="I537">
        <v>9272</v>
      </c>
      <c r="J537">
        <v>5</v>
      </c>
      <c r="K537" t="s">
        <v>31</v>
      </c>
      <c r="L537" t="s">
        <v>480</v>
      </c>
      <c r="M537" t="s">
        <v>513</v>
      </c>
      <c r="N537" t="s">
        <v>513</v>
      </c>
      <c r="P537" t="s">
        <v>506</v>
      </c>
      <c r="Q537" t="s">
        <v>496</v>
      </c>
      <c r="R537">
        <v>29</v>
      </c>
      <c r="T537">
        <v>627</v>
      </c>
      <c r="U537" t="s">
        <v>1046</v>
      </c>
      <c r="V537" s="7">
        <v>39.990001679999999</v>
      </c>
      <c r="W537" s="7">
        <v>34.198098313835338</v>
      </c>
      <c r="X537">
        <v>3</v>
      </c>
      <c r="Y537" s="7">
        <v>20.38999939</v>
      </c>
      <c r="Z537" s="7">
        <v>119.97000503999999</v>
      </c>
      <c r="AA537" s="7">
        <f t="shared" si="34"/>
        <v>99.58000564999999</v>
      </c>
      <c r="AB537" t="s">
        <v>30</v>
      </c>
      <c r="AC537" t="str">
        <f t="shared" si="35"/>
        <v>Cash Not Over 200</v>
      </c>
    </row>
    <row r="538" spans="1:29" x14ac:dyDescent="0.25">
      <c r="A538">
        <v>4919</v>
      </c>
      <c r="B538" s="2">
        <v>42076</v>
      </c>
      <c r="C538">
        <v>4</v>
      </c>
      <c r="D538" s="2">
        <f t="shared" si="32"/>
        <v>42082</v>
      </c>
      <c r="E538">
        <v>1</v>
      </c>
      <c r="F538" t="s">
        <v>62</v>
      </c>
      <c r="G538" t="str">
        <f t="shared" si="33"/>
        <v>Other</v>
      </c>
      <c r="H538">
        <v>24</v>
      </c>
      <c r="I538">
        <v>647</v>
      </c>
      <c r="J538">
        <v>5</v>
      </c>
      <c r="K538" t="s">
        <v>31</v>
      </c>
      <c r="L538" t="s">
        <v>480</v>
      </c>
      <c r="M538" t="s">
        <v>514</v>
      </c>
      <c r="N538" t="s">
        <v>514</v>
      </c>
      <c r="P538" t="s">
        <v>515</v>
      </c>
      <c r="Q538" t="s">
        <v>496</v>
      </c>
      <c r="R538">
        <v>24</v>
      </c>
      <c r="T538">
        <v>502</v>
      </c>
      <c r="U538" t="s">
        <v>1058</v>
      </c>
      <c r="V538" s="7">
        <v>50</v>
      </c>
      <c r="W538" s="7">
        <v>43.678035218757444</v>
      </c>
      <c r="X538">
        <v>5</v>
      </c>
      <c r="Y538" s="7">
        <v>10</v>
      </c>
      <c r="Z538" s="7">
        <v>250</v>
      </c>
      <c r="AA538" s="7">
        <f t="shared" si="34"/>
        <v>240</v>
      </c>
      <c r="AB538" t="s">
        <v>66</v>
      </c>
      <c r="AC538" t="str">
        <f t="shared" si="35"/>
        <v>Non-Cash Payments</v>
      </c>
    </row>
    <row r="539" spans="1:29" x14ac:dyDescent="0.25">
      <c r="A539">
        <v>52640</v>
      </c>
      <c r="B539" s="2">
        <v>42918</v>
      </c>
      <c r="C539">
        <v>4</v>
      </c>
      <c r="D539" s="2">
        <f t="shared" si="32"/>
        <v>42922</v>
      </c>
      <c r="E539">
        <v>1</v>
      </c>
      <c r="F539" t="s">
        <v>62</v>
      </c>
      <c r="G539" t="str">
        <f t="shared" si="33"/>
        <v>Other</v>
      </c>
      <c r="H539">
        <v>29</v>
      </c>
      <c r="I539">
        <v>6398</v>
      </c>
      <c r="J539">
        <v>5</v>
      </c>
      <c r="K539" t="s">
        <v>31</v>
      </c>
      <c r="L539" t="s">
        <v>480</v>
      </c>
      <c r="M539" t="s">
        <v>516</v>
      </c>
      <c r="N539" t="s">
        <v>516</v>
      </c>
      <c r="P539" t="s">
        <v>517</v>
      </c>
      <c r="Q539" t="s">
        <v>496</v>
      </c>
      <c r="R539">
        <v>29</v>
      </c>
      <c r="T539">
        <v>627</v>
      </c>
      <c r="U539" t="s">
        <v>1046</v>
      </c>
      <c r="V539" s="7">
        <v>39.990001679999999</v>
      </c>
      <c r="W539" s="7">
        <v>34.198098313835338</v>
      </c>
      <c r="X539">
        <v>5</v>
      </c>
      <c r="Y539" s="7">
        <v>10</v>
      </c>
      <c r="Z539" s="7">
        <v>199.9500084</v>
      </c>
      <c r="AA539" s="7">
        <f t="shared" si="34"/>
        <v>189.9500084</v>
      </c>
      <c r="AB539" t="s">
        <v>66</v>
      </c>
      <c r="AC539" t="str">
        <f t="shared" si="35"/>
        <v>Non-Cash Payments</v>
      </c>
    </row>
    <row r="540" spans="1:29" x14ac:dyDescent="0.25">
      <c r="A540">
        <v>6358</v>
      </c>
      <c r="B540" s="2">
        <v>42067</v>
      </c>
      <c r="C540">
        <v>4</v>
      </c>
      <c r="D540" s="2">
        <f t="shared" si="32"/>
        <v>42073</v>
      </c>
      <c r="E540">
        <v>0</v>
      </c>
      <c r="F540" t="s">
        <v>62</v>
      </c>
      <c r="G540" t="str">
        <f t="shared" si="33"/>
        <v>Other</v>
      </c>
      <c r="H540">
        <v>29</v>
      </c>
      <c r="I540">
        <v>4209</v>
      </c>
      <c r="J540">
        <v>5</v>
      </c>
      <c r="K540" t="s">
        <v>31</v>
      </c>
      <c r="L540" t="s">
        <v>480</v>
      </c>
      <c r="M540" t="s">
        <v>513</v>
      </c>
      <c r="N540" t="s">
        <v>513</v>
      </c>
      <c r="P540" t="s">
        <v>506</v>
      </c>
      <c r="Q540" t="s">
        <v>496</v>
      </c>
      <c r="R540">
        <v>29</v>
      </c>
      <c r="T540">
        <v>627</v>
      </c>
      <c r="U540" t="s">
        <v>1046</v>
      </c>
      <c r="V540" s="7">
        <v>39.990001679999999</v>
      </c>
      <c r="W540" s="7">
        <v>34.198098313835338</v>
      </c>
      <c r="X540">
        <v>5</v>
      </c>
      <c r="Y540" s="7">
        <v>11</v>
      </c>
      <c r="Z540" s="7">
        <v>199.9500084</v>
      </c>
      <c r="AA540" s="7">
        <f t="shared" si="34"/>
        <v>188.9500084</v>
      </c>
      <c r="AB540" t="s">
        <v>66</v>
      </c>
      <c r="AC540" t="str">
        <f t="shared" si="35"/>
        <v>Non-Cash Payments</v>
      </c>
    </row>
    <row r="541" spans="1:29" x14ac:dyDescent="0.25">
      <c r="A541">
        <v>57106</v>
      </c>
      <c r="B541" s="2">
        <v>42838</v>
      </c>
      <c r="C541">
        <v>4</v>
      </c>
      <c r="D541" s="2">
        <f t="shared" si="32"/>
        <v>42844</v>
      </c>
      <c r="E541">
        <v>0</v>
      </c>
      <c r="F541" t="s">
        <v>62</v>
      </c>
      <c r="G541" t="str">
        <f t="shared" si="33"/>
        <v>Other</v>
      </c>
      <c r="H541">
        <v>24</v>
      </c>
      <c r="I541">
        <v>8917</v>
      </c>
      <c r="J541">
        <v>5</v>
      </c>
      <c r="K541" t="s">
        <v>31</v>
      </c>
      <c r="L541" t="s">
        <v>480</v>
      </c>
      <c r="M541" t="s">
        <v>518</v>
      </c>
      <c r="N541" t="s">
        <v>513</v>
      </c>
      <c r="P541" t="s">
        <v>506</v>
      </c>
      <c r="Q541" t="s">
        <v>496</v>
      </c>
      <c r="R541">
        <v>24</v>
      </c>
      <c r="T541">
        <v>502</v>
      </c>
      <c r="U541" t="s">
        <v>1058</v>
      </c>
      <c r="V541" s="7">
        <v>50</v>
      </c>
      <c r="W541" s="7">
        <v>43.678035218757444</v>
      </c>
      <c r="X541">
        <v>5</v>
      </c>
      <c r="Y541" s="7">
        <v>13.75</v>
      </c>
      <c r="Z541" s="7">
        <v>250</v>
      </c>
      <c r="AA541" s="7">
        <f t="shared" si="34"/>
        <v>236.25</v>
      </c>
      <c r="AB541" t="s">
        <v>66</v>
      </c>
      <c r="AC541" t="str">
        <f t="shared" si="35"/>
        <v>Non-Cash Payments</v>
      </c>
    </row>
    <row r="542" spans="1:29" x14ac:dyDescent="0.25">
      <c r="A542">
        <v>6245</v>
      </c>
      <c r="B542" s="2">
        <v>42039</v>
      </c>
      <c r="C542">
        <v>4</v>
      </c>
      <c r="D542" s="2">
        <f t="shared" si="32"/>
        <v>42045</v>
      </c>
      <c r="E542">
        <v>1</v>
      </c>
      <c r="F542" t="s">
        <v>62</v>
      </c>
      <c r="G542" t="str">
        <f t="shared" si="33"/>
        <v>Other</v>
      </c>
      <c r="H542">
        <v>24</v>
      </c>
      <c r="I542">
        <v>7784</v>
      </c>
      <c r="J542">
        <v>5</v>
      </c>
      <c r="K542" t="s">
        <v>31</v>
      </c>
      <c r="L542" t="s">
        <v>480</v>
      </c>
      <c r="M542" t="s">
        <v>519</v>
      </c>
      <c r="N542" t="s">
        <v>520</v>
      </c>
      <c r="P542" t="s">
        <v>506</v>
      </c>
      <c r="Q542" t="s">
        <v>496</v>
      </c>
      <c r="R542">
        <v>24</v>
      </c>
      <c r="T542">
        <v>502</v>
      </c>
      <c r="U542" t="s">
        <v>1058</v>
      </c>
      <c r="V542" s="7">
        <v>50</v>
      </c>
      <c r="W542" s="7">
        <v>43.678035218757444</v>
      </c>
      <c r="X542">
        <v>5</v>
      </c>
      <c r="Y542" s="7">
        <v>13.75</v>
      </c>
      <c r="Z542" s="7">
        <v>250</v>
      </c>
      <c r="AA542" s="7">
        <f t="shared" si="34"/>
        <v>236.25</v>
      </c>
      <c r="AB542" t="s">
        <v>66</v>
      </c>
      <c r="AC542" t="str">
        <f t="shared" si="35"/>
        <v>Non-Cash Payments</v>
      </c>
    </row>
    <row r="543" spans="1:29" x14ac:dyDescent="0.25">
      <c r="A543">
        <v>52166</v>
      </c>
      <c r="B543" s="2">
        <v>42766</v>
      </c>
      <c r="C543">
        <v>4</v>
      </c>
      <c r="D543" s="2">
        <f t="shared" si="32"/>
        <v>42772</v>
      </c>
      <c r="E543">
        <v>0</v>
      </c>
      <c r="F543" t="s">
        <v>62</v>
      </c>
      <c r="G543" t="str">
        <f t="shared" si="33"/>
        <v>Other</v>
      </c>
      <c r="H543">
        <v>29</v>
      </c>
      <c r="I543">
        <v>1425</v>
      </c>
      <c r="J543">
        <v>5</v>
      </c>
      <c r="K543" t="s">
        <v>31</v>
      </c>
      <c r="L543" t="s">
        <v>480</v>
      </c>
      <c r="M543" t="s">
        <v>521</v>
      </c>
      <c r="N543" t="s">
        <v>521</v>
      </c>
      <c r="P543" t="s">
        <v>522</v>
      </c>
      <c r="Q543" t="s">
        <v>492</v>
      </c>
      <c r="R543">
        <v>29</v>
      </c>
      <c r="T543">
        <v>642</v>
      </c>
      <c r="U543" t="s">
        <v>1091</v>
      </c>
      <c r="V543" s="7">
        <v>30</v>
      </c>
      <c r="W543" s="7">
        <v>37.315110652333338</v>
      </c>
      <c r="X543">
        <v>5</v>
      </c>
      <c r="Y543" s="7">
        <v>13.5</v>
      </c>
      <c r="Z543" s="7">
        <v>150</v>
      </c>
      <c r="AA543" s="7">
        <f t="shared" si="34"/>
        <v>136.5</v>
      </c>
      <c r="AB543" t="s">
        <v>66</v>
      </c>
      <c r="AC543" t="str">
        <f t="shared" si="35"/>
        <v>Non-Cash Payments</v>
      </c>
    </row>
    <row r="544" spans="1:29" x14ac:dyDescent="0.25">
      <c r="A544">
        <v>56172</v>
      </c>
      <c r="B544" s="2">
        <v>42824</v>
      </c>
      <c r="C544">
        <v>4</v>
      </c>
      <c r="D544" s="2">
        <f t="shared" si="32"/>
        <v>42830</v>
      </c>
      <c r="E544">
        <v>0</v>
      </c>
      <c r="F544" t="s">
        <v>62</v>
      </c>
      <c r="G544" t="str">
        <f t="shared" si="33"/>
        <v>Other</v>
      </c>
      <c r="H544">
        <v>29</v>
      </c>
      <c r="I544">
        <v>2737</v>
      </c>
      <c r="J544">
        <v>5</v>
      </c>
      <c r="K544" t="s">
        <v>31</v>
      </c>
      <c r="L544" t="s">
        <v>480</v>
      </c>
      <c r="M544" t="s">
        <v>523</v>
      </c>
      <c r="N544" t="s">
        <v>523</v>
      </c>
      <c r="P544" t="s">
        <v>522</v>
      </c>
      <c r="Q544" t="s">
        <v>492</v>
      </c>
      <c r="R544">
        <v>29</v>
      </c>
      <c r="T544">
        <v>627</v>
      </c>
      <c r="U544" t="s">
        <v>1046</v>
      </c>
      <c r="V544" s="7">
        <v>39.990001679999999</v>
      </c>
      <c r="W544" s="7">
        <v>34.198098313835338</v>
      </c>
      <c r="X544">
        <v>5</v>
      </c>
      <c r="Y544" s="7">
        <v>18</v>
      </c>
      <c r="Z544" s="7">
        <v>199.9500084</v>
      </c>
      <c r="AA544" s="7">
        <f t="shared" si="34"/>
        <v>181.9500084</v>
      </c>
      <c r="AB544" t="s">
        <v>66</v>
      </c>
      <c r="AC544" t="str">
        <f t="shared" si="35"/>
        <v>Non-Cash Payments</v>
      </c>
    </row>
    <row r="545" spans="1:29" x14ac:dyDescent="0.25">
      <c r="A545">
        <v>55829</v>
      </c>
      <c r="B545" s="2">
        <v>42819</v>
      </c>
      <c r="C545">
        <v>4</v>
      </c>
      <c r="D545" s="2">
        <f t="shared" si="32"/>
        <v>42824</v>
      </c>
      <c r="E545">
        <v>1</v>
      </c>
      <c r="F545" t="s">
        <v>62</v>
      </c>
      <c r="G545" t="str">
        <f t="shared" si="33"/>
        <v>Other</v>
      </c>
      <c r="H545">
        <v>24</v>
      </c>
      <c r="I545">
        <v>6428</v>
      </c>
      <c r="J545">
        <v>5</v>
      </c>
      <c r="K545" t="s">
        <v>31</v>
      </c>
      <c r="L545" t="s">
        <v>480</v>
      </c>
      <c r="M545" t="s">
        <v>490</v>
      </c>
      <c r="N545" t="s">
        <v>490</v>
      </c>
      <c r="P545" t="s">
        <v>491</v>
      </c>
      <c r="Q545" t="s">
        <v>492</v>
      </c>
      <c r="R545">
        <v>24</v>
      </c>
      <c r="T545">
        <v>502</v>
      </c>
      <c r="U545" t="s">
        <v>1058</v>
      </c>
      <c r="V545" s="7">
        <v>50</v>
      </c>
      <c r="W545" s="7">
        <v>43.678035218757444</v>
      </c>
      <c r="X545">
        <v>5</v>
      </c>
      <c r="Y545" s="7">
        <v>25</v>
      </c>
      <c r="Z545" s="7">
        <v>250</v>
      </c>
      <c r="AA545" s="7">
        <f t="shared" si="34"/>
        <v>225</v>
      </c>
      <c r="AB545" t="s">
        <v>66</v>
      </c>
      <c r="AC545" t="str">
        <f t="shared" si="35"/>
        <v>Non-Cash Payments</v>
      </c>
    </row>
    <row r="546" spans="1:29" x14ac:dyDescent="0.25">
      <c r="A546">
        <v>52478</v>
      </c>
      <c r="B546" s="2">
        <v>42857</v>
      </c>
      <c r="C546">
        <v>4</v>
      </c>
      <c r="D546" s="2">
        <f t="shared" si="32"/>
        <v>42863</v>
      </c>
      <c r="E546">
        <v>0</v>
      </c>
      <c r="F546" t="s">
        <v>62</v>
      </c>
      <c r="G546" t="str">
        <f t="shared" si="33"/>
        <v>Other</v>
      </c>
      <c r="H546">
        <v>24</v>
      </c>
      <c r="I546">
        <v>6543</v>
      </c>
      <c r="J546">
        <v>5</v>
      </c>
      <c r="K546" t="s">
        <v>31</v>
      </c>
      <c r="L546" t="s">
        <v>480</v>
      </c>
      <c r="M546" t="s">
        <v>524</v>
      </c>
      <c r="N546" t="s">
        <v>525</v>
      </c>
      <c r="P546" t="s">
        <v>509</v>
      </c>
      <c r="Q546" t="s">
        <v>483</v>
      </c>
      <c r="R546">
        <v>24</v>
      </c>
      <c r="T546">
        <v>502</v>
      </c>
      <c r="U546" t="s">
        <v>1058</v>
      </c>
      <c r="V546" s="7">
        <v>50</v>
      </c>
      <c r="W546" s="7">
        <v>43.678035218757444</v>
      </c>
      <c r="X546">
        <v>5</v>
      </c>
      <c r="Y546" s="7">
        <v>25</v>
      </c>
      <c r="Z546" s="7">
        <v>250</v>
      </c>
      <c r="AA546" s="7">
        <f t="shared" si="34"/>
        <v>225</v>
      </c>
      <c r="AB546" t="s">
        <v>66</v>
      </c>
      <c r="AC546" t="str">
        <f t="shared" si="35"/>
        <v>Non-Cash Payments</v>
      </c>
    </row>
    <row r="547" spans="1:29" x14ac:dyDescent="0.25">
      <c r="A547">
        <v>57242</v>
      </c>
      <c r="B547" s="2">
        <v>42840</v>
      </c>
      <c r="C547">
        <v>4</v>
      </c>
      <c r="D547" s="2">
        <f t="shared" si="32"/>
        <v>42845</v>
      </c>
      <c r="E547">
        <v>0</v>
      </c>
      <c r="F547" t="s">
        <v>62</v>
      </c>
      <c r="G547" t="str">
        <f t="shared" si="33"/>
        <v>Other</v>
      </c>
      <c r="H547">
        <v>29</v>
      </c>
      <c r="I547">
        <v>3990</v>
      </c>
      <c r="J547">
        <v>5</v>
      </c>
      <c r="K547" t="s">
        <v>31</v>
      </c>
      <c r="L547" t="s">
        <v>480</v>
      </c>
      <c r="M547" t="s">
        <v>526</v>
      </c>
      <c r="N547" t="s">
        <v>489</v>
      </c>
      <c r="P547" t="s">
        <v>489</v>
      </c>
      <c r="Q547" t="s">
        <v>483</v>
      </c>
      <c r="R547">
        <v>29</v>
      </c>
      <c r="T547">
        <v>627</v>
      </c>
      <c r="U547" t="s">
        <v>1046</v>
      </c>
      <c r="V547" s="7">
        <v>39.990001679999999</v>
      </c>
      <c r="W547" s="7">
        <v>34.198098313835338</v>
      </c>
      <c r="X547">
        <v>5</v>
      </c>
      <c r="Y547" s="7">
        <v>25.989999770000001</v>
      </c>
      <c r="Z547" s="7">
        <v>199.9500084</v>
      </c>
      <c r="AA547" s="7">
        <f t="shared" si="34"/>
        <v>173.96000863</v>
      </c>
      <c r="AB547" t="s">
        <v>66</v>
      </c>
      <c r="AC547" t="str">
        <f t="shared" si="35"/>
        <v>Non-Cash Payments</v>
      </c>
    </row>
    <row r="548" spans="1:29" x14ac:dyDescent="0.25">
      <c r="A548">
        <v>3137</v>
      </c>
      <c r="B548" s="2">
        <v>42050</v>
      </c>
      <c r="C548">
        <v>4</v>
      </c>
      <c r="D548" s="2">
        <f t="shared" si="32"/>
        <v>42054</v>
      </c>
      <c r="E548">
        <v>0</v>
      </c>
      <c r="F548" t="s">
        <v>62</v>
      </c>
      <c r="G548" t="str">
        <f t="shared" si="33"/>
        <v>Other</v>
      </c>
      <c r="H548">
        <v>24</v>
      </c>
      <c r="I548">
        <v>8524</v>
      </c>
      <c r="J548">
        <v>5</v>
      </c>
      <c r="K548" t="s">
        <v>31</v>
      </c>
      <c r="L548" t="s">
        <v>480</v>
      </c>
      <c r="M548" t="s">
        <v>527</v>
      </c>
      <c r="N548" t="s">
        <v>509</v>
      </c>
      <c r="P548" t="s">
        <v>509</v>
      </c>
      <c r="Q548" t="s">
        <v>483</v>
      </c>
      <c r="R548">
        <v>24</v>
      </c>
      <c r="T548">
        <v>502</v>
      </c>
      <c r="U548" t="s">
        <v>1058</v>
      </c>
      <c r="V548" s="7">
        <v>50</v>
      </c>
      <c r="W548" s="7">
        <v>43.678035218757444</v>
      </c>
      <c r="X548">
        <v>5</v>
      </c>
      <c r="Y548" s="7">
        <v>32.5</v>
      </c>
      <c r="Z548" s="7">
        <v>250</v>
      </c>
      <c r="AA548" s="7">
        <f t="shared" si="34"/>
        <v>217.5</v>
      </c>
      <c r="AB548" t="s">
        <v>66</v>
      </c>
      <c r="AC548" t="str">
        <f t="shared" si="35"/>
        <v>Non-Cash Payments</v>
      </c>
    </row>
    <row r="549" spans="1:29" x14ac:dyDescent="0.25">
      <c r="A549">
        <v>60127</v>
      </c>
      <c r="B549" s="2">
        <v>42882</v>
      </c>
      <c r="C549">
        <v>4</v>
      </c>
      <c r="D549" s="2">
        <f t="shared" si="32"/>
        <v>42887</v>
      </c>
      <c r="E549">
        <v>0</v>
      </c>
      <c r="F549" t="s">
        <v>62</v>
      </c>
      <c r="G549" t="str">
        <f t="shared" si="33"/>
        <v>Other</v>
      </c>
      <c r="H549">
        <v>24</v>
      </c>
      <c r="I549">
        <v>9204</v>
      </c>
      <c r="J549">
        <v>5</v>
      </c>
      <c r="K549" t="s">
        <v>31</v>
      </c>
      <c r="L549" t="s">
        <v>480</v>
      </c>
      <c r="M549" t="s">
        <v>528</v>
      </c>
      <c r="N549" t="s">
        <v>529</v>
      </c>
      <c r="P549" t="s">
        <v>506</v>
      </c>
      <c r="Q549" t="s">
        <v>496</v>
      </c>
      <c r="R549">
        <v>24</v>
      </c>
      <c r="T549">
        <v>502</v>
      </c>
      <c r="U549" t="s">
        <v>1058</v>
      </c>
      <c r="V549" s="7">
        <v>50</v>
      </c>
      <c r="W549" s="7">
        <v>43.678035218757444</v>
      </c>
      <c r="X549">
        <v>5</v>
      </c>
      <c r="Y549" s="7">
        <v>32.5</v>
      </c>
      <c r="Z549" s="7">
        <v>250</v>
      </c>
      <c r="AA549" s="7">
        <f t="shared" si="34"/>
        <v>217.5</v>
      </c>
      <c r="AB549" t="s">
        <v>66</v>
      </c>
      <c r="AC549" t="str">
        <f t="shared" si="35"/>
        <v>Non-Cash Payments</v>
      </c>
    </row>
    <row r="550" spans="1:29" x14ac:dyDescent="0.25">
      <c r="A550">
        <v>3828</v>
      </c>
      <c r="B550" s="2">
        <v>42060</v>
      </c>
      <c r="C550">
        <v>4</v>
      </c>
      <c r="D550" s="2">
        <f t="shared" si="32"/>
        <v>42066</v>
      </c>
      <c r="E550">
        <v>0</v>
      </c>
      <c r="F550" t="s">
        <v>62</v>
      </c>
      <c r="G550" t="str">
        <f t="shared" si="33"/>
        <v>Other</v>
      </c>
      <c r="H550">
        <v>29</v>
      </c>
      <c r="I550">
        <v>11761</v>
      </c>
      <c r="J550">
        <v>5</v>
      </c>
      <c r="K550" t="s">
        <v>31</v>
      </c>
      <c r="L550" t="s">
        <v>480</v>
      </c>
      <c r="M550" t="s">
        <v>487</v>
      </c>
      <c r="N550" t="s">
        <v>488</v>
      </c>
      <c r="P550" t="s">
        <v>489</v>
      </c>
      <c r="Q550" t="s">
        <v>483</v>
      </c>
      <c r="R550">
        <v>29</v>
      </c>
      <c r="T550">
        <v>627</v>
      </c>
      <c r="U550" t="s">
        <v>1046</v>
      </c>
      <c r="V550" s="7">
        <v>39.990001679999999</v>
      </c>
      <c r="W550" s="7">
        <v>34.198098313835338</v>
      </c>
      <c r="X550">
        <v>5</v>
      </c>
      <c r="Y550" s="7">
        <v>29.989999770000001</v>
      </c>
      <c r="Z550" s="7">
        <v>199.9500084</v>
      </c>
      <c r="AA550" s="7">
        <f t="shared" si="34"/>
        <v>169.96000863</v>
      </c>
      <c r="AB550" t="s">
        <v>66</v>
      </c>
      <c r="AC550" t="str">
        <f t="shared" si="35"/>
        <v>Non-Cash Payments</v>
      </c>
    </row>
    <row r="551" spans="1:29" x14ac:dyDescent="0.25">
      <c r="A551">
        <v>60386</v>
      </c>
      <c r="B551" s="2">
        <v>42886</v>
      </c>
      <c r="C551">
        <v>4</v>
      </c>
      <c r="D551" s="2">
        <f t="shared" si="32"/>
        <v>42892</v>
      </c>
      <c r="E551">
        <v>0</v>
      </c>
      <c r="F551" t="s">
        <v>62</v>
      </c>
      <c r="G551" t="str">
        <f t="shared" si="33"/>
        <v>Other</v>
      </c>
      <c r="H551">
        <v>24</v>
      </c>
      <c r="I551">
        <v>9554</v>
      </c>
      <c r="J551">
        <v>5</v>
      </c>
      <c r="K551" t="s">
        <v>31</v>
      </c>
      <c r="L551" t="s">
        <v>480</v>
      </c>
      <c r="M551" t="s">
        <v>530</v>
      </c>
      <c r="N551" t="s">
        <v>531</v>
      </c>
      <c r="P551" t="s">
        <v>506</v>
      </c>
      <c r="Q551" t="s">
        <v>496</v>
      </c>
      <c r="R551">
        <v>24</v>
      </c>
      <c r="T551">
        <v>502</v>
      </c>
      <c r="U551" t="s">
        <v>1058</v>
      </c>
      <c r="V551" s="7">
        <v>50</v>
      </c>
      <c r="W551" s="7">
        <v>43.678035218757444</v>
      </c>
      <c r="X551">
        <v>5</v>
      </c>
      <c r="Y551" s="7">
        <v>37.5</v>
      </c>
      <c r="Z551" s="7">
        <v>250</v>
      </c>
      <c r="AA551" s="7">
        <f t="shared" si="34"/>
        <v>212.5</v>
      </c>
      <c r="AB551" t="s">
        <v>66</v>
      </c>
      <c r="AC551" t="str">
        <f t="shared" si="35"/>
        <v>Non-Cash Payments</v>
      </c>
    </row>
    <row r="552" spans="1:29" x14ac:dyDescent="0.25">
      <c r="A552">
        <v>973</v>
      </c>
      <c r="B552" s="2">
        <v>42019</v>
      </c>
      <c r="C552">
        <v>4</v>
      </c>
      <c r="D552" s="2">
        <f t="shared" si="32"/>
        <v>42025</v>
      </c>
      <c r="E552">
        <v>0</v>
      </c>
      <c r="F552" t="s">
        <v>62</v>
      </c>
      <c r="G552" t="str">
        <f t="shared" si="33"/>
        <v>Other</v>
      </c>
      <c r="H552">
        <v>29</v>
      </c>
      <c r="I552">
        <v>5118</v>
      </c>
      <c r="J552">
        <v>5</v>
      </c>
      <c r="K552" t="s">
        <v>31</v>
      </c>
      <c r="L552" t="s">
        <v>480</v>
      </c>
      <c r="M552" t="s">
        <v>532</v>
      </c>
      <c r="N552" t="s">
        <v>532</v>
      </c>
      <c r="P552" t="s">
        <v>522</v>
      </c>
      <c r="Q552" t="s">
        <v>492</v>
      </c>
      <c r="R552">
        <v>29</v>
      </c>
      <c r="T552">
        <v>627</v>
      </c>
      <c r="U552" t="s">
        <v>1046</v>
      </c>
      <c r="V552" s="7">
        <v>39.990001679999999</v>
      </c>
      <c r="W552" s="7">
        <v>34.198098313835338</v>
      </c>
      <c r="X552">
        <v>5</v>
      </c>
      <c r="Y552" s="7">
        <v>31.989999770000001</v>
      </c>
      <c r="Z552" s="7">
        <v>199.9500084</v>
      </c>
      <c r="AA552" s="7">
        <f t="shared" si="34"/>
        <v>167.96000863</v>
      </c>
      <c r="AB552" t="s">
        <v>66</v>
      </c>
      <c r="AC552" t="str">
        <f t="shared" si="35"/>
        <v>Non-Cash Payments</v>
      </c>
    </row>
    <row r="553" spans="1:29" x14ac:dyDescent="0.25">
      <c r="A553">
        <v>57999</v>
      </c>
      <c r="B553" s="2">
        <v>42851</v>
      </c>
      <c r="C553">
        <v>4</v>
      </c>
      <c r="D553" s="2">
        <f t="shared" si="32"/>
        <v>42857</v>
      </c>
      <c r="E553">
        <v>1</v>
      </c>
      <c r="F553" t="s">
        <v>62</v>
      </c>
      <c r="G553" t="str">
        <f t="shared" si="33"/>
        <v>Other</v>
      </c>
      <c r="H553">
        <v>24</v>
      </c>
      <c r="I553">
        <v>5506</v>
      </c>
      <c r="J553">
        <v>5</v>
      </c>
      <c r="K553" t="s">
        <v>31</v>
      </c>
      <c r="L553" t="s">
        <v>480</v>
      </c>
      <c r="M553" t="s">
        <v>533</v>
      </c>
      <c r="N553" t="s">
        <v>534</v>
      </c>
      <c r="P553" t="s">
        <v>503</v>
      </c>
      <c r="Q553" t="s">
        <v>483</v>
      </c>
      <c r="R553">
        <v>24</v>
      </c>
      <c r="T553">
        <v>502</v>
      </c>
      <c r="U553" t="s">
        <v>1058</v>
      </c>
      <c r="V553" s="7">
        <v>50</v>
      </c>
      <c r="W553" s="7">
        <v>43.678035218757444</v>
      </c>
      <c r="X553">
        <v>5</v>
      </c>
      <c r="Y553" s="7">
        <v>42.5</v>
      </c>
      <c r="Z553" s="7">
        <v>250</v>
      </c>
      <c r="AA553" s="7">
        <f t="shared" si="34"/>
        <v>207.5</v>
      </c>
      <c r="AB553" t="s">
        <v>66</v>
      </c>
      <c r="AC553" t="str">
        <f t="shared" si="35"/>
        <v>Non-Cash Payments</v>
      </c>
    </row>
    <row r="554" spans="1:29" x14ac:dyDescent="0.25">
      <c r="A554">
        <v>54585</v>
      </c>
      <c r="B554" s="2">
        <v>42919</v>
      </c>
      <c r="C554">
        <v>4</v>
      </c>
      <c r="D554" s="2">
        <f t="shared" si="32"/>
        <v>42923</v>
      </c>
      <c r="E554">
        <v>1</v>
      </c>
      <c r="F554" t="s">
        <v>62</v>
      </c>
      <c r="G554" t="str">
        <f t="shared" si="33"/>
        <v>Other</v>
      </c>
      <c r="H554">
        <v>24</v>
      </c>
      <c r="I554">
        <v>1423</v>
      </c>
      <c r="J554">
        <v>5</v>
      </c>
      <c r="K554" t="s">
        <v>31</v>
      </c>
      <c r="L554" t="s">
        <v>480</v>
      </c>
      <c r="M554" t="s">
        <v>535</v>
      </c>
      <c r="N554" t="s">
        <v>536</v>
      </c>
      <c r="P554" t="s">
        <v>537</v>
      </c>
      <c r="Q554" t="s">
        <v>496</v>
      </c>
      <c r="R554">
        <v>24</v>
      </c>
      <c r="T554">
        <v>502</v>
      </c>
      <c r="U554" t="s">
        <v>1058</v>
      </c>
      <c r="V554" s="7">
        <v>50</v>
      </c>
      <c r="W554" s="7">
        <v>43.678035218757444</v>
      </c>
      <c r="X554">
        <v>5</v>
      </c>
      <c r="Y554" s="7">
        <v>42.5</v>
      </c>
      <c r="Z554" s="7">
        <v>250</v>
      </c>
      <c r="AA554" s="7">
        <f t="shared" si="34"/>
        <v>207.5</v>
      </c>
      <c r="AB554" t="s">
        <v>66</v>
      </c>
      <c r="AC554" t="str">
        <f t="shared" si="35"/>
        <v>Non-Cash Payments</v>
      </c>
    </row>
    <row r="555" spans="1:29" x14ac:dyDescent="0.25">
      <c r="A555">
        <v>57598</v>
      </c>
      <c r="B555" s="2">
        <v>42845</v>
      </c>
      <c r="C555">
        <v>4</v>
      </c>
      <c r="D555" s="2">
        <f t="shared" si="32"/>
        <v>42851</v>
      </c>
      <c r="E555">
        <v>0</v>
      </c>
      <c r="F555" t="s">
        <v>62</v>
      </c>
      <c r="G555" t="str">
        <f t="shared" si="33"/>
        <v>Other</v>
      </c>
      <c r="H555">
        <v>24</v>
      </c>
      <c r="I555">
        <v>138</v>
      </c>
      <c r="J555">
        <v>5</v>
      </c>
      <c r="K555" t="s">
        <v>31</v>
      </c>
      <c r="L555" t="s">
        <v>480</v>
      </c>
      <c r="M555" t="s">
        <v>538</v>
      </c>
      <c r="N555" t="s">
        <v>538</v>
      </c>
      <c r="P555" t="s">
        <v>522</v>
      </c>
      <c r="Q555" t="s">
        <v>492</v>
      </c>
      <c r="R555">
        <v>24</v>
      </c>
      <c r="T555">
        <v>502</v>
      </c>
      <c r="U555" t="s">
        <v>1058</v>
      </c>
      <c r="V555" s="7">
        <v>50</v>
      </c>
      <c r="W555" s="7">
        <v>43.678035218757444</v>
      </c>
      <c r="X555">
        <v>5</v>
      </c>
      <c r="Y555" s="7">
        <v>50</v>
      </c>
      <c r="Z555" s="7">
        <v>250</v>
      </c>
      <c r="AA555" s="7">
        <f t="shared" si="34"/>
        <v>200</v>
      </c>
      <c r="AB555" t="s">
        <v>66</v>
      </c>
      <c r="AC555" t="str">
        <f t="shared" si="35"/>
        <v>Non-Cash Payments</v>
      </c>
    </row>
    <row r="556" spans="1:29" x14ac:dyDescent="0.25">
      <c r="A556">
        <v>54274</v>
      </c>
      <c r="B556" s="2">
        <v>42797</v>
      </c>
      <c r="C556">
        <v>4</v>
      </c>
      <c r="D556" s="2">
        <f t="shared" si="32"/>
        <v>42803</v>
      </c>
      <c r="E556">
        <v>1</v>
      </c>
      <c r="F556" t="s">
        <v>62</v>
      </c>
      <c r="G556" t="str">
        <f t="shared" si="33"/>
        <v>Other</v>
      </c>
      <c r="H556">
        <v>24</v>
      </c>
      <c r="I556">
        <v>6360</v>
      </c>
      <c r="J556">
        <v>5</v>
      </c>
      <c r="K556" t="s">
        <v>31</v>
      </c>
      <c r="L556" t="s">
        <v>480</v>
      </c>
      <c r="M556" t="s">
        <v>539</v>
      </c>
      <c r="N556" t="s">
        <v>540</v>
      </c>
      <c r="P556" t="s">
        <v>509</v>
      </c>
      <c r="Q556" t="s">
        <v>483</v>
      </c>
      <c r="R556">
        <v>24</v>
      </c>
      <c r="T556">
        <v>502</v>
      </c>
      <c r="U556" t="s">
        <v>1058</v>
      </c>
      <c r="V556" s="7">
        <v>50</v>
      </c>
      <c r="W556" s="7">
        <v>43.678035218757444</v>
      </c>
      <c r="X556">
        <v>5</v>
      </c>
      <c r="Y556" s="7">
        <v>50</v>
      </c>
      <c r="Z556" s="7">
        <v>250</v>
      </c>
      <c r="AA556" s="7">
        <f t="shared" si="34"/>
        <v>200</v>
      </c>
      <c r="AB556" t="s">
        <v>66</v>
      </c>
      <c r="AC556" t="str">
        <f t="shared" si="35"/>
        <v>Non-Cash Payments</v>
      </c>
    </row>
    <row r="557" spans="1:29" x14ac:dyDescent="0.25">
      <c r="A557">
        <v>60673</v>
      </c>
      <c r="B557" s="2">
        <v>42831</v>
      </c>
      <c r="C557">
        <v>4</v>
      </c>
      <c r="D557" s="2">
        <f t="shared" si="32"/>
        <v>42837</v>
      </c>
      <c r="E557">
        <v>0</v>
      </c>
      <c r="F557" t="s">
        <v>62</v>
      </c>
      <c r="G557" t="str">
        <f t="shared" si="33"/>
        <v>Other</v>
      </c>
      <c r="H557">
        <v>29</v>
      </c>
      <c r="I557">
        <v>2053</v>
      </c>
      <c r="J557">
        <v>5</v>
      </c>
      <c r="K557" t="s">
        <v>31</v>
      </c>
      <c r="L557" t="s">
        <v>480</v>
      </c>
      <c r="M557" t="s">
        <v>541</v>
      </c>
      <c r="N557" t="s">
        <v>541</v>
      </c>
      <c r="P557" t="s">
        <v>542</v>
      </c>
      <c r="Q557" t="s">
        <v>483</v>
      </c>
      <c r="R557">
        <v>29</v>
      </c>
      <c r="T557">
        <v>627</v>
      </c>
      <c r="U557" t="s">
        <v>1046</v>
      </c>
      <c r="V557" s="7">
        <v>39.990001679999999</v>
      </c>
      <c r="W557" s="7">
        <v>34.198098313835338</v>
      </c>
      <c r="X557">
        <v>5</v>
      </c>
      <c r="Y557" s="7">
        <v>49.990001679999999</v>
      </c>
      <c r="Z557" s="7">
        <v>199.9500084</v>
      </c>
      <c r="AA557" s="7">
        <f t="shared" si="34"/>
        <v>149.96000672</v>
      </c>
      <c r="AB557" t="s">
        <v>66</v>
      </c>
      <c r="AC557" t="str">
        <f t="shared" si="35"/>
        <v>Non-Cash Payments</v>
      </c>
    </row>
    <row r="558" spans="1:29" x14ac:dyDescent="0.25">
      <c r="A558">
        <v>59387</v>
      </c>
      <c r="B558" s="2">
        <v>42871</v>
      </c>
      <c r="C558">
        <v>4</v>
      </c>
      <c r="D558" s="2">
        <f t="shared" si="32"/>
        <v>42877</v>
      </c>
      <c r="E558">
        <v>0</v>
      </c>
      <c r="F558" t="s">
        <v>62</v>
      </c>
      <c r="G558" t="str">
        <f t="shared" si="33"/>
        <v>Other</v>
      </c>
      <c r="H558">
        <v>24</v>
      </c>
      <c r="I558">
        <v>10344</v>
      </c>
      <c r="J558">
        <v>5</v>
      </c>
      <c r="K558" t="s">
        <v>31</v>
      </c>
      <c r="L558" t="s">
        <v>480</v>
      </c>
      <c r="M558" t="s">
        <v>543</v>
      </c>
      <c r="N558" t="s">
        <v>544</v>
      </c>
      <c r="P558" t="s">
        <v>509</v>
      </c>
      <c r="Q558" t="s">
        <v>483</v>
      </c>
      <c r="R558">
        <v>24</v>
      </c>
      <c r="T558">
        <v>502</v>
      </c>
      <c r="U558" t="s">
        <v>1058</v>
      </c>
      <c r="V558" s="7">
        <v>50</v>
      </c>
      <c r="W558" s="7">
        <v>43.678035218757444</v>
      </c>
      <c r="X558">
        <v>5</v>
      </c>
      <c r="Y558" s="7">
        <v>62.5</v>
      </c>
      <c r="Z558" s="7">
        <v>250</v>
      </c>
      <c r="AA558" s="7">
        <f t="shared" si="34"/>
        <v>187.5</v>
      </c>
      <c r="AB558" t="s">
        <v>66</v>
      </c>
      <c r="AC558" t="str">
        <f t="shared" si="35"/>
        <v>Non-Cash Payments</v>
      </c>
    </row>
    <row r="559" spans="1:29" x14ac:dyDescent="0.25">
      <c r="A559">
        <v>52640</v>
      </c>
      <c r="B559" s="2">
        <v>42918</v>
      </c>
      <c r="C559">
        <v>4</v>
      </c>
      <c r="D559" s="2">
        <f t="shared" si="32"/>
        <v>42922</v>
      </c>
      <c r="E559">
        <v>1</v>
      </c>
      <c r="F559" t="s">
        <v>62</v>
      </c>
      <c r="G559" t="str">
        <f t="shared" si="33"/>
        <v>Other</v>
      </c>
      <c r="H559">
        <v>24</v>
      </c>
      <c r="I559">
        <v>6398</v>
      </c>
      <c r="J559">
        <v>5</v>
      </c>
      <c r="K559" t="s">
        <v>31</v>
      </c>
      <c r="L559" t="s">
        <v>480</v>
      </c>
      <c r="M559" t="s">
        <v>516</v>
      </c>
      <c r="N559" t="s">
        <v>516</v>
      </c>
      <c r="P559" t="s">
        <v>517</v>
      </c>
      <c r="Q559" t="s">
        <v>496</v>
      </c>
      <c r="R559">
        <v>24</v>
      </c>
      <c r="T559">
        <v>502</v>
      </c>
      <c r="U559" t="s">
        <v>1058</v>
      </c>
      <c r="V559" s="7">
        <v>50</v>
      </c>
      <c r="W559" s="7">
        <v>43.678035218757444</v>
      </c>
      <c r="X559">
        <v>5</v>
      </c>
      <c r="Y559" s="7">
        <v>62.5</v>
      </c>
      <c r="Z559" s="7">
        <v>250</v>
      </c>
      <c r="AA559" s="7">
        <f t="shared" si="34"/>
        <v>187.5</v>
      </c>
      <c r="AB559" t="s">
        <v>66</v>
      </c>
      <c r="AC559" t="str">
        <f t="shared" si="35"/>
        <v>Non-Cash Payments</v>
      </c>
    </row>
    <row r="560" spans="1:29" x14ac:dyDescent="0.25">
      <c r="A560">
        <v>10007</v>
      </c>
      <c r="B560" s="2">
        <v>42151</v>
      </c>
      <c r="C560">
        <v>4</v>
      </c>
      <c r="D560" s="2">
        <f t="shared" si="32"/>
        <v>42157</v>
      </c>
      <c r="E560">
        <v>0</v>
      </c>
      <c r="F560" t="s">
        <v>62</v>
      </c>
      <c r="G560" t="str">
        <f t="shared" si="33"/>
        <v>Other</v>
      </c>
      <c r="H560">
        <v>24</v>
      </c>
      <c r="I560">
        <v>3375</v>
      </c>
      <c r="J560">
        <v>5</v>
      </c>
      <c r="K560" t="s">
        <v>31</v>
      </c>
      <c r="L560" t="s">
        <v>480</v>
      </c>
      <c r="M560" t="s">
        <v>545</v>
      </c>
      <c r="N560" t="s">
        <v>546</v>
      </c>
      <c r="P560" t="s">
        <v>506</v>
      </c>
      <c r="Q560" t="s">
        <v>496</v>
      </c>
      <c r="R560">
        <v>24</v>
      </c>
      <c r="T560">
        <v>502</v>
      </c>
      <c r="U560" t="s">
        <v>1058</v>
      </c>
      <c r="V560" s="7">
        <v>50</v>
      </c>
      <c r="W560" s="7">
        <v>43.678035218757444</v>
      </c>
      <c r="X560">
        <v>5</v>
      </c>
      <c r="Y560" s="7">
        <v>62.5</v>
      </c>
      <c r="Z560" s="7">
        <v>250</v>
      </c>
      <c r="AA560" s="7">
        <f t="shared" si="34"/>
        <v>187.5</v>
      </c>
      <c r="AB560" t="s">
        <v>66</v>
      </c>
      <c r="AC560" t="str">
        <f t="shared" si="35"/>
        <v>Non-Cash Payments</v>
      </c>
    </row>
    <row r="561" spans="1:29" x14ac:dyDescent="0.25">
      <c r="A561">
        <v>55984</v>
      </c>
      <c r="B561" s="2">
        <v>42822</v>
      </c>
      <c r="C561">
        <v>4</v>
      </c>
      <c r="D561" s="2">
        <f t="shared" si="32"/>
        <v>42828</v>
      </c>
      <c r="E561">
        <v>1</v>
      </c>
      <c r="F561" t="s">
        <v>62</v>
      </c>
      <c r="G561" t="str">
        <f t="shared" si="33"/>
        <v>Other</v>
      </c>
      <c r="H561">
        <v>37</v>
      </c>
      <c r="I561">
        <v>1339</v>
      </c>
      <c r="J561">
        <v>6</v>
      </c>
      <c r="K561" t="s">
        <v>35</v>
      </c>
      <c r="L561" t="s">
        <v>480</v>
      </c>
      <c r="M561" t="s">
        <v>484</v>
      </c>
      <c r="N561" t="s">
        <v>485</v>
      </c>
      <c r="P561" t="s">
        <v>486</v>
      </c>
      <c r="Q561" t="s">
        <v>483</v>
      </c>
      <c r="R561">
        <v>37</v>
      </c>
      <c r="T561">
        <v>818</v>
      </c>
      <c r="U561" t="s">
        <v>1074</v>
      </c>
      <c r="V561" s="7">
        <v>47.990001679999999</v>
      </c>
      <c r="W561" s="7">
        <v>51.274287170714288</v>
      </c>
      <c r="X561">
        <v>5</v>
      </c>
      <c r="Y561" s="7">
        <v>2.4000000950000002</v>
      </c>
      <c r="Z561" s="7">
        <v>239.9500084</v>
      </c>
      <c r="AA561" s="7">
        <f t="shared" si="34"/>
        <v>237.55000830500001</v>
      </c>
      <c r="AB561" t="s">
        <v>66</v>
      </c>
      <c r="AC561" t="str">
        <f t="shared" si="35"/>
        <v>Non-Cash Payments</v>
      </c>
    </row>
    <row r="562" spans="1:29" x14ac:dyDescent="0.25">
      <c r="A562">
        <v>52478</v>
      </c>
      <c r="B562" s="2">
        <v>42857</v>
      </c>
      <c r="C562">
        <v>4</v>
      </c>
      <c r="D562" s="2">
        <f t="shared" si="32"/>
        <v>42863</v>
      </c>
      <c r="E562">
        <v>0</v>
      </c>
      <c r="F562" t="s">
        <v>62</v>
      </c>
      <c r="G562" t="str">
        <f t="shared" si="33"/>
        <v>Other</v>
      </c>
      <c r="H562">
        <v>37</v>
      </c>
      <c r="I562">
        <v>6543</v>
      </c>
      <c r="J562">
        <v>6</v>
      </c>
      <c r="K562" t="s">
        <v>35</v>
      </c>
      <c r="L562" t="s">
        <v>480</v>
      </c>
      <c r="M562" t="s">
        <v>524</v>
      </c>
      <c r="N562" t="s">
        <v>525</v>
      </c>
      <c r="P562" t="s">
        <v>509</v>
      </c>
      <c r="Q562" t="s">
        <v>483</v>
      </c>
      <c r="R562">
        <v>37</v>
      </c>
      <c r="T562">
        <v>825</v>
      </c>
      <c r="U562" t="s">
        <v>1069</v>
      </c>
      <c r="V562" s="7">
        <v>31.989999770000001</v>
      </c>
      <c r="W562" s="7">
        <v>23.973333102666668</v>
      </c>
      <c r="X562">
        <v>5</v>
      </c>
      <c r="Y562" s="7">
        <v>6.4000000950000002</v>
      </c>
      <c r="Z562" s="7">
        <v>159.94999885000001</v>
      </c>
      <c r="AA562" s="7">
        <f t="shared" si="34"/>
        <v>153.54999875500002</v>
      </c>
      <c r="AB562" t="s">
        <v>66</v>
      </c>
      <c r="AC562" t="str">
        <f t="shared" si="35"/>
        <v>Non-Cash Payments</v>
      </c>
    </row>
    <row r="563" spans="1:29" x14ac:dyDescent="0.25">
      <c r="A563">
        <v>58375</v>
      </c>
      <c r="B563" s="2">
        <v>42771</v>
      </c>
      <c r="C563">
        <v>4</v>
      </c>
      <c r="D563" s="2">
        <f t="shared" si="32"/>
        <v>42775</v>
      </c>
      <c r="E563">
        <v>1</v>
      </c>
      <c r="F563" t="s">
        <v>62</v>
      </c>
      <c r="G563" t="str">
        <f t="shared" si="33"/>
        <v>Other</v>
      </c>
      <c r="H563">
        <v>38</v>
      </c>
      <c r="I563">
        <v>3990</v>
      </c>
      <c r="J563">
        <v>6</v>
      </c>
      <c r="K563" t="s">
        <v>35</v>
      </c>
      <c r="L563" t="s">
        <v>480</v>
      </c>
      <c r="M563" t="s">
        <v>547</v>
      </c>
      <c r="N563" t="s">
        <v>482</v>
      </c>
      <c r="P563" t="s">
        <v>482</v>
      </c>
      <c r="Q563" t="s">
        <v>483</v>
      </c>
      <c r="R563">
        <v>38</v>
      </c>
      <c r="T563">
        <v>306</v>
      </c>
      <c r="U563" t="s">
        <v>1121</v>
      </c>
      <c r="V563" s="7">
        <v>89.989997860000003</v>
      </c>
      <c r="W563" s="7">
        <v>105.82799834800001</v>
      </c>
      <c r="X563">
        <v>5</v>
      </c>
      <c r="Y563" s="7">
        <v>53.990001679999999</v>
      </c>
      <c r="Z563" s="7">
        <v>449.94998930000003</v>
      </c>
      <c r="AA563" s="7">
        <f t="shared" si="34"/>
        <v>395.95998762000005</v>
      </c>
      <c r="AB563" t="s">
        <v>66</v>
      </c>
      <c r="AC563" t="str">
        <f t="shared" si="35"/>
        <v>Non-Cash Payments</v>
      </c>
    </row>
    <row r="564" spans="1:29" x14ac:dyDescent="0.25">
      <c r="A564">
        <v>56448</v>
      </c>
      <c r="B564" s="2">
        <v>42798</v>
      </c>
      <c r="C564">
        <v>4</v>
      </c>
      <c r="D564" s="2">
        <f t="shared" si="32"/>
        <v>42803</v>
      </c>
      <c r="E564">
        <v>0</v>
      </c>
      <c r="F564" t="s">
        <v>62</v>
      </c>
      <c r="G564" t="str">
        <f t="shared" si="33"/>
        <v>Other</v>
      </c>
      <c r="H564">
        <v>44</v>
      </c>
      <c r="I564">
        <v>7247</v>
      </c>
      <c r="J564">
        <v>7</v>
      </c>
      <c r="K564" t="s">
        <v>58</v>
      </c>
      <c r="L564" t="s">
        <v>480</v>
      </c>
      <c r="M564" t="s">
        <v>548</v>
      </c>
      <c r="N564" t="s">
        <v>549</v>
      </c>
      <c r="P564" t="s">
        <v>522</v>
      </c>
      <c r="Q564" t="s">
        <v>492</v>
      </c>
      <c r="R564">
        <v>44</v>
      </c>
      <c r="T564">
        <v>977</v>
      </c>
      <c r="U564" t="s">
        <v>1070</v>
      </c>
      <c r="V564" s="7">
        <v>29.989999770000001</v>
      </c>
      <c r="W564" s="7">
        <v>21.106999969000004</v>
      </c>
      <c r="X564">
        <v>5</v>
      </c>
      <c r="Y564" s="7">
        <v>25.489999770000001</v>
      </c>
      <c r="Z564" s="7">
        <v>149.94999885000001</v>
      </c>
      <c r="AA564" s="7">
        <f t="shared" si="34"/>
        <v>124.45999908000002</v>
      </c>
      <c r="AB564" t="s">
        <v>66</v>
      </c>
      <c r="AC564" t="str">
        <f t="shared" si="35"/>
        <v>Non-Cash Payments</v>
      </c>
    </row>
    <row r="565" spans="1:29" x14ac:dyDescent="0.25">
      <c r="A565">
        <v>8221</v>
      </c>
      <c r="B565" s="2">
        <v>42124</v>
      </c>
      <c r="C565">
        <v>4</v>
      </c>
      <c r="D565" s="2">
        <f t="shared" si="32"/>
        <v>42130</v>
      </c>
      <c r="E565">
        <v>0</v>
      </c>
      <c r="F565" t="s">
        <v>62</v>
      </c>
      <c r="G565" t="str">
        <f t="shared" si="33"/>
        <v>Other</v>
      </c>
      <c r="H565">
        <v>3</v>
      </c>
      <c r="I565">
        <v>1273</v>
      </c>
      <c r="J565">
        <v>2</v>
      </c>
      <c r="K565" t="s">
        <v>136</v>
      </c>
      <c r="L565" t="s">
        <v>480</v>
      </c>
      <c r="M565" t="s">
        <v>516</v>
      </c>
      <c r="N565" t="s">
        <v>516</v>
      </c>
      <c r="P565" t="s">
        <v>517</v>
      </c>
      <c r="Q565" t="s">
        <v>496</v>
      </c>
      <c r="R565">
        <v>3</v>
      </c>
      <c r="T565">
        <v>44</v>
      </c>
      <c r="U565" t="s">
        <v>1088</v>
      </c>
      <c r="V565" s="7">
        <v>59.990001679999999</v>
      </c>
      <c r="W565" s="7">
        <v>57.194418487916671</v>
      </c>
      <c r="X565">
        <v>5</v>
      </c>
      <c r="Y565" s="7">
        <v>15</v>
      </c>
      <c r="Z565" s="7">
        <v>299.9500084</v>
      </c>
      <c r="AA565" s="7">
        <f t="shared" si="34"/>
        <v>284.9500084</v>
      </c>
      <c r="AB565" t="s">
        <v>66</v>
      </c>
      <c r="AC565" t="str">
        <f t="shared" si="35"/>
        <v>Non-Cash Payments</v>
      </c>
    </row>
    <row r="566" spans="1:29" x14ac:dyDescent="0.25">
      <c r="A566">
        <v>58034</v>
      </c>
      <c r="B566" s="2">
        <v>42852</v>
      </c>
      <c r="C566">
        <v>4</v>
      </c>
      <c r="D566" s="2">
        <f t="shared" si="32"/>
        <v>42858</v>
      </c>
      <c r="E566">
        <v>1</v>
      </c>
      <c r="F566" t="s">
        <v>62</v>
      </c>
      <c r="G566" t="str">
        <f t="shared" si="33"/>
        <v>Other</v>
      </c>
      <c r="H566">
        <v>9</v>
      </c>
      <c r="I566">
        <v>6277</v>
      </c>
      <c r="J566">
        <v>3</v>
      </c>
      <c r="K566" t="s">
        <v>24</v>
      </c>
      <c r="L566" t="s">
        <v>480</v>
      </c>
      <c r="M566" t="s">
        <v>550</v>
      </c>
      <c r="N566" t="s">
        <v>550</v>
      </c>
      <c r="P566" t="s">
        <v>482</v>
      </c>
      <c r="Q566" t="s">
        <v>483</v>
      </c>
      <c r="R566">
        <v>9</v>
      </c>
      <c r="T566">
        <v>191</v>
      </c>
      <c r="U566" t="s">
        <v>1044</v>
      </c>
      <c r="V566" s="7">
        <v>99.989997860000003</v>
      </c>
      <c r="W566" s="7">
        <v>95.114003926871064</v>
      </c>
      <c r="X566">
        <v>5</v>
      </c>
      <c r="Y566" s="7">
        <v>0</v>
      </c>
      <c r="Z566" s="7">
        <v>499.94998930000003</v>
      </c>
      <c r="AA566" s="7">
        <f t="shared" si="34"/>
        <v>499.94998930000003</v>
      </c>
      <c r="AB566" t="s">
        <v>66</v>
      </c>
      <c r="AC566" t="str">
        <f t="shared" si="35"/>
        <v>Non-Cash Payments</v>
      </c>
    </row>
    <row r="567" spans="1:29" x14ac:dyDescent="0.25">
      <c r="A567">
        <v>2203</v>
      </c>
      <c r="B567" s="2">
        <v>42037</v>
      </c>
      <c r="C567">
        <v>4</v>
      </c>
      <c r="D567" s="2">
        <f t="shared" si="32"/>
        <v>42041</v>
      </c>
      <c r="E567">
        <v>0</v>
      </c>
      <c r="F567" t="s">
        <v>62</v>
      </c>
      <c r="G567" t="str">
        <f t="shared" si="33"/>
        <v>Other</v>
      </c>
      <c r="H567">
        <v>9</v>
      </c>
      <c r="I567">
        <v>7701</v>
      </c>
      <c r="J567">
        <v>3</v>
      </c>
      <c r="K567" t="s">
        <v>24</v>
      </c>
      <c r="L567" t="s">
        <v>480</v>
      </c>
      <c r="M567" t="s">
        <v>551</v>
      </c>
      <c r="N567" t="s">
        <v>482</v>
      </c>
      <c r="P567" t="s">
        <v>482</v>
      </c>
      <c r="Q567" t="s">
        <v>483</v>
      </c>
      <c r="R567">
        <v>9</v>
      </c>
      <c r="T567">
        <v>191</v>
      </c>
      <c r="U567" t="s">
        <v>1044</v>
      </c>
      <c r="V567" s="7">
        <v>99.989997860000003</v>
      </c>
      <c r="W567" s="7">
        <v>95.114003926871064</v>
      </c>
      <c r="X567">
        <v>5</v>
      </c>
      <c r="Y567" s="7">
        <v>5</v>
      </c>
      <c r="Z567" s="7">
        <v>499.94998930000003</v>
      </c>
      <c r="AA567" s="7">
        <f t="shared" si="34"/>
        <v>494.94998930000003</v>
      </c>
      <c r="AB567" t="s">
        <v>66</v>
      </c>
      <c r="AC567" t="str">
        <f t="shared" si="35"/>
        <v>Non-Cash Payments</v>
      </c>
    </row>
    <row r="568" spans="1:29" x14ac:dyDescent="0.25">
      <c r="A568">
        <v>53069</v>
      </c>
      <c r="B568" s="2">
        <v>42779</v>
      </c>
      <c r="C568">
        <v>4</v>
      </c>
      <c r="D568" s="2">
        <f t="shared" si="32"/>
        <v>42783</v>
      </c>
      <c r="E568">
        <v>1</v>
      </c>
      <c r="F568" t="s">
        <v>62</v>
      </c>
      <c r="G568" t="str">
        <f t="shared" si="33"/>
        <v>Other</v>
      </c>
      <c r="H568">
        <v>9</v>
      </c>
      <c r="I568">
        <v>4126</v>
      </c>
      <c r="J568">
        <v>3</v>
      </c>
      <c r="K568" t="s">
        <v>24</v>
      </c>
      <c r="L568" t="s">
        <v>480</v>
      </c>
      <c r="M568" t="s">
        <v>552</v>
      </c>
      <c r="N568" t="s">
        <v>553</v>
      </c>
      <c r="P568" t="s">
        <v>554</v>
      </c>
      <c r="Q568" t="s">
        <v>496</v>
      </c>
      <c r="R568">
        <v>9</v>
      </c>
      <c r="T568">
        <v>191</v>
      </c>
      <c r="U568" t="s">
        <v>1044</v>
      </c>
      <c r="V568" s="7">
        <v>99.989997860000003</v>
      </c>
      <c r="W568" s="7">
        <v>95.114003926871064</v>
      </c>
      <c r="X568">
        <v>5</v>
      </c>
      <c r="Y568" s="7">
        <v>15</v>
      </c>
      <c r="Z568" s="7">
        <v>499.94998930000003</v>
      </c>
      <c r="AA568" s="7">
        <f t="shared" si="34"/>
        <v>484.94998930000003</v>
      </c>
      <c r="AB568" t="s">
        <v>66</v>
      </c>
      <c r="AC568" t="str">
        <f t="shared" si="35"/>
        <v>Non-Cash Payments</v>
      </c>
    </row>
    <row r="569" spans="1:29" x14ac:dyDescent="0.25">
      <c r="A569">
        <v>60146</v>
      </c>
      <c r="B569" s="2">
        <v>42882</v>
      </c>
      <c r="C569">
        <v>4</v>
      </c>
      <c r="D569" s="2">
        <f t="shared" si="32"/>
        <v>42887</v>
      </c>
      <c r="E569">
        <v>0</v>
      </c>
      <c r="F569" t="s">
        <v>62</v>
      </c>
      <c r="G569" t="str">
        <f t="shared" si="33"/>
        <v>Other</v>
      </c>
      <c r="H569">
        <v>9</v>
      </c>
      <c r="I569">
        <v>9528</v>
      </c>
      <c r="J569">
        <v>3</v>
      </c>
      <c r="K569" t="s">
        <v>24</v>
      </c>
      <c r="L569" t="s">
        <v>480</v>
      </c>
      <c r="M569" t="s">
        <v>541</v>
      </c>
      <c r="N569" t="s">
        <v>541</v>
      </c>
      <c r="P569" t="s">
        <v>542</v>
      </c>
      <c r="Q569" t="s">
        <v>483</v>
      </c>
      <c r="R569">
        <v>9</v>
      </c>
      <c r="T569">
        <v>191</v>
      </c>
      <c r="U569" t="s">
        <v>1044</v>
      </c>
      <c r="V569" s="7">
        <v>99.989997860000003</v>
      </c>
      <c r="W569" s="7">
        <v>95.114003926871064</v>
      </c>
      <c r="X569">
        <v>5</v>
      </c>
      <c r="Y569" s="7">
        <v>20</v>
      </c>
      <c r="Z569" s="7">
        <v>499.94998930000003</v>
      </c>
      <c r="AA569" s="7">
        <f t="shared" si="34"/>
        <v>479.94998930000003</v>
      </c>
      <c r="AB569" t="s">
        <v>66</v>
      </c>
      <c r="AC569" t="str">
        <f t="shared" si="35"/>
        <v>Non-Cash Payments</v>
      </c>
    </row>
    <row r="570" spans="1:29" x14ac:dyDescent="0.25">
      <c r="A570">
        <v>55409</v>
      </c>
      <c r="B570" s="2">
        <v>42813</v>
      </c>
      <c r="C570">
        <v>4</v>
      </c>
      <c r="D570" s="2">
        <f t="shared" si="32"/>
        <v>42817</v>
      </c>
      <c r="E570">
        <v>1</v>
      </c>
      <c r="F570" t="s">
        <v>62</v>
      </c>
      <c r="G570" t="str">
        <f t="shared" si="33"/>
        <v>Other</v>
      </c>
      <c r="H570">
        <v>9</v>
      </c>
      <c r="I570">
        <v>1853</v>
      </c>
      <c r="J570">
        <v>3</v>
      </c>
      <c r="K570" t="s">
        <v>24</v>
      </c>
      <c r="L570" t="s">
        <v>480</v>
      </c>
      <c r="M570" t="s">
        <v>555</v>
      </c>
      <c r="N570" t="s">
        <v>556</v>
      </c>
      <c r="P570" t="s">
        <v>495</v>
      </c>
      <c r="Q570" t="s">
        <v>496</v>
      </c>
      <c r="R570">
        <v>9</v>
      </c>
      <c r="T570">
        <v>191</v>
      </c>
      <c r="U570" t="s">
        <v>1044</v>
      </c>
      <c r="V570" s="7">
        <v>99.989997860000003</v>
      </c>
      <c r="W570" s="7">
        <v>95.114003926871064</v>
      </c>
      <c r="X570">
        <v>5</v>
      </c>
      <c r="Y570" s="7">
        <v>20</v>
      </c>
      <c r="Z570" s="7">
        <v>499.94998930000003</v>
      </c>
      <c r="AA570" s="7">
        <f t="shared" si="34"/>
        <v>479.94998930000003</v>
      </c>
      <c r="AB570" t="s">
        <v>66</v>
      </c>
      <c r="AC570" t="str">
        <f t="shared" si="35"/>
        <v>Non-Cash Payments</v>
      </c>
    </row>
    <row r="571" spans="1:29" x14ac:dyDescent="0.25">
      <c r="A571">
        <v>8678</v>
      </c>
      <c r="B571" s="2">
        <v>42190</v>
      </c>
      <c r="C571">
        <v>4</v>
      </c>
      <c r="D571" s="2">
        <f t="shared" si="32"/>
        <v>42194</v>
      </c>
      <c r="E571">
        <v>0</v>
      </c>
      <c r="F571" t="s">
        <v>62</v>
      </c>
      <c r="G571" t="str">
        <f t="shared" si="33"/>
        <v>Other</v>
      </c>
      <c r="H571">
        <v>9</v>
      </c>
      <c r="I571">
        <v>11149</v>
      </c>
      <c r="J571">
        <v>3</v>
      </c>
      <c r="K571" t="s">
        <v>24</v>
      </c>
      <c r="L571" t="s">
        <v>480</v>
      </c>
      <c r="M571" t="s">
        <v>526</v>
      </c>
      <c r="N571" t="s">
        <v>489</v>
      </c>
      <c r="P571" t="s">
        <v>489</v>
      </c>
      <c r="Q571" t="s">
        <v>483</v>
      </c>
      <c r="R571">
        <v>9</v>
      </c>
      <c r="T571">
        <v>191</v>
      </c>
      <c r="U571" t="s">
        <v>1044</v>
      </c>
      <c r="V571" s="7">
        <v>99.989997860000003</v>
      </c>
      <c r="W571" s="7">
        <v>95.114003926871064</v>
      </c>
      <c r="X571">
        <v>5</v>
      </c>
      <c r="Y571" s="7">
        <v>25</v>
      </c>
      <c r="Z571" s="7">
        <v>499.94998930000003</v>
      </c>
      <c r="AA571" s="7">
        <f t="shared" si="34"/>
        <v>474.94998930000003</v>
      </c>
      <c r="AB571" t="s">
        <v>66</v>
      </c>
      <c r="AC571" t="str">
        <f t="shared" si="35"/>
        <v>Non-Cash Payments</v>
      </c>
    </row>
    <row r="572" spans="1:29" x14ac:dyDescent="0.25">
      <c r="A572">
        <v>7980</v>
      </c>
      <c r="B572" s="2">
        <v>42121</v>
      </c>
      <c r="C572">
        <v>4</v>
      </c>
      <c r="D572" s="2">
        <f t="shared" si="32"/>
        <v>42125</v>
      </c>
      <c r="E572">
        <v>1</v>
      </c>
      <c r="F572" t="s">
        <v>62</v>
      </c>
      <c r="G572" t="str">
        <f t="shared" si="33"/>
        <v>Other</v>
      </c>
      <c r="H572">
        <v>9</v>
      </c>
      <c r="I572">
        <v>5828</v>
      </c>
      <c r="J572">
        <v>3</v>
      </c>
      <c r="K572" t="s">
        <v>24</v>
      </c>
      <c r="L572" t="s">
        <v>480</v>
      </c>
      <c r="M572" t="s">
        <v>526</v>
      </c>
      <c r="N572" t="s">
        <v>489</v>
      </c>
      <c r="P572" t="s">
        <v>489</v>
      </c>
      <c r="Q572" t="s">
        <v>483</v>
      </c>
      <c r="R572">
        <v>9</v>
      </c>
      <c r="T572">
        <v>191</v>
      </c>
      <c r="U572" t="s">
        <v>1044</v>
      </c>
      <c r="V572" s="7">
        <v>99.989997860000003</v>
      </c>
      <c r="W572" s="7">
        <v>95.114003926871064</v>
      </c>
      <c r="X572">
        <v>5</v>
      </c>
      <c r="Y572" s="7">
        <v>25</v>
      </c>
      <c r="Z572" s="7">
        <v>499.94998930000003</v>
      </c>
      <c r="AA572" s="7">
        <f t="shared" si="34"/>
        <v>474.94998930000003</v>
      </c>
      <c r="AB572" t="s">
        <v>66</v>
      </c>
      <c r="AC572" t="str">
        <f t="shared" si="35"/>
        <v>Non-Cash Payments</v>
      </c>
    </row>
    <row r="573" spans="1:29" x14ac:dyDescent="0.25">
      <c r="A573">
        <v>57185</v>
      </c>
      <c r="B573" s="2">
        <v>42839</v>
      </c>
      <c r="C573">
        <v>4</v>
      </c>
      <c r="D573" s="2">
        <f t="shared" si="32"/>
        <v>42845</v>
      </c>
      <c r="E573">
        <v>1</v>
      </c>
      <c r="F573" t="s">
        <v>62</v>
      </c>
      <c r="G573" t="str">
        <f t="shared" si="33"/>
        <v>Other</v>
      </c>
      <c r="H573">
        <v>9</v>
      </c>
      <c r="I573">
        <v>6887</v>
      </c>
      <c r="J573">
        <v>3</v>
      </c>
      <c r="K573" t="s">
        <v>24</v>
      </c>
      <c r="L573" t="s">
        <v>480</v>
      </c>
      <c r="M573" t="s">
        <v>481</v>
      </c>
      <c r="N573" t="s">
        <v>482</v>
      </c>
      <c r="P573" t="s">
        <v>482</v>
      </c>
      <c r="Q573" t="s">
        <v>483</v>
      </c>
      <c r="R573">
        <v>9</v>
      </c>
      <c r="T573">
        <v>191</v>
      </c>
      <c r="U573" t="s">
        <v>1044</v>
      </c>
      <c r="V573" s="7">
        <v>99.989997860000003</v>
      </c>
      <c r="W573" s="7">
        <v>95.114003926871064</v>
      </c>
      <c r="X573">
        <v>5</v>
      </c>
      <c r="Y573" s="7">
        <v>50</v>
      </c>
      <c r="Z573" s="7">
        <v>499.94998930000003</v>
      </c>
      <c r="AA573" s="7">
        <f t="shared" si="34"/>
        <v>449.94998930000003</v>
      </c>
      <c r="AB573" t="s">
        <v>66</v>
      </c>
      <c r="AC573" t="str">
        <f t="shared" si="35"/>
        <v>Non-Cash Payments</v>
      </c>
    </row>
    <row r="574" spans="1:29" x14ac:dyDescent="0.25">
      <c r="A574">
        <v>8636</v>
      </c>
      <c r="B574" s="2">
        <v>42190</v>
      </c>
      <c r="C574">
        <v>4</v>
      </c>
      <c r="D574" s="2">
        <f t="shared" si="32"/>
        <v>42194</v>
      </c>
      <c r="E574">
        <v>0</v>
      </c>
      <c r="F574" t="s">
        <v>62</v>
      </c>
      <c r="G574" t="str">
        <f t="shared" si="33"/>
        <v>Other</v>
      </c>
      <c r="H574">
        <v>9</v>
      </c>
      <c r="I574">
        <v>4781</v>
      </c>
      <c r="J574">
        <v>3</v>
      </c>
      <c r="K574" t="s">
        <v>24</v>
      </c>
      <c r="L574" t="s">
        <v>480</v>
      </c>
      <c r="M574" t="s">
        <v>557</v>
      </c>
      <c r="N574" t="s">
        <v>513</v>
      </c>
      <c r="P574" t="s">
        <v>506</v>
      </c>
      <c r="Q574" t="s">
        <v>496</v>
      </c>
      <c r="R574">
        <v>9</v>
      </c>
      <c r="T574">
        <v>191</v>
      </c>
      <c r="U574" t="s">
        <v>1044</v>
      </c>
      <c r="V574" s="7">
        <v>99.989997860000003</v>
      </c>
      <c r="W574" s="7">
        <v>95.114003926871064</v>
      </c>
      <c r="X574">
        <v>5</v>
      </c>
      <c r="Y574" s="7">
        <v>50</v>
      </c>
      <c r="Z574" s="7">
        <v>499.94998930000003</v>
      </c>
      <c r="AA574" s="7">
        <f t="shared" si="34"/>
        <v>449.94998930000003</v>
      </c>
      <c r="AB574" t="s">
        <v>66</v>
      </c>
      <c r="AC574" t="str">
        <f t="shared" si="35"/>
        <v>Non-Cash Payments</v>
      </c>
    </row>
    <row r="575" spans="1:29" x14ac:dyDescent="0.25">
      <c r="A575">
        <v>61192</v>
      </c>
      <c r="B575" s="2">
        <v>43075</v>
      </c>
      <c r="C575">
        <v>4</v>
      </c>
      <c r="D575" s="2">
        <f t="shared" si="32"/>
        <v>43081</v>
      </c>
      <c r="E575">
        <v>0</v>
      </c>
      <c r="F575" t="s">
        <v>62</v>
      </c>
      <c r="G575" t="str">
        <f t="shared" si="33"/>
        <v>Other</v>
      </c>
      <c r="H575">
        <v>12</v>
      </c>
      <c r="I575">
        <v>10668</v>
      </c>
      <c r="J575">
        <v>3</v>
      </c>
      <c r="K575" t="s">
        <v>24</v>
      </c>
      <c r="L575" t="s">
        <v>480</v>
      </c>
      <c r="M575" t="s">
        <v>558</v>
      </c>
      <c r="N575" t="s">
        <v>559</v>
      </c>
      <c r="P575" t="s">
        <v>506</v>
      </c>
      <c r="Q575" t="s">
        <v>496</v>
      </c>
      <c r="R575">
        <v>12</v>
      </c>
      <c r="T575">
        <v>251</v>
      </c>
      <c r="U575" t="s">
        <v>1123</v>
      </c>
      <c r="V575" s="7">
        <v>89.989997860000003</v>
      </c>
      <c r="W575" s="7">
        <v>78.177997586000004</v>
      </c>
      <c r="X575">
        <v>5</v>
      </c>
      <c r="Y575" s="7">
        <v>112.48999790000001</v>
      </c>
      <c r="Z575" s="7">
        <v>449.94998930000003</v>
      </c>
      <c r="AA575" s="7">
        <f t="shared" si="34"/>
        <v>337.45999140000004</v>
      </c>
      <c r="AB575" t="s">
        <v>66</v>
      </c>
      <c r="AC575" t="str">
        <f t="shared" si="35"/>
        <v>Non-Cash Payments</v>
      </c>
    </row>
    <row r="576" spans="1:29" x14ac:dyDescent="0.25">
      <c r="A576">
        <v>55876</v>
      </c>
      <c r="B576" s="2">
        <v>42820</v>
      </c>
      <c r="C576">
        <v>4</v>
      </c>
      <c r="D576" s="2">
        <f t="shared" si="32"/>
        <v>42824</v>
      </c>
      <c r="E576">
        <v>0</v>
      </c>
      <c r="F576" t="s">
        <v>62</v>
      </c>
      <c r="G576" t="str">
        <f t="shared" si="33"/>
        <v>Other</v>
      </c>
      <c r="H576">
        <v>17</v>
      </c>
      <c r="I576">
        <v>5421</v>
      </c>
      <c r="J576">
        <v>4</v>
      </c>
      <c r="K576" t="s">
        <v>46</v>
      </c>
      <c r="L576" t="s">
        <v>480</v>
      </c>
      <c r="M576" t="s">
        <v>560</v>
      </c>
      <c r="N576" t="s">
        <v>560</v>
      </c>
      <c r="P576" t="s">
        <v>542</v>
      </c>
      <c r="Q576" t="s">
        <v>483</v>
      </c>
      <c r="R576">
        <v>17</v>
      </c>
      <c r="T576">
        <v>365</v>
      </c>
      <c r="U576" t="s">
        <v>1054</v>
      </c>
      <c r="V576" s="7">
        <v>59.990001679999999</v>
      </c>
      <c r="W576" s="7">
        <v>54.488929209402009</v>
      </c>
      <c r="X576">
        <v>5</v>
      </c>
      <c r="Y576" s="7">
        <v>0</v>
      </c>
      <c r="Z576" s="7">
        <v>299.9500084</v>
      </c>
      <c r="AA576" s="7">
        <f t="shared" si="34"/>
        <v>299.9500084</v>
      </c>
      <c r="AB576" t="s">
        <v>66</v>
      </c>
      <c r="AC576" t="str">
        <f t="shared" si="35"/>
        <v>Non-Cash Payments</v>
      </c>
    </row>
    <row r="577" spans="1:29" x14ac:dyDescent="0.25">
      <c r="A577">
        <v>53331</v>
      </c>
      <c r="B577" s="2">
        <v>42783</v>
      </c>
      <c r="C577">
        <v>4</v>
      </c>
      <c r="D577" s="2">
        <f t="shared" si="32"/>
        <v>42789</v>
      </c>
      <c r="E577">
        <v>0</v>
      </c>
      <c r="F577" t="s">
        <v>62</v>
      </c>
      <c r="G577" t="str">
        <f t="shared" si="33"/>
        <v>Other</v>
      </c>
      <c r="H577">
        <v>17</v>
      </c>
      <c r="I577">
        <v>10200</v>
      </c>
      <c r="J577">
        <v>4</v>
      </c>
      <c r="K577" t="s">
        <v>46</v>
      </c>
      <c r="L577" t="s">
        <v>480</v>
      </c>
      <c r="M577" t="s">
        <v>561</v>
      </c>
      <c r="N577" t="s">
        <v>508</v>
      </c>
      <c r="P577" t="s">
        <v>509</v>
      </c>
      <c r="Q577" t="s">
        <v>483</v>
      </c>
      <c r="R577">
        <v>17</v>
      </c>
      <c r="T577">
        <v>365</v>
      </c>
      <c r="U577" t="s">
        <v>1054</v>
      </c>
      <c r="V577" s="7">
        <v>59.990001679999999</v>
      </c>
      <c r="W577" s="7">
        <v>54.488929209402009</v>
      </c>
      <c r="X577">
        <v>5</v>
      </c>
      <c r="Y577" s="7">
        <v>3</v>
      </c>
      <c r="Z577" s="7">
        <v>299.9500084</v>
      </c>
      <c r="AA577" s="7">
        <f t="shared" si="34"/>
        <v>296.9500084</v>
      </c>
      <c r="AB577" t="s">
        <v>66</v>
      </c>
      <c r="AC577" t="str">
        <f t="shared" si="35"/>
        <v>Non-Cash Payments</v>
      </c>
    </row>
    <row r="578" spans="1:29" x14ac:dyDescent="0.25">
      <c r="A578">
        <v>51725</v>
      </c>
      <c r="B578" s="2">
        <v>42760</v>
      </c>
      <c r="C578">
        <v>4</v>
      </c>
      <c r="D578" s="2">
        <f t="shared" si="32"/>
        <v>42766</v>
      </c>
      <c r="E578">
        <v>1</v>
      </c>
      <c r="F578" t="s">
        <v>62</v>
      </c>
      <c r="G578" t="str">
        <f t="shared" si="33"/>
        <v>Other</v>
      </c>
      <c r="H578">
        <v>17</v>
      </c>
      <c r="I578">
        <v>11254</v>
      </c>
      <c r="J578">
        <v>4</v>
      </c>
      <c r="K578" t="s">
        <v>46</v>
      </c>
      <c r="L578" t="s">
        <v>480</v>
      </c>
      <c r="M578" t="s">
        <v>562</v>
      </c>
      <c r="N578" t="s">
        <v>485</v>
      </c>
      <c r="P578" t="s">
        <v>486</v>
      </c>
      <c r="Q578" t="s">
        <v>483</v>
      </c>
      <c r="R578">
        <v>17</v>
      </c>
      <c r="T578">
        <v>365</v>
      </c>
      <c r="U578" t="s">
        <v>1054</v>
      </c>
      <c r="V578" s="7">
        <v>59.990001679999999</v>
      </c>
      <c r="W578" s="7">
        <v>54.488929209402009</v>
      </c>
      <c r="X578">
        <v>5</v>
      </c>
      <c r="Y578" s="7">
        <v>3</v>
      </c>
      <c r="Z578" s="7">
        <v>299.9500084</v>
      </c>
      <c r="AA578" s="7">
        <f t="shared" si="34"/>
        <v>296.9500084</v>
      </c>
      <c r="AB578" t="s">
        <v>66</v>
      </c>
      <c r="AC578" t="str">
        <f t="shared" si="35"/>
        <v>Non-Cash Payments</v>
      </c>
    </row>
    <row r="579" spans="1:29" x14ac:dyDescent="0.25">
      <c r="A579">
        <v>52562</v>
      </c>
      <c r="B579" s="2">
        <v>42888</v>
      </c>
      <c r="C579">
        <v>4</v>
      </c>
      <c r="D579" s="2">
        <f t="shared" ref="D579:D642" si="36">WORKDAY(B579,C579)</f>
        <v>42894</v>
      </c>
      <c r="E579">
        <v>0</v>
      </c>
      <c r="F579" t="s">
        <v>62</v>
      </c>
      <c r="G579" t="str">
        <f t="shared" ref="G579:G642" si="37">IF(AND(E579=0,F579="Same Day"),"Same Day - On Time","Other")</f>
        <v>Other</v>
      </c>
      <c r="H579">
        <v>17</v>
      </c>
      <c r="I579">
        <v>11106</v>
      </c>
      <c r="J579">
        <v>4</v>
      </c>
      <c r="K579" t="s">
        <v>46</v>
      </c>
      <c r="L579" t="s">
        <v>480</v>
      </c>
      <c r="M579" t="s">
        <v>563</v>
      </c>
      <c r="N579" t="s">
        <v>564</v>
      </c>
      <c r="P579" t="s">
        <v>517</v>
      </c>
      <c r="Q579" t="s">
        <v>496</v>
      </c>
      <c r="R579">
        <v>17</v>
      </c>
      <c r="T579">
        <v>365</v>
      </c>
      <c r="U579" t="s">
        <v>1054</v>
      </c>
      <c r="V579" s="7">
        <v>59.990001679999999</v>
      </c>
      <c r="W579" s="7">
        <v>54.488929209402009</v>
      </c>
      <c r="X579">
        <v>5</v>
      </c>
      <c r="Y579" s="7">
        <v>6</v>
      </c>
      <c r="Z579" s="7">
        <v>299.9500084</v>
      </c>
      <c r="AA579" s="7">
        <f t="shared" ref="AA579:AA642" si="38">Z579-Y579</f>
        <v>293.9500084</v>
      </c>
      <c r="AB579" t="s">
        <v>66</v>
      </c>
      <c r="AC579" t="str">
        <f t="shared" ref="AC579:AC642" si="39">IF(AND(AA579&gt;200,AB579="CASH"),"Cash Over 200",IF(AB579="CASH","Cash Not Over 200","Non-Cash Payments"))</f>
        <v>Non-Cash Payments</v>
      </c>
    </row>
    <row r="580" spans="1:29" x14ac:dyDescent="0.25">
      <c r="A580">
        <v>59754</v>
      </c>
      <c r="B580" s="2">
        <v>42877</v>
      </c>
      <c r="C580">
        <v>4</v>
      </c>
      <c r="D580" s="2">
        <f t="shared" si="36"/>
        <v>42881</v>
      </c>
      <c r="E580">
        <v>1</v>
      </c>
      <c r="F580" t="s">
        <v>62</v>
      </c>
      <c r="G580" t="str">
        <f t="shared" si="37"/>
        <v>Other</v>
      </c>
      <c r="H580">
        <v>17</v>
      </c>
      <c r="I580">
        <v>8456</v>
      </c>
      <c r="J580">
        <v>4</v>
      </c>
      <c r="K580" t="s">
        <v>46</v>
      </c>
      <c r="L580" t="s">
        <v>480</v>
      </c>
      <c r="M580" t="s">
        <v>484</v>
      </c>
      <c r="N580" t="s">
        <v>485</v>
      </c>
      <c r="P580" t="s">
        <v>486</v>
      </c>
      <c r="Q580" t="s">
        <v>483</v>
      </c>
      <c r="R580">
        <v>17</v>
      </c>
      <c r="T580">
        <v>365</v>
      </c>
      <c r="U580" t="s">
        <v>1054</v>
      </c>
      <c r="V580" s="7">
        <v>59.990001679999999</v>
      </c>
      <c r="W580" s="7">
        <v>54.488929209402009</v>
      </c>
      <c r="X580">
        <v>5</v>
      </c>
      <c r="Y580" s="7">
        <v>9</v>
      </c>
      <c r="Z580" s="7">
        <v>299.9500084</v>
      </c>
      <c r="AA580" s="7">
        <f t="shared" si="38"/>
        <v>290.9500084</v>
      </c>
      <c r="AB580" t="s">
        <v>66</v>
      </c>
      <c r="AC580" t="str">
        <f t="shared" si="39"/>
        <v>Non-Cash Payments</v>
      </c>
    </row>
    <row r="581" spans="1:29" x14ac:dyDescent="0.25">
      <c r="A581">
        <v>53574</v>
      </c>
      <c r="B581" s="2">
        <v>42787</v>
      </c>
      <c r="C581">
        <v>4</v>
      </c>
      <c r="D581" s="2">
        <f t="shared" si="36"/>
        <v>42793</v>
      </c>
      <c r="E581">
        <v>1</v>
      </c>
      <c r="F581" t="s">
        <v>62</v>
      </c>
      <c r="G581" t="str">
        <f t="shared" si="37"/>
        <v>Other</v>
      </c>
      <c r="H581">
        <v>17</v>
      </c>
      <c r="I581">
        <v>6149</v>
      </c>
      <c r="J581">
        <v>4</v>
      </c>
      <c r="K581" t="s">
        <v>46</v>
      </c>
      <c r="L581" t="s">
        <v>480</v>
      </c>
      <c r="M581" t="s">
        <v>565</v>
      </c>
      <c r="N581" t="s">
        <v>566</v>
      </c>
      <c r="P581" t="s">
        <v>503</v>
      </c>
      <c r="Q581" t="s">
        <v>483</v>
      </c>
      <c r="R581">
        <v>17</v>
      </c>
      <c r="T581">
        <v>365</v>
      </c>
      <c r="U581" t="s">
        <v>1054</v>
      </c>
      <c r="V581" s="7">
        <v>59.990001679999999</v>
      </c>
      <c r="W581" s="7">
        <v>54.488929209402009</v>
      </c>
      <c r="X581">
        <v>5</v>
      </c>
      <c r="Y581" s="7">
        <v>12</v>
      </c>
      <c r="Z581" s="7">
        <v>299.9500084</v>
      </c>
      <c r="AA581" s="7">
        <f t="shared" si="38"/>
        <v>287.9500084</v>
      </c>
      <c r="AB581" t="s">
        <v>66</v>
      </c>
      <c r="AC581" t="str">
        <f t="shared" si="39"/>
        <v>Non-Cash Payments</v>
      </c>
    </row>
    <row r="582" spans="1:29" x14ac:dyDescent="0.25">
      <c r="A582">
        <v>399</v>
      </c>
      <c r="B582" s="2">
        <v>42156</v>
      </c>
      <c r="C582">
        <v>4</v>
      </c>
      <c r="D582" s="2">
        <f t="shared" si="36"/>
        <v>42160</v>
      </c>
      <c r="E582">
        <v>1</v>
      </c>
      <c r="F582" t="s">
        <v>62</v>
      </c>
      <c r="G582" t="str">
        <f t="shared" si="37"/>
        <v>Other</v>
      </c>
      <c r="H582">
        <v>17</v>
      </c>
      <c r="I582">
        <v>1473</v>
      </c>
      <c r="J582">
        <v>4</v>
      </c>
      <c r="K582" t="s">
        <v>46</v>
      </c>
      <c r="L582" t="s">
        <v>480</v>
      </c>
      <c r="M582" t="s">
        <v>567</v>
      </c>
      <c r="N582" t="s">
        <v>540</v>
      </c>
      <c r="P582" t="s">
        <v>509</v>
      </c>
      <c r="Q582" t="s">
        <v>483</v>
      </c>
      <c r="R582">
        <v>17</v>
      </c>
      <c r="T582">
        <v>365</v>
      </c>
      <c r="U582" t="s">
        <v>1054</v>
      </c>
      <c r="V582" s="7">
        <v>59.990001679999999</v>
      </c>
      <c r="W582" s="7">
        <v>54.488929209402009</v>
      </c>
      <c r="X582">
        <v>5</v>
      </c>
      <c r="Y582" s="7">
        <v>16.5</v>
      </c>
      <c r="Z582" s="7">
        <v>299.9500084</v>
      </c>
      <c r="AA582" s="7">
        <f t="shared" si="38"/>
        <v>283.4500084</v>
      </c>
      <c r="AB582" t="s">
        <v>66</v>
      </c>
      <c r="AC582" t="str">
        <f t="shared" si="39"/>
        <v>Non-Cash Payments</v>
      </c>
    </row>
    <row r="583" spans="1:29" x14ac:dyDescent="0.25">
      <c r="A583">
        <v>55002</v>
      </c>
      <c r="B583" s="2">
        <v>42807</v>
      </c>
      <c r="C583">
        <v>4</v>
      </c>
      <c r="D583" s="2">
        <f t="shared" si="36"/>
        <v>42811</v>
      </c>
      <c r="E583">
        <v>0</v>
      </c>
      <c r="F583" t="s">
        <v>62</v>
      </c>
      <c r="G583" t="str">
        <f t="shared" si="37"/>
        <v>Other</v>
      </c>
      <c r="H583">
        <v>17</v>
      </c>
      <c r="I583">
        <v>7454</v>
      </c>
      <c r="J583">
        <v>4</v>
      </c>
      <c r="K583" t="s">
        <v>46</v>
      </c>
      <c r="L583" t="s">
        <v>480</v>
      </c>
      <c r="M583" t="s">
        <v>568</v>
      </c>
      <c r="N583" t="s">
        <v>511</v>
      </c>
      <c r="P583" t="s">
        <v>509</v>
      </c>
      <c r="Q583" t="s">
        <v>483</v>
      </c>
      <c r="R583">
        <v>17</v>
      </c>
      <c r="T583">
        <v>365</v>
      </c>
      <c r="U583" t="s">
        <v>1054</v>
      </c>
      <c r="V583" s="7">
        <v>59.990001679999999</v>
      </c>
      <c r="W583" s="7">
        <v>54.488929209402009</v>
      </c>
      <c r="X583">
        <v>2</v>
      </c>
      <c r="Y583" s="7">
        <v>18</v>
      </c>
      <c r="Z583" s="7">
        <v>119.98000336</v>
      </c>
      <c r="AA583" s="7">
        <f t="shared" si="38"/>
        <v>101.98000336</v>
      </c>
      <c r="AB583" t="s">
        <v>66</v>
      </c>
      <c r="AC583" t="str">
        <f t="shared" si="39"/>
        <v>Non-Cash Payments</v>
      </c>
    </row>
    <row r="584" spans="1:29" x14ac:dyDescent="0.25">
      <c r="A584">
        <v>60445</v>
      </c>
      <c r="B584" s="2">
        <v>42741</v>
      </c>
      <c r="C584">
        <v>4</v>
      </c>
      <c r="D584" s="2">
        <f t="shared" si="36"/>
        <v>42747</v>
      </c>
      <c r="E584">
        <v>1</v>
      </c>
      <c r="F584" t="s">
        <v>62</v>
      </c>
      <c r="G584" t="str">
        <f t="shared" si="37"/>
        <v>Other</v>
      </c>
      <c r="H584">
        <v>17</v>
      </c>
      <c r="I584">
        <v>5138</v>
      </c>
      <c r="J584">
        <v>4</v>
      </c>
      <c r="K584" t="s">
        <v>46</v>
      </c>
      <c r="L584" t="s">
        <v>480</v>
      </c>
      <c r="M584" t="s">
        <v>569</v>
      </c>
      <c r="N584" t="s">
        <v>570</v>
      </c>
      <c r="P584" t="s">
        <v>499</v>
      </c>
      <c r="Q584" t="s">
        <v>496</v>
      </c>
      <c r="R584">
        <v>17</v>
      </c>
      <c r="T584">
        <v>365</v>
      </c>
      <c r="U584" t="s">
        <v>1054</v>
      </c>
      <c r="V584" s="7">
        <v>59.990001679999999</v>
      </c>
      <c r="W584" s="7">
        <v>54.488929209402009</v>
      </c>
      <c r="X584">
        <v>2</v>
      </c>
      <c r="Y584" s="7">
        <v>18</v>
      </c>
      <c r="Z584" s="7">
        <v>119.98000336</v>
      </c>
      <c r="AA584" s="7">
        <f t="shared" si="38"/>
        <v>101.98000336</v>
      </c>
      <c r="AB584" t="s">
        <v>66</v>
      </c>
      <c r="AC584" t="str">
        <f t="shared" si="39"/>
        <v>Non-Cash Payments</v>
      </c>
    </row>
    <row r="585" spans="1:29" x14ac:dyDescent="0.25">
      <c r="A585">
        <v>53586</v>
      </c>
      <c r="B585" s="2">
        <v>42787</v>
      </c>
      <c r="C585">
        <v>4</v>
      </c>
      <c r="D585" s="2">
        <f t="shared" si="36"/>
        <v>42793</v>
      </c>
      <c r="E585">
        <v>0</v>
      </c>
      <c r="F585" t="s">
        <v>62</v>
      </c>
      <c r="G585" t="str">
        <f t="shared" si="37"/>
        <v>Other</v>
      </c>
      <c r="H585">
        <v>17</v>
      </c>
      <c r="I585">
        <v>8696</v>
      </c>
      <c r="J585">
        <v>4</v>
      </c>
      <c r="K585" t="s">
        <v>46</v>
      </c>
      <c r="L585" t="s">
        <v>480</v>
      </c>
      <c r="M585" t="s">
        <v>571</v>
      </c>
      <c r="N585" t="s">
        <v>571</v>
      </c>
      <c r="P585" t="s">
        <v>509</v>
      </c>
      <c r="Q585" t="s">
        <v>483</v>
      </c>
      <c r="R585">
        <v>17</v>
      </c>
      <c r="T585">
        <v>365</v>
      </c>
      <c r="U585" t="s">
        <v>1054</v>
      </c>
      <c r="V585" s="7">
        <v>59.990001679999999</v>
      </c>
      <c r="W585" s="7">
        <v>54.488929209402009</v>
      </c>
      <c r="X585">
        <v>2</v>
      </c>
      <c r="Y585" s="7">
        <v>20.399999619999999</v>
      </c>
      <c r="Z585" s="7">
        <v>119.98000336</v>
      </c>
      <c r="AA585" s="7">
        <f t="shared" si="38"/>
        <v>99.580003739999995</v>
      </c>
      <c r="AB585" t="s">
        <v>66</v>
      </c>
      <c r="AC585" t="str">
        <f t="shared" si="39"/>
        <v>Non-Cash Payments</v>
      </c>
    </row>
    <row r="586" spans="1:29" x14ac:dyDescent="0.25">
      <c r="A586">
        <v>56618</v>
      </c>
      <c r="B586" s="2">
        <v>42890</v>
      </c>
      <c r="C586">
        <v>4</v>
      </c>
      <c r="D586" s="2">
        <f t="shared" si="36"/>
        <v>42894</v>
      </c>
      <c r="E586">
        <v>0</v>
      </c>
      <c r="F586" t="s">
        <v>62</v>
      </c>
      <c r="G586" t="str">
        <f t="shared" si="37"/>
        <v>Other</v>
      </c>
      <c r="H586">
        <v>17</v>
      </c>
      <c r="I586">
        <v>2329</v>
      </c>
      <c r="J586">
        <v>4</v>
      </c>
      <c r="K586" t="s">
        <v>46</v>
      </c>
      <c r="L586" t="s">
        <v>480</v>
      </c>
      <c r="M586" t="s">
        <v>572</v>
      </c>
      <c r="N586" t="s">
        <v>572</v>
      </c>
      <c r="P586" t="s">
        <v>509</v>
      </c>
      <c r="Q586" t="s">
        <v>483</v>
      </c>
      <c r="R586">
        <v>17</v>
      </c>
      <c r="T586">
        <v>365</v>
      </c>
      <c r="U586" t="s">
        <v>1054</v>
      </c>
      <c r="V586" s="7">
        <v>59.990001679999999</v>
      </c>
      <c r="W586" s="7">
        <v>54.488929209402009</v>
      </c>
      <c r="X586">
        <v>2</v>
      </c>
      <c r="Y586" s="7">
        <v>20.399999619999999</v>
      </c>
      <c r="Z586" s="7">
        <v>119.98000336</v>
      </c>
      <c r="AA586" s="7">
        <f t="shared" si="38"/>
        <v>99.580003739999995</v>
      </c>
      <c r="AB586" t="s">
        <v>66</v>
      </c>
      <c r="AC586" t="str">
        <f t="shared" si="39"/>
        <v>Non-Cash Payments</v>
      </c>
    </row>
    <row r="587" spans="1:29" x14ac:dyDescent="0.25">
      <c r="A587">
        <v>51865</v>
      </c>
      <c r="B587" s="2">
        <v>42762</v>
      </c>
      <c r="C587">
        <v>4</v>
      </c>
      <c r="D587" s="2">
        <f t="shared" si="36"/>
        <v>42768</v>
      </c>
      <c r="E587">
        <v>1</v>
      </c>
      <c r="F587" t="s">
        <v>62</v>
      </c>
      <c r="G587" t="str">
        <f t="shared" si="37"/>
        <v>Other</v>
      </c>
      <c r="H587">
        <v>17</v>
      </c>
      <c r="I587">
        <v>12431</v>
      </c>
      <c r="J587">
        <v>4</v>
      </c>
      <c r="K587" t="s">
        <v>46</v>
      </c>
      <c r="L587" t="s">
        <v>480</v>
      </c>
      <c r="M587" t="s">
        <v>573</v>
      </c>
      <c r="N587" t="s">
        <v>508</v>
      </c>
      <c r="P587" t="s">
        <v>506</v>
      </c>
      <c r="Q587" t="s">
        <v>496</v>
      </c>
      <c r="R587">
        <v>17</v>
      </c>
      <c r="T587">
        <v>365</v>
      </c>
      <c r="U587" t="s">
        <v>1054</v>
      </c>
      <c r="V587" s="7">
        <v>59.990001679999999</v>
      </c>
      <c r="W587" s="7">
        <v>54.488929209402009</v>
      </c>
      <c r="X587">
        <v>2</v>
      </c>
      <c r="Y587" s="7">
        <v>20.399999619999999</v>
      </c>
      <c r="Z587" s="7">
        <v>119.98000336</v>
      </c>
      <c r="AA587" s="7">
        <f t="shared" si="38"/>
        <v>99.580003739999995</v>
      </c>
      <c r="AB587" t="s">
        <v>66</v>
      </c>
      <c r="AC587" t="str">
        <f t="shared" si="39"/>
        <v>Non-Cash Payments</v>
      </c>
    </row>
    <row r="588" spans="1:29" x14ac:dyDescent="0.25">
      <c r="A588">
        <v>2937</v>
      </c>
      <c r="B588" s="2">
        <v>42340</v>
      </c>
      <c r="C588">
        <v>4</v>
      </c>
      <c r="D588" s="2">
        <f t="shared" si="36"/>
        <v>42346</v>
      </c>
      <c r="E588">
        <v>0</v>
      </c>
      <c r="F588" t="s">
        <v>62</v>
      </c>
      <c r="G588" t="str">
        <f t="shared" si="37"/>
        <v>Other</v>
      </c>
      <c r="H588">
        <v>24</v>
      </c>
      <c r="I588">
        <v>10860</v>
      </c>
      <c r="J588">
        <v>5</v>
      </c>
      <c r="K588" t="s">
        <v>31</v>
      </c>
      <c r="L588" t="s">
        <v>480</v>
      </c>
      <c r="M588" t="s">
        <v>574</v>
      </c>
      <c r="N588" t="s">
        <v>575</v>
      </c>
      <c r="P588" t="s">
        <v>506</v>
      </c>
      <c r="Q588" t="s">
        <v>496</v>
      </c>
      <c r="R588">
        <v>24</v>
      </c>
      <c r="T588">
        <v>502</v>
      </c>
      <c r="U588" t="s">
        <v>1058</v>
      </c>
      <c r="V588" s="7">
        <v>50</v>
      </c>
      <c r="W588" s="7">
        <v>43.678035218757444</v>
      </c>
      <c r="X588">
        <v>2</v>
      </c>
      <c r="Y588" s="7">
        <v>0</v>
      </c>
      <c r="Z588" s="7">
        <v>100</v>
      </c>
      <c r="AA588" s="7">
        <f t="shared" si="38"/>
        <v>100</v>
      </c>
      <c r="AB588" t="s">
        <v>66</v>
      </c>
      <c r="AC588" t="str">
        <f t="shared" si="39"/>
        <v>Non-Cash Payments</v>
      </c>
    </row>
    <row r="589" spans="1:29" x14ac:dyDescent="0.25">
      <c r="A589">
        <v>54446</v>
      </c>
      <c r="B589" s="2">
        <v>42858</v>
      </c>
      <c r="C589">
        <v>4</v>
      </c>
      <c r="D589" s="2">
        <f t="shared" si="36"/>
        <v>42864</v>
      </c>
      <c r="E589">
        <v>0</v>
      </c>
      <c r="F589" t="s">
        <v>62</v>
      </c>
      <c r="G589" t="str">
        <f t="shared" si="37"/>
        <v>Other</v>
      </c>
      <c r="H589">
        <v>24</v>
      </c>
      <c r="I589">
        <v>12094</v>
      </c>
      <c r="J589">
        <v>5</v>
      </c>
      <c r="K589" t="s">
        <v>31</v>
      </c>
      <c r="L589" t="s">
        <v>480</v>
      </c>
      <c r="M589" t="s">
        <v>576</v>
      </c>
      <c r="N589" t="s">
        <v>577</v>
      </c>
      <c r="P589" t="s">
        <v>506</v>
      </c>
      <c r="Q589" t="s">
        <v>496</v>
      </c>
      <c r="R589">
        <v>24</v>
      </c>
      <c r="T589">
        <v>502</v>
      </c>
      <c r="U589" t="s">
        <v>1058</v>
      </c>
      <c r="V589" s="7">
        <v>50</v>
      </c>
      <c r="W589" s="7">
        <v>43.678035218757444</v>
      </c>
      <c r="X589">
        <v>2</v>
      </c>
      <c r="Y589" s="7">
        <v>0</v>
      </c>
      <c r="Z589" s="7">
        <v>100</v>
      </c>
      <c r="AA589" s="7">
        <f t="shared" si="38"/>
        <v>100</v>
      </c>
      <c r="AB589" t="s">
        <v>66</v>
      </c>
      <c r="AC589" t="str">
        <f t="shared" si="39"/>
        <v>Non-Cash Payments</v>
      </c>
    </row>
    <row r="590" spans="1:29" x14ac:dyDescent="0.25">
      <c r="A590">
        <v>58623</v>
      </c>
      <c r="B590" s="2">
        <v>42860</v>
      </c>
      <c r="C590">
        <v>4</v>
      </c>
      <c r="D590" s="2">
        <f t="shared" si="36"/>
        <v>42866</v>
      </c>
      <c r="E590">
        <v>0</v>
      </c>
      <c r="F590" t="s">
        <v>62</v>
      </c>
      <c r="G590" t="str">
        <f t="shared" si="37"/>
        <v>Other</v>
      </c>
      <c r="H590">
        <v>24</v>
      </c>
      <c r="I590">
        <v>5088</v>
      </c>
      <c r="J590">
        <v>5</v>
      </c>
      <c r="K590" t="s">
        <v>31</v>
      </c>
      <c r="L590" t="s">
        <v>480</v>
      </c>
      <c r="M590" t="s">
        <v>578</v>
      </c>
      <c r="N590" t="s">
        <v>579</v>
      </c>
      <c r="P590" t="s">
        <v>509</v>
      </c>
      <c r="Q590" t="s">
        <v>483</v>
      </c>
      <c r="R590">
        <v>24</v>
      </c>
      <c r="T590">
        <v>502</v>
      </c>
      <c r="U590" t="s">
        <v>1058</v>
      </c>
      <c r="V590" s="7">
        <v>50</v>
      </c>
      <c r="W590" s="7">
        <v>43.678035218757444</v>
      </c>
      <c r="X590">
        <v>2</v>
      </c>
      <c r="Y590" s="7">
        <v>1</v>
      </c>
      <c r="Z590" s="7">
        <v>100</v>
      </c>
      <c r="AA590" s="7">
        <f t="shared" si="38"/>
        <v>99</v>
      </c>
      <c r="AB590" t="s">
        <v>66</v>
      </c>
      <c r="AC590" t="str">
        <f t="shared" si="39"/>
        <v>Non-Cash Payments</v>
      </c>
    </row>
    <row r="591" spans="1:29" x14ac:dyDescent="0.25">
      <c r="A591">
        <v>7411</v>
      </c>
      <c r="B591" s="2">
        <v>42113</v>
      </c>
      <c r="C591">
        <v>4</v>
      </c>
      <c r="D591" s="2">
        <f t="shared" si="36"/>
        <v>42117</v>
      </c>
      <c r="E591">
        <v>0</v>
      </c>
      <c r="F591" t="s">
        <v>62</v>
      </c>
      <c r="G591" t="str">
        <f t="shared" si="37"/>
        <v>Other</v>
      </c>
      <c r="H591">
        <v>29</v>
      </c>
      <c r="I591">
        <v>2200</v>
      </c>
      <c r="J591">
        <v>5</v>
      </c>
      <c r="K591" t="s">
        <v>31</v>
      </c>
      <c r="L591" t="s">
        <v>480</v>
      </c>
      <c r="M591" t="s">
        <v>580</v>
      </c>
      <c r="N591" t="s">
        <v>581</v>
      </c>
      <c r="P591" t="s">
        <v>499</v>
      </c>
      <c r="Q591" t="s">
        <v>496</v>
      </c>
      <c r="R591">
        <v>29</v>
      </c>
      <c r="T591">
        <v>627</v>
      </c>
      <c r="U591" t="s">
        <v>1046</v>
      </c>
      <c r="V591" s="7">
        <v>39.990001679999999</v>
      </c>
      <c r="W591" s="7">
        <v>34.198098313835338</v>
      </c>
      <c r="X591">
        <v>2</v>
      </c>
      <c r="Y591" s="7">
        <v>0.80000001200000004</v>
      </c>
      <c r="Z591" s="7">
        <v>79.980003359999998</v>
      </c>
      <c r="AA591" s="7">
        <f t="shared" si="38"/>
        <v>79.180003348</v>
      </c>
      <c r="AB591" t="s">
        <v>66</v>
      </c>
      <c r="AC591" t="str">
        <f t="shared" si="39"/>
        <v>Non-Cash Payments</v>
      </c>
    </row>
    <row r="592" spans="1:29" x14ac:dyDescent="0.25">
      <c r="A592">
        <v>5348</v>
      </c>
      <c r="B592" s="2">
        <v>42083</v>
      </c>
      <c r="C592">
        <v>4</v>
      </c>
      <c r="D592" s="2">
        <f t="shared" si="36"/>
        <v>42089</v>
      </c>
      <c r="E592">
        <v>0</v>
      </c>
      <c r="F592" t="s">
        <v>62</v>
      </c>
      <c r="G592" t="str">
        <f t="shared" si="37"/>
        <v>Other</v>
      </c>
      <c r="H592">
        <v>24</v>
      </c>
      <c r="I592">
        <v>10966</v>
      </c>
      <c r="J592">
        <v>5</v>
      </c>
      <c r="K592" t="s">
        <v>31</v>
      </c>
      <c r="L592" t="s">
        <v>480</v>
      </c>
      <c r="M592" t="s">
        <v>512</v>
      </c>
      <c r="N592" t="s">
        <v>512</v>
      </c>
      <c r="P592" t="s">
        <v>509</v>
      </c>
      <c r="Q592" t="s">
        <v>483</v>
      </c>
      <c r="R592">
        <v>24</v>
      </c>
      <c r="T592">
        <v>502</v>
      </c>
      <c r="U592" t="s">
        <v>1058</v>
      </c>
      <c r="V592" s="7">
        <v>50</v>
      </c>
      <c r="W592" s="7">
        <v>43.678035218757444</v>
      </c>
      <c r="X592">
        <v>2</v>
      </c>
      <c r="Y592" s="7">
        <v>3</v>
      </c>
      <c r="Z592" s="7">
        <v>100</v>
      </c>
      <c r="AA592" s="7">
        <f t="shared" si="38"/>
        <v>97</v>
      </c>
      <c r="AB592" t="s">
        <v>66</v>
      </c>
      <c r="AC592" t="str">
        <f t="shared" si="39"/>
        <v>Non-Cash Payments</v>
      </c>
    </row>
    <row r="593" spans="1:29" x14ac:dyDescent="0.25">
      <c r="A593">
        <v>59742</v>
      </c>
      <c r="B593" s="2">
        <v>42877</v>
      </c>
      <c r="C593">
        <v>4</v>
      </c>
      <c r="D593" s="2">
        <f t="shared" si="36"/>
        <v>42881</v>
      </c>
      <c r="E593">
        <v>0</v>
      </c>
      <c r="F593" t="s">
        <v>62</v>
      </c>
      <c r="G593" t="str">
        <f t="shared" si="37"/>
        <v>Other</v>
      </c>
      <c r="H593">
        <v>24</v>
      </c>
      <c r="I593">
        <v>3997</v>
      </c>
      <c r="J593">
        <v>5</v>
      </c>
      <c r="K593" t="s">
        <v>31</v>
      </c>
      <c r="L593" t="s">
        <v>480</v>
      </c>
      <c r="M593" t="s">
        <v>490</v>
      </c>
      <c r="N593" t="s">
        <v>490</v>
      </c>
      <c r="P593" t="s">
        <v>491</v>
      </c>
      <c r="Q593" t="s">
        <v>492</v>
      </c>
      <c r="R593">
        <v>24</v>
      </c>
      <c r="T593">
        <v>502</v>
      </c>
      <c r="U593" t="s">
        <v>1058</v>
      </c>
      <c r="V593" s="7">
        <v>50</v>
      </c>
      <c r="W593" s="7">
        <v>43.678035218757444</v>
      </c>
      <c r="X593">
        <v>2</v>
      </c>
      <c r="Y593" s="7">
        <v>4</v>
      </c>
      <c r="Z593" s="7">
        <v>100</v>
      </c>
      <c r="AA593" s="7">
        <f t="shared" si="38"/>
        <v>96</v>
      </c>
      <c r="AB593" t="s">
        <v>66</v>
      </c>
      <c r="AC593" t="str">
        <f t="shared" si="39"/>
        <v>Non-Cash Payments</v>
      </c>
    </row>
    <row r="594" spans="1:29" x14ac:dyDescent="0.25">
      <c r="A594">
        <v>59498</v>
      </c>
      <c r="B594" s="2">
        <v>42873</v>
      </c>
      <c r="C594">
        <v>4</v>
      </c>
      <c r="D594" s="2">
        <f t="shared" si="36"/>
        <v>42879</v>
      </c>
      <c r="E594">
        <v>0</v>
      </c>
      <c r="F594" t="s">
        <v>62</v>
      </c>
      <c r="G594" t="str">
        <f t="shared" si="37"/>
        <v>Other</v>
      </c>
      <c r="H594">
        <v>29</v>
      </c>
      <c r="I594">
        <v>8746</v>
      </c>
      <c r="J594">
        <v>5</v>
      </c>
      <c r="K594" t="s">
        <v>31</v>
      </c>
      <c r="L594" t="s">
        <v>480</v>
      </c>
      <c r="M594" t="s">
        <v>582</v>
      </c>
      <c r="N594" t="s">
        <v>582</v>
      </c>
      <c r="P594" t="s">
        <v>509</v>
      </c>
      <c r="Q594" t="s">
        <v>483</v>
      </c>
      <c r="R594">
        <v>29</v>
      </c>
      <c r="T594">
        <v>627</v>
      </c>
      <c r="U594" t="s">
        <v>1046</v>
      </c>
      <c r="V594" s="7">
        <v>39.990001679999999</v>
      </c>
      <c r="W594" s="7">
        <v>34.198098313835338</v>
      </c>
      <c r="X594">
        <v>2</v>
      </c>
      <c r="Y594" s="7">
        <v>3.2000000480000002</v>
      </c>
      <c r="Z594" s="7">
        <v>79.980003359999998</v>
      </c>
      <c r="AA594" s="7">
        <f t="shared" si="38"/>
        <v>76.780003311999991</v>
      </c>
      <c r="AB594" t="s">
        <v>66</v>
      </c>
      <c r="AC594" t="str">
        <f t="shared" si="39"/>
        <v>Non-Cash Payments</v>
      </c>
    </row>
    <row r="595" spans="1:29" x14ac:dyDescent="0.25">
      <c r="A595">
        <v>3459</v>
      </c>
      <c r="B595" s="2">
        <v>42055</v>
      </c>
      <c r="C595">
        <v>4</v>
      </c>
      <c r="D595" s="2">
        <f t="shared" si="36"/>
        <v>42061</v>
      </c>
      <c r="E595">
        <v>1</v>
      </c>
      <c r="F595" t="s">
        <v>62</v>
      </c>
      <c r="G595" t="str">
        <f t="shared" si="37"/>
        <v>Other</v>
      </c>
      <c r="H595">
        <v>29</v>
      </c>
      <c r="I595">
        <v>3687</v>
      </c>
      <c r="J595">
        <v>5</v>
      </c>
      <c r="K595" t="s">
        <v>31</v>
      </c>
      <c r="L595" t="s">
        <v>480</v>
      </c>
      <c r="M595" t="s">
        <v>583</v>
      </c>
      <c r="N595" t="s">
        <v>583</v>
      </c>
      <c r="P595" t="s">
        <v>584</v>
      </c>
      <c r="Q595" t="s">
        <v>492</v>
      </c>
      <c r="R595">
        <v>29</v>
      </c>
      <c r="T595">
        <v>627</v>
      </c>
      <c r="U595" t="s">
        <v>1046</v>
      </c>
      <c r="V595" s="7">
        <v>39.990001679999999</v>
      </c>
      <c r="W595" s="7">
        <v>34.198098313835338</v>
      </c>
      <c r="X595">
        <v>2</v>
      </c>
      <c r="Y595" s="7">
        <v>4</v>
      </c>
      <c r="Z595" s="7">
        <v>79.980003359999998</v>
      </c>
      <c r="AA595" s="7">
        <f t="shared" si="38"/>
        <v>75.980003359999998</v>
      </c>
      <c r="AB595" t="s">
        <v>66</v>
      </c>
      <c r="AC595" t="str">
        <f t="shared" si="39"/>
        <v>Non-Cash Payments</v>
      </c>
    </row>
    <row r="596" spans="1:29" x14ac:dyDescent="0.25">
      <c r="A596">
        <v>8470</v>
      </c>
      <c r="B596" s="2">
        <v>42099</v>
      </c>
      <c r="C596">
        <v>4</v>
      </c>
      <c r="D596" s="2">
        <f t="shared" si="36"/>
        <v>42103</v>
      </c>
      <c r="E596">
        <v>1</v>
      </c>
      <c r="F596" t="s">
        <v>62</v>
      </c>
      <c r="G596" t="str">
        <f t="shared" si="37"/>
        <v>Other</v>
      </c>
      <c r="H596">
        <v>29</v>
      </c>
      <c r="I596">
        <v>9162</v>
      </c>
      <c r="J596">
        <v>5</v>
      </c>
      <c r="K596" t="s">
        <v>31</v>
      </c>
      <c r="L596" t="s">
        <v>480</v>
      </c>
      <c r="M596" t="s">
        <v>550</v>
      </c>
      <c r="N596" t="s">
        <v>550</v>
      </c>
      <c r="P596" t="s">
        <v>482</v>
      </c>
      <c r="Q596" t="s">
        <v>483</v>
      </c>
      <c r="R596">
        <v>29</v>
      </c>
      <c r="T596">
        <v>627</v>
      </c>
      <c r="U596" t="s">
        <v>1046</v>
      </c>
      <c r="V596" s="7">
        <v>39.990001679999999</v>
      </c>
      <c r="W596" s="7">
        <v>34.198098313835338</v>
      </c>
      <c r="X596">
        <v>2</v>
      </c>
      <c r="Y596" s="7">
        <v>4</v>
      </c>
      <c r="Z596" s="7">
        <v>79.980003359999998</v>
      </c>
      <c r="AA596" s="7">
        <f t="shared" si="38"/>
        <v>75.980003359999998</v>
      </c>
      <c r="AB596" t="s">
        <v>66</v>
      </c>
      <c r="AC596" t="str">
        <f t="shared" si="39"/>
        <v>Non-Cash Payments</v>
      </c>
    </row>
    <row r="597" spans="1:29" x14ac:dyDescent="0.25">
      <c r="A597">
        <v>53455</v>
      </c>
      <c r="B597" s="2">
        <v>42785</v>
      </c>
      <c r="C597">
        <v>4</v>
      </c>
      <c r="D597" s="2">
        <f t="shared" si="36"/>
        <v>42789</v>
      </c>
      <c r="E597">
        <v>1</v>
      </c>
      <c r="F597" t="s">
        <v>62</v>
      </c>
      <c r="G597" t="str">
        <f t="shared" si="37"/>
        <v>Other</v>
      </c>
      <c r="H597">
        <v>24</v>
      </c>
      <c r="I597">
        <v>8993</v>
      </c>
      <c r="J597">
        <v>5</v>
      </c>
      <c r="K597" t="s">
        <v>31</v>
      </c>
      <c r="L597" t="s">
        <v>480</v>
      </c>
      <c r="M597" t="s">
        <v>530</v>
      </c>
      <c r="N597" t="s">
        <v>531</v>
      </c>
      <c r="P597" t="s">
        <v>506</v>
      </c>
      <c r="Q597" t="s">
        <v>496</v>
      </c>
      <c r="R597">
        <v>24</v>
      </c>
      <c r="T597">
        <v>502</v>
      </c>
      <c r="U597" t="s">
        <v>1058</v>
      </c>
      <c r="V597" s="7">
        <v>50</v>
      </c>
      <c r="W597" s="7">
        <v>43.678035218757444</v>
      </c>
      <c r="X597">
        <v>2</v>
      </c>
      <c r="Y597" s="7">
        <v>5</v>
      </c>
      <c r="Z597" s="7">
        <v>100</v>
      </c>
      <c r="AA597" s="7">
        <f t="shared" si="38"/>
        <v>95</v>
      </c>
      <c r="AB597" t="s">
        <v>66</v>
      </c>
      <c r="AC597" t="str">
        <f t="shared" si="39"/>
        <v>Non-Cash Payments</v>
      </c>
    </row>
    <row r="598" spans="1:29" x14ac:dyDescent="0.25">
      <c r="A598">
        <v>2014</v>
      </c>
      <c r="B598" s="2">
        <v>42034</v>
      </c>
      <c r="C598">
        <v>4</v>
      </c>
      <c r="D598" s="2">
        <f t="shared" si="36"/>
        <v>42040</v>
      </c>
      <c r="E598">
        <v>1</v>
      </c>
      <c r="F598" t="s">
        <v>62</v>
      </c>
      <c r="G598" t="str">
        <f t="shared" si="37"/>
        <v>Other</v>
      </c>
      <c r="H598">
        <v>26</v>
      </c>
      <c r="I598">
        <v>5875</v>
      </c>
      <c r="J598">
        <v>5</v>
      </c>
      <c r="K598" t="s">
        <v>31</v>
      </c>
      <c r="L598" t="s">
        <v>480</v>
      </c>
      <c r="M598" t="s">
        <v>510</v>
      </c>
      <c r="N598" t="s">
        <v>511</v>
      </c>
      <c r="P598" t="s">
        <v>509</v>
      </c>
      <c r="Q598" t="s">
        <v>483</v>
      </c>
      <c r="R598">
        <v>26</v>
      </c>
      <c r="T598">
        <v>565</v>
      </c>
      <c r="U598" t="s">
        <v>1078</v>
      </c>
      <c r="V598" s="7">
        <v>70</v>
      </c>
      <c r="W598" s="7">
        <v>62.759999940857142</v>
      </c>
      <c r="X598">
        <v>2</v>
      </c>
      <c r="Y598" s="7">
        <v>7.6999998090000004</v>
      </c>
      <c r="Z598" s="7">
        <v>140</v>
      </c>
      <c r="AA598" s="7">
        <f t="shared" si="38"/>
        <v>132.30000019100001</v>
      </c>
      <c r="AB598" t="s">
        <v>66</v>
      </c>
      <c r="AC598" t="str">
        <f t="shared" si="39"/>
        <v>Non-Cash Payments</v>
      </c>
    </row>
    <row r="599" spans="1:29" x14ac:dyDescent="0.25">
      <c r="A599">
        <v>55899</v>
      </c>
      <c r="B599" s="2">
        <v>42820</v>
      </c>
      <c r="C599">
        <v>4</v>
      </c>
      <c r="D599" s="2">
        <f t="shared" si="36"/>
        <v>42824</v>
      </c>
      <c r="E599">
        <v>1</v>
      </c>
      <c r="F599" t="s">
        <v>62</v>
      </c>
      <c r="G599" t="str">
        <f t="shared" si="37"/>
        <v>Other</v>
      </c>
      <c r="H599">
        <v>26</v>
      </c>
      <c r="I599">
        <v>2502</v>
      </c>
      <c r="J599">
        <v>5</v>
      </c>
      <c r="K599" t="s">
        <v>31</v>
      </c>
      <c r="L599" t="s">
        <v>480</v>
      </c>
      <c r="M599" t="s">
        <v>526</v>
      </c>
      <c r="N599" t="s">
        <v>489</v>
      </c>
      <c r="P599" t="s">
        <v>489</v>
      </c>
      <c r="Q599" t="s">
        <v>483</v>
      </c>
      <c r="R599">
        <v>26</v>
      </c>
      <c r="T599">
        <v>567</v>
      </c>
      <c r="U599" t="s">
        <v>1081</v>
      </c>
      <c r="V599" s="7">
        <v>25</v>
      </c>
      <c r="W599" s="7">
        <v>17.922466723766668</v>
      </c>
      <c r="X599">
        <v>2</v>
      </c>
      <c r="Y599" s="7">
        <v>3.5</v>
      </c>
      <c r="Z599" s="7">
        <v>50</v>
      </c>
      <c r="AA599" s="7">
        <f t="shared" si="38"/>
        <v>46.5</v>
      </c>
      <c r="AB599" t="s">
        <v>66</v>
      </c>
      <c r="AC599" t="str">
        <f t="shared" si="39"/>
        <v>Non-Cash Payments</v>
      </c>
    </row>
    <row r="600" spans="1:29" x14ac:dyDescent="0.25">
      <c r="A600">
        <v>52582</v>
      </c>
      <c r="B600" s="2">
        <v>42888</v>
      </c>
      <c r="C600">
        <v>4</v>
      </c>
      <c r="D600" s="2">
        <f t="shared" si="36"/>
        <v>42894</v>
      </c>
      <c r="E600">
        <v>0</v>
      </c>
      <c r="F600" t="s">
        <v>62</v>
      </c>
      <c r="G600" t="str">
        <f t="shared" si="37"/>
        <v>Other</v>
      </c>
      <c r="H600">
        <v>24</v>
      </c>
      <c r="I600">
        <v>9563</v>
      </c>
      <c r="J600">
        <v>5</v>
      </c>
      <c r="K600" t="s">
        <v>31</v>
      </c>
      <c r="L600" t="s">
        <v>480</v>
      </c>
      <c r="M600" t="s">
        <v>585</v>
      </c>
      <c r="N600" t="s">
        <v>586</v>
      </c>
      <c r="P600" t="s">
        <v>509</v>
      </c>
      <c r="Q600" t="s">
        <v>483</v>
      </c>
      <c r="R600">
        <v>24</v>
      </c>
      <c r="T600">
        <v>502</v>
      </c>
      <c r="U600" t="s">
        <v>1058</v>
      </c>
      <c r="V600" s="7">
        <v>50</v>
      </c>
      <c r="W600" s="7">
        <v>43.678035218757444</v>
      </c>
      <c r="X600">
        <v>2</v>
      </c>
      <c r="Y600" s="7">
        <v>7</v>
      </c>
      <c r="Z600" s="7">
        <v>100</v>
      </c>
      <c r="AA600" s="7">
        <f t="shared" si="38"/>
        <v>93</v>
      </c>
      <c r="AB600" t="s">
        <v>66</v>
      </c>
      <c r="AC600" t="str">
        <f t="shared" si="39"/>
        <v>Non-Cash Payments</v>
      </c>
    </row>
    <row r="601" spans="1:29" x14ac:dyDescent="0.25">
      <c r="A601">
        <v>56222</v>
      </c>
      <c r="B601" s="2">
        <v>42825</v>
      </c>
      <c r="C601">
        <v>4</v>
      </c>
      <c r="D601" s="2">
        <f t="shared" si="36"/>
        <v>42831</v>
      </c>
      <c r="E601">
        <v>0</v>
      </c>
      <c r="F601" t="s">
        <v>62</v>
      </c>
      <c r="G601" t="str">
        <f t="shared" si="37"/>
        <v>Other</v>
      </c>
      <c r="H601">
        <v>24</v>
      </c>
      <c r="I601">
        <v>7259</v>
      </c>
      <c r="J601">
        <v>5</v>
      </c>
      <c r="K601" t="s">
        <v>31</v>
      </c>
      <c r="L601" t="s">
        <v>480</v>
      </c>
      <c r="M601" t="s">
        <v>587</v>
      </c>
      <c r="N601" t="s">
        <v>509</v>
      </c>
      <c r="P601" t="s">
        <v>509</v>
      </c>
      <c r="Q601" t="s">
        <v>483</v>
      </c>
      <c r="R601">
        <v>24</v>
      </c>
      <c r="T601">
        <v>502</v>
      </c>
      <c r="U601" t="s">
        <v>1058</v>
      </c>
      <c r="V601" s="7">
        <v>50</v>
      </c>
      <c r="W601" s="7">
        <v>43.678035218757444</v>
      </c>
      <c r="X601">
        <v>2</v>
      </c>
      <c r="Y601" s="7">
        <v>7</v>
      </c>
      <c r="Z601" s="7">
        <v>100</v>
      </c>
      <c r="AA601" s="7">
        <f t="shared" si="38"/>
        <v>93</v>
      </c>
      <c r="AB601" t="s">
        <v>66</v>
      </c>
      <c r="AC601" t="str">
        <f t="shared" si="39"/>
        <v>Non-Cash Payments</v>
      </c>
    </row>
    <row r="602" spans="1:29" x14ac:dyDescent="0.25">
      <c r="A602">
        <v>57829</v>
      </c>
      <c r="B602" s="2">
        <v>42849</v>
      </c>
      <c r="C602">
        <v>4</v>
      </c>
      <c r="D602" s="2">
        <f t="shared" si="36"/>
        <v>42853</v>
      </c>
      <c r="E602">
        <v>1</v>
      </c>
      <c r="F602" t="s">
        <v>62</v>
      </c>
      <c r="G602" t="str">
        <f t="shared" si="37"/>
        <v>Other</v>
      </c>
      <c r="H602">
        <v>29</v>
      </c>
      <c r="I602">
        <v>3131</v>
      </c>
      <c r="J602">
        <v>5</v>
      </c>
      <c r="K602" t="s">
        <v>31</v>
      </c>
      <c r="L602" t="s">
        <v>480</v>
      </c>
      <c r="M602" t="s">
        <v>588</v>
      </c>
      <c r="N602" t="s">
        <v>577</v>
      </c>
      <c r="P602" t="s">
        <v>506</v>
      </c>
      <c r="Q602" t="s">
        <v>496</v>
      </c>
      <c r="R602">
        <v>29</v>
      </c>
      <c r="T602">
        <v>627</v>
      </c>
      <c r="U602" t="s">
        <v>1046</v>
      </c>
      <c r="V602" s="7">
        <v>39.990001679999999</v>
      </c>
      <c r="W602" s="7">
        <v>34.198098313835338</v>
      </c>
      <c r="X602">
        <v>2</v>
      </c>
      <c r="Y602" s="7">
        <v>7.1999998090000004</v>
      </c>
      <c r="Z602" s="7">
        <v>79.980003359999998</v>
      </c>
      <c r="AA602" s="7">
        <f t="shared" si="38"/>
        <v>72.780003550999993</v>
      </c>
      <c r="AB602" t="s">
        <v>66</v>
      </c>
      <c r="AC602" t="str">
        <f t="shared" si="39"/>
        <v>Non-Cash Payments</v>
      </c>
    </row>
    <row r="603" spans="1:29" x14ac:dyDescent="0.25">
      <c r="A603">
        <v>56217</v>
      </c>
      <c r="B603" s="2">
        <v>42825</v>
      </c>
      <c r="C603">
        <v>4</v>
      </c>
      <c r="D603" s="2">
        <f t="shared" si="36"/>
        <v>42831</v>
      </c>
      <c r="E603">
        <v>0</v>
      </c>
      <c r="F603" t="s">
        <v>62</v>
      </c>
      <c r="G603" t="str">
        <f t="shared" si="37"/>
        <v>Other</v>
      </c>
      <c r="H603">
        <v>29</v>
      </c>
      <c r="I603">
        <v>4140</v>
      </c>
      <c r="J603">
        <v>5</v>
      </c>
      <c r="K603" t="s">
        <v>31</v>
      </c>
      <c r="L603" t="s">
        <v>480</v>
      </c>
      <c r="M603" t="s">
        <v>501</v>
      </c>
      <c r="N603" t="s">
        <v>502</v>
      </c>
      <c r="P603" t="s">
        <v>503</v>
      </c>
      <c r="Q603" t="s">
        <v>483</v>
      </c>
      <c r="R603">
        <v>29</v>
      </c>
      <c r="T603">
        <v>627</v>
      </c>
      <c r="U603" t="s">
        <v>1046</v>
      </c>
      <c r="V603" s="7">
        <v>39.990001679999999</v>
      </c>
      <c r="W603" s="7">
        <v>34.198098313835338</v>
      </c>
      <c r="X603">
        <v>2</v>
      </c>
      <c r="Y603" s="7">
        <v>8</v>
      </c>
      <c r="Z603" s="7">
        <v>79.980003359999998</v>
      </c>
      <c r="AA603" s="7">
        <f t="shared" si="38"/>
        <v>71.980003359999998</v>
      </c>
      <c r="AB603" t="s">
        <v>66</v>
      </c>
      <c r="AC603" t="str">
        <f t="shared" si="39"/>
        <v>Non-Cash Payments</v>
      </c>
    </row>
    <row r="604" spans="1:29" x14ac:dyDescent="0.25">
      <c r="A604">
        <v>5893</v>
      </c>
      <c r="B604" s="2">
        <v>42091</v>
      </c>
      <c r="C604">
        <v>4</v>
      </c>
      <c r="D604" s="2">
        <f t="shared" si="36"/>
        <v>42096</v>
      </c>
      <c r="E604">
        <v>0</v>
      </c>
      <c r="F604" t="s">
        <v>62</v>
      </c>
      <c r="G604" t="str">
        <f t="shared" si="37"/>
        <v>Other</v>
      </c>
      <c r="H604">
        <v>29</v>
      </c>
      <c r="I604">
        <v>4539</v>
      </c>
      <c r="J604">
        <v>5</v>
      </c>
      <c r="K604" t="s">
        <v>31</v>
      </c>
      <c r="L604" t="s">
        <v>480</v>
      </c>
      <c r="M604" t="s">
        <v>481</v>
      </c>
      <c r="N604" t="s">
        <v>482</v>
      </c>
      <c r="P604" t="s">
        <v>482</v>
      </c>
      <c r="Q604" t="s">
        <v>483</v>
      </c>
      <c r="R604">
        <v>29</v>
      </c>
      <c r="T604">
        <v>627</v>
      </c>
      <c r="U604" t="s">
        <v>1046</v>
      </c>
      <c r="V604" s="7">
        <v>39.990001679999999</v>
      </c>
      <c r="W604" s="7">
        <v>34.198098313835338</v>
      </c>
      <c r="X604">
        <v>2</v>
      </c>
      <c r="Y604" s="7">
        <v>8</v>
      </c>
      <c r="Z604" s="7">
        <v>79.980003359999998</v>
      </c>
      <c r="AA604" s="7">
        <f t="shared" si="38"/>
        <v>71.980003359999998</v>
      </c>
      <c r="AB604" t="s">
        <v>66</v>
      </c>
      <c r="AC604" t="str">
        <f t="shared" si="39"/>
        <v>Non-Cash Payments</v>
      </c>
    </row>
    <row r="605" spans="1:29" x14ac:dyDescent="0.25">
      <c r="A605">
        <v>5528</v>
      </c>
      <c r="B605" s="2">
        <v>42085</v>
      </c>
      <c r="C605">
        <v>4</v>
      </c>
      <c r="D605" s="2">
        <f t="shared" si="36"/>
        <v>42089</v>
      </c>
      <c r="E605">
        <v>0</v>
      </c>
      <c r="F605" t="s">
        <v>62</v>
      </c>
      <c r="G605" t="str">
        <f t="shared" si="37"/>
        <v>Other</v>
      </c>
      <c r="H605">
        <v>24</v>
      </c>
      <c r="I605">
        <v>6071</v>
      </c>
      <c r="J605">
        <v>5</v>
      </c>
      <c r="K605" t="s">
        <v>31</v>
      </c>
      <c r="L605" t="s">
        <v>480</v>
      </c>
      <c r="M605" t="s">
        <v>565</v>
      </c>
      <c r="N605" t="s">
        <v>566</v>
      </c>
      <c r="P605" t="s">
        <v>503</v>
      </c>
      <c r="Q605" t="s">
        <v>483</v>
      </c>
      <c r="R605">
        <v>24</v>
      </c>
      <c r="T605">
        <v>502</v>
      </c>
      <c r="U605" t="s">
        <v>1058</v>
      </c>
      <c r="V605" s="7">
        <v>50</v>
      </c>
      <c r="W605" s="7">
        <v>43.678035218757444</v>
      </c>
      <c r="X605">
        <v>2</v>
      </c>
      <c r="Y605" s="7">
        <v>10</v>
      </c>
      <c r="Z605" s="7">
        <v>100</v>
      </c>
      <c r="AA605" s="7">
        <f t="shared" si="38"/>
        <v>90</v>
      </c>
      <c r="AB605" t="s">
        <v>66</v>
      </c>
      <c r="AC605" t="str">
        <f t="shared" si="39"/>
        <v>Non-Cash Payments</v>
      </c>
    </row>
    <row r="606" spans="1:29" x14ac:dyDescent="0.25">
      <c r="A606">
        <v>367</v>
      </c>
      <c r="B606" s="2">
        <v>42156</v>
      </c>
      <c r="C606">
        <v>4</v>
      </c>
      <c r="D606" s="2">
        <f t="shared" si="36"/>
        <v>42160</v>
      </c>
      <c r="E606">
        <v>0</v>
      </c>
      <c r="F606" t="s">
        <v>62</v>
      </c>
      <c r="G606" t="str">
        <f t="shared" si="37"/>
        <v>Other</v>
      </c>
      <c r="H606">
        <v>29</v>
      </c>
      <c r="I606">
        <v>8730</v>
      </c>
      <c r="J606">
        <v>5</v>
      </c>
      <c r="K606" t="s">
        <v>31</v>
      </c>
      <c r="L606" t="s">
        <v>480</v>
      </c>
      <c r="M606" t="s">
        <v>589</v>
      </c>
      <c r="N606" t="s">
        <v>590</v>
      </c>
      <c r="P606" t="s">
        <v>495</v>
      </c>
      <c r="Q606" t="s">
        <v>496</v>
      </c>
      <c r="R606">
        <v>29</v>
      </c>
      <c r="T606">
        <v>627</v>
      </c>
      <c r="U606" t="s">
        <v>1046</v>
      </c>
      <c r="V606" s="7">
        <v>39.990001679999999</v>
      </c>
      <c r="W606" s="7">
        <v>34.198098313835338</v>
      </c>
      <c r="X606">
        <v>2</v>
      </c>
      <c r="Y606" s="7">
        <v>8</v>
      </c>
      <c r="Z606" s="7">
        <v>79.980003359999998</v>
      </c>
      <c r="AA606" s="7">
        <f t="shared" si="38"/>
        <v>71.980003359999998</v>
      </c>
      <c r="AB606" t="s">
        <v>66</v>
      </c>
      <c r="AC606" t="str">
        <f t="shared" si="39"/>
        <v>Non-Cash Payments</v>
      </c>
    </row>
    <row r="607" spans="1:29" x14ac:dyDescent="0.25">
      <c r="A607">
        <v>52353</v>
      </c>
      <c r="B607" s="2">
        <v>42796</v>
      </c>
      <c r="C607">
        <v>4</v>
      </c>
      <c r="D607" s="2">
        <f t="shared" si="36"/>
        <v>42802</v>
      </c>
      <c r="E607">
        <v>0</v>
      </c>
      <c r="F607" t="s">
        <v>62</v>
      </c>
      <c r="G607" t="str">
        <f t="shared" si="37"/>
        <v>Other</v>
      </c>
      <c r="H607">
        <v>24</v>
      </c>
      <c r="I607">
        <v>9634</v>
      </c>
      <c r="J607">
        <v>5</v>
      </c>
      <c r="K607" t="s">
        <v>31</v>
      </c>
      <c r="L607" t="s">
        <v>480</v>
      </c>
      <c r="M607" t="s">
        <v>591</v>
      </c>
      <c r="N607" t="s">
        <v>592</v>
      </c>
      <c r="P607" t="s">
        <v>506</v>
      </c>
      <c r="Q607" t="s">
        <v>496</v>
      </c>
      <c r="R607">
        <v>24</v>
      </c>
      <c r="T607">
        <v>502</v>
      </c>
      <c r="U607" t="s">
        <v>1058</v>
      </c>
      <c r="V607" s="7">
        <v>50</v>
      </c>
      <c r="W607" s="7">
        <v>43.678035218757444</v>
      </c>
      <c r="X607">
        <v>2</v>
      </c>
      <c r="Y607" s="7">
        <v>10</v>
      </c>
      <c r="Z607" s="7">
        <v>100</v>
      </c>
      <c r="AA607" s="7">
        <f t="shared" si="38"/>
        <v>90</v>
      </c>
      <c r="AB607" t="s">
        <v>66</v>
      </c>
      <c r="AC607" t="str">
        <f t="shared" si="39"/>
        <v>Non-Cash Payments</v>
      </c>
    </row>
    <row r="608" spans="1:29" x14ac:dyDescent="0.25">
      <c r="A608">
        <v>1784</v>
      </c>
      <c r="B608" s="2">
        <v>42031</v>
      </c>
      <c r="C608">
        <v>4</v>
      </c>
      <c r="D608" s="2">
        <f t="shared" si="36"/>
        <v>42037</v>
      </c>
      <c r="E608">
        <v>1</v>
      </c>
      <c r="F608" t="s">
        <v>62</v>
      </c>
      <c r="G608" t="str">
        <f t="shared" si="37"/>
        <v>Other</v>
      </c>
      <c r="H608">
        <v>24</v>
      </c>
      <c r="I608">
        <v>8010</v>
      </c>
      <c r="J608">
        <v>5</v>
      </c>
      <c r="K608" t="s">
        <v>31</v>
      </c>
      <c r="L608" t="s">
        <v>480</v>
      </c>
      <c r="M608" t="s">
        <v>513</v>
      </c>
      <c r="N608" t="s">
        <v>513</v>
      </c>
      <c r="P608" t="s">
        <v>506</v>
      </c>
      <c r="Q608" t="s">
        <v>496</v>
      </c>
      <c r="R608">
        <v>24</v>
      </c>
      <c r="T608">
        <v>502</v>
      </c>
      <c r="U608" t="s">
        <v>1058</v>
      </c>
      <c r="V608" s="7">
        <v>50</v>
      </c>
      <c r="W608" s="7">
        <v>43.678035218757444</v>
      </c>
      <c r="X608">
        <v>2</v>
      </c>
      <c r="Y608" s="7">
        <v>10</v>
      </c>
      <c r="Z608" s="7">
        <v>100</v>
      </c>
      <c r="AA608" s="7">
        <f t="shared" si="38"/>
        <v>90</v>
      </c>
      <c r="AB608" t="s">
        <v>66</v>
      </c>
      <c r="AC608" t="str">
        <f t="shared" si="39"/>
        <v>Non-Cash Payments</v>
      </c>
    </row>
    <row r="609" spans="1:29" x14ac:dyDescent="0.25">
      <c r="A609">
        <v>60317</v>
      </c>
      <c r="B609" s="2">
        <v>42885</v>
      </c>
      <c r="C609">
        <v>4</v>
      </c>
      <c r="D609" s="2">
        <f t="shared" si="36"/>
        <v>42891</v>
      </c>
      <c r="E609">
        <v>0</v>
      </c>
      <c r="F609" t="s">
        <v>62</v>
      </c>
      <c r="G609" t="str">
        <f t="shared" si="37"/>
        <v>Other</v>
      </c>
      <c r="H609">
        <v>29</v>
      </c>
      <c r="I609">
        <v>3484</v>
      </c>
      <c r="J609">
        <v>5</v>
      </c>
      <c r="K609" t="s">
        <v>31</v>
      </c>
      <c r="L609" t="s">
        <v>480</v>
      </c>
      <c r="M609" t="s">
        <v>532</v>
      </c>
      <c r="N609" t="s">
        <v>532</v>
      </c>
      <c r="P609" t="s">
        <v>522</v>
      </c>
      <c r="Q609" t="s">
        <v>492</v>
      </c>
      <c r="R609">
        <v>29</v>
      </c>
      <c r="T609">
        <v>627</v>
      </c>
      <c r="U609" t="s">
        <v>1046</v>
      </c>
      <c r="V609" s="7">
        <v>39.990001679999999</v>
      </c>
      <c r="W609" s="7">
        <v>34.198098313835338</v>
      </c>
      <c r="X609">
        <v>2</v>
      </c>
      <c r="Y609" s="7">
        <v>9.6000003809999992</v>
      </c>
      <c r="Z609" s="7">
        <v>79.980003359999998</v>
      </c>
      <c r="AA609" s="7">
        <f t="shared" si="38"/>
        <v>70.380002978999997</v>
      </c>
      <c r="AB609" t="s">
        <v>66</v>
      </c>
      <c r="AC609" t="str">
        <f t="shared" si="39"/>
        <v>Non-Cash Payments</v>
      </c>
    </row>
    <row r="610" spans="1:29" x14ac:dyDescent="0.25">
      <c r="A610">
        <v>6776</v>
      </c>
      <c r="B610" s="2">
        <v>42251</v>
      </c>
      <c r="C610">
        <v>4</v>
      </c>
      <c r="D610" s="2">
        <f t="shared" si="36"/>
        <v>42257</v>
      </c>
      <c r="E610">
        <v>0</v>
      </c>
      <c r="F610" t="s">
        <v>62</v>
      </c>
      <c r="G610" t="str">
        <f t="shared" si="37"/>
        <v>Other</v>
      </c>
      <c r="H610">
        <v>24</v>
      </c>
      <c r="I610">
        <v>7307</v>
      </c>
      <c r="J610">
        <v>5</v>
      </c>
      <c r="K610" t="s">
        <v>31</v>
      </c>
      <c r="L610" t="s">
        <v>480</v>
      </c>
      <c r="M610" t="s">
        <v>512</v>
      </c>
      <c r="N610" t="s">
        <v>512</v>
      </c>
      <c r="P610" t="s">
        <v>509</v>
      </c>
      <c r="Q610" t="s">
        <v>483</v>
      </c>
      <c r="R610">
        <v>24</v>
      </c>
      <c r="T610">
        <v>502</v>
      </c>
      <c r="U610" t="s">
        <v>1058</v>
      </c>
      <c r="V610" s="7">
        <v>50</v>
      </c>
      <c r="W610" s="7">
        <v>43.678035218757444</v>
      </c>
      <c r="X610">
        <v>2</v>
      </c>
      <c r="Y610" s="7">
        <v>12</v>
      </c>
      <c r="Z610" s="7">
        <v>100</v>
      </c>
      <c r="AA610" s="7">
        <f t="shared" si="38"/>
        <v>88</v>
      </c>
      <c r="AB610" t="s">
        <v>66</v>
      </c>
      <c r="AC610" t="str">
        <f t="shared" si="39"/>
        <v>Non-Cash Payments</v>
      </c>
    </row>
    <row r="611" spans="1:29" x14ac:dyDescent="0.25">
      <c r="A611">
        <v>4487</v>
      </c>
      <c r="B611" s="2">
        <v>42188</v>
      </c>
      <c r="C611">
        <v>4</v>
      </c>
      <c r="D611" s="2">
        <f t="shared" si="36"/>
        <v>42194</v>
      </c>
      <c r="E611">
        <v>0</v>
      </c>
      <c r="F611" t="s">
        <v>62</v>
      </c>
      <c r="G611" t="str">
        <f t="shared" si="37"/>
        <v>Other</v>
      </c>
      <c r="H611">
        <v>24</v>
      </c>
      <c r="I611">
        <v>1975</v>
      </c>
      <c r="J611">
        <v>5</v>
      </c>
      <c r="K611" t="s">
        <v>31</v>
      </c>
      <c r="L611" t="s">
        <v>480</v>
      </c>
      <c r="M611" t="s">
        <v>547</v>
      </c>
      <c r="N611" t="s">
        <v>482</v>
      </c>
      <c r="P611" t="s">
        <v>482</v>
      </c>
      <c r="Q611" t="s">
        <v>483</v>
      </c>
      <c r="R611">
        <v>24</v>
      </c>
      <c r="T611">
        <v>502</v>
      </c>
      <c r="U611" t="s">
        <v>1058</v>
      </c>
      <c r="V611" s="7">
        <v>50</v>
      </c>
      <c r="W611" s="7">
        <v>43.678035218757444</v>
      </c>
      <c r="X611">
        <v>2</v>
      </c>
      <c r="Y611" s="7">
        <v>13</v>
      </c>
      <c r="Z611" s="7">
        <v>100</v>
      </c>
      <c r="AA611" s="7">
        <f t="shared" si="38"/>
        <v>87</v>
      </c>
      <c r="AB611" t="s">
        <v>66</v>
      </c>
      <c r="AC611" t="str">
        <f t="shared" si="39"/>
        <v>Non-Cash Payments</v>
      </c>
    </row>
    <row r="612" spans="1:29" x14ac:dyDescent="0.25">
      <c r="A612">
        <v>9681</v>
      </c>
      <c r="B612" s="2">
        <v>42146</v>
      </c>
      <c r="C612">
        <v>4</v>
      </c>
      <c r="D612" s="2">
        <f t="shared" si="36"/>
        <v>42152</v>
      </c>
      <c r="E612">
        <v>0</v>
      </c>
      <c r="F612" t="s">
        <v>62</v>
      </c>
      <c r="G612" t="str">
        <f t="shared" si="37"/>
        <v>Other</v>
      </c>
      <c r="H612">
        <v>24</v>
      </c>
      <c r="I612">
        <v>629</v>
      </c>
      <c r="J612">
        <v>5</v>
      </c>
      <c r="K612" t="s">
        <v>31</v>
      </c>
      <c r="L612" t="s">
        <v>480</v>
      </c>
      <c r="M612" t="s">
        <v>593</v>
      </c>
      <c r="N612" t="s">
        <v>593</v>
      </c>
      <c r="P612" t="s">
        <v>482</v>
      </c>
      <c r="Q612" t="s">
        <v>483</v>
      </c>
      <c r="R612">
        <v>24</v>
      </c>
      <c r="T612">
        <v>502</v>
      </c>
      <c r="U612" t="s">
        <v>1058</v>
      </c>
      <c r="V612" s="7">
        <v>50</v>
      </c>
      <c r="W612" s="7">
        <v>43.678035218757444</v>
      </c>
      <c r="X612">
        <v>2</v>
      </c>
      <c r="Y612" s="7">
        <v>15</v>
      </c>
      <c r="Z612" s="7">
        <v>100</v>
      </c>
      <c r="AA612" s="7">
        <f t="shared" si="38"/>
        <v>85</v>
      </c>
      <c r="AB612" t="s">
        <v>66</v>
      </c>
      <c r="AC612" t="str">
        <f t="shared" si="39"/>
        <v>Non-Cash Payments</v>
      </c>
    </row>
    <row r="613" spans="1:29" x14ac:dyDescent="0.25">
      <c r="A613">
        <v>60868</v>
      </c>
      <c r="B613" s="2">
        <v>42922</v>
      </c>
      <c r="C613">
        <v>4</v>
      </c>
      <c r="D613" s="2">
        <f t="shared" si="36"/>
        <v>42928</v>
      </c>
      <c r="E613">
        <v>0</v>
      </c>
      <c r="F613" t="s">
        <v>62</v>
      </c>
      <c r="G613" t="str">
        <f t="shared" si="37"/>
        <v>Other</v>
      </c>
      <c r="H613">
        <v>29</v>
      </c>
      <c r="I613">
        <v>11753</v>
      </c>
      <c r="J613">
        <v>5</v>
      </c>
      <c r="K613" t="s">
        <v>31</v>
      </c>
      <c r="L613" t="s">
        <v>480</v>
      </c>
      <c r="M613" t="s">
        <v>594</v>
      </c>
      <c r="N613" t="s">
        <v>482</v>
      </c>
      <c r="P613" t="s">
        <v>482</v>
      </c>
      <c r="Q613" t="s">
        <v>483</v>
      </c>
      <c r="R613">
        <v>29</v>
      </c>
      <c r="T613">
        <v>627</v>
      </c>
      <c r="U613" t="s">
        <v>1046</v>
      </c>
      <c r="V613" s="7">
        <v>39.990001679999999</v>
      </c>
      <c r="W613" s="7">
        <v>34.198098313835338</v>
      </c>
      <c r="X613">
        <v>2</v>
      </c>
      <c r="Y613" s="7">
        <v>13.600000380000001</v>
      </c>
      <c r="Z613" s="7">
        <v>79.980003359999998</v>
      </c>
      <c r="AA613" s="7">
        <f t="shared" si="38"/>
        <v>66.38000298</v>
      </c>
      <c r="AB613" t="s">
        <v>66</v>
      </c>
      <c r="AC613" t="str">
        <f t="shared" si="39"/>
        <v>Non-Cash Payments</v>
      </c>
    </row>
    <row r="614" spans="1:29" x14ac:dyDescent="0.25">
      <c r="A614">
        <v>53231</v>
      </c>
      <c r="B614" s="2">
        <v>42782</v>
      </c>
      <c r="C614">
        <v>4</v>
      </c>
      <c r="D614" s="2">
        <f t="shared" si="36"/>
        <v>42788</v>
      </c>
      <c r="E614">
        <v>0</v>
      </c>
      <c r="F614" t="s">
        <v>62</v>
      </c>
      <c r="G614" t="str">
        <f t="shared" si="37"/>
        <v>Other</v>
      </c>
      <c r="H614">
        <v>26</v>
      </c>
      <c r="I614">
        <v>5375</v>
      </c>
      <c r="J614">
        <v>5</v>
      </c>
      <c r="K614" t="s">
        <v>31</v>
      </c>
      <c r="L614" t="s">
        <v>480</v>
      </c>
      <c r="M614" t="s">
        <v>562</v>
      </c>
      <c r="N614" t="s">
        <v>485</v>
      </c>
      <c r="P614" t="s">
        <v>486</v>
      </c>
      <c r="Q614" t="s">
        <v>483</v>
      </c>
      <c r="R614">
        <v>26</v>
      </c>
      <c r="T614">
        <v>572</v>
      </c>
      <c r="U614" t="s">
        <v>1111</v>
      </c>
      <c r="V614" s="7">
        <v>39.990001679999999</v>
      </c>
      <c r="W614" s="7">
        <v>30.892751576250003</v>
      </c>
      <c r="X614">
        <v>2</v>
      </c>
      <c r="Y614" s="7">
        <v>14.399999619999999</v>
      </c>
      <c r="Z614" s="7">
        <v>79.980003359999998</v>
      </c>
      <c r="AA614" s="7">
        <f t="shared" si="38"/>
        <v>65.580003739999995</v>
      </c>
      <c r="AB614" t="s">
        <v>66</v>
      </c>
      <c r="AC614" t="str">
        <f t="shared" si="39"/>
        <v>Non-Cash Payments</v>
      </c>
    </row>
    <row r="615" spans="1:29" x14ac:dyDescent="0.25">
      <c r="A615">
        <v>52601</v>
      </c>
      <c r="B615" s="2">
        <v>42888</v>
      </c>
      <c r="C615">
        <v>4</v>
      </c>
      <c r="D615" s="2">
        <f t="shared" si="36"/>
        <v>42894</v>
      </c>
      <c r="E615">
        <v>0</v>
      </c>
      <c r="F615" t="s">
        <v>62</v>
      </c>
      <c r="G615" t="str">
        <f t="shared" si="37"/>
        <v>Other</v>
      </c>
      <c r="H615">
        <v>29</v>
      </c>
      <c r="I615">
        <v>1695</v>
      </c>
      <c r="J615">
        <v>5</v>
      </c>
      <c r="K615" t="s">
        <v>31</v>
      </c>
      <c r="L615" t="s">
        <v>480</v>
      </c>
      <c r="M615" t="s">
        <v>595</v>
      </c>
      <c r="N615" t="s">
        <v>513</v>
      </c>
      <c r="P615" t="s">
        <v>506</v>
      </c>
      <c r="Q615" t="s">
        <v>496</v>
      </c>
      <c r="R615">
        <v>29</v>
      </c>
      <c r="T615">
        <v>627</v>
      </c>
      <c r="U615" t="s">
        <v>1046</v>
      </c>
      <c r="V615" s="7">
        <v>39.990001679999999</v>
      </c>
      <c r="W615" s="7">
        <v>34.198098313835338</v>
      </c>
      <c r="X615">
        <v>2</v>
      </c>
      <c r="Y615" s="7">
        <v>14.399999619999999</v>
      </c>
      <c r="Z615" s="7">
        <v>79.980003359999998</v>
      </c>
      <c r="AA615" s="7">
        <f t="shared" si="38"/>
        <v>65.580003739999995</v>
      </c>
      <c r="AB615" t="s">
        <v>66</v>
      </c>
      <c r="AC615" t="str">
        <f t="shared" si="39"/>
        <v>Non-Cash Payments</v>
      </c>
    </row>
    <row r="616" spans="1:29" x14ac:dyDescent="0.25">
      <c r="A616">
        <v>4660</v>
      </c>
      <c r="B616" s="2">
        <v>42280</v>
      </c>
      <c r="C616">
        <v>4</v>
      </c>
      <c r="D616" s="2">
        <f t="shared" si="36"/>
        <v>42285</v>
      </c>
      <c r="E616">
        <v>1</v>
      </c>
      <c r="F616" t="s">
        <v>62</v>
      </c>
      <c r="G616" t="str">
        <f t="shared" si="37"/>
        <v>Other</v>
      </c>
      <c r="H616">
        <v>29</v>
      </c>
      <c r="I616">
        <v>9884</v>
      </c>
      <c r="J616">
        <v>5</v>
      </c>
      <c r="K616" t="s">
        <v>31</v>
      </c>
      <c r="L616" t="s">
        <v>480</v>
      </c>
      <c r="M616" t="s">
        <v>596</v>
      </c>
      <c r="N616" t="s">
        <v>597</v>
      </c>
      <c r="P616" t="s">
        <v>517</v>
      </c>
      <c r="Q616" t="s">
        <v>496</v>
      </c>
      <c r="R616">
        <v>29</v>
      </c>
      <c r="T616">
        <v>627</v>
      </c>
      <c r="U616" t="s">
        <v>1046</v>
      </c>
      <c r="V616" s="7">
        <v>39.990001679999999</v>
      </c>
      <c r="W616" s="7">
        <v>34.198098313835338</v>
      </c>
      <c r="X616">
        <v>2</v>
      </c>
      <c r="Y616" s="7">
        <v>14.399999619999999</v>
      </c>
      <c r="Z616" s="7">
        <v>79.980003359999998</v>
      </c>
      <c r="AA616" s="7">
        <f t="shared" si="38"/>
        <v>65.580003739999995</v>
      </c>
      <c r="AB616" t="s">
        <v>66</v>
      </c>
      <c r="AC616" t="str">
        <f t="shared" si="39"/>
        <v>Non-Cash Payments</v>
      </c>
    </row>
    <row r="617" spans="1:29" x14ac:dyDescent="0.25">
      <c r="A617">
        <v>3539</v>
      </c>
      <c r="B617" s="2">
        <v>42056</v>
      </c>
      <c r="C617">
        <v>4</v>
      </c>
      <c r="D617" s="2">
        <f t="shared" si="36"/>
        <v>42061</v>
      </c>
      <c r="E617">
        <v>1</v>
      </c>
      <c r="F617" t="s">
        <v>62</v>
      </c>
      <c r="G617" t="str">
        <f t="shared" si="37"/>
        <v>Other</v>
      </c>
      <c r="H617">
        <v>24</v>
      </c>
      <c r="I617">
        <v>8498</v>
      </c>
      <c r="J617">
        <v>5</v>
      </c>
      <c r="K617" t="s">
        <v>31</v>
      </c>
      <c r="L617" t="s">
        <v>480</v>
      </c>
      <c r="M617" t="s">
        <v>598</v>
      </c>
      <c r="N617" t="s">
        <v>520</v>
      </c>
      <c r="P617" t="s">
        <v>506</v>
      </c>
      <c r="Q617" t="s">
        <v>496</v>
      </c>
      <c r="R617">
        <v>24</v>
      </c>
      <c r="T617">
        <v>502</v>
      </c>
      <c r="U617" t="s">
        <v>1058</v>
      </c>
      <c r="V617" s="7">
        <v>50</v>
      </c>
      <c r="W617" s="7">
        <v>43.678035218757444</v>
      </c>
      <c r="X617">
        <v>2</v>
      </c>
      <c r="Y617" s="7">
        <v>18</v>
      </c>
      <c r="Z617" s="7">
        <v>100</v>
      </c>
      <c r="AA617" s="7">
        <f t="shared" si="38"/>
        <v>82</v>
      </c>
      <c r="AB617" t="s">
        <v>66</v>
      </c>
      <c r="AC617" t="str">
        <f t="shared" si="39"/>
        <v>Non-Cash Payments</v>
      </c>
    </row>
    <row r="618" spans="1:29" x14ac:dyDescent="0.25">
      <c r="A618">
        <v>53231</v>
      </c>
      <c r="B618" s="2">
        <v>42782</v>
      </c>
      <c r="C618">
        <v>4</v>
      </c>
      <c r="D618" s="2">
        <f t="shared" si="36"/>
        <v>42788</v>
      </c>
      <c r="E618">
        <v>0</v>
      </c>
      <c r="F618" t="s">
        <v>62</v>
      </c>
      <c r="G618" t="str">
        <f t="shared" si="37"/>
        <v>Other</v>
      </c>
      <c r="H618">
        <v>24</v>
      </c>
      <c r="I618">
        <v>5375</v>
      </c>
      <c r="J618">
        <v>5</v>
      </c>
      <c r="K618" t="s">
        <v>31</v>
      </c>
      <c r="L618" t="s">
        <v>480</v>
      </c>
      <c r="M618" t="s">
        <v>562</v>
      </c>
      <c r="N618" t="s">
        <v>485</v>
      </c>
      <c r="P618" t="s">
        <v>486</v>
      </c>
      <c r="Q618" t="s">
        <v>483</v>
      </c>
      <c r="R618">
        <v>24</v>
      </c>
      <c r="T618">
        <v>502</v>
      </c>
      <c r="U618" t="s">
        <v>1058</v>
      </c>
      <c r="V618" s="7">
        <v>50</v>
      </c>
      <c r="W618" s="7">
        <v>43.678035218757444</v>
      </c>
      <c r="X618">
        <v>2</v>
      </c>
      <c r="Y618" s="7">
        <v>20</v>
      </c>
      <c r="Z618" s="7">
        <v>100</v>
      </c>
      <c r="AA618" s="7">
        <f t="shared" si="38"/>
        <v>80</v>
      </c>
      <c r="AB618" t="s">
        <v>66</v>
      </c>
      <c r="AC618" t="str">
        <f t="shared" si="39"/>
        <v>Non-Cash Payments</v>
      </c>
    </row>
    <row r="619" spans="1:29" x14ac:dyDescent="0.25">
      <c r="A619">
        <v>54488</v>
      </c>
      <c r="B619" s="2">
        <v>42889</v>
      </c>
      <c r="C619">
        <v>4</v>
      </c>
      <c r="D619" s="2">
        <f t="shared" si="36"/>
        <v>42894</v>
      </c>
      <c r="E619">
        <v>0</v>
      </c>
      <c r="F619" t="s">
        <v>62</v>
      </c>
      <c r="G619" t="str">
        <f t="shared" si="37"/>
        <v>Other</v>
      </c>
      <c r="H619">
        <v>24</v>
      </c>
      <c r="I619">
        <v>7534</v>
      </c>
      <c r="J619">
        <v>5</v>
      </c>
      <c r="K619" t="s">
        <v>31</v>
      </c>
      <c r="L619" t="s">
        <v>480</v>
      </c>
      <c r="M619" t="s">
        <v>599</v>
      </c>
      <c r="N619" t="s">
        <v>513</v>
      </c>
      <c r="P619" t="s">
        <v>506</v>
      </c>
      <c r="Q619" t="s">
        <v>496</v>
      </c>
      <c r="R619">
        <v>24</v>
      </c>
      <c r="T619">
        <v>502</v>
      </c>
      <c r="U619" t="s">
        <v>1058</v>
      </c>
      <c r="V619" s="7">
        <v>50</v>
      </c>
      <c r="W619" s="7">
        <v>43.678035218757444</v>
      </c>
      <c r="X619">
        <v>2</v>
      </c>
      <c r="Y619" s="7">
        <v>20</v>
      </c>
      <c r="Z619" s="7">
        <v>100</v>
      </c>
      <c r="AA619" s="7">
        <f t="shared" si="38"/>
        <v>80</v>
      </c>
      <c r="AB619" t="s">
        <v>66</v>
      </c>
      <c r="AC619" t="str">
        <f t="shared" si="39"/>
        <v>Non-Cash Payments</v>
      </c>
    </row>
    <row r="620" spans="1:29" x14ac:dyDescent="0.25">
      <c r="A620">
        <v>6776</v>
      </c>
      <c r="B620" s="2">
        <v>42251</v>
      </c>
      <c r="C620">
        <v>4</v>
      </c>
      <c r="D620" s="2">
        <f t="shared" si="36"/>
        <v>42257</v>
      </c>
      <c r="E620">
        <v>0</v>
      </c>
      <c r="F620" t="s">
        <v>62</v>
      </c>
      <c r="G620" t="str">
        <f t="shared" si="37"/>
        <v>Other</v>
      </c>
      <c r="H620">
        <v>29</v>
      </c>
      <c r="I620">
        <v>7307</v>
      </c>
      <c r="J620">
        <v>5</v>
      </c>
      <c r="K620" t="s">
        <v>31</v>
      </c>
      <c r="L620" t="s">
        <v>480</v>
      </c>
      <c r="M620" t="s">
        <v>512</v>
      </c>
      <c r="N620" t="s">
        <v>512</v>
      </c>
      <c r="P620" t="s">
        <v>509</v>
      </c>
      <c r="Q620" t="s">
        <v>483</v>
      </c>
      <c r="R620">
        <v>29</v>
      </c>
      <c r="T620">
        <v>627</v>
      </c>
      <c r="U620" t="s">
        <v>1046</v>
      </c>
      <c r="V620" s="7">
        <v>39.990001679999999</v>
      </c>
      <c r="W620" s="7">
        <v>34.198098313835338</v>
      </c>
      <c r="X620">
        <v>2</v>
      </c>
      <c r="Y620" s="7">
        <v>20</v>
      </c>
      <c r="Z620" s="7">
        <v>79.980003359999998</v>
      </c>
      <c r="AA620" s="7">
        <f t="shared" si="38"/>
        <v>59.980003359999998</v>
      </c>
      <c r="AB620" t="s">
        <v>66</v>
      </c>
      <c r="AC620" t="str">
        <f t="shared" si="39"/>
        <v>Non-Cash Payments</v>
      </c>
    </row>
    <row r="621" spans="1:29" x14ac:dyDescent="0.25">
      <c r="A621">
        <v>52549</v>
      </c>
      <c r="B621" s="2">
        <v>42888</v>
      </c>
      <c r="C621">
        <v>4</v>
      </c>
      <c r="D621" s="2">
        <f t="shared" si="36"/>
        <v>42894</v>
      </c>
      <c r="E621">
        <v>1</v>
      </c>
      <c r="F621" t="s">
        <v>62</v>
      </c>
      <c r="G621" t="str">
        <f t="shared" si="37"/>
        <v>Other</v>
      </c>
      <c r="H621">
        <v>29</v>
      </c>
      <c r="I621">
        <v>123</v>
      </c>
      <c r="J621">
        <v>5</v>
      </c>
      <c r="K621" t="s">
        <v>31</v>
      </c>
      <c r="L621" t="s">
        <v>480</v>
      </c>
      <c r="M621" t="s">
        <v>600</v>
      </c>
      <c r="N621" t="s">
        <v>601</v>
      </c>
      <c r="P621" t="s">
        <v>509</v>
      </c>
      <c r="Q621" t="s">
        <v>483</v>
      </c>
      <c r="R621">
        <v>29</v>
      </c>
      <c r="T621">
        <v>627</v>
      </c>
      <c r="U621" t="s">
        <v>1046</v>
      </c>
      <c r="V621" s="7">
        <v>39.990001679999999</v>
      </c>
      <c r="W621" s="7">
        <v>34.198098313835338</v>
      </c>
      <c r="X621">
        <v>2</v>
      </c>
      <c r="Y621" s="7">
        <v>20</v>
      </c>
      <c r="Z621" s="7">
        <v>79.980003359999998</v>
      </c>
      <c r="AA621" s="7">
        <f t="shared" si="38"/>
        <v>59.980003359999998</v>
      </c>
      <c r="AB621" t="s">
        <v>66</v>
      </c>
      <c r="AC621" t="str">
        <f t="shared" si="39"/>
        <v>Non-Cash Payments</v>
      </c>
    </row>
    <row r="622" spans="1:29" x14ac:dyDescent="0.25">
      <c r="A622">
        <v>60361</v>
      </c>
      <c r="B622" s="2">
        <v>42886</v>
      </c>
      <c r="C622">
        <v>4</v>
      </c>
      <c r="D622" s="2">
        <f t="shared" si="36"/>
        <v>42892</v>
      </c>
      <c r="E622">
        <v>0</v>
      </c>
      <c r="F622" t="s">
        <v>62</v>
      </c>
      <c r="G622" t="str">
        <f t="shared" si="37"/>
        <v>Other</v>
      </c>
      <c r="H622">
        <v>24</v>
      </c>
      <c r="I622">
        <v>8498</v>
      </c>
      <c r="J622">
        <v>5</v>
      </c>
      <c r="K622" t="s">
        <v>31</v>
      </c>
      <c r="L622" t="s">
        <v>480</v>
      </c>
      <c r="M622" t="s">
        <v>551</v>
      </c>
      <c r="N622" t="s">
        <v>482</v>
      </c>
      <c r="P622" t="s">
        <v>482</v>
      </c>
      <c r="Q622" t="s">
        <v>483</v>
      </c>
      <c r="R622">
        <v>24</v>
      </c>
      <c r="T622">
        <v>502</v>
      </c>
      <c r="U622" t="s">
        <v>1058</v>
      </c>
      <c r="V622" s="7">
        <v>50</v>
      </c>
      <c r="W622" s="7">
        <v>43.678035218757444</v>
      </c>
      <c r="X622">
        <v>2</v>
      </c>
      <c r="Y622" s="7">
        <v>25</v>
      </c>
      <c r="Z622" s="7">
        <v>100</v>
      </c>
      <c r="AA622" s="7">
        <f t="shared" si="38"/>
        <v>75</v>
      </c>
      <c r="AB622" t="s">
        <v>66</v>
      </c>
      <c r="AC622" t="str">
        <f t="shared" si="39"/>
        <v>Non-Cash Payments</v>
      </c>
    </row>
    <row r="623" spans="1:29" x14ac:dyDescent="0.25">
      <c r="A623">
        <v>8470</v>
      </c>
      <c r="B623" s="2">
        <v>42099</v>
      </c>
      <c r="C623">
        <v>4</v>
      </c>
      <c r="D623" s="2">
        <f t="shared" si="36"/>
        <v>42103</v>
      </c>
      <c r="E623">
        <v>1</v>
      </c>
      <c r="F623" t="s">
        <v>62</v>
      </c>
      <c r="G623" t="str">
        <f t="shared" si="37"/>
        <v>Other</v>
      </c>
      <c r="H623">
        <v>37</v>
      </c>
      <c r="I623">
        <v>9162</v>
      </c>
      <c r="J623">
        <v>6</v>
      </c>
      <c r="K623" t="s">
        <v>35</v>
      </c>
      <c r="L623" t="s">
        <v>480</v>
      </c>
      <c r="M623" t="s">
        <v>550</v>
      </c>
      <c r="N623" t="s">
        <v>550</v>
      </c>
      <c r="P623" t="s">
        <v>482</v>
      </c>
      <c r="Q623" t="s">
        <v>483</v>
      </c>
      <c r="R623">
        <v>37</v>
      </c>
      <c r="T623">
        <v>825</v>
      </c>
      <c r="U623" t="s">
        <v>1069</v>
      </c>
      <c r="V623" s="7">
        <v>31.989999770000001</v>
      </c>
      <c r="W623" s="7">
        <v>23.973333102666668</v>
      </c>
      <c r="X623">
        <v>2</v>
      </c>
      <c r="Y623" s="7">
        <v>0.63999998599999997</v>
      </c>
      <c r="Z623" s="7">
        <v>63.979999540000001</v>
      </c>
      <c r="AA623" s="7">
        <f t="shared" si="38"/>
        <v>63.339999554000002</v>
      </c>
      <c r="AB623" t="s">
        <v>66</v>
      </c>
      <c r="AC623" t="str">
        <f t="shared" si="39"/>
        <v>Non-Cash Payments</v>
      </c>
    </row>
    <row r="624" spans="1:29" x14ac:dyDescent="0.25">
      <c r="A624">
        <v>5712</v>
      </c>
      <c r="B624" s="2">
        <v>42088</v>
      </c>
      <c r="C624">
        <v>4</v>
      </c>
      <c r="D624" s="2">
        <f t="shared" si="36"/>
        <v>42094</v>
      </c>
      <c r="E624">
        <v>0</v>
      </c>
      <c r="F624" t="s">
        <v>62</v>
      </c>
      <c r="G624" t="str">
        <f t="shared" si="37"/>
        <v>Other</v>
      </c>
      <c r="H624">
        <v>40</v>
      </c>
      <c r="I624">
        <v>8925</v>
      </c>
      <c r="J624">
        <v>6</v>
      </c>
      <c r="K624" t="s">
        <v>35</v>
      </c>
      <c r="L624" t="s">
        <v>480</v>
      </c>
      <c r="M624" t="s">
        <v>602</v>
      </c>
      <c r="N624" t="s">
        <v>603</v>
      </c>
      <c r="P624" t="s">
        <v>506</v>
      </c>
      <c r="Q624" t="s">
        <v>496</v>
      </c>
      <c r="R624">
        <v>40</v>
      </c>
      <c r="T624">
        <v>905</v>
      </c>
      <c r="U624" t="s">
        <v>1060</v>
      </c>
      <c r="V624" s="7">
        <v>24.989999770000001</v>
      </c>
      <c r="W624" s="7">
        <v>20.52742837007143</v>
      </c>
      <c r="X624">
        <v>2</v>
      </c>
      <c r="Y624" s="7">
        <v>2.75</v>
      </c>
      <c r="Z624" s="7">
        <v>49.979999540000001</v>
      </c>
      <c r="AA624" s="7">
        <f t="shared" si="38"/>
        <v>47.229999540000001</v>
      </c>
      <c r="AB624" t="s">
        <v>66</v>
      </c>
      <c r="AC624" t="str">
        <f t="shared" si="39"/>
        <v>Non-Cash Payments</v>
      </c>
    </row>
    <row r="625" spans="1:29" x14ac:dyDescent="0.25">
      <c r="A625">
        <v>9309</v>
      </c>
      <c r="B625" s="2">
        <v>42140</v>
      </c>
      <c r="C625">
        <v>4</v>
      </c>
      <c r="D625" s="2">
        <f t="shared" si="36"/>
        <v>42145</v>
      </c>
      <c r="E625">
        <v>1</v>
      </c>
      <c r="F625" t="s">
        <v>62</v>
      </c>
      <c r="G625" t="str">
        <f t="shared" si="37"/>
        <v>Other</v>
      </c>
      <c r="H625">
        <v>36</v>
      </c>
      <c r="I625">
        <v>5981</v>
      </c>
      <c r="J625">
        <v>6</v>
      </c>
      <c r="K625" t="s">
        <v>35</v>
      </c>
      <c r="L625" t="s">
        <v>480</v>
      </c>
      <c r="M625" t="s">
        <v>604</v>
      </c>
      <c r="N625" t="s">
        <v>531</v>
      </c>
      <c r="P625" t="s">
        <v>506</v>
      </c>
      <c r="Q625" t="s">
        <v>496</v>
      </c>
      <c r="R625">
        <v>36</v>
      </c>
      <c r="T625">
        <v>804</v>
      </c>
      <c r="U625" t="s">
        <v>1090</v>
      </c>
      <c r="V625" s="7">
        <v>19.989999770000001</v>
      </c>
      <c r="W625" s="7">
        <v>13.643874764125</v>
      </c>
      <c r="X625">
        <v>2</v>
      </c>
      <c r="Y625" s="7">
        <v>4</v>
      </c>
      <c r="Z625" s="7">
        <v>39.979999540000001</v>
      </c>
      <c r="AA625" s="7">
        <f t="shared" si="38"/>
        <v>35.979999540000001</v>
      </c>
      <c r="AB625" t="s">
        <v>66</v>
      </c>
      <c r="AC625" t="str">
        <f t="shared" si="39"/>
        <v>Non-Cash Payments</v>
      </c>
    </row>
    <row r="626" spans="1:29" x14ac:dyDescent="0.25">
      <c r="A626">
        <v>8095</v>
      </c>
      <c r="B626" s="2">
        <v>42123</v>
      </c>
      <c r="C626">
        <v>4</v>
      </c>
      <c r="D626" s="2">
        <f t="shared" si="36"/>
        <v>42129</v>
      </c>
      <c r="E626">
        <v>1</v>
      </c>
      <c r="F626" t="s">
        <v>62</v>
      </c>
      <c r="G626" t="str">
        <f t="shared" si="37"/>
        <v>Other</v>
      </c>
      <c r="H626">
        <v>37</v>
      </c>
      <c r="I626">
        <v>7347</v>
      </c>
      <c r="J626">
        <v>6</v>
      </c>
      <c r="K626" t="s">
        <v>35</v>
      </c>
      <c r="L626" t="s">
        <v>480</v>
      </c>
      <c r="M626" t="s">
        <v>605</v>
      </c>
      <c r="N626" t="s">
        <v>605</v>
      </c>
      <c r="P626" t="s">
        <v>499</v>
      </c>
      <c r="Q626" t="s">
        <v>496</v>
      </c>
      <c r="R626">
        <v>37</v>
      </c>
      <c r="T626">
        <v>822</v>
      </c>
      <c r="U626" t="s">
        <v>1124</v>
      </c>
      <c r="V626" s="7">
        <v>47.990001679999999</v>
      </c>
      <c r="W626" s="7">
        <v>41.802334851666664</v>
      </c>
      <c r="X626">
        <v>2</v>
      </c>
      <c r="Y626" s="7">
        <v>11.52000046</v>
      </c>
      <c r="Z626" s="7">
        <v>95.980003359999998</v>
      </c>
      <c r="AA626" s="7">
        <f t="shared" si="38"/>
        <v>84.460002899999992</v>
      </c>
      <c r="AB626" t="s">
        <v>66</v>
      </c>
      <c r="AC626" t="str">
        <f t="shared" si="39"/>
        <v>Non-Cash Payments</v>
      </c>
    </row>
    <row r="627" spans="1:29" x14ac:dyDescent="0.25">
      <c r="A627">
        <v>5895</v>
      </c>
      <c r="B627" s="2">
        <v>42091</v>
      </c>
      <c r="C627">
        <v>2</v>
      </c>
      <c r="D627" s="2">
        <f t="shared" si="36"/>
        <v>42094</v>
      </c>
      <c r="E627">
        <v>1</v>
      </c>
      <c r="F627" t="s">
        <v>23</v>
      </c>
      <c r="G627" t="str">
        <f t="shared" si="37"/>
        <v>Other</v>
      </c>
      <c r="H627">
        <v>24</v>
      </c>
      <c r="I627">
        <v>8707</v>
      </c>
      <c r="J627">
        <v>5</v>
      </c>
      <c r="K627" t="s">
        <v>31</v>
      </c>
      <c r="L627" t="s">
        <v>480</v>
      </c>
      <c r="M627" t="s">
        <v>481</v>
      </c>
      <c r="N627" t="s">
        <v>482</v>
      </c>
      <c r="P627" t="s">
        <v>482</v>
      </c>
      <c r="Q627" t="s">
        <v>483</v>
      </c>
      <c r="R627">
        <v>24</v>
      </c>
      <c r="T627">
        <v>502</v>
      </c>
      <c r="U627" t="s">
        <v>1058</v>
      </c>
      <c r="V627" s="7">
        <v>50</v>
      </c>
      <c r="W627" s="7">
        <v>43.678035218757444</v>
      </c>
      <c r="X627">
        <v>3</v>
      </c>
      <c r="Y627" s="7">
        <v>30</v>
      </c>
      <c r="Z627" s="7">
        <v>150</v>
      </c>
      <c r="AA627" s="7">
        <f t="shared" si="38"/>
        <v>120</v>
      </c>
      <c r="AB627" t="s">
        <v>30</v>
      </c>
      <c r="AC627" t="str">
        <f t="shared" si="39"/>
        <v>Cash Not Over 200</v>
      </c>
    </row>
    <row r="628" spans="1:29" x14ac:dyDescent="0.25">
      <c r="A628">
        <v>3130</v>
      </c>
      <c r="B628" s="2">
        <v>42050</v>
      </c>
      <c r="C628">
        <v>2</v>
      </c>
      <c r="D628" s="2">
        <f t="shared" si="36"/>
        <v>42052</v>
      </c>
      <c r="E628">
        <v>1</v>
      </c>
      <c r="F628" t="s">
        <v>23</v>
      </c>
      <c r="G628" t="str">
        <f t="shared" si="37"/>
        <v>Other</v>
      </c>
      <c r="H628">
        <v>24</v>
      </c>
      <c r="I628">
        <v>12069</v>
      </c>
      <c r="J628">
        <v>5</v>
      </c>
      <c r="K628" t="s">
        <v>31</v>
      </c>
      <c r="L628" t="s">
        <v>480</v>
      </c>
      <c r="M628" t="s">
        <v>606</v>
      </c>
      <c r="N628" t="s">
        <v>541</v>
      </c>
      <c r="P628" t="s">
        <v>542</v>
      </c>
      <c r="Q628" t="s">
        <v>483</v>
      </c>
      <c r="R628">
        <v>24</v>
      </c>
      <c r="T628">
        <v>502</v>
      </c>
      <c r="U628" t="s">
        <v>1058</v>
      </c>
      <c r="V628" s="7">
        <v>50</v>
      </c>
      <c r="W628" s="7">
        <v>43.678035218757444</v>
      </c>
      <c r="X628">
        <v>3</v>
      </c>
      <c r="Y628" s="7">
        <v>37.5</v>
      </c>
      <c r="Z628" s="7">
        <v>150</v>
      </c>
      <c r="AA628" s="7">
        <f t="shared" si="38"/>
        <v>112.5</v>
      </c>
      <c r="AB628" t="s">
        <v>30</v>
      </c>
      <c r="AC628" t="str">
        <f t="shared" si="39"/>
        <v>Cash Not Over 200</v>
      </c>
    </row>
    <row r="629" spans="1:29" x14ac:dyDescent="0.25">
      <c r="A629">
        <v>51911</v>
      </c>
      <c r="B629" s="2">
        <v>42762</v>
      </c>
      <c r="C629">
        <v>2</v>
      </c>
      <c r="D629" s="2">
        <f t="shared" si="36"/>
        <v>42766</v>
      </c>
      <c r="E629">
        <v>0</v>
      </c>
      <c r="F629" t="s">
        <v>23</v>
      </c>
      <c r="G629" t="str">
        <f t="shared" si="37"/>
        <v>Other</v>
      </c>
      <c r="H629">
        <v>9</v>
      </c>
      <c r="I629">
        <v>11339</v>
      </c>
      <c r="J629">
        <v>3</v>
      </c>
      <c r="K629" t="s">
        <v>24</v>
      </c>
      <c r="L629" t="s">
        <v>480</v>
      </c>
      <c r="M629" t="s">
        <v>551</v>
      </c>
      <c r="N629" t="s">
        <v>482</v>
      </c>
      <c r="P629" t="s">
        <v>482</v>
      </c>
      <c r="Q629" t="s">
        <v>483</v>
      </c>
      <c r="R629">
        <v>9</v>
      </c>
      <c r="T629">
        <v>191</v>
      </c>
      <c r="U629" t="s">
        <v>1044</v>
      </c>
      <c r="V629" s="7">
        <v>99.989997860000003</v>
      </c>
      <c r="W629" s="7">
        <v>95.114003926871064</v>
      </c>
      <c r="X629">
        <v>4</v>
      </c>
      <c r="Y629" s="7">
        <v>4</v>
      </c>
      <c r="Z629" s="7">
        <v>399.95999144000001</v>
      </c>
      <c r="AA629" s="7">
        <f t="shared" si="38"/>
        <v>395.95999144000001</v>
      </c>
      <c r="AB629" t="s">
        <v>30</v>
      </c>
      <c r="AC629" t="str">
        <f t="shared" si="39"/>
        <v>Cash Over 200</v>
      </c>
    </row>
    <row r="630" spans="1:29" x14ac:dyDescent="0.25">
      <c r="A630">
        <v>58239</v>
      </c>
      <c r="B630" s="2">
        <v>42855</v>
      </c>
      <c r="C630">
        <v>2</v>
      </c>
      <c r="D630" s="2">
        <f t="shared" si="36"/>
        <v>42857</v>
      </c>
      <c r="E630">
        <v>1</v>
      </c>
      <c r="F630" t="s">
        <v>23</v>
      </c>
      <c r="G630" t="str">
        <f t="shared" si="37"/>
        <v>Other</v>
      </c>
      <c r="H630">
        <v>9</v>
      </c>
      <c r="I630">
        <v>10166</v>
      </c>
      <c r="J630">
        <v>3</v>
      </c>
      <c r="K630" t="s">
        <v>24</v>
      </c>
      <c r="L630" t="s">
        <v>480</v>
      </c>
      <c r="M630" t="s">
        <v>490</v>
      </c>
      <c r="N630" t="s">
        <v>490</v>
      </c>
      <c r="P630" t="s">
        <v>491</v>
      </c>
      <c r="Q630" t="s">
        <v>492</v>
      </c>
      <c r="R630">
        <v>9</v>
      </c>
      <c r="T630">
        <v>191</v>
      </c>
      <c r="U630" t="s">
        <v>1044</v>
      </c>
      <c r="V630" s="7">
        <v>99.989997860000003</v>
      </c>
      <c r="W630" s="7">
        <v>95.114003926871064</v>
      </c>
      <c r="X630">
        <v>4</v>
      </c>
      <c r="Y630" s="7">
        <v>59.990001679999999</v>
      </c>
      <c r="Z630" s="7">
        <v>399.95999144000001</v>
      </c>
      <c r="AA630" s="7">
        <f t="shared" si="38"/>
        <v>339.96998976000003</v>
      </c>
      <c r="AB630" t="s">
        <v>30</v>
      </c>
      <c r="AC630" t="str">
        <f t="shared" si="39"/>
        <v>Cash Over 200</v>
      </c>
    </row>
    <row r="631" spans="1:29" x14ac:dyDescent="0.25">
      <c r="A631">
        <v>56678</v>
      </c>
      <c r="B631" s="2">
        <v>42920</v>
      </c>
      <c r="C631">
        <v>2</v>
      </c>
      <c r="D631" s="2">
        <f t="shared" si="36"/>
        <v>42922</v>
      </c>
      <c r="E631">
        <v>1</v>
      </c>
      <c r="F631" t="s">
        <v>23</v>
      </c>
      <c r="G631" t="str">
        <f t="shared" si="37"/>
        <v>Other</v>
      </c>
      <c r="H631">
        <v>9</v>
      </c>
      <c r="I631">
        <v>3091</v>
      </c>
      <c r="J631">
        <v>3</v>
      </c>
      <c r="K631" t="s">
        <v>24</v>
      </c>
      <c r="L631" t="s">
        <v>480</v>
      </c>
      <c r="M631" t="s">
        <v>607</v>
      </c>
      <c r="N631" t="s">
        <v>608</v>
      </c>
      <c r="P631" t="s">
        <v>509</v>
      </c>
      <c r="Q631" t="s">
        <v>483</v>
      </c>
      <c r="R631">
        <v>9</v>
      </c>
      <c r="T631">
        <v>191</v>
      </c>
      <c r="U631" t="s">
        <v>1044</v>
      </c>
      <c r="V631" s="7">
        <v>99.989997860000003</v>
      </c>
      <c r="W631" s="7">
        <v>95.114003926871064</v>
      </c>
      <c r="X631">
        <v>4</v>
      </c>
      <c r="Y631" s="7">
        <v>63.990001679999999</v>
      </c>
      <c r="Z631" s="7">
        <v>399.95999144000001</v>
      </c>
      <c r="AA631" s="7">
        <f t="shared" si="38"/>
        <v>335.96998976000003</v>
      </c>
      <c r="AB631" t="s">
        <v>30</v>
      </c>
      <c r="AC631" t="str">
        <f t="shared" si="39"/>
        <v>Cash Over 200</v>
      </c>
    </row>
    <row r="632" spans="1:29" x14ac:dyDescent="0.25">
      <c r="A632">
        <v>53202</v>
      </c>
      <c r="B632" s="2">
        <v>42781</v>
      </c>
      <c r="C632">
        <v>2</v>
      </c>
      <c r="D632" s="2">
        <f t="shared" si="36"/>
        <v>42783</v>
      </c>
      <c r="E632">
        <v>1</v>
      </c>
      <c r="F632" t="s">
        <v>23</v>
      </c>
      <c r="G632" t="str">
        <f t="shared" si="37"/>
        <v>Other</v>
      </c>
      <c r="H632">
        <v>17</v>
      </c>
      <c r="I632">
        <v>5007</v>
      </c>
      <c r="J632">
        <v>4</v>
      </c>
      <c r="K632" t="s">
        <v>46</v>
      </c>
      <c r="L632" t="s">
        <v>480</v>
      </c>
      <c r="M632" t="s">
        <v>609</v>
      </c>
      <c r="N632" t="s">
        <v>610</v>
      </c>
      <c r="P632" t="s">
        <v>509</v>
      </c>
      <c r="Q632" t="s">
        <v>483</v>
      </c>
      <c r="R632">
        <v>17</v>
      </c>
      <c r="T632">
        <v>365</v>
      </c>
      <c r="U632" t="s">
        <v>1054</v>
      </c>
      <c r="V632" s="7">
        <v>59.990001679999999</v>
      </c>
      <c r="W632" s="7">
        <v>54.488929209402009</v>
      </c>
      <c r="X632">
        <v>4</v>
      </c>
      <c r="Y632" s="7">
        <v>0</v>
      </c>
      <c r="Z632" s="7">
        <v>239.96000672</v>
      </c>
      <c r="AA632" s="7">
        <f t="shared" si="38"/>
        <v>239.96000672</v>
      </c>
      <c r="AB632" t="s">
        <v>30</v>
      </c>
      <c r="AC632" t="str">
        <f t="shared" si="39"/>
        <v>Cash Over 200</v>
      </c>
    </row>
    <row r="633" spans="1:29" x14ac:dyDescent="0.25">
      <c r="A633">
        <v>58738</v>
      </c>
      <c r="B633" s="2">
        <v>42921</v>
      </c>
      <c r="C633">
        <v>2</v>
      </c>
      <c r="D633" s="2">
        <f t="shared" si="36"/>
        <v>42923</v>
      </c>
      <c r="E633">
        <v>1</v>
      </c>
      <c r="F633" t="s">
        <v>23</v>
      </c>
      <c r="G633" t="str">
        <f t="shared" si="37"/>
        <v>Other</v>
      </c>
      <c r="H633">
        <v>17</v>
      </c>
      <c r="I633">
        <v>1070</v>
      </c>
      <c r="J633">
        <v>4</v>
      </c>
      <c r="K633" t="s">
        <v>46</v>
      </c>
      <c r="L633" t="s">
        <v>480</v>
      </c>
      <c r="M633" t="s">
        <v>527</v>
      </c>
      <c r="N633" t="s">
        <v>509</v>
      </c>
      <c r="P633" t="s">
        <v>509</v>
      </c>
      <c r="Q633" t="s">
        <v>483</v>
      </c>
      <c r="R633">
        <v>17</v>
      </c>
      <c r="T633">
        <v>365</v>
      </c>
      <c r="U633" t="s">
        <v>1054</v>
      </c>
      <c r="V633" s="7">
        <v>59.990001679999999</v>
      </c>
      <c r="W633" s="7">
        <v>54.488929209402009</v>
      </c>
      <c r="X633">
        <v>4</v>
      </c>
      <c r="Y633" s="7">
        <v>35.990001679999999</v>
      </c>
      <c r="Z633" s="7">
        <v>239.96000672</v>
      </c>
      <c r="AA633" s="7">
        <f t="shared" si="38"/>
        <v>203.97000503999999</v>
      </c>
      <c r="AB633" t="s">
        <v>30</v>
      </c>
      <c r="AC633" t="str">
        <f t="shared" si="39"/>
        <v>Cash Over 200</v>
      </c>
    </row>
    <row r="634" spans="1:29" x14ac:dyDescent="0.25">
      <c r="A634">
        <v>56260</v>
      </c>
      <c r="B634" s="2">
        <v>42739</v>
      </c>
      <c r="C634">
        <v>2</v>
      </c>
      <c r="D634" s="2">
        <f t="shared" si="36"/>
        <v>42741</v>
      </c>
      <c r="E634">
        <v>1</v>
      </c>
      <c r="F634" t="s">
        <v>23</v>
      </c>
      <c r="G634" t="str">
        <f t="shared" si="37"/>
        <v>Other</v>
      </c>
      <c r="H634">
        <v>17</v>
      </c>
      <c r="I634">
        <v>6871</v>
      </c>
      <c r="J634">
        <v>4</v>
      </c>
      <c r="K634" t="s">
        <v>46</v>
      </c>
      <c r="L634" t="s">
        <v>480</v>
      </c>
      <c r="M634" t="s">
        <v>611</v>
      </c>
      <c r="N634" t="s">
        <v>511</v>
      </c>
      <c r="P634" t="s">
        <v>509</v>
      </c>
      <c r="Q634" t="s">
        <v>483</v>
      </c>
      <c r="R634">
        <v>17</v>
      </c>
      <c r="T634">
        <v>365</v>
      </c>
      <c r="U634" t="s">
        <v>1054</v>
      </c>
      <c r="V634" s="7">
        <v>59.990001679999999</v>
      </c>
      <c r="W634" s="7">
        <v>54.488929209402009</v>
      </c>
      <c r="X634">
        <v>4</v>
      </c>
      <c r="Y634" s="7">
        <v>38.38999939</v>
      </c>
      <c r="Z634" s="7">
        <v>239.96000672</v>
      </c>
      <c r="AA634" s="7">
        <f t="shared" si="38"/>
        <v>201.57000733000001</v>
      </c>
      <c r="AB634" t="s">
        <v>30</v>
      </c>
      <c r="AC634" t="str">
        <f t="shared" si="39"/>
        <v>Cash Over 200</v>
      </c>
    </row>
    <row r="635" spans="1:29" x14ac:dyDescent="0.25">
      <c r="A635">
        <v>5042</v>
      </c>
      <c r="B635" s="2">
        <v>42078</v>
      </c>
      <c r="C635">
        <v>2</v>
      </c>
      <c r="D635" s="2">
        <f t="shared" si="36"/>
        <v>42080</v>
      </c>
      <c r="E635">
        <v>1</v>
      </c>
      <c r="F635" t="s">
        <v>23</v>
      </c>
      <c r="G635" t="str">
        <f t="shared" si="37"/>
        <v>Other</v>
      </c>
      <c r="H635">
        <v>24</v>
      </c>
      <c r="I635">
        <v>2339</v>
      </c>
      <c r="J635">
        <v>5</v>
      </c>
      <c r="K635" t="s">
        <v>31</v>
      </c>
      <c r="L635" t="s">
        <v>480</v>
      </c>
      <c r="M635" t="s">
        <v>513</v>
      </c>
      <c r="N635" t="s">
        <v>513</v>
      </c>
      <c r="P635" t="s">
        <v>506</v>
      </c>
      <c r="Q635" t="s">
        <v>496</v>
      </c>
      <c r="R635">
        <v>24</v>
      </c>
      <c r="T635">
        <v>502</v>
      </c>
      <c r="U635" t="s">
        <v>1058</v>
      </c>
      <c r="V635" s="7">
        <v>50</v>
      </c>
      <c r="W635" s="7">
        <v>43.678035218757444</v>
      </c>
      <c r="X635">
        <v>4</v>
      </c>
      <c r="Y635" s="7">
        <v>11</v>
      </c>
      <c r="Z635" s="7">
        <v>200</v>
      </c>
      <c r="AA635" s="7">
        <f t="shared" si="38"/>
        <v>189</v>
      </c>
      <c r="AB635" t="s">
        <v>30</v>
      </c>
      <c r="AC635" t="str">
        <f t="shared" si="39"/>
        <v>Cash Not Over 200</v>
      </c>
    </row>
    <row r="636" spans="1:29" x14ac:dyDescent="0.25">
      <c r="A636">
        <v>53202</v>
      </c>
      <c r="B636" s="2">
        <v>42781</v>
      </c>
      <c r="C636">
        <v>2</v>
      </c>
      <c r="D636" s="2">
        <f t="shared" si="36"/>
        <v>42783</v>
      </c>
      <c r="E636">
        <v>1</v>
      </c>
      <c r="F636" t="s">
        <v>23</v>
      </c>
      <c r="G636" t="str">
        <f t="shared" si="37"/>
        <v>Other</v>
      </c>
      <c r="H636">
        <v>29</v>
      </c>
      <c r="I636">
        <v>5007</v>
      </c>
      <c r="J636">
        <v>5</v>
      </c>
      <c r="K636" t="s">
        <v>31</v>
      </c>
      <c r="L636" t="s">
        <v>480</v>
      </c>
      <c r="M636" t="s">
        <v>609</v>
      </c>
      <c r="N636" t="s">
        <v>610</v>
      </c>
      <c r="P636" t="s">
        <v>509</v>
      </c>
      <c r="Q636" t="s">
        <v>483</v>
      </c>
      <c r="R636">
        <v>29</v>
      </c>
      <c r="T636">
        <v>627</v>
      </c>
      <c r="U636" t="s">
        <v>1046</v>
      </c>
      <c r="V636" s="7">
        <v>39.990001679999999</v>
      </c>
      <c r="W636" s="7">
        <v>34.198098313835338</v>
      </c>
      <c r="X636">
        <v>4</v>
      </c>
      <c r="Y636" s="7">
        <v>23.989999770000001</v>
      </c>
      <c r="Z636" s="7">
        <v>159.96000672</v>
      </c>
      <c r="AA636" s="7">
        <f t="shared" si="38"/>
        <v>135.97000695</v>
      </c>
      <c r="AB636" t="s">
        <v>30</v>
      </c>
      <c r="AC636" t="str">
        <f t="shared" si="39"/>
        <v>Cash Not Over 200</v>
      </c>
    </row>
    <row r="637" spans="1:29" x14ac:dyDescent="0.25">
      <c r="A637">
        <v>55511</v>
      </c>
      <c r="B637" s="2">
        <v>42815</v>
      </c>
      <c r="C637">
        <v>2</v>
      </c>
      <c r="D637" s="2">
        <f t="shared" si="36"/>
        <v>42817</v>
      </c>
      <c r="E637">
        <v>0</v>
      </c>
      <c r="F637" t="s">
        <v>23</v>
      </c>
      <c r="G637" t="str">
        <f t="shared" si="37"/>
        <v>Other</v>
      </c>
      <c r="H637">
        <v>24</v>
      </c>
      <c r="I637">
        <v>4232</v>
      </c>
      <c r="J637">
        <v>5</v>
      </c>
      <c r="K637" t="s">
        <v>31</v>
      </c>
      <c r="L637" t="s">
        <v>480</v>
      </c>
      <c r="M637" t="s">
        <v>501</v>
      </c>
      <c r="N637" t="s">
        <v>502</v>
      </c>
      <c r="P637" t="s">
        <v>503</v>
      </c>
      <c r="Q637" t="s">
        <v>483</v>
      </c>
      <c r="R637">
        <v>24</v>
      </c>
      <c r="T637">
        <v>502</v>
      </c>
      <c r="U637" t="s">
        <v>1058</v>
      </c>
      <c r="V637" s="7">
        <v>50</v>
      </c>
      <c r="W637" s="7">
        <v>43.678035218757444</v>
      </c>
      <c r="X637">
        <v>4</v>
      </c>
      <c r="Y637" s="7">
        <v>30</v>
      </c>
      <c r="Z637" s="7">
        <v>200</v>
      </c>
      <c r="AA637" s="7">
        <f t="shared" si="38"/>
        <v>170</v>
      </c>
      <c r="AB637" t="s">
        <v>30</v>
      </c>
      <c r="AC637" t="str">
        <f t="shared" si="39"/>
        <v>Cash Not Over 200</v>
      </c>
    </row>
    <row r="638" spans="1:29" x14ac:dyDescent="0.25">
      <c r="A638">
        <v>54128</v>
      </c>
      <c r="B638" s="2">
        <v>42738</v>
      </c>
      <c r="C638">
        <v>2</v>
      </c>
      <c r="D638" s="2">
        <f t="shared" si="36"/>
        <v>42740</v>
      </c>
      <c r="E638">
        <v>1</v>
      </c>
      <c r="F638" t="s">
        <v>23</v>
      </c>
      <c r="G638" t="str">
        <f t="shared" si="37"/>
        <v>Other</v>
      </c>
      <c r="H638">
        <v>37</v>
      </c>
      <c r="I638">
        <v>8986</v>
      </c>
      <c r="J638">
        <v>6</v>
      </c>
      <c r="K638" t="s">
        <v>35</v>
      </c>
      <c r="L638" t="s">
        <v>480</v>
      </c>
      <c r="M638" t="s">
        <v>612</v>
      </c>
      <c r="N638" t="s">
        <v>513</v>
      </c>
      <c r="P638" t="s">
        <v>506</v>
      </c>
      <c r="Q638" t="s">
        <v>496</v>
      </c>
      <c r="R638">
        <v>37</v>
      </c>
      <c r="T638">
        <v>823</v>
      </c>
      <c r="U638" t="s">
        <v>1125</v>
      </c>
      <c r="V638" s="7">
        <v>51.990001679999999</v>
      </c>
      <c r="W638" s="7">
        <v>39.25250149</v>
      </c>
      <c r="X638">
        <v>4</v>
      </c>
      <c r="Y638" s="7">
        <v>4.1599998469999999</v>
      </c>
      <c r="Z638" s="7">
        <v>207.96000672</v>
      </c>
      <c r="AA638" s="7">
        <f t="shared" si="38"/>
        <v>203.800006873</v>
      </c>
      <c r="AB638" t="s">
        <v>30</v>
      </c>
      <c r="AC638" t="str">
        <f t="shared" si="39"/>
        <v>Cash Over 200</v>
      </c>
    </row>
    <row r="639" spans="1:29" x14ac:dyDescent="0.25">
      <c r="A639">
        <v>52576</v>
      </c>
      <c r="B639" s="2">
        <v>42888</v>
      </c>
      <c r="C639">
        <v>2</v>
      </c>
      <c r="D639" s="2">
        <f t="shared" si="36"/>
        <v>42892</v>
      </c>
      <c r="E639">
        <v>0</v>
      </c>
      <c r="F639" t="s">
        <v>23</v>
      </c>
      <c r="G639" t="str">
        <f t="shared" si="37"/>
        <v>Other</v>
      </c>
      <c r="H639">
        <v>24</v>
      </c>
      <c r="I639">
        <v>6746</v>
      </c>
      <c r="J639">
        <v>5</v>
      </c>
      <c r="K639" t="s">
        <v>31</v>
      </c>
      <c r="L639" t="s">
        <v>480</v>
      </c>
      <c r="M639" t="s">
        <v>613</v>
      </c>
      <c r="N639" t="s">
        <v>608</v>
      </c>
      <c r="P639" t="s">
        <v>509</v>
      </c>
      <c r="Q639" t="s">
        <v>483</v>
      </c>
      <c r="R639">
        <v>24</v>
      </c>
      <c r="T639">
        <v>502</v>
      </c>
      <c r="U639" t="s">
        <v>1058</v>
      </c>
      <c r="V639" s="7">
        <v>50</v>
      </c>
      <c r="W639" s="7">
        <v>43.678035218757444</v>
      </c>
      <c r="X639">
        <v>5</v>
      </c>
      <c r="Y639" s="7">
        <v>10</v>
      </c>
      <c r="Z639" s="7">
        <v>250</v>
      </c>
      <c r="AA639" s="7">
        <f t="shared" si="38"/>
        <v>240</v>
      </c>
      <c r="AB639" t="s">
        <v>30</v>
      </c>
      <c r="AC639" t="str">
        <f t="shared" si="39"/>
        <v>Cash Over 200</v>
      </c>
    </row>
    <row r="640" spans="1:29" x14ac:dyDescent="0.25">
      <c r="A640">
        <v>53202</v>
      </c>
      <c r="B640" s="2">
        <v>42781</v>
      </c>
      <c r="C640">
        <v>2</v>
      </c>
      <c r="D640" s="2">
        <f t="shared" si="36"/>
        <v>42783</v>
      </c>
      <c r="E640">
        <v>1</v>
      </c>
      <c r="F640" t="s">
        <v>23</v>
      </c>
      <c r="G640" t="str">
        <f t="shared" si="37"/>
        <v>Other</v>
      </c>
      <c r="H640">
        <v>13</v>
      </c>
      <c r="I640">
        <v>5007</v>
      </c>
      <c r="J640">
        <v>3</v>
      </c>
      <c r="K640" t="s">
        <v>24</v>
      </c>
      <c r="L640" t="s">
        <v>480</v>
      </c>
      <c r="M640" t="s">
        <v>609</v>
      </c>
      <c r="N640" t="s">
        <v>610</v>
      </c>
      <c r="P640" t="s">
        <v>509</v>
      </c>
      <c r="Q640" t="s">
        <v>483</v>
      </c>
      <c r="R640">
        <v>13</v>
      </c>
      <c r="T640">
        <v>282</v>
      </c>
      <c r="U640" t="s">
        <v>1085</v>
      </c>
      <c r="V640" s="7">
        <v>31.989999770000001</v>
      </c>
      <c r="W640" s="7">
        <v>27.763856872771434</v>
      </c>
      <c r="X640">
        <v>5</v>
      </c>
      <c r="Y640" s="7">
        <v>1.6000000240000001</v>
      </c>
      <c r="Z640" s="7">
        <v>159.94999885000001</v>
      </c>
      <c r="AA640" s="7">
        <f t="shared" si="38"/>
        <v>158.34999882600002</v>
      </c>
      <c r="AB640" t="s">
        <v>30</v>
      </c>
      <c r="AC640" t="str">
        <f t="shared" si="39"/>
        <v>Cash Not Over 200</v>
      </c>
    </row>
    <row r="641" spans="1:29" x14ac:dyDescent="0.25">
      <c r="A641">
        <v>53540</v>
      </c>
      <c r="B641" s="2">
        <v>42786</v>
      </c>
      <c r="C641">
        <v>4</v>
      </c>
      <c r="D641" s="2">
        <f t="shared" si="36"/>
        <v>42790</v>
      </c>
      <c r="E641">
        <v>1</v>
      </c>
      <c r="F641" t="s">
        <v>62</v>
      </c>
      <c r="G641" t="str">
        <f t="shared" si="37"/>
        <v>Other</v>
      </c>
      <c r="H641">
        <v>17</v>
      </c>
      <c r="I641">
        <v>8524</v>
      </c>
      <c r="J641">
        <v>4</v>
      </c>
      <c r="K641" t="s">
        <v>46</v>
      </c>
      <c r="L641" t="s">
        <v>480</v>
      </c>
      <c r="M641" t="s">
        <v>614</v>
      </c>
      <c r="N641" t="s">
        <v>614</v>
      </c>
      <c r="P641" t="s">
        <v>509</v>
      </c>
      <c r="Q641" t="s">
        <v>483</v>
      </c>
      <c r="R641">
        <v>17</v>
      </c>
      <c r="T641">
        <v>365</v>
      </c>
      <c r="U641" t="s">
        <v>1054</v>
      </c>
      <c r="V641" s="7">
        <v>59.990001679999999</v>
      </c>
      <c r="W641" s="7">
        <v>54.488929209402009</v>
      </c>
      <c r="X641">
        <v>5</v>
      </c>
      <c r="Y641" s="7">
        <v>16.5</v>
      </c>
      <c r="Z641" s="7">
        <v>299.9500084</v>
      </c>
      <c r="AA641" s="7">
        <f t="shared" si="38"/>
        <v>283.4500084</v>
      </c>
      <c r="AB641" t="s">
        <v>66</v>
      </c>
      <c r="AC641" t="str">
        <f t="shared" si="39"/>
        <v>Non-Cash Payments</v>
      </c>
    </row>
    <row r="642" spans="1:29" x14ac:dyDescent="0.25">
      <c r="A642">
        <v>53069</v>
      </c>
      <c r="B642" s="2">
        <v>42779</v>
      </c>
      <c r="C642">
        <v>4</v>
      </c>
      <c r="D642" s="2">
        <f t="shared" si="36"/>
        <v>42783</v>
      </c>
      <c r="E642">
        <v>1</v>
      </c>
      <c r="F642" t="s">
        <v>62</v>
      </c>
      <c r="G642" t="str">
        <f t="shared" si="37"/>
        <v>Other</v>
      </c>
      <c r="H642">
        <v>17</v>
      </c>
      <c r="I642">
        <v>4126</v>
      </c>
      <c r="J642">
        <v>4</v>
      </c>
      <c r="K642" t="s">
        <v>46</v>
      </c>
      <c r="L642" t="s">
        <v>480</v>
      </c>
      <c r="M642" t="s">
        <v>552</v>
      </c>
      <c r="N642" t="s">
        <v>553</v>
      </c>
      <c r="P642" t="s">
        <v>554</v>
      </c>
      <c r="Q642" t="s">
        <v>496</v>
      </c>
      <c r="R642">
        <v>17</v>
      </c>
      <c r="T642">
        <v>365</v>
      </c>
      <c r="U642" t="s">
        <v>1054</v>
      </c>
      <c r="V642" s="7">
        <v>59.990001679999999</v>
      </c>
      <c r="W642" s="7">
        <v>54.488929209402009</v>
      </c>
      <c r="X642">
        <v>5</v>
      </c>
      <c r="Y642" s="7">
        <v>27</v>
      </c>
      <c r="Z642" s="7">
        <v>299.9500084</v>
      </c>
      <c r="AA642" s="7">
        <f t="shared" si="38"/>
        <v>272.9500084</v>
      </c>
      <c r="AB642" t="s">
        <v>66</v>
      </c>
      <c r="AC642" t="str">
        <f t="shared" si="39"/>
        <v>Non-Cash Payments</v>
      </c>
    </row>
    <row r="643" spans="1:29" x14ac:dyDescent="0.25">
      <c r="A643">
        <v>57570</v>
      </c>
      <c r="B643" s="2">
        <v>42845</v>
      </c>
      <c r="C643">
        <v>4</v>
      </c>
      <c r="D643" s="2">
        <f t="shared" ref="D643:D706" si="40">WORKDAY(B643,C643)</f>
        <v>42851</v>
      </c>
      <c r="E643">
        <v>1</v>
      </c>
      <c r="F643" t="s">
        <v>62</v>
      </c>
      <c r="G643" t="str">
        <f t="shared" ref="G643:G706" si="41">IF(AND(E643=0,F643="Same Day"),"Same Day - On Time","Other")</f>
        <v>Other</v>
      </c>
      <c r="H643">
        <v>17</v>
      </c>
      <c r="I643">
        <v>3207</v>
      </c>
      <c r="J643">
        <v>4</v>
      </c>
      <c r="K643" t="s">
        <v>46</v>
      </c>
      <c r="L643" t="s">
        <v>480</v>
      </c>
      <c r="M643" t="s">
        <v>490</v>
      </c>
      <c r="N643" t="s">
        <v>490</v>
      </c>
      <c r="P643" t="s">
        <v>491</v>
      </c>
      <c r="Q643" t="s">
        <v>492</v>
      </c>
      <c r="R643">
        <v>17</v>
      </c>
      <c r="T643">
        <v>365</v>
      </c>
      <c r="U643" t="s">
        <v>1054</v>
      </c>
      <c r="V643" s="7">
        <v>59.990001679999999</v>
      </c>
      <c r="W643" s="7">
        <v>54.488929209402009</v>
      </c>
      <c r="X643">
        <v>5</v>
      </c>
      <c r="Y643" s="7">
        <v>30</v>
      </c>
      <c r="Z643" s="7">
        <v>299.9500084</v>
      </c>
      <c r="AA643" s="7">
        <f t="shared" ref="AA643:AA706" si="42">Z643-Y643</f>
        <v>269.9500084</v>
      </c>
      <c r="AB643" t="s">
        <v>66</v>
      </c>
      <c r="AC643" t="str">
        <f t="shared" ref="AC643:AC706" si="43">IF(AND(AA643&gt;200,AB643="CASH"),"Cash Over 200",IF(AB643="CASH","Cash Not Over 200","Non-Cash Payments"))</f>
        <v>Non-Cash Payments</v>
      </c>
    </row>
    <row r="644" spans="1:29" x14ac:dyDescent="0.25">
      <c r="A644">
        <v>5154</v>
      </c>
      <c r="B644" s="2">
        <v>42080</v>
      </c>
      <c r="C644">
        <v>4</v>
      </c>
      <c r="D644" s="2">
        <f t="shared" si="40"/>
        <v>42086</v>
      </c>
      <c r="E644">
        <v>1</v>
      </c>
      <c r="F644" t="s">
        <v>62</v>
      </c>
      <c r="G644" t="str">
        <f t="shared" si="41"/>
        <v>Other</v>
      </c>
      <c r="H644">
        <v>17</v>
      </c>
      <c r="I644">
        <v>12310</v>
      </c>
      <c r="J644">
        <v>4</v>
      </c>
      <c r="K644" t="s">
        <v>46</v>
      </c>
      <c r="L644" t="s">
        <v>480</v>
      </c>
      <c r="M644" t="s">
        <v>501</v>
      </c>
      <c r="N644" t="s">
        <v>502</v>
      </c>
      <c r="P644" t="s">
        <v>503</v>
      </c>
      <c r="Q644" t="s">
        <v>483</v>
      </c>
      <c r="R644">
        <v>17</v>
      </c>
      <c r="T644">
        <v>365</v>
      </c>
      <c r="U644" t="s">
        <v>1054</v>
      </c>
      <c r="V644" s="7">
        <v>59.990001679999999</v>
      </c>
      <c r="W644" s="7">
        <v>54.488929209402009</v>
      </c>
      <c r="X644">
        <v>5</v>
      </c>
      <c r="Y644" s="7">
        <v>35.990001679999999</v>
      </c>
      <c r="Z644" s="7">
        <v>299.9500084</v>
      </c>
      <c r="AA644" s="7">
        <f t="shared" si="42"/>
        <v>263.96000672000002</v>
      </c>
      <c r="AB644" t="s">
        <v>66</v>
      </c>
      <c r="AC644" t="str">
        <f t="shared" si="43"/>
        <v>Non-Cash Payments</v>
      </c>
    </row>
    <row r="645" spans="1:29" x14ac:dyDescent="0.25">
      <c r="A645">
        <v>9122</v>
      </c>
      <c r="B645" s="2">
        <v>42138</v>
      </c>
      <c r="C645">
        <v>4</v>
      </c>
      <c r="D645" s="2">
        <f t="shared" si="40"/>
        <v>42144</v>
      </c>
      <c r="E645">
        <v>0</v>
      </c>
      <c r="F645" t="s">
        <v>62</v>
      </c>
      <c r="G645" t="str">
        <f t="shared" si="41"/>
        <v>Other</v>
      </c>
      <c r="H645">
        <v>17</v>
      </c>
      <c r="I645">
        <v>1222</v>
      </c>
      <c r="J645">
        <v>4</v>
      </c>
      <c r="K645" t="s">
        <v>46</v>
      </c>
      <c r="L645" t="s">
        <v>480</v>
      </c>
      <c r="M645" t="s">
        <v>615</v>
      </c>
      <c r="N645" t="s">
        <v>616</v>
      </c>
      <c r="P645" t="s">
        <v>506</v>
      </c>
      <c r="Q645" t="s">
        <v>496</v>
      </c>
      <c r="R645">
        <v>17</v>
      </c>
      <c r="T645">
        <v>365</v>
      </c>
      <c r="U645" t="s">
        <v>1054</v>
      </c>
      <c r="V645" s="7">
        <v>59.990001679999999</v>
      </c>
      <c r="W645" s="7">
        <v>54.488929209402009</v>
      </c>
      <c r="X645">
        <v>5</v>
      </c>
      <c r="Y645" s="7">
        <v>35.990001679999999</v>
      </c>
      <c r="Z645" s="7">
        <v>299.9500084</v>
      </c>
      <c r="AA645" s="7">
        <f t="shared" si="42"/>
        <v>263.96000672000002</v>
      </c>
      <c r="AB645" t="s">
        <v>66</v>
      </c>
      <c r="AC645" t="str">
        <f t="shared" si="43"/>
        <v>Non-Cash Payments</v>
      </c>
    </row>
    <row r="646" spans="1:29" x14ac:dyDescent="0.25">
      <c r="A646">
        <v>4427</v>
      </c>
      <c r="B646" s="2">
        <v>42158</v>
      </c>
      <c r="C646">
        <v>4</v>
      </c>
      <c r="D646" s="2">
        <f t="shared" si="40"/>
        <v>42164</v>
      </c>
      <c r="E646">
        <v>0</v>
      </c>
      <c r="F646" t="s">
        <v>62</v>
      </c>
      <c r="G646" t="str">
        <f t="shared" si="41"/>
        <v>Other</v>
      </c>
      <c r="H646">
        <v>17</v>
      </c>
      <c r="I646">
        <v>8397</v>
      </c>
      <c r="J646">
        <v>4</v>
      </c>
      <c r="K646" t="s">
        <v>46</v>
      </c>
      <c r="L646" t="s">
        <v>480</v>
      </c>
      <c r="M646" t="s">
        <v>501</v>
      </c>
      <c r="N646" t="s">
        <v>502</v>
      </c>
      <c r="P646" t="s">
        <v>503</v>
      </c>
      <c r="Q646" t="s">
        <v>483</v>
      </c>
      <c r="R646">
        <v>17</v>
      </c>
      <c r="T646">
        <v>365</v>
      </c>
      <c r="U646" t="s">
        <v>1054</v>
      </c>
      <c r="V646" s="7">
        <v>59.990001679999999</v>
      </c>
      <c r="W646" s="7">
        <v>54.488929209402009</v>
      </c>
      <c r="X646">
        <v>5</v>
      </c>
      <c r="Y646" s="7">
        <v>38.990001679999999</v>
      </c>
      <c r="Z646" s="7">
        <v>299.9500084</v>
      </c>
      <c r="AA646" s="7">
        <f t="shared" si="42"/>
        <v>260.96000672000002</v>
      </c>
      <c r="AB646" t="s">
        <v>66</v>
      </c>
      <c r="AC646" t="str">
        <f t="shared" si="43"/>
        <v>Non-Cash Payments</v>
      </c>
    </row>
    <row r="647" spans="1:29" x14ac:dyDescent="0.25">
      <c r="A647">
        <v>9340</v>
      </c>
      <c r="B647" s="2">
        <v>42141</v>
      </c>
      <c r="C647">
        <v>4</v>
      </c>
      <c r="D647" s="2">
        <f t="shared" si="40"/>
        <v>42145</v>
      </c>
      <c r="E647">
        <v>1</v>
      </c>
      <c r="F647" t="s">
        <v>62</v>
      </c>
      <c r="G647" t="str">
        <f t="shared" si="41"/>
        <v>Other</v>
      </c>
      <c r="H647">
        <v>17</v>
      </c>
      <c r="I647">
        <v>6306</v>
      </c>
      <c r="J647">
        <v>4</v>
      </c>
      <c r="K647" t="s">
        <v>46</v>
      </c>
      <c r="L647" t="s">
        <v>480</v>
      </c>
      <c r="M647" t="s">
        <v>541</v>
      </c>
      <c r="N647" t="s">
        <v>541</v>
      </c>
      <c r="P647" t="s">
        <v>542</v>
      </c>
      <c r="Q647" t="s">
        <v>483</v>
      </c>
      <c r="R647">
        <v>17</v>
      </c>
      <c r="T647">
        <v>365</v>
      </c>
      <c r="U647" t="s">
        <v>1054</v>
      </c>
      <c r="V647" s="7">
        <v>59.990001679999999</v>
      </c>
      <c r="W647" s="7">
        <v>54.488929209402009</v>
      </c>
      <c r="X647">
        <v>5</v>
      </c>
      <c r="Y647" s="7">
        <v>44.990001679999999</v>
      </c>
      <c r="Z647" s="7">
        <v>299.9500084</v>
      </c>
      <c r="AA647" s="7">
        <f t="shared" si="42"/>
        <v>254.96000672</v>
      </c>
      <c r="AB647" t="s">
        <v>66</v>
      </c>
      <c r="AC647" t="str">
        <f t="shared" si="43"/>
        <v>Non-Cash Payments</v>
      </c>
    </row>
    <row r="648" spans="1:29" x14ac:dyDescent="0.25">
      <c r="A648">
        <v>9331</v>
      </c>
      <c r="B648" s="2">
        <v>42141</v>
      </c>
      <c r="C648">
        <v>4</v>
      </c>
      <c r="D648" s="2">
        <f t="shared" si="40"/>
        <v>42145</v>
      </c>
      <c r="E648">
        <v>0</v>
      </c>
      <c r="F648" t="s">
        <v>62</v>
      </c>
      <c r="G648" t="str">
        <f t="shared" si="41"/>
        <v>Other</v>
      </c>
      <c r="H648">
        <v>17</v>
      </c>
      <c r="I648">
        <v>8002</v>
      </c>
      <c r="J648">
        <v>4</v>
      </c>
      <c r="K648" t="s">
        <v>46</v>
      </c>
      <c r="L648" t="s">
        <v>480</v>
      </c>
      <c r="M648" t="s">
        <v>617</v>
      </c>
      <c r="N648" t="s">
        <v>618</v>
      </c>
      <c r="P648" t="s">
        <v>491</v>
      </c>
      <c r="Q648" t="s">
        <v>492</v>
      </c>
      <c r="R648">
        <v>17</v>
      </c>
      <c r="T648">
        <v>365</v>
      </c>
      <c r="U648" t="s">
        <v>1054</v>
      </c>
      <c r="V648" s="7">
        <v>59.990001679999999</v>
      </c>
      <c r="W648" s="7">
        <v>54.488929209402009</v>
      </c>
      <c r="X648">
        <v>5</v>
      </c>
      <c r="Y648" s="7">
        <v>47.990001679999999</v>
      </c>
      <c r="Z648" s="7">
        <v>299.9500084</v>
      </c>
      <c r="AA648" s="7">
        <f t="shared" si="42"/>
        <v>251.96000672</v>
      </c>
      <c r="AB648" t="s">
        <v>66</v>
      </c>
      <c r="AC648" t="str">
        <f t="shared" si="43"/>
        <v>Non-Cash Payments</v>
      </c>
    </row>
    <row r="649" spans="1:29" x14ac:dyDescent="0.25">
      <c r="A649">
        <v>58315</v>
      </c>
      <c r="B649" s="2">
        <v>42740</v>
      </c>
      <c r="C649">
        <v>4</v>
      </c>
      <c r="D649" s="2">
        <f t="shared" si="40"/>
        <v>42746</v>
      </c>
      <c r="E649">
        <v>1</v>
      </c>
      <c r="F649" t="s">
        <v>62</v>
      </c>
      <c r="G649" t="str">
        <f t="shared" si="41"/>
        <v>Other</v>
      </c>
      <c r="H649">
        <v>17</v>
      </c>
      <c r="I649">
        <v>12382</v>
      </c>
      <c r="J649">
        <v>4</v>
      </c>
      <c r="K649" t="s">
        <v>46</v>
      </c>
      <c r="L649" t="s">
        <v>480</v>
      </c>
      <c r="M649" t="s">
        <v>551</v>
      </c>
      <c r="N649" t="s">
        <v>482</v>
      </c>
      <c r="P649" t="s">
        <v>482</v>
      </c>
      <c r="Q649" t="s">
        <v>483</v>
      </c>
      <c r="R649">
        <v>17</v>
      </c>
      <c r="T649">
        <v>365</v>
      </c>
      <c r="U649" t="s">
        <v>1054</v>
      </c>
      <c r="V649" s="7">
        <v>59.990001679999999</v>
      </c>
      <c r="W649" s="7">
        <v>54.488929209402009</v>
      </c>
      <c r="X649">
        <v>5</v>
      </c>
      <c r="Y649" s="7">
        <v>50.990001679999999</v>
      </c>
      <c r="Z649" s="7">
        <v>299.9500084</v>
      </c>
      <c r="AA649" s="7">
        <f t="shared" si="42"/>
        <v>248.96000672</v>
      </c>
      <c r="AB649" t="s">
        <v>66</v>
      </c>
      <c r="AC649" t="str">
        <f t="shared" si="43"/>
        <v>Non-Cash Payments</v>
      </c>
    </row>
    <row r="650" spans="1:29" x14ac:dyDescent="0.25">
      <c r="A650">
        <v>54572</v>
      </c>
      <c r="B650" s="2">
        <v>42919</v>
      </c>
      <c r="C650">
        <v>4</v>
      </c>
      <c r="D650" s="2">
        <f t="shared" si="40"/>
        <v>42923</v>
      </c>
      <c r="E650">
        <v>0</v>
      </c>
      <c r="F650" t="s">
        <v>62</v>
      </c>
      <c r="G650" t="str">
        <f t="shared" si="41"/>
        <v>Other</v>
      </c>
      <c r="H650">
        <v>17</v>
      </c>
      <c r="I650">
        <v>7844</v>
      </c>
      <c r="J650">
        <v>4</v>
      </c>
      <c r="K650" t="s">
        <v>46</v>
      </c>
      <c r="L650" t="s">
        <v>480</v>
      </c>
      <c r="M650" t="s">
        <v>485</v>
      </c>
      <c r="N650" t="s">
        <v>485</v>
      </c>
      <c r="P650" t="s">
        <v>486</v>
      </c>
      <c r="Q650" t="s">
        <v>483</v>
      </c>
      <c r="R650">
        <v>17</v>
      </c>
      <c r="T650">
        <v>365</v>
      </c>
      <c r="U650" t="s">
        <v>1054</v>
      </c>
      <c r="V650" s="7">
        <v>59.990001679999999</v>
      </c>
      <c r="W650" s="7">
        <v>54.488929209402009</v>
      </c>
      <c r="X650">
        <v>5</v>
      </c>
      <c r="Y650" s="7">
        <v>74.989997860000003</v>
      </c>
      <c r="Z650" s="7">
        <v>299.9500084</v>
      </c>
      <c r="AA650" s="7">
        <f t="shared" si="42"/>
        <v>224.96001053999998</v>
      </c>
      <c r="AB650" t="s">
        <v>66</v>
      </c>
      <c r="AC650" t="str">
        <f t="shared" si="43"/>
        <v>Non-Cash Payments</v>
      </c>
    </row>
    <row r="651" spans="1:29" x14ac:dyDescent="0.25">
      <c r="A651">
        <v>51746</v>
      </c>
      <c r="B651" s="2">
        <v>42760</v>
      </c>
      <c r="C651">
        <v>4</v>
      </c>
      <c r="D651" s="2">
        <f t="shared" si="40"/>
        <v>42766</v>
      </c>
      <c r="E651">
        <v>0</v>
      </c>
      <c r="F651" t="s">
        <v>62</v>
      </c>
      <c r="G651" t="str">
        <f t="shared" si="41"/>
        <v>Other</v>
      </c>
      <c r="H651">
        <v>29</v>
      </c>
      <c r="I651">
        <v>12291</v>
      </c>
      <c r="J651">
        <v>5</v>
      </c>
      <c r="K651" t="s">
        <v>31</v>
      </c>
      <c r="L651" t="s">
        <v>480</v>
      </c>
      <c r="M651" t="s">
        <v>619</v>
      </c>
      <c r="N651" t="s">
        <v>619</v>
      </c>
      <c r="P651" t="s">
        <v>522</v>
      </c>
      <c r="Q651" t="s">
        <v>492</v>
      </c>
      <c r="R651">
        <v>29</v>
      </c>
      <c r="T651">
        <v>627</v>
      </c>
      <c r="U651" t="s">
        <v>1046</v>
      </c>
      <c r="V651" s="7">
        <v>39.990001679999999</v>
      </c>
      <c r="W651" s="7">
        <v>34.198098313835338</v>
      </c>
      <c r="X651">
        <v>5</v>
      </c>
      <c r="Y651" s="7">
        <v>0</v>
      </c>
      <c r="Z651" s="7">
        <v>199.9500084</v>
      </c>
      <c r="AA651" s="7">
        <f t="shared" si="42"/>
        <v>199.9500084</v>
      </c>
      <c r="AB651" t="s">
        <v>66</v>
      </c>
      <c r="AC651" t="str">
        <f t="shared" si="43"/>
        <v>Non-Cash Payments</v>
      </c>
    </row>
    <row r="652" spans="1:29" x14ac:dyDescent="0.25">
      <c r="A652">
        <v>4269</v>
      </c>
      <c r="B652" s="2">
        <v>42097</v>
      </c>
      <c r="C652">
        <v>4</v>
      </c>
      <c r="D652" s="2">
        <f t="shared" si="40"/>
        <v>42103</v>
      </c>
      <c r="E652">
        <v>1</v>
      </c>
      <c r="F652" t="s">
        <v>62</v>
      </c>
      <c r="G652" t="str">
        <f t="shared" si="41"/>
        <v>Other</v>
      </c>
      <c r="H652">
        <v>24</v>
      </c>
      <c r="I652">
        <v>6523</v>
      </c>
      <c r="J652">
        <v>5</v>
      </c>
      <c r="K652" t="s">
        <v>31</v>
      </c>
      <c r="L652" t="s">
        <v>480</v>
      </c>
      <c r="M652" t="s">
        <v>501</v>
      </c>
      <c r="N652" t="s">
        <v>502</v>
      </c>
      <c r="P652" t="s">
        <v>503</v>
      </c>
      <c r="Q652" t="s">
        <v>483</v>
      </c>
      <c r="R652">
        <v>24</v>
      </c>
      <c r="T652">
        <v>502</v>
      </c>
      <c r="U652" t="s">
        <v>1058</v>
      </c>
      <c r="V652" s="7">
        <v>50</v>
      </c>
      <c r="W652" s="7">
        <v>43.678035218757444</v>
      </c>
      <c r="X652">
        <v>5</v>
      </c>
      <c r="Y652" s="7">
        <v>0</v>
      </c>
      <c r="Z652" s="7">
        <v>250</v>
      </c>
      <c r="AA652" s="7">
        <f t="shared" si="42"/>
        <v>250</v>
      </c>
      <c r="AB652" t="s">
        <v>66</v>
      </c>
      <c r="AC652" t="str">
        <f t="shared" si="43"/>
        <v>Non-Cash Payments</v>
      </c>
    </row>
    <row r="653" spans="1:29" x14ac:dyDescent="0.25">
      <c r="A653">
        <v>61346</v>
      </c>
      <c r="B653" s="2">
        <v>42900</v>
      </c>
      <c r="C653">
        <v>4</v>
      </c>
      <c r="D653" s="2">
        <f t="shared" si="40"/>
        <v>42906</v>
      </c>
      <c r="E653">
        <v>0</v>
      </c>
      <c r="F653" t="s">
        <v>62</v>
      </c>
      <c r="G653" t="str">
        <f t="shared" si="41"/>
        <v>Other</v>
      </c>
      <c r="H653">
        <v>29</v>
      </c>
      <c r="I653">
        <v>4078</v>
      </c>
      <c r="J653">
        <v>5</v>
      </c>
      <c r="K653" t="s">
        <v>31</v>
      </c>
      <c r="L653" t="s">
        <v>480</v>
      </c>
      <c r="M653" t="s">
        <v>620</v>
      </c>
      <c r="N653" t="s">
        <v>577</v>
      </c>
      <c r="P653" t="s">
        <v>506</v>
      </c>
      <c r="Q653" t="s">
        <v>496</v>
      </c>
      <c r="R653">
        <v>29</v>
      </c>
      <c r="T653">
        <v>627</v>
      </c>
      <c r="U653" t="s">
        <v>1046</v>
      </c>
      <c r="V653" s="7">
        <v>39.990001679999999</v>
      </c>
      <c r="W653" s="7">
        <v>34.198098313835338</v>
      </c>
      <c r="X653">
        <v>5</v>
      </c>
      <c r="Y653" s="7">
        <v>0</v>
      </c>
      <c r="Z653" s="7">
        <v>199.9500084</v>
      </c>
      <c r="AA653" s="7">
        <f t="shared" si="42"/>
        <v>199.9500084</v>
      </c>
      <c r="AB653" t="s">
        <v>66</v>
      </c>
      <c r="AC653" t="str">
        <f t="shared" si="43"/>
        <v>Non-Cash Payments</v>
      </c>
    </row>
    <row r="654" spans="1:29" x14ac:dyDescent="0.25">
      <c r="A654">
        <v>1999</v>
      </c>
      <c r="B654" s="2">
        <v>42034</v>
      </c>
      <c r="C654">
        <v>4</v>
      </c>
      <c r="D654" s="2">
        <f t="shared" si="40"/>
        <v>42040</v>
      </c>
      <c r="E654">
        <v>1</v>
      </c>
      <c r="F654" t="s">
        <v>62</v>
      </c>
      <c r="G654" t="str">
        <f t="shared" si="41"/>
        <v>Other</v>
      </c>
      <c r="H654">
        <v>24</v>
      </c>
      <c r="I654">
        <v>4867</v>
      </c>
      <c r="J654">
        <v>5</v>
      </c>
      <c r="K654" t="s">
        <v>31</v>
      </c>
      <c r="L654" t="s">
        <v>480</v>
      </c>
      <c r="M654" t="s">
        <v>617</v>
      </c>
      <c r="N654" t="s">
        <v>618</v>
      </c>
      <c r="P654" t="s">
        <v>491</v>
      </c>
      <c r="Q654" t="s">
        <v>492</v>
      </c>
      <c r="R654">
        <v>24</v>
      </c>
      <c r="T654">
        <v>502</v>
      </c>
      <c r="U654" t="s">
        <v>1058</v>
      </c>
      <c r="V654" s="7">
        <v>50</v>
      </c>
      <c r="W654" s="7">
        <v>43.678035218757444</v>
      </c>
      <c r="X654">
        <v>5</v>
      </c>
      <c r="Y654" s="7">
        <v>2.5</v>
      </c>
      <c r="Z654" s="7">
        <v>250</v>
      </c>
      <c r="AA654" s="7">
        <f t="shared" si="42"/>
        <v>247.5</v>
      </c>
      <c r="AB654" t="s">
        <v>66</v>
      </c>
      <c r="AC654" t="str">
        <f t="shared" si="43"/>
        <v>Non-Cash Payments</v>
      </c>
    </row>
    <row r="655" spans="1:29" x14ac:dyDescent="0.25">
      <c r="A655">
        <v>53576</v>
      </c>
      <c r="B655" s="2">
        <v>42787</v>
      </c>
      <c r="C655">
        <v>4</v>
      </c>
      <c r="D655" s="2">
        <f t="shared" si="40"/>
        <v>42793</v>
      </c>
      <c r="E655">
        <v>0</v>
      </c>
      <c r="F655" t="s">
        <v>62</v>
      </c>
      <c r="G655" t="str">
        <f t="shared" si="41"/>
        <v>Other</v>
      </c>
      <c r="H655">
        <v>26</v>
      </c>
      <c r="I655">
        <v>5301</v>
      </c>
      <c r="J655">
        <v>5</v>
      </c>
      <c r="K655" t="s">
        <v>31</v>
      </c>
      <c r="L655" t="s">
        <v>480</v>
      </c>
      <c r="M655" t="s">
        <v>621</v>
      </c>
      <c r="N655" t="s">
        <v>572</v>
      </c>
      <c r="P655" t="s">
        <v>509</v>
      </c>
      <c r="Q655" t="s">
        <v>483</v>
      </c>
      <c r="R655">
        <v>26</v>
      </c>
      <c r="T655">
        <v>565</v>
      </c>
      <c r="U655" t="s">
        <v>1078</v>
      </c>
      <c r="V655" s="7">
        <v>70</v>
      </c>
      <c r="W655" s="7">
        <v>62.759999940857142</v>
      </c>
      <c r="X655">
        <v>5</v>
      </c>
      <c r="Y655" s="7">
        <v>3.5</v>
      </c>
      <c r="Z655" s="7">
        <v>350</v>
      </c>
      <c r="AA655" s="7">
        <f t="shared" si="42"/>
        <v>346.5</v>
      </c>
      <c r="AB655" t="s">
        <v>66</v>
      </c>
      <c r="AC655" t="str">
        <f t="shared" si="43"/>
        <v>Non-Cash Payments</v>
      </c>
    </row>
    <row r="656" spans="1:29" x14ac:dyDescent="0.25">
      <c r="A656">
        <v>57152</v>
      </c>
      <c r="B656" s="2">
        <v>42839</v>
      </c>
      <c r="C656">
        <v>4</v>
      </c>
      <c r="D656" s="2">
        <f t="shared" si="40"/>
        <v>42845</v>
      </c>
      <c r="E656">
        <v>0</v>
      </c>
      <c r="F656" t="s">
        <v>62</v>
      </c>
      <c r="G656" t="str">
        <f t="shared" si="41"/>
        <v>Other</v>
      </c>
      <c r="H656">
        <v>24</v>
      </c>
      <c r="I656">
        <v>4784</v>
      </c>
      <c r="J656">
        <v>5</v>
      </c>
      <c r="K656" t="s">
        <v>31</v>
      </c>
      <c r="L656" t="s">
        <v>480</v>
      </c>
      <c r="M656" t="s">
        <v>578</v>
      </c>
      <c r="N656" t="s">
        <v>579</v>
      </c>
      <c r="P656" t="s">
        <v>509</v>
      </c>
      <c r="Q656" t="s">
        <v>483</v>
      </c>
      <c r="R656">
        <v>24</v>
      </c>
      <c r="T656">
        <v>502</v>
      </c>
      <c r="U656" t="s">
        <v>1058</v>
      </c>
      <c r="V656" s="7">
        <v>50</v>
      </c>
      <c r="W656" s="7">
        <v>43.678035218757444</v>
      </c>
      <c r="X656">
        <v>5</v>
      </c>
      <c r="Y656" s="7">
        <v>5</v>
      </c>
      <c r="Z656" s="7">
        <v>250</v>
      </c>
      <c r="AA656" s="7">
        <f t="shared" si="42"/>
        <v>245</v>
      </c>
      <c r="AB656" t="s">
        <v>66</v>
      </c>
      <c r="AC656" t="str">
        <f t="shared" si="43"/>
        <v>Non-Cash Payments</v>
      </c>
    </row>
    <row r="657" spans="1:29" x14ac:dyDescent="0.25">
      <c r="A657">
        <v>51674</v>
      </c>
      <c r="B657" s="2">
        <v>42759</v>
      </c>
      <c r="C657">
        <v>4</v>
      </c>
      <c r="D657" s="2">
        <f t="shared" si="40"/>
        <v>42765</v>
      </c>
      <c r="E657">
        <v>1</v>
      </c>
      <c r="F657" t="s">
        <v>62</v>
      </c>
      <c r="G657" t="str">
        <f t="shared" si="41"/>
        <v>Other</v>
      </c>
      <c r="H657">
        <v>26</v>
      </c>
      <c r="I657">
        <v>8348</v>
      </c>
      <c r="J657">
        <v>5</v>
      </c>
      <c r="K657" t="s">
        <v>31</v>
      </c>
      <c r="L657" t="s">
        <v>480</v>
      </c>
      <c r="M657" t="s">
        <v>622</v>
      </c>
      <c r="N657" t="s">
        <v>622</v>
      </c>
      <c r="P657" t="s">
        <v>537</v>
      </c>
      <c r="Q657" t="s">
        <v>496</v>
      </c>
      <c r="R657">
        <v>26</v>
      </c>
      <c r="T657">
        <v>567</v>
      </c>
      <c r="U657" t="s">
        <v>1081</v>
      </c>
      <c r="V657" s="7">
        <v>25</v>
      </c>
      <c r="W657" s="7">
        <v>17.922466723766668</v>
      </c>
      <c r="X657">
        <v>5</v>
      </c>
      <c r="Y657" s="7">
        <v>2.5</v>
      </c>
      <c r="Z657" s="7">
        <v>125</v>
      </c>
      <c r="AA657" s="7">
        <f t="shared" si="42"/>
        <v>122.5</v>
      </c>
      <c r="AB657" t="s">
        <v>66</v>
      </c>
      <c r="AC657" t="str">
        <f t="shared" si="43"/>
        <v>Non-Cash Payments</v>
      </c>
    </row>
    <row r="658" spans="1:29" x14ac:dyDescent="0.25">
      <c r="A658">
        <v>55336</v>
      </c>
      <c r="B658" s="2">
        <v>42812</v>
      </c>
      <c r="C658">
        <v>4</v>
      </c>
      <c r="D658" s="2">
        <f t="shared" si="40"/>
        <v>42817</v>
      </c>
      <c r="E658">
        <v>0</v>
      </c>
      <c r="F658" t="s">
        <v>62</v>
      </c>
      <c r="G658" t="str">
        <f t="shared" si="41"/>
        <v>Other</v>
      </c>
      <c r="H658">
        <v>29</v>
      </c>
      <c r="I658">
        <v>7446</v>
      </c>
      <c r="J658">
        <v>5</v>
      </c>
      <c r="K658" t="s">
        <v>31</v>
      </c>
      <c r="L658" t="s">
        <v>480</v>
      </c>
      <c r="M658" t="s">
        <v>513</v>
      </c>
      <c r="N658" t="s">
        <v>513</v>
      </c>
      <c r="P658" t="s">
        <v>506</v>
      </c>
      <c r="Q658" t="s">
        <v>496</v>
      </c>
      <c r="R658">
        <v>29</v>
      </c>
      <c r="T658">
        <v>627</v>
      </c>
      <c r="U658" t="s">
        <v>1046</v>
      </c>
      <c r="V658" s="7">
        <v>39.990001679999999</v>
      </c>
      <c r="W658" s="7">
        <v>34.198098313835338</v>
      </c>
      <c r="X658">
        <v>5</v>
      </c>
      <c r="Y658" s="7">
        <v>4</v>
      </c>
      <c r="Z658" s="7">
        <v>199.9500084</v>
      </c>
      <c r="AA658" s="7">
        <f t="shared" si="42"/>
        <v>195.9500084</v>
      </c>
      <c r="AB658" t="s">
        <v>66</v>
      </c>
      <c r="AC658" t="str">
        <f t="shared" si="43"/>
        <v>Non-Cash Payments</v>
      </c>
    </row>
    <row r="659" spans="1:29" x14ac:dyDescent="0.25">
      <c r="A659">
        <v>53810</v>
      </c>
      <c r="B659" s="2">
        <v>42790</v>
      </c>
      <c r="C659">
        <v>4</v>
      </c>
      <c r="D659" s="2">
        <f t="shared" si="40"/>
        <v>42796</v>
      </c>
      <c r="E659">
        <v>1</v>
      </c>
      <c r="F659" t="s">
        <v>62</v>
      </c>
      <c r="G659" t="str">
        <f t="shared" si="41"/>
        <v>Other</v>
      </c>
      <c r="H659">
        <v>29</v>
      </c>
      <c r="I659">
        <v>11455</v>
      </c>
      <c r="J659">
        <v>5</v>
      </c>
      <c r="K659" t="s">
        <v>31</v>
      </c>
      <c r="L659" t="s">
        <v>480</v>
      </c>
      <c r="M659" t="s">
        <v>623</v>
      </c>
      <c r="N659" t="s">
        <v>577</v>
      </c>
      <c r="P659" t="s">
        <v>506</v>
      </c>
      <c r="Q659" t="s">
        <v>496</v>
      </c>
      <c r="R659">
        <v>29</v>
      </c>
      <c r="T659">
        <v>627</v>
      </c>
      <c r="U659" t="s">
        <v>1046</v>
      </c>
      <c r="V659" s="7">
        <v>39.990001679999999</v>
      </c>
      <c r="W659" s="7">
        <v>34.198098313835338</v>
      </c>
      <c r="X659">
        <v>5</v>
      </c>
      <c r="Y659" s="7">
        <v>4</v>
      </c>
      <c r="Z659" s="7">
        <v>199.9500084</v>
      </c>
      <c r="AA659" s="7">
        <f t="shared" si="42"/>
        <v>195.9500084</v>
      </c>
      <c r="AB659" t="s">
        <v>66</v>
      </c>
      <c r="AC659" t="str">
        <f t="shared" si="43"/>
        <v>Non-Cash Payments</v>
      </c>
    </row>
    <row r="660" spans="1:29" x14ac:dyDescent="0.25">
      <c r="A660">
        <v>59301</v>
      </c>
      <c r="B660" s="2">
        <v>42870</v>
      </c>
      <c r="C660">
        <v>4</v>
      </c>
      <c r="D660" s="2">
        <f t="shared" si="40"/>
        <v>42874</v>
      </c>
      <c r="E660">
        <v>0</v>
      </c>
      <c r="F660" t="s">
        <v>62</v>
      </c>
      <c r="G660" t="str">
        <f t="shared" si="41"/>
        <v>Other</v>
      </c>
      <c r="H660">
        <v>24</v>
      </c>
      <c r="I660">
        <v>5364</v>
      </c>
      <c r="J660">
        <v>5</v>
      </c>
      <c r="K660" t="s">
        <v>31</v>
      </c>
      <c r="L660" t="s">
        <v>480</v>
      </c>
      <c r="M660" t="s">
        <v>507</v>
      </c>
      <c r="N660" t="s">
        <v>508</v>
      </c>
      <c r="P660" t="s">
        <v>509</v>
      </c>
      <c r="Q660" t="s">
        <v>483</v>
      </c>
      <c r="R660">
        <v>24</v>
      </c>
      <c r="T660">
        <v>502</v>
      </c>
      <c r="U660" t="s">
        <v>1058</v>
      </c>
      <c r="V660" s="7">
        <v>50</v>
      </c>
      <c r="W660" s="7">
        <v>43.678035218757444</v>
      </c>
      <c r="X660">
        <v>5</v>
      </c>
      <c r="Y660" s="7">
        <v>10</v>
      </c>
      <c r="Z660" s="7">
        <v>250</v>
      </c>
      <c r="AA660" s="7">
        <f t="shared" si="42"/>
        <v>240</v>
      </c>
      <c r="AB660" t="s">
        <v>66</v>
      </c>
      <c r="AC660" t="str">
        <f t="shared" si="43"/>
        <v>Non-Cash Payments</v>
      </c>
    </row>
    <row r="661" spans="1:29" x14ac:dyDescent="0.25">
      <c r="A661">
        <v>8410</v>
      </c>
      <c r="B661" s="2">
        <v>42068</v>
      </c>
      <c r="C661">
        <v>4</v>
      </c>
      <c r="D661" s="2">
        <f t="shared" si="40"/>
        <v>42074</v>
      </c>
      <c r="E661">
        <v>1</v>
      </c>
      <c r="F661" t="s">
        <v>62</v>
      </c>
      <c r="G661" t="str">
        <f t="shared" si="41"/>
        <v>Other</v>
      </c>
      <c r="H661">
        <v>24</v>
      </c>
      <c r="I661">
        <v>259</v>
      </c>
      <c r="J661">
        <v>5</v>
      </c>
      <c r="K661" t="s">
        <v>31</v>
      </c>
      <c r="L661" t="s">
        <v>480</v>
      </c>
      <c r="M661" t="s">
        <v>501</v>
      </c>
      <c r="N661" t="s">
        <v>502</v>
      </c>
      <c r="P661" t="s">
        <v>503</v>
      </c>
      <c r="Q661" t="s">
        <v>483</v>
      </c>
      <c r="R661">
        <v>24</v>
      </c>
      <c r="T661">
        <v>502</v>
      </c>
      <c r="U661" t="s">
        <v>1058</v>
      </c>
      <c r="V661" s="7">
        <v>50</v>
      </c>
      <c r="W661" s="7">
        <v>43.678035218757444</v>
      </c>
      <c r="X661">
        <v>5</v>
      </c>
      <c r="Y661" s="7">
        <v>10</v>
      </c>
      <c r="Z661" s="7">
        <v>250</v>
      </c>
      <c r="AA661" s="7">
        <f t="shared" si="42"/>
        <v>240</v>
      </c>
      <c r="AB661" t="s">
        <v>66</v>
      </c>
      <c r="AC661" t="str">
        <f t="shared" si="43"/>
        <v>Non-Cash Payments</v>
      </c>
    </row>
    <row r="662" spans="1:29" x14ac:dyDescent="0.25">
      <c r="A662">
        <v>8123</v>
      </c>
      <c r="B662" s="2">
        <v>42123</v>
      </c>
      <c r="C662">
        <v>4</v>
      </c>
      <c r="D662" s="2">
        <f t="shared" si="40"/>
        <v>42129</v>
      </c>
      <c r="E662">
        <v>0</v>
      </c>
      <c r="F662" t="s">
        <v>62</v>
      </c>
      <c r="G662" t="str">
        <f t="shared" si="41"/>
        <v>Other</v>
      </c>
      <c r="H662">
        <v>24</v>
      </c>
      <c r="I662">
        <v>11290</v>
      </c>
      <c r="J662">
        <v>5</v>
      </c>
      <c r="K662" t="s">
        <v>31</v>
      </c>
      <c r="L662" t="s">
        <v>480</v>
      </c>
      <c r="M662" t="s">
        <v>624</v>
      </c>
      <c r="N662" t="s">
        <v>625</v>
      </c>
      <c r="P662" t="s">
        <v>509</v>
      </c>
      <c r="Q662" t="s">
        <v>483</v>
      </c>
      <c r="R662">
        <v>24</v>
      </c>
      <c r="T662">
        <v>502</v>
      </c>
      <c r="U662" t="s">
        <v>1058</v>
      </c>
      <c r="V662" s="7">
        <v>50</v>
      </c>
      <c r="W662" s="7">
        <v>43.678035218757444</v>
      </c>
      <c r="X662">
        <v>5</v>
      </c>
      <c r="Y662" s="7">
        <v>10</v>
      </c>
      <c r="Z662" s="7">
        <v>250</v>
      </c>
      <c r="AA662" s="7">
        <f t="shared" si="42"/>
        <v>240</v>
      </c>
      <c r="AB662" t="s">
        <v>66</v>
      </c>
      <c r="AC662" t="str">
        <f t="shared" si="43"/>
        <v>Non-Cash Payments</v>
      </c>
    </row>
    <row r="663" spans="1:29" x14ac:dyDescent="0.25">
      <c r="A663">
        <v>60567</v>
      </c>
      <c r="B663" s="2">
        <v>42800</v>
      </c>
      <c r="C663">
        <v>4</v>
      </c>
      <c r="D663" s="2">
        <f t="shared" si="40"/>
        <v>42804</v>
      </c>
      <c r="E663">
        <v>0</v>
      </c>
      <c r="F663" t="s">
        <v>62</v>
      </c>
      <c r="G663" t="str">
        <f t="shared" si="41"/>
        <v>Other</v>
      </c>
      <c r="H663">
        <v>24</v>
      </c>
      <c r="I663">
        <v>8517</v>
      </c>
      <c r="J663">
        <v>5</v>
      </c>
      <c r="K663" t="s">
        <v>31</v>
      </c>
      <c r="L663" t="s">
        <v>480</v>
      </c>
      <c r="M663" t="s">
        <v>626</v>
      </c>
      <c r="N663" t="s">
        <v>626</v>
      </c>
      <c r="P663" t="s">
        <v>627</v>
      </c>
      <c r="Q663" t="s">
        <v>496</v>
      </c>
      <c r="R663">
        <v>24</v>
      </c>
      <c r="T663">
        <v>502</v>
      </c>
      <c r="U663" t="s">
        <v>1058</v>
      </c>
      <c r="V663" s="7">
        <v>50</v>
      </c>
      <c r="W663" s="7">
        <v>43.678035218757444</v>
      </c>
      <c r="X663">
        <v>5</v>
      </c>
      <c r="Y663" s="7">
        <v>12.5</v>
      </c>
      <c r="Z663" s="7">
        <v>250</v>
      </c>
      <c r="AA663" s="7">
        <f t="shared" si="42"/>
        <v>237.5</v>
      </c>
      <c r="AB663" t="s">
        <v>66</v>
      </c>
      <c r="AC663" t="str">
        <f t="shared" si="43"/>
        <v>Non-Cash Payments</v>
      </c>
    </row>
    <row r="664" spans="1:29" x14ac:dyDescent="0.25">
      <c r="A664">
        <v>2203</v>
      </c>
      <c r="B664" s="2">
        <v>42037</v>
      </c>
      <c r="C664">
        <v>4</v>
      </c>
      <c r="D664" s="2">
        <f t="shared" si="40"/>
        <v>42041</v>
      </c>
      <c r="E664">
        <v>0</v>
      </c>
      <c r="F664" t="s">
        <v>62</v>
      </c>
      <c r="G664" t="str">
        <f t="shared" si="41"/>
        <v>Other</v>
      </c>
      <c r="H664">
        <v>24</v>
      </c>
      <c r="I664">
        <v>7701</v>
      </c>
      <c r="J664">
        <v>5</v>
      </c>
      <c r="K664" t="s">
        <v>31</v>
      </c>
      <c r="L664" t="s">
        <v>480</v>
      </c>
      <c r="M664" t="s">
        <v>551</v>
      </c>
      <c r="N664" t="s">
        <v>482</v>
      </c>
      <c r="P664" t="s">
        <v>482</v>
      </c>
      <c r="Q664" t="s">
        <v>483</v>
      </c>
      <c r="R664">
        <v>24</v>
      </c>
      <c r="T664">
        <v>502</v>
      </c>
      <c r="U664" t="s">
        <v>1058</v>
      </c>
      <c r="V664" s="7">
        <v>50</v>
      </c>
      <c r="W664" s="7">
        <v>43.678035218757444</v>
      </c>
      <c r="X664">
        <v>5</v>
      </c>
      <c r="Y664" s="7">
        <v>13.75</v>
      </c>
      <c r="Z664" s="7">
        <v>250</v>
      </c>
      <c r="AA664" s="7">
        <f t="shared" si="42"/>
        <v>236.25</v>
      </c>
      <c r="AB664" t="s">
        <v>66</v>
      </c>
      <c r="AC664" t="str">
        <f t="shared" si="43"/>
        <v>Non-Cash Payments</v>
      </c>
    </row>
    <row r="665" spans="1:29" x14ac:dyDescent="0.25">
      <c r="A665">
        <v>3527</v>
      </c>
      <c r="B665" s="2">
        <v>42056</v>
      </c>
      <c r="C665">
        <v>4</v>
      </c>
      <c r="D665" s="2">
        <f t="shared" si="40"/>
        <v>42061</v>
      </c>
      <c r="E665">
        <v>0</v>
      </c>
      <c r="F665" t="s">
        <v>62</v>
      </c>
      <c r="G665" t="str">
        <f t="shared" si="41"/>
        <v>Other</v>
      </c>
      <c r="H665">
        <v>26</v>
      </c>
      <c r="I665">
        <v>7407</v>
      </c>
      <c r="J665">
        <v>5</v>
      </c>
      <c r="K665" t="s">
        <v>31</v>
      </c>
      <c r="L665" t="s">
        <v>480</v>
      </c>
      <c r="M665" t="s">
        <v>628</v>
      </c>
      <c r="N665" t="s">
        <v>628</v>
      </c>
      <c r="P665" t="s">
        <v>542</v>
      </c>
      <c r="Q665" t="s">
        <v>483</v>
      </c>
      <c r="R665">
        <v>26</v>
      </c>
      <c r="T665">
        <v>572</v>
      </c>
      <c r="U665" t="s">
        <v>1111</v>
      </c>
      <c r="V665" s="7">
        <v>39.990001679999999</v>
      </c>
      <c r="W665" s="7">
        <v>30.892751576250003</v>
      </c>
      <c r="X665">
        <v>5</v>
      </c>
      <c r="Y665" s="7">
        <v>20</v>
      </c>
      <c r="Z665" s="7">
        <v>199.9500084</v>
      </c>
      <c r="AA665" s="7">
        <f t="shared" si="42"/>
        <v>179.9500084</v>
      </c>
      <c r="AB665" t="s">
        <v>66</v>
      </c>
      <c r="AC665" t="str">
        <f t="shared" si="43"/>
        <v>Non-Cash Payments</v>
      </c>
    </row>
    <row r="666" spans="1:29" x14ac:dyDescent="0.25">
      <c r="A666">
        <v>2428</v>
      </c>
      <c r="B666" s="2">
        <v>42126</v>
      </c>
      <c r="C666">
        <v>4</v>
      </c>
      <c r="D666" s="2">
        <f t="shared" si="40"/>
        <v>42131</v>
      </c>
      <c r="E666">
        <v>0</v>
      </c>
      <c r="F666" t="s">
        <v>62</v>
      </c>
      <c r="G666" t="str">
        <f t="shared" si="41"/>
        <v>Other</v>
      </c>
      <c r="H666">
        <v>29</v>
      </c>
      <c r="I666">
        <v>5965</v>
      </c>
      <c r="J666">
        <v>5</v>
      </c>
      <c r="K666" t="s">
        <v>31</v>
      </c>
      <c r="L666" t="s">
        <v>480</v>
      </c>
      <c r="M666" t="s">
        <v>629</v>
      </c>
      <c r="N666" t="s">
        <v>485</v>
      </c>
      <c r="P666" t="s">
        <v>486</v>
      </c>
      <c r="Q666" t="s">
        <v>483</v>
      </c>
      <c r="R666">
        <v>29</v>
      </c>
      <c r="T666">
        <v>627</v>
      </c>
      <c r="U666" t="s">
        <v>1046</v>
      </c>
      <c r="V666" s="7">
        <v>39.990001679999999</v>
      </c>
      <c r="W666" s="7">
        <v>34.198098313835338</v>
      </c>
      <c r="X666">
        <v>5</v>
      </c>
      <c r="Y666" s="7">
        <v>25.989999770000001</v>
      </c>
      <c r="Z666" s="7">
        <v>199.9500084</v>
      </c>
      <c r="AA666" s="7">
        <f t="shared" si="42"/>
        <v>173.96000863</v>
      </c>
      <c r="AB666" t="s">
        <v>66</v>
      </c>
      <c r="AC666" t="str">
        <f t="shared" si="43"/>
        <v>Non-Cash Payments</v>
      </c>
    </row>
    <row r="667" spans="1:29" x14ac:dyDescent="0.25">
      <c r="A667">
        <v>55174</v>
      </c>
      <c r="B667" s="2">
        <v>42810</v>
      </c>
      <c r="C667">
        <v>4</v>
      </c>
      <c r="D667" s="2">
        <f t="shared" si="40"/>
        <v>42816</v>
      </c>
      <c r="E667">
        <v>1</v>
      </c>
      <c r="F667" t="s">
        <v>62</v>
      </c>
      <c r="G667" t="str">
        <f t="shared" si="41"/>
        <v>Other</v>
      </c>
      <c r="H667">
        <v>24</v>
      </c>
      <c r="I667">
        <v>8677</v>
      </c>
      <c r="J667">
        <v>5</v>
      </c>
      <c r="K667" t="s">
        <v>31</v>
      </c>
      <c r="L667" t="s">
        <v>480</v>
      </c>
      <c r="M667" t="s">
        <v>547</v>
      </c>
      <c r="N667" t="s">
        <v>482</v>
      </c>
      <c r="P667" t="s">
        <v>482</v>
      </c>
      <c r="Q667" t="s">
        <v>483</v>
      </c>
      <c r="R667">
        <v>24</v>
      </c>
      <c r="T667">
        <v>502</v>
      </c>
      <c r="U667" t="s">
        <v>1058</v>
      </c>
      <c r="V667" s="7">
        <v>50</v>
      </c>
      <c r="W667" s="7">
        <v>43.678035218757444</v>
      </c>
      <c r="X667">
        <v>5</v>
      </c>
      <c r="Y667" s="7">
        <v>32.5</v>
      </c>
      <c r="Z667" s="7">
        <v>250</v>
      </c>
      <c r="AA667" s="7">
        <f t="shared" si="42"/>
        <v>217.5</v>
      </c>
      <c r="AB667" t="s">
        <v>66</v>
      </c>
      <c r="AC667" t="str">
        <f t="shared" si="43"/>
        <v>Non-Cash Payments</v>
      </c>
    </row>
    <row r="668" spans="1:29" x14ac:dyDescent="0.25">
      <c r="A668">
        <v>57032</v>
      </c>
      <c r="B668" s="2">
        <v>43073</v>
      </c>
      <c r="C668">
        <v>4</v>
      </c>
      <c r="D668" s="2">
        <f t="shared" si="40"/>
        <v>43077</v>
      </c>
      <c r="E668">
        <v>0</v>
      </c>
      <c r="F668" t="s">
        <v>62</v>
      </c>
      <c r="G668" t="str">
        <f t="shared" si="41"/>
        <v>Other</v>
      </c>
      <c r="H668">
        <v>24</v>
      </c>
      <c r="I668">
        <v>10093</v>
      </c>
      <c r="J668">
        <v>5</v>
      </c>
      <c r="K668" t="s">
        <v>31</v>
      </c>
      <c r="L668" t="s">
        <v>480</v>
      </c>
      <c r="M668" t="s">
        <v>630</v>
      </c>
      <c r="N668" t="s">
        <v>513</v>
      </c>
      <c r="P668" t="s">
        <v>506</v>
      </c>
      <c r="Q668" t="s">
        <v>496</v>
      </c>
      <c r="R668">
        <v>24</v>
      </c>
      <c r="T668">
        <v>502</v>
      </c>
      <c r="U668" t="s">
        <v>1058</v>
      </c>
      <c r="V668" s="7">
        <v>50</v>
      </c>
      <c r="W668" s="7">
        <v>43.678035218757444</v>
      </c>
      <c r="X668">
        <v>5</v>
      </c>
      <c r="Y668" s="7">
        <v>32.5</v>
      </c>
      <c r="Z668" s="7">
        <v>250</v>
      </c>
      <c r="AA668" s="7">
        <f t="shared" si="42"/>
        <v>217.5</v>
      </c>
      <c r="AB668" t="s">
        <v>66</v>
      </c>
      <c r="AC668" t="str">
        <f t="shared" si="43"/>
        <v>Non-Cash Payments</v>
      </c>
    </row>
    <row r="669" spans="1:29" x14ac:dyDescent="0.25">
      <c r="A669">
        <v>10113</v>
      </c>
      <c r="B669" s="2">
        <v>42152</v>
      </c>
      <c r="C669">
        <v>4</v>
      </c>
      <c r="D669" s="2">
        <f t="shared" si="40"/>
        <v>42158</v>
      </c>
      <c r="E669">
        <v>0</v>
      </c>
      <c r="F669" t="s">
        <v>62</v>
      </c>
      <c r="G669" t="str">
        <f t="shared" si="41"/>
        <v>Other</v>
      </c>
      <c r="H669">
        <v>24</v>
      </c>
      <c r="I669">
        <v>12119</v>
      </c>
      <c r="J669">
        <v>5</v>
      </c>
      <c r="K669" t="s">
        <v>31</v>
      </c>
      <c r="L669" t="s">
        <v>480</v>
      </c>
      <c r="M669" t="s">
        <v>631</v>
      </c>
      <c r="N669" t="s">
        <v>577</v>
      </c>
      <c r="P669" t="s">
        <v>506</v>
      </c>
      <c r="Q669" t="s">
        <v>496</v>
      </c>
      <c r="R669">
        <v>24</v>
      </c>
      <c r="T669">
        <v>502</v>
      </c>
      <c r="U669" t="s">
        <v>1058</v>
      </c>
      <c r="V669" s="7">
        <v>50</v>
      </c>
      <c r="W669" s="7">
        <v>43.678035218757444</v>
      </c>
      <c r="X669">
        <v>5</v>
      </c>
      <c r="Y669" s="7">
        <v>32.5</v>
      </c>
      <c r="Z669" s="7">
        <v>250</v>
      </c>
      <c r="AA669" s="7">
        <f t="shared" si="42"/>
        <v>217.5</v>
      </c>
      <c r="AB669" t="s">
        <v>66</v>
      </c>
      <c r="AC669" t="str">
        <f t="shared" si="43"/>
        <v>Non-Cash Payments</v>
      </c>
    </row>
    <row r="670" spans="1:29" x14ac:dyDescent="0.25">
      <c r="A670">
        <v>52250</v>
      </c>
      <c r="B670" s="2">
        <v>42737</v>
      </c>
      <c r="C670">
        <v>4</v>
      </c>
      <c r="D670" s="2">
        <f t="shared" si="40"/>
        <v>42741</v>
      </c>
      <c r="E670">
        <v>1</v>
      </c>
      <c r="F670" t="s">
        <v>62</v>
      </c>
      <c r="G670" t="str">
        <f t="shared" si="41"/>
        <v>Other</v>
      </c>
      <c r="H670">
        <v>24</v>
      </c>
      <c r="I670">
        <v>8274</v>
      </c>
      <c r="J670">
        <v>5</v>
      </c>
      <c r="K670" t="s">
        <v>31</v>
      </c>
      <c r="L670" t="s">
        <v>480</v>
      </c>
      <c r="M670" t="s">
        <v>632</v>
      </c>
      <c r="N670" t="s">
        <v>633</v>
      </c>
      <c r="P670" t="s">
        <v>509</v>
      </c>
      <c r="Q670" t="s">
        <v>483</v>
      </c>
      <c r="R670">
        <v>24</v>
      </c>
      <c r="T670">
        <v>502</v>
      </c>
      <c r="U670" t="s">
        <v>1058</v>
      </c>
      <c r="V670" s="7">
        <v>50</v>
      </c>
      <c r="W670" s="7">
        <v>43.678035218757444</v>
      </c>
      <c r="X670">
        <v>5</v>
      </c>
      <c r="Y670" s="7">
        <v>37.5</v>
      </c>
      <c r="Z670" s="7">
        <v>250</v>
      </c>
      <c r="AA670" s="7">
        <f t="shared" si="42"/>
        <v>212.5</v>
      </c>
      <c r="AB670" t="s">
        <v>66</v>
      </c>
      <c r="AC670" t="str">
        <f t="shared" si="43"/>
        <v>Non-Cash Payments</v>
      </c>
    </row>
    <row r="671" spans="1:29" x14ac:dyDescent="0.25">
      <c r="A671">
        <v>8906</v>
      </c>
      <c r="B671" s="2">
        <v>42282</v>
      </c>
      <c r="C671">
        <v>4</v>
      </c>
      <c r="D671" s="2">
        <f t="shared" si="40"/>
        <v>42286</v>
      </c>
      <c r="E671">
        <v>0</v>
      </c>
      <c r="F671" t="s">
        <v>62</v>
      </c>
      <c r="G671" t="str">
        <f t="shared" si="41"/>
        <v>Other</v>
      </c>
      <c r="H671">
        <v>24</v>
      </c>
      <c r="I671">
        <v>2291</v>
      </c>
      <c r="J671">
        <v>5</v>
      </c>
      <c r="K671" t="s">
        <v>31</v>
      </c>
      <c r="L671" t="s">
        <v>480</v>
      </c>
      <c r="M671" t="s">
        <v>634</v>
      </c>
      <c r="N671" t="s">
        <v>635</v>
      </c>
      <c r="P671" t="s">
        <v>509</v>
      </c>
      <c r="Q671" t="s">
        <v>483</v>
      </c>
      <c r="R671">
        <v>24</v>
      </c>
      <c r="T671">
        <v>502</v>
      </c>
      <c r="U671" t="s">
        <v>1058</v>
      </c>
      <c r="V671" s="7">
        <v>50</v>
      </c>
      <c r="W671" s="7">
        <v>43.678035218757444</v>
      </c>
      <c r="X671">
        <v>5</v>
      </c>
      <c r="Y671" s="7">
        <v>37.5</v>
      </c>
      <c r="Z671" s="7">
        <v>250</v>
      </c>
      <c r="AA671" s="7">
        <f t="shared" si="42"/>
        <v>212.5</v>
      </c>
      <c r="AB671" t="s">
        <v>66</v>
      </c>
      <c r="AC671" t="str">
        <f t="shared" si="43"/>
        <v>Non-Cash Payments</v>
      </c>
    </row>
    <row r="672" spans="1:29" x14ac:dyDescent="0.25">
      <c r="A672">
        <v>1386</v>
      </c>
      <c r="B672" s="2">
        <v>42025</v>
      </c>
      <c r="C672">
        <v>4</v>
      </c>
      <c r="D672" s="2">
        <f t="shared" si="40"/>
        <v>42031</v>
      </c>
      <c r="E672">
        <v>0</v>
      </c>
      <c r="F672" t="s">
        <v>62</v>
      </c>
      <c r="G672" t="str">
        <f t="shared" si="41"/>
        <v>Other</v>
      </c>
      <c r="H672">
        <v>29</v>
      </c>
      <c r="I672">
        <v>11310</v>
      </c>
      <c r="J672">
        <v>5</v>
      </c>
      <c r="K672" t="s">
        <v>31</v>
      </c>
      <c r="L672" t="s">
        <v>480</v>
      </c>
      <c r="M672" t="s">
        <v>636</v>
      </c>
      <c r="N672" t="s">
        <v>513</v>
      </c>
      <c r="P672" t="s">
        <v>506</v>
      </c>
      <c r="Q672" t="s">
        <v>496</v>
      </c>
      <c r="R672">
        <v>29</v>
      </c>
      <c r="T672">
        <v>627</v>
      </c>
      <c r="U672" t="s">
        <v>1046</v>
      </c>
      <c r="V672" s="7">
        <v>39.990001679999999</v>
      </c>
      <c r="W672" s="7">
        <v>34.198098313835338</v>
      </c>
      <c r="X672">
        <v>5</v>
      </c>
      <c r="Y672" s="7">
        <v>29.989999770000001</v>
      </c>
      <c r="Z672" s="7">
        <v>199.9500084</v>
      </c>
      <c r="AA672" s="7">
        <f t="shared" si="42"/>
        <v>169.96000863</v>
      </c>
      <c r="AB672" t="s">
        <v>66</v>
      </c>
      <c r="AC672" t="str">
        <f t="shared" si="43"/>
        <v>Non-Cash Payments</v>
      </c>
    </row>
    <row r="673" spans="1:29" x14ac:dyDescent="0.25">
      <c r="A673">
        <v>59226</v>
      </c>
      <c r="B673" s="2">
        <v>42869</v>
      </c>
      <c r="C673">
        <v>4</v>
      </c>
      <c r="D673" s="2">
        <f t="shared" si="40"/>
        <v>42873</v>
      </c>
      <c r="E673">
        <v>0</v>
      </c>
      <c r="F673" t="s">
        <v>62</v>
      </c>
      <c r="G673" t="str">
        <f t="shared" si="41"/>
        <v>Other</v>
      </c>
      <c r="H673">
        <v>29</v>
      </c>
      <c r="I673">
        <v>155</v>
      </c>
      <c r="J673">
        <v>5</v>
      </c>
      <c r="K673" t="s">
        <v>31</v>
      </c>
      <c r="L673" t="s">
        <v>480</v>
      </c>
      <c r="M673" t="s">
        <v>637</v>
      </c>
      <c r="N673" t="s">
        <v>513</v>
      </c>
      <c r="P673" t="s">
        <v>506</v>
      </c>
      <c r="Q673" t="s">
        <v>496</v>
      </c>
      <c r="R673">
        <v>29</v>
      </c>
      <c r="T673">
        <v>627</v>
      </c>
      <c r="U673" t="s">
        <v>1046</v>
      </c>
      <c r="V673" s="7">
        <v>39.990001679999999</v>
      </c>
      <c r="W673" s="7">
        <v>34.198098313835338</v>
      </c>
      <c r="X673">
        <v>5</v>
      </c>
      <c r="Y673" s="7">
        <v>31.989999770000001</v>
      </c>
      <c r="Z673" s="7">
        <v>199.9500084</v>
      </c>
      <c r="AA673" s="7">
        <f t="shared" si="42"/>
        <v>167.96000863</v>
      </c>
      <c r="AB673" t="s">
        <v>66</v>
      </c>
      <c r="AC673" t="str">
        <f t="shared" si="43"/>
        <v>Non-Cash Payments</v>
      </c>
    </row>
    <row r="674" spans="1:29" x14ac:dyDescent="0.25">
      <c r="A674">
        <v>8847</v>
      </c>
      <c r="B674" s="2">
        <v>42282</v>
      </c>
      <c r="C674">
        <v>4</v>
      </c>
      <c r="D674" s="2">
        <f t="shared" si="40"/>
        <v>42286</v>
      </c>
      <c r="E674">
        <v>0</v>
      </c>
      <c r="F674" t="s">
        <v>62</v>
      </c>
      <c r="G674" t="str">
        <f t="shared" si="41"/>
        <v>Other</v>
      </c>
      <c r="H674">
        <v>24</v>
      </c>
      <c r="I674">
        <v>4998</v>
      </c>
      <c r="J674">
        <v>5</v>
      </c>
      <c r="K674" t="s">
        <v>31</v>
      </c>
      <c r="L674" t="s">
        <v>480</v>
      </c>
      <c r="M674" t="s">
        <v>476</v>
      </c>
      <c r="N674" t="s">
        <v>638</v>
      </c>
      <c r="P674" t="s">
        <v>495</v>
      </c>
      <c r="Q674" t="s">
        <v>496</v>
      </c>
      <c r="R674">
        <v>24</v>
      </c>
      <c r="T674">
        <v>502</v>
      </c>
      <c r="U674" t="s">
        <v>1058</v>
      </c>
      <c r="V674" s="7">
        <v>50</v>
      </c>
      <c r="W674" s="7">
        <v>43.678035218757444</v>
      </c>
      <c r="X674">
        <v>5</v>
      </c>
      <c r="Y674" s="7">
        <v>40</v>
      </c>
      <c r="Z674" s="7">
        <v>250</v>
      </c>
      <c r="AA674" s="7">
        <f t="shared" si="42"/>
        <v>210</v>
      </c>
      <c r="AB674" t="s">
        <v>66</v>
      </c>
      <c r="AC674" t="str">
        <f t="shared" si="43"/>
        <v>Non-Cash Payments</v>
      </c>
    </row>
    <row r="675" spans="1:29" x14ac:dyDescent="0.25">
      <c r="A675">
        <v>57929</v>
      </c>
      <c r="B675" s="2">
        <v>42850</v>
      </c>
      <c r="C675">
        <v>4</v>
      </c>
      <c r="D675" s="2">
        <f t="shared" si="40"/>
        <v>42856</v>
      </c>
      <c r="E675">
        <v>1</v>
      </c>
      <c r="F675" t="s">
        <v>62</v>
      </c>
      <c r="G675" t="str">
        <f t="shared" si="41"/>
        <v>Other</v>
      </c>
      <c r="H675">
        <v>29</v>
      </c>
      <c r="I675">
        <v>7720</v>
      </c>
      <c r="J675">
        <v>5</v>
      </c>
      <c r="K675" t="s">
        <v>31</v>
      </c>
      <c r="L675" t="s">
        <v>480</v>
      </c>
      <c r="M675" t="s">
        <v>573</v>
      </c>
      <c r="N675" t="s">
        <v>508</v>
      </c>
      <c r="P675" t="s">
        <v>506</v>
      </c>
      <c r="Q675" t="s">
        <v>496</v>
      </c>
      <c r="R675">
        <v>29</v>
      </c>
      <c r="T675">
        <v>627</v>
      </c>
      <c r="U675" t="s">
        <v>1046</v>
      </c>
      <c r="V675" s="7">
        <v>39.990001679999999</v>
      </c>
      <c r="W675" s="7">
        <v>34.198098313835338</v>
      </c>
      <c r="X675">
        <v>5</v>
      </c>
      <c r="Y675" s="7">
        <v>35.990001679999999</v>
      </c>
      <c r="Z675" s="7">
        <v>199.9500084</v>
      </c>
      <c r="AA675" s="7">
        <f t="shared" si="42"/>
        <v>163.96000672</v>
      </c>
      <c r="AB675" t="s">
        <v>66</v>
      </c>
      <c r="AC675" t="str">
        <f t="shared" si="43"/>
        <v>Non-Cash Payments</v>
      </c>
    </row>
    <row r="676" spans="1:29" x14ac:dyDescent="0.25">
      <c r="A676">
        <v>53505</v>
      </c>
      <c r="B676" s="2">
        <v>42786</v>
      </c>
      <c r="C676">
        <v>4</v>
      </c>
      <c r="D676" s="2">
        <f t="shared" si="40"/>
        <v>42790</v>
      </c>
      <c r="E676">
        <v>1</v>
      </c>
      <c r="F676" t="s">
        <v>62</v>
      </c>
      <c r="G676" t="str">
        <f t="shared" si="41"/>
        <v>Other</v>
      </c>
      <c r="H676">
        <v>24</v>
      </c>
      <c r="I676">
        <v>3099</v>
      </c>
      <c r="J676">
        <v>5</v>
      </c>
      <c r="K676" t="s">
        <v>31</v>
      </c>
      <c r="L676" t="s">
        <v>480</v>
      </c>
      <c r="M676" t="s">
        <v>582</v>
      </c>
      <c r="N676" t="s">
        <v>582</v>
      </c>
      <c r="P676" t="s">
        <v>509</v>
      </c>
      <c r="Q676" t="s">
        <v>483</v>
      </c>
      <c r="R676">
        <v>24</v>
      </c>
      <c r="T676">
        <v>502</v>
      </c>
      <c r="U676" t="s">
        <v>1058</v>
      </c>
      <c r="V676" s="7">
        <v>50</v>
      </c>
      <c r="W676" s="7">
        <v>43.678035218757444</v>
      </c>
      <c r="X676">
        <v>5</v>
      </c>
      <c r="Y676" s="7">
        <v>50</v>
      </c>
      <c r="Z676" s="7">
        <v>250</v>
      </c>
      <c r="AA676" s="7">
        <f t="shared" si="42"/>
        <v>200</v>
      </c>
      <c r="AB676" t="s">
        <v>66</v>
      </c>
      <c r="AC676" t="str">
        <f t="shared" si="43"/>
        <v>Non-Cash Payments</v>
      </c>
    </row>
    <row r="677" spans="1:29" x14ac:dyDescent="0.25">
      <c r="A677">
        <v>55636</v>
      </c>
      <c r="B677" s="2">
        <v>42817</v>
      </c>
      <c r="C677">
        <v>4</v>
      </c>
      <c r="D677" s="2">
        <f t="shared" si="40"/>
        <v>42823</v>
      </c>
      <c r="E677">
        <v>0</v>
      </c>
      <c r="F677" t="s">
        <v>62</v>
      </c>
      <c r="G677" t="str">
        <f t="shared" si="41"/>
        <v>Other</v>
      </c>
      <c r="H677">
        <v>26</v>
      </c>
      <c r="I677">
        <v>5011</v>
      </c>
      <c r="J677">
        <v>5</v>
      </c>
      <c r="K677" t="s">
        <v>31</v>
      </c>
      <c r="L677" t="s">
        <v>480</v>
      </c>
      <c r="M677" t="s">
        <v>639</v>
      </c>
      <c r="N677" t="s">
        <v>618</v>
      </c>
      <c r="P677" t="s">
        <v>640</v>
      </c>
      <c r="Q677" t="s">
        <v>496</v>
      </c>
      <c r="R677">
        <v>26</v>
      </c>
      <c r="T677">
        <v>565</v>
      </c>
      <c r="U677" t="s">
        <v>1078</v>
      </c>
      <c r="V677" s="7">
        <v>70</v>
      </c>
      <c r="W677" s="7">
        <v>62.759999940857142</v>
      </c>
      <c r="X677">
        <v>5</v>
      </c>
      <c r="Y677" s="7">
        <v>70</v>
      </c>
      <c r="Z677" s="7">
        <v>350</v>
      </c>
      <c r="AA677" s="7">
        <f t="shared" si="42"/>
        <v>280</v>
      </c>
      <c r="AB677" t="s">
        <v>66</v>
      </c>
      <c r="AC677" t="str">
        <f t="shared" si="43"/>
        <v>Non-Cash Payments</v>
      </c>
    </row>
    <row r="678" spans="1:29" x14ac:dyDescent="0.25">
      <c r="A678">
        <v>57128</v>
      </c>
      <c r="B678" s="2">
        <v>42838</v>
      </c>
      <c r="C678">
        <v>4</v>
      </c>
      <c r="D678" s="2">
        <f t="shared" si="40"/>
        <v>42844</v>
      </c>
      <c r="E678">
        <v>0</v>
      </c>
      <c r="F678" t="s">
        <v>62</v>
      </c>
      <c r="G678" t="str">
        <f t="shared" si="41"/>
        <v>Other</v>
      </c>
      <c r="H678">
        <v>37</v>
      </c>
      <c r="I678">
        <v>2643</v>
      </c>
      <c r="J678">
        <v>6</v>
      </c>
      <c r="K678" t="s">
        <v>35</v>
      </c>
      <c r="L678" t="s">
        <v>480</v>
      </c>
      <c r="M678" t="s">
        <v>501</v>
      </c>
      <c r="N678" t="s">
        <v>502</v>
      </c>
      <c r="P678" t="s">
        <v>503</v>
      </c>
      <c r="Q678" t="s">
        <v>483</v>
      </c>
      <c r="R678">
        <v>37</v>
      </c>
      <c r="T678">
        <v>818</v>
      </c>
      <c r="U678" t="s">
        <v>1074</v>
      </c>
      <c r="V678" s="7">
        <v>47.990001679999999</v>
      </c>
      <c r="W678" s="7">
        <v>51.274287170714288</v>
      </c>
      <c r="X678">
        <v>5</v>
      </c>
      <c r="Y678" s="7">
        <v>0</v>
      </c>
      <c r="Z678" s="7">
        <v>239.9500084</v>
      </c>
      <c r="AA678" s="7">
        <f t="shared" si="42"/>
        <v>239.9500084</v>
      </c>
      <c r="AB678" t="s">
        <v>66</v>
      </c>
      <c r="AC678" t="str">
        <f t="shared" si="43"/>
        <v>Non-Cash Payments</v>
      </c>
    </row>
    <row r="679" spans="1:29" x14ac:dyDescent="0.25">
      <c r="A679">
        <v>8728</v>
      </c>
      <c r="B679" s="2">
        <v>42221</v>
      </c>
      <c r="C679">
        <v>4</v>
      </c>
      <c r="D679" s="2">
        <f t="shared" si="40"/>
        <v>42227</v>
      </c>
      <c r="E679">
        <v>0</v>
      </c>
      <c r="F679" t="s">
        <v>62</v>
      </c>
      <c r="G679" t="str">
        <f t="shared" si="41"/>
        <v>Other</v>
      </c>
      <c r="H679">
        <v>40</v>
      </c>
      <c r="I679">
        <v>9501</v>
      </c>
      <c r="J679">
        <v>6</v>
      </c>
      <c r="K679" t="s">
        <v>35</v>
      </c>
      <c r="L679" t="s">
        <v>480</v>
      </c>
      <c r="M679" t="s">
        <v>641</v>
      </c>
      <c r="N679" t="s">
        <v>642</v>
      </c>
      <c r="P679" t="s">
        <v>506</v>
      </c>
      <c r="Q679" t="s">
        <v>496</v>
      </c>
      <c r="R679">
        <v>40</v>
      </c>
      <c r="T679">
        <v>897</v>
      </c>
      <c r="U679" t="s">
        <v>1080</v>
      </c>
      <c r="V679" s="7">
        <v>24.989999770000001</v>
      </c>
      <c r="W679" s="7">
        <v>31.600000078500003</v>
      </c>
      <c r="X679">
        <v>5</v>
      </c>
      <c r="Y679" s="7">
        <v>2.5</v>
      </c>
      <c r="Z679" s="7">
        <v>124.94999885</v>
      </c>
      <c r="AA679" s="7">
        <f t="shared" si="42"/>
        <v>122.44999885</v>
      </c>
      <c r="AB679" t="s">
        <v>66</v>
      </c>
      <c r="AC679" t="str">
        <f t="shared" si="43"/>
        <v>Non-Cash Payments</v>
      </c>
    </row>
    <row r="680" spans="1:29" x14ac:dyDescent="0.25">
      <c r="A680">
        <v>1105</v>
      </c>
      <c r="B680" s="2">
        <v>42021</v>
      </c>
      <c r="C680">
        <v>4</v>
      </c>
      <c r="D680" s="2">
        <f t="shared" si="40"/>
        <v>42026</v>
      </c>
      <c r="E680">
        <v>1</v>
      </c>
      <c r="F680" t="s">
        <v>62</v>
      </c>
      <c r="G680" t="str">
        <f t="shared" si="41"/>
        <v>Other</v>
      </c>
      <c r="H680">
        <v>37</v>
      </c>
      <c r="I680">
        <v>9760</v>
      </c>
      <c r="J680">
        <v>6</v>
      </c>
      <c r="K680" t="s">
        <v>35</v>
      </c>
      <c r="L680" t="s">
        <v>480</v>
      </c>
      <c r="M680" t="s">
        <v>643</v>
      </c>
      <c r="N680" t="s">
        <v>577</v>
      </c>
      <c r="P680" t="s">
        <v>644</v>
      </c>
      <c r="Q680" t="s">
        <v>492</v>
      </c>
      <c r="R680">
        <v>37</v>
      </c>
      <c r="T680">
        <v>818</v>
      </c>
      <c r="U680" t="s">
        <v>1074</v>
      </c>
      <c r="V680" s="7">
        <v>47.990001679999999</v>
      </c>
      <c r="W680" s="7">
        <v>51.274287170714288</v>
      </c>
      <c r="X680">
        <v>5</v>
      </c>
      <c r="Y680" s="7">
        <v>9.6000003809999992</v>
      </c>
      <c r="Z680" s="7">
        <v>239.9500084</v>
      </c>
      <c r="AA680" s="7">
        <f t="shared" si="42"/>
        <v>230.350008019</v>
      </c>
      <c r="AB680" t="s">
        <v>66</v>
      </c>
      <c r="AC680" t="str">
        <f t="shared" si="43"/>
        <v>Non-Cash Payments</v>
      </c>
    </row>
    <row r="681" spans="1:29" x14ac:dyDescent="0.25">
      <c r="A681">
        <v>1797</v>
      </c>
      <c r="B681" s="2">
        <v>42031</v>
      </c>
      <c r="C681">
        <v>4</v>
      </c>
      <c r="D681" s="2">
        <f t="shared" si="40"/>
        <v>42037</v>
      </c>
      <c r="E681">
        <v>0</v>
      </c>
      <c r="F681" t="s">
        <v>62</v>
      </c>
      <c r="G681" t="str">
        <f t="shared" si="41"/>
        <v>Other</v>
      </c>
      <c r="H681">
        <v>40</v>
      </c>
      <c r="I681">
        <v>11793</v>
      </c>
      <c r="J681">
        <v>6</v>
      </c>
      <c r="K681" t="s">
        <v>35</v>
      </c>
      <c r="L681" t="s">
        <v>480</v>
      </c>
      <c r="M681" t="s">
        <v>632</v>
      </c>
      <c r="N681" t="s">
        <v>633</v>
      </c>
      <c r="P681" t="s">
        <v>509</v>
      </c>
      <c r="Q681" t="s">
        <v>483</v>
      </c>
      <c r="R681">
        <v>40</v>
      </c>
      <c r="T681">
        <v>886</v>
      </c>
      <c r="U681" t="s">
        <v>1066</v>
      </c>
      <c r="V681" s="7">
        <v>24.989999770000001</v>
      </c>
      <c r="W681" s="7">
        <v>18.459749817000002</v>
      </c>
      <c r="X681">
        <v>5</v>
      </c>
      <c r="Y681" s="7">
        <v>6.8699998860000004</v>
      </c>
      <c r="Z681" s="7">
        <v>124.94999885</v>
      </c>
      <c r="AA681" s="7">
        <f t="shared" si="42"/>
        <v>118.079998964</v>
      </c>
      <c r="AB681" t="s">
        <v>66</v>
      </c>
      <c r="AC681" t="str">
        <f t="shared" si="43"/>
        <v>Non-Cash Payments</v>
      </c>
    </row>
    <row r="682" spans="1:29" x14ac:dyDescent="0.25">
      <c r="A682">
        <v>1634</v>
      </c>
      <c r="B682" s="2">
        <v>42028</v>
      </c>
      <c r="C682">
        <v>4</v>
      </c>
      <c r="D682" s="2">
        <f t="shared" si="40"/>
        <v>42033</v>
      </c>
      <c r="E682">
        <v>1</v>
      </c>
      <c r="F682" t="s">
        <v>62</v>
      </c>
      <c r="G682" t="str">
        <f t="shared" si="41"/>
        <v>Other</v>
      </c>
      <c r="H682">
        <v>40</v>
      </c>
      <c r="I682">
        <v>7273</v>
      </c>
      <c r="J682">
        <v>6</v>
      </c>
      <c r="K682" t="s">
        <v>35</v>
      </c>
      <c r="L682" t="s">
        <v>480</v>
      </c>
      <c r="M682" t="s">
        <v>485</v>
      </c>
      <c r="N682" t="s">
        <v>485</v>
      </c>
      <c r="P682" t="s">
        <v>486</v>
      </c>
      <c r="Q682" t="s">
        <v>483</v>
      </c>
      <c r="R682">
        <v>40</v>
      </c>
      <c r="T682">
        <v>905</v>
      </c>
      <c r="U682" t="s">
        <v>1060</v>
      </c>
      <c r="V682" s="7">
        <v>24.989999770000001</v>
      </c>
      <c r="W682" s="7">
        <v>20.52742837007143</v>
      </c>
      <c r="X682">
        <v>5</v>
      </c>
      <c r="Y682" s="7">
        <v>11.25</v>
      </c>
      <c r="Z682" s="7">
        <v>124.94999885</v>
      </c>
      <c r="AA682" s="7">
        <f t="shared" si="42"/>
        <v>113.69999885</v>
      </c>
      <c r="AB682" t="s">
        <v>66</v>
      </c>
      <c r="AC682" t="str">
        <f t="shared" si="43"/>
        <v>Non-Cash Payments</v>
      </c>
    </row>
    <row r="683" spans="1:29" x14ac:dyDescent="0.25">
      <c r="A683">
        <v>53576</v>
      </c>
      <c r="B683" s="2">
        <v>42787</v>
      </c>
      <c r="C683">
        <v>4</v>
      </c>
      <c r="D683" s="2">
        <f t="shared" si="40"/>
        <v>42793</v>
      </c>
      <c r="E683">
        <v>0</v>
      </c>
      <c r="F683" t="s">
        <v>62</v>
      </c>
      <c r="G683" t="str">
        <f t="shared" si="41"/>
        <v>Other</v>
      </c>
      <c r="H683">
        <v>41</v>
      </c>
      <c r="I683">
        <v>5301</v>
      </c>
      <c r="J683">
        <v>6</v>
      </c>
      <c r="K683" t="s">
        <v>35</v>
      </c>
      <c r="L683" t="s">
        <v>480</v>
      </c>
      <c r="M683" t="s">
        <v>621</v>
      </c>
      <c r="N683" t="s">
        <v>572</v>
      </c>
      <c r="P683" t="s">
        <v>509</v>
      </c>
      <c r="Q683" t="s">
        <v>483</v>
      </c>
      <c r="R683">
        <v>41</v>
      </c>
      <c r="T683">
        <v>924</v>
      </c>
      <c r="U683" t="s">
        <v>1068</v>
      </c>
      <c r="V683" s="7">
        <v>15.989999770000001</v>
      </c>
      <c r="W683" s="7">
        <v>16.143866608000003</v>
      </c>
      <c r="X683">
        <v>5</v>
      </c>
      <c r="Y683" s="7">
        <v>8</v>
      </c>
      <c r="Z683" s="7">
        <v>79.94999885</v>
      </c>
      <c r="AA683" s="7">
        <f t="shared" si="42"/>
        <v>71.94999885</v>
      </c>
      <c r="AB683" t="s">
        <v>66</v>
      </c>
      <c r="AC683" t="str">
        <f t="shared" si="43"/>
        <v>Non-Cash Payments</v>
      </c>
    </row>
    <row r="684" spans="1:29" x14ac:dyDescent="0.25">
      <c r="A684">
        <v>10113</v>
      </c>
      <c r="B684" s="2">
        <v>42152</v>
      </c>
      <c r="C684">
        <v>4</v>
      </c>
      <c r="D684" s="2">
        <f t="shared" si="40"/>
        <v>42158</v>
      </c>
      <c r="E684">
        <v>0</v>
      </c>
      <c r="F684" t="s">
        <v>62</v>
      </c>
      <c r="G684" t="str">
        <f t="shared" si="41"/>
        <v>Other</v>
      </c>
      <c r="H684">
        <v>40</v>
      </c>
      <c r="I684">
        <v>12119</v>
      </c>
      <c r="J684">
        <v>6</v>
      </c>
      <c r="K684" t="s">
        <v>35</v>
      </c>
      <c r="L684" t="s">
        <v>480</v>
      </c>
      <c r="M684" t="s">
        <v>631</v>
      </c>
      <c r="N684" t="s">
        <v>577</v>
      </c>
      <c r="P684" t="s">
        <v>506</v>
      </c>
      <c r="Q684" t="s">
        <v>496</v>
      </c>
      <c r="R684">
        <v>40</v>
      </c>
      <c r="T684">
        <v>893</v>
      </c>
      <c r="U684" t="s">
        <v>1092</v>
      </c>
      <c r="V684" s="7">
        <v>24.989999770000001</v>
      </c>
      <c r="W684" s="7">
        <v>19.858499913833334</v>
      </c>
      <c r="X684">
        <v>5</v>
      </c>
      <c r="Y684" s="7">
        <v>19.989999770000001</v>
      </c>
      <c r="Z684" s="7">
        <v>124.94999885</v>
      </c>
      <c r="AA684" s="7">
        <f t="shared" si="42"/>
        <v>104.95999908</v>
      </c>
      <c r="AB684" t="s">
        <v>66</v>
      </c>
      <c r="AC684" t="str">
        <f t="shared" si="43"/>
        <v>Non-Cash Payments</v>
      </c>
    </row>
    <row r="685" spans="1:29" x14ac:dyDescent="0.25">
      <c r="A685">
        <v>6176</v>
      </c>
      <c r="B685" s="2">
        <v>42008</v>
      </c>
      <c r="C685">
        <v>4</v>
      </c>
      <c r="D685" s="2">
        <f t="shared" si="40"/>
        <v>42012</v>
      </c>
      <c r="E685">
        <v>0</v>
      </c>
      <c r="F685" t="s">
        <v>62</v>
      </c>
      <c r="G685" t="str">
        <f t="shared" si="41"/>
        <v>Other</v>
      </c>
      <c r="H685">
        <v>17</v>
      </c>
      <c r="I685">
        <v>3329</v>
      </c>
      <c r="J685">
        <v>4</v>
      </c>
      <c r="K685" t="s">
        <v>46</v>
      </c>
      <c r="L685" t="s">
        <v>480</v>
      </c>
      <c r="M685" t="s">
        <v>645</v>
      </c>
      <c r="N685" t="s">
        <v>646</v>
      </c>
      <c r="P685" t="s">
        <v>509</v>
      </c>
      <c r="Q685" t="s">
        <v>483</v>
      </c>
      <c r="R685">
        <v>17</v>
      </c>
      <c r="T685">
        <v>365</v>
      </c>
      <c r="U685" t="s">
        <v>1054</v>
      </c>
      <c r="V685" s="7">
        <v>59.990001679999999</v>
      </c>
      <c r="W685" s="7">
        <v>54.488929209402009</v>
      </c>
      <c r="X685">
        <v>5</v>
      </c>
      <c r="Y685" s="7">
        <v>15</v>
      </c>
      <c r="Z685" s="7">
        <v>299.9500084</v>
      </c>
      <c r="AA685" s="7">
        <f t="shared" si="42"/>
        <v>284.9500084</v>
      </c>
      <c r="AB685" t="s">
        <v>66</v>
      </c>
      <c r="AC685" t="str">
        <f t="shared" si="43"/>
        <v>Non-Cash Payments</v>
      </c>
    </row>
    <row r="686" spans="1:29" x14ac:dyDescent="0.25">
      <c r="A686">
        <v>60460</v>
      </c>
      <c r="B686" s="2">
        <v>42741</v>
      </c>
      <c r="C686">
        <v>4</v>
      </c>
      <c r="D686" s="2">
        <f t="shared" si="40"/>
        <v>42747</v>
      </c>
      <c r="E686">
        <v>0</v>
      </c>
      <c r="F686" t="s">
        <v>62</v>
      </c>
      <c r="G686" t="str">
        <f t="shared" si="41"/>
        <v>Other</v>
      </c>
      <c r="H686">
        <v>17</v>
      </c>
      <c r="I686">
        <v>9429</v>
      </c>
      <c r="J686">
        <v>4</v>
      </c>
      <c r="K686" t="s">
        <v>46</v>
      </c>
      <c r="L686" t="s">
        <v>480</v>
      </c>
      <c r="M686" t="s">
        <v>521</v>
      </c>
      <c r="N686" t="s">
        <v>521</v>
      </c>
      <c r="P686" t="s">
        <v>522</v>
      </c>
      <c r="Q686" t="s">
        <v>492</v>
      </c>
      <c r="R686">
        <v>17</v>
      </c>
      <c r="T686">
        <v>365</v>
      </c>
      <c r="U686" t="s">
        <v>1054</v>
      </c>
      <c r="V686" s="7">
        <v>59.990001679999999</v>
      </c>
      <c r="W686" s="7">
        <v>54.488929209402009</v>
      </c>
      <c r="X686">
        <v>5</v>
      </c>
      <c r="Y686" s="7">
        <v>27</v>
      </c>
      <c r="Z686" s="7">
        <v>299.9500084</v>
      </c>
      <c r="AA686" s="7">
        <f t="shared" si="42"/>
        <v>272.9500084</v>
      </c>
      <c r="AB686" t="s">
        <v>66</v>
      </c>
      <c r="AC686" t="str">
        <f t="shared" si="43"/>
        <v>Non-Cash Payments</v>
      </c>
    </row>
    <row r="687" spans="1:29" x14ac:dyDescent="0.25">
      <c r="A687">
        <v>580</v>
      </c>
      <c r="B687" s="2">
        <v>42248</v>
      </c>
      <c r="C687">
        <v>4</v>
      </c>
      <c r="D687" s="2">
        <f t="shared" si="40"/>
        <v>42254</v>
      </c>
      <c r="E687">
        <v>0</v>
      </c>
      <c r="F687" t="s">
        <v>62</v>
      </c>
      <c r="G687" t="str">
        <f t="shared" si="41"/>
        <v>Other</v>
      </c>
      <c r="H687">
        <v>17</v>
      </c>
      <c r="I687">
        <v>8677</v>
      </c>
      <c r="J687">
        <v>4</v>
      </c>
      <c r="K687" t="s">
        <v>46</v>
      </c>
      <c r="L687" t="s">
        <v>480</v>
      </c>
      <c r="M687" t="s">
        <v>484</v>
      </c>
      <c r="N687" t="s">
        <v>485</v>
      </c>
      <c r="P687" t="s">
        <v>486</v>
      </c>
      <c r="Q687" t="s">
        <v>483</v>
      </c>
      <c r="R687">
        <v>17</v>
      </c>
      <c r="T687">
        <v>365</v>
      </c>
      <c r="U687" t="s">
        <v>1054</v>
      </c>
      <c r="V687" s="7">
        <v>59.990001679999999</v>
      </c>
      <c r="W687" s="7">
        <v>54.488929209402009</v>
      </c>
      <c r="X687">
        <v>5</v>
      </c>
      <c r="Y687" s="7">
        <v>30</v>
      </c>
      <c r="Z687" s="7">
        <v>299.9500084</v>
      </c>
      <c r="AA687" s="7">
        <f t="shared" si="42"/>
        <v>269.9500084</v>
      </c>
      <c r="AB687" t="s">
        <v>66</v>
      </c>
      <c r="AC687" t="str">
        <f t="shared" si="43"/>
        <v>Non-Cash Payments</v>
      </c>
    </row>
    <row r="688" spans="1:29" x14ac:dyDescent="0.25">
      <c r="A688">
        <v>56244</v>
      </c>
      <c r="B688" s="2">
        <v>42739</v>
      </c>
      <c r="C688">
        <v>4</v>
      </c>
      <c r="D688" s="2">
        <f t="shared" si="40"/>
        <v>42745</v>
      </c>
      <c r="E688">
        <v>0</v>
      </c>
      <c r="F688" t="s">
        <v>62</v>
      </c>
      <c r="G688" t="str">
        <f t="shared" si="41"/>
        <v>Other</v>
      </c>
      <c r="H688">
        <v>17</v>
      </c>
      <c r="I688">
        <v>437</v>
      </c>
      <c r="J688">
        <v>4</v>
      </c>
      <c r="K688" t="s">
        <v>46</v>
      </c>
      <c r="L688" t="s">
        <v>480</v>
      </c>
      <c r="M688" t="s">
        <v>647</v>
      </c>
      <c r="N688" t="s">
        <v>647</v>
      </c>
      <c r="P688" t="s">
        <v>522</v>
      </c>
      <c r="Q688" t="s">
        <v>492</v>
      </c>
      <c r="R688">
        <v>17</v>
      </c>
      <c r="T688">
        <v>365</v>
      </c>
      <c r="U688" t="s">
        <v>1054</v>
      </c>
      <c r="V688" s="7">
        <v>59.990001679999999</v>
      </c>
      <c r="W688" s="7">
        <v>54.488929209402009</v>
      </c>
      <c r="X688">
        <v>5</v>
      </c>
      <c r="Y688" s="7">
        <v>44.990001679999999</v>
      </c>
      <c r="Z688" s="7">
        <v>299.9500084</v>
      </c>
      <c r="AA688" s="7">
        <f t="shared" si="42"/>
        <v>254.96000672</v>
      </c>
      <c r="AB688" t="s">
        <v>66</v>
      </c>
      <c r="AC688" t="str">
        <f t="shared" si="43"/>
        <v>Non-Cash Payments</v>
      </c>
    </row>
    <row r="689" spans="1:29" x14ac:dyDescent="0.25">
      <c r="A689">
        <v>6522</v>
      </c>
      <c r="B689" s="2">
        <v>42159</v>
      </c>
      <c r="C689">
        <v>4</v>
      </c>
      <c r="D689" s="2">
        <f t="shared" si="40"/>
        <v>42165</v>
      </c>
      <c r="E689">
        <v>0</v>
      </c>
      <c r="F689" t="s">
        <v>62</v>
      </c>
      <c r="G689" t="str">
        <f t="shared" si="41"/>
        <v>Other</v>
      </c>
      <c r="H689">
        <v>17</v>
      </c>
      <c r="I689">
        <v>2538</v>
      </c>
      <c r="J689">
        <v>4</v>
      </c>
      <c r="K689" t="s">
        <v>46</v>
      </c>
      <c r="L689" t="s">
        <v>480</v>
      </c>
      <c r="M689" t="s">
        <v>648</v>
      </c>
      <c r="N689" t="s">
        <v>649</v>
      </c>
      <c r="P689" t="s">
        <v>499</v>
      </c>
      <c r="Q689" t="s">
        <v>496</v>
      </c>
      <c r="R689">
        <v>17</v>
      </c>
      <c r="T689">
        <v>365</v>
      </c>
      <c r="U689" t="s">
        <v>1054</v>
      </c>
      <c r="V689" s="7">
        <v>59.990001679999999</v>
      </c>
      <c r="W689" s="7">
        <v>54.488929209402009</v>
      </c>
      <c r="X689">
        <v>5</v>
      </c>
      <c r="Y689" s="7">
        <v>53.990001679999999</v>
      </c>
      <c r="Z689" s="7">
        <v>299.9500084</v>
      </c>
      <c r="AA689" s="7">
        <f t="shared" si="42"/>
        <v>245.96000672</v>
      </c>
      <c r="AB689" t="s">
        <v>66</v>
      </c>
      <c r="AC689" t="str">
        <f t="shared" si="43"/>
        <v>Non-Cash Payments</v>
      </c>
    </row>
    <row r="690" spans="1:29" x14ac:dyDescent="0.25">
      <c r="A690">
        <v>58298</v>
      </c>
      <c r="B690" s="2">
        <v>42740</v>
      </c>
      <c r="C690">
        <v>4</v>
      </c>
      <c r="D690" s="2">
        <f t="shared" si="40"/>
        <v>42746</v>
      </c>
      <c r="E690">
        <v>0</v>
      </c>
      <c r="F690" t="s">
        <v>62</v>
      </c>
      <c r="G690" t="str">
        <f t="shared" si="41"/>
        <v>Other</v>
      </c>
      <c r="H690">
        <v>17</v>
      </c>
      <c r="I690">
        <v>4280</v>
      </c>
      <c r="J690">
        <v>4</v>
      </c>
      <c r="K690" t="s">
        <v>46</v>
      </c>
      <c r="L690" t="s">
        <v>480</v>
      </c>
      <c r="M690" t="s">
        <v>650</v>
      </c>
      <c r="N690" t="s">
        <v>650</v>
      </c>
      <c r="P690" t="s">
        <v>537</v>
      </c>
      <c r="Q690" t="s">
        <v>496</v>
      </c>
      <c r="R690">
        <v>17</v>
      </c>
      <c r="T690">
        <v>365</v>
      </c>
      <c r="U690" t="s">
        <v>1054</v>
      </c>
      <c r="V690" s="7">
        <v>59.990001679999999</v>
      </c>
      <c r="W690" s="7">
        <v>54.488929209402009</v>
      </c>
      <c r="X690">
        <v>5</v>
      </c>
      <c r="Y690" s="7">
        <v>74.989997860000003</v>
      </c>
      <c r="Z690" s="7">
        <v>299.9500084</v>
      </c>
      <c r="AA690" s="7">
        <f t="shared" si="42"/>
        <v>224.96001053999998</v>
      </c>
      <c r="AB690" t="s">
        <v>66</v>
      </c>
      <c r="AC690" t="str">
        <f t="shared" si="43"/>
        <v>Non-Cash Payments</v>
      </c>
    </row>
    <row r="691" spans="1:29" x14ac:dyDescent="0.25">
      <c r="A691">
        <v>3625</v>
      </c>
      <c r="B691" s="2">
        <v>42057</v>
      </c>
      <c r="C691">
        <v>4</v>
      </c>
      <c r="D691" s="2">
        <f t="shared" si="40"/>
        <v>42061</v>
      </c>
      <c r="E691">
        <v>0</v>
      </c>
      <c r="F691" t="s">
        <v>62</v>
      </c>
      <c r="G691" t="str">
        <f t="shared" si="41"/>
        <v>Other</v>
      </c>
      <c r="H691">
        <v>29</v>
      </c>
      <c r="I691">
        <v>2813</v>
      </c>
      <c r="J691">
        <v>5</v>
      </c>
      <c r="K691" t="s">
        <v>31</v>
      </c>
      <c r="L691" t="s">
        <v>480</v>
      </c>
      <c r="M691" t="s">
        <v>651</v>
      </c>
      <c r="N691" t="s">
        <v>512</v>
      </c>
      <c r="P691" t="s">
        <v>509</v>
      </c>
      <c r="Q691" t="s">
        <v>483</v>
      </c>
      <c r="R691">
        <v>29</v>
      </c>
      <c r="T691">
        <v>627</v>
      </c>
      <c r="U691" t="s">
        <v>1046</v>
      </c>
      <c r="V691" s="7">
        <v>39.990001679999999</v>
      </c>
      <c r="W691" s="7">
        <v>34.198098313835338</v>
      </c>
      <c r="X691">
        <v>5</v>
      </c>
      <c r="Y691" s="7">
        <v>6</v>
      </c>
      <c r="Z691" s="7">
        <v>199.9500084</v>
      </c>
      <c r="AA691" s="7">
        <f t="shared" si="42"/>
        <v>193.9500084</v>
      </c>
      <c r="AB691" t="s">
        <v>66</v>
      </c>
      <c r="AC691" t="str">
        <f t="shared" si="43"/>
        <v>Non-Cash Payments</v>
      </c>
    </row>
    <row r="692" spans="1:29" x14ac:dyDescent="0.25">
      <c r="A692">
        <v>52321</v>
      </c>
      <c r="B692" s="2">
        <v>42768</v>
      </c>
      <c r="C692">
        <v>4</v>
      </c>
      <c r="D692" s="2">
        <f t="shared" si="40"/>
        <v>42774</v>
      </c>
      <c r="E692">
        <v>0</v>
      </c>
      <c r="F692" t="s">
        <v>62</v>
      </c>
      <c r="G692" t="str">
        <f t="shared" si="41"/>
        <v>Other</v>
      </c>
      <c r="H692">
        <v>24</v>
      </c>
      <c r="I692">
        <v>4249</v>
      </c>
      <c r="J692">
        <v>5</v>
      </c>
      <c r="K692" t="s">
        <v>31</v>
      </c>
      <c r="L692" t="s">
        <v>480</v>
      </c>
      <c r="M692" t="s">
        <v>490</v>
      </c>
      <c r="N692" t="s">
        <v>490</v>
      </c>
      <c r="P692" t="s">
        <v>491</v>
      </c>
      <c r="Q692" t="s">
        <v>492</v>
      </c>
      <c r="R692">
        <v>24</v>
      </c>
      <c r="T692">
        <v>502</v>
      </c>
      <c r="U692" t="s">
        <v>1058</v>
      </c>
      <c r="V692" s="7">
        <v>50</v>
      </c>
      <c r="W692" s="7">
        <v>43.678035218757444</v>
      </c>
      <c r="X692">
        <v>5</v>
      </c>
      <c r="Y692" s="7">
        <v>10</v>
      </c>
      <c r="Z692" s="7">
        <v>250</v>
      </c>
      <c r="AA692" s="7">
        <f t="shared" si="42"/>
        <v>240</v>
      </c>
      <c r="AB692" t="s">
        <v>66</v>
      </c>
      <c r="AC692" t="str">
        <f t="shared" si="43"/>
        <v>Non-Cash Payments</v>
      </c>
    </row>
    <row r="693" spans="1:29" x14ac:dyDescent="0.25">
      <c r="A693">
        <v>58896</v>
      </c>
      <c r="B693" s="2">
        <v>42983</v>
      </c>
      <c r="C693">
        <v>4</v>
      </c>
      <c r="D693" s="2">
        <f t="shared" si="40"/>
        <v>42989</v>
      </c>
      <c r="E693">
        <v>0</v>
      </c>
      <c r="F693" t="s">
        <v>62</v>
      </c>
      <c r="G693" t="str">
        <f t="shared" si="41"/>
        <v>Other</v>
      </c>
      <c r="H693">
        <v>24</v>
      </c>
      <c r="I693">
        <v>9697</v>
      </c>
      <c r="J693">
        <v>5</v>
      </c>
      <c r="K693" t="s">
        <v>31</v>
      </c>
      <c r="L693" t="s">
        <v>480</v>
      </c>
      <c r="M693" t="s">
        <v>490</v>
      </c>
      <c r="N693" t="s">
        <v>490</v>
      </c>
      <c r="P693" t="s">
        <v>491</v>
      </c>
      <c r="Q693" t="s">
        <v>492</v>
      </c>
      <c r="R693">
        <v>24</v>
      </c>
      <c r="T693">
        <v>502</v>
      </c>
      <c r="U693" t="s">
        <v>1058</v>
      </c>
      <c r="V693" s="7">
        <v>50</v>
      </c>
      <c r="W693" s="7">
        <v>43.678035218757444</v>
      </c>
      <c r="X693">
        <v>5</v>
      </c>
      <c r="Y693" s="7">
        <v>25</v>
      </c>
      <c r="Z693" s="7">
        <v>250</v>
      </c>
      <c r="AA693" s="7">
        <f t="shared" si="42"/>
        <v>225</v>
      </c>
      <c r="AB693" t="s">
        <v>66</v>
      </c>
      <c r="AC693" t="str">
        <f t="shared" si="43"/>
        <v>Non-Cash Payments</v>
      </c>
    </row>
    <row r="694" spans="1:29" x14ac:dyDescent="0.25">
      <c r="A694">
        <v>5919</v>
      </c>
      <c r="B694" s="2">
        <v>42091</v>
      </c>
      <c r="C694">
        <v>4</v>
      </c>
      <c r="D694" s="2">
        <f t="shared" si="40"/>
        <v>42096</v>
      </c>
      <c r="E694">
        <v>0</v>
      </c>
      <c r="F694" t="s">
        <v>62</v>
      </c>
      <c r="G694" t="str">
        <f t="shared" si="41"/>
        <v>Other</v>
      </c>
      <c r="H694">
        <v>26</v>
      </c>
      <c r="I694">
        <v>6306</v>
      </c>
      <c r="J694">
        <v>5</v>
      </c>
      <c r="K694" t="s">
        <v>31</v>
      </c>
      <c r="L694" t="s">
        <v>480</v>
      </c>
      <c r="M694" t="s">
        <v>652</v>
      </c>
      <c r="N694" t="s">
        <v>653</v>
      </c>
      <c r="P694" t="s">
        <v>506</v>
      </c>
      <c r="Q694" t="s">
        <v>496</v>
      </c>
      <c r="R694">
        <v>26</v>
      </c>
      <c r="T694">
        <v>565</v>
      </c>
      <c r="U694" t="s">
        <v>1078</v>
      </c>
      <c r="V694" s="7">
        <v>70</v>
      </c>
      <c r="W694" s="7">
        <v>62.759999940857142</v>
      </c>
      <c r="X694">
        <v>5</v>
      </c>
      <c r="Y694" s="7">
        <v>35</v>
      </c>
      <c r="Z694" s="7">
        <v>350</v>
      </c>
      <c r="AA694" s="7">
        <f t="shared" si="42"/>
        <v>315</v>
      </c>
      <c r="AB694" t="s">
        <v>66</v>
      </c>
      <c r="AC694" t="str">
        <f t="shared" si="43"/>
        <v>Non-Cash Payments</v>
      </c>
    </row>
    <row r="695" spans="1:29" x14ac:dyDescent="0.25">
      <c r="A695">
        <v>52772</v>
      </c>
      <c r="B695" s="2">
        <v>42980</v>
      </c>
      <c r="C695">
        <v>4</v>
      </c>
      <c r="D695" s="2">
        <f t="shared" si="40"/>
        <v>42985</v>
      </c>
      <c r="E695">
        <v>0</v>
      </c>
      <c r="F695" t="s">
        <v>62</v>
      </c>
      <c r="G695" t="str">
        <f t="shared" si="41"/>
        <v>Other</v>
      </c>
      <c r="H695">
        <v>24</v>
      </c>
      <c r="I695">
        <v>27</v>
      </c>
      <c r="J695">
        <v>5</v>
      </c>
      <c r="K695" t="s">
        <v>31</v>
      </c>
      <c r="L695" t="s">
        <v>480</v>
      </c>
      <c r="M695" t="s">
        <v>654</v>
      </c>
      <c r="N695" t="s">
        <v>654</v>
      </c>
      <c r="P695" t="s">
        <v>537</v>
      </c>
      <c r="Q695" t="s">
        <v>496</v>
      </c>
      <c r="R695">
        <v>24</v>
      </c>
      <c r="T695">
        <v>502</v>
      </c>
      <c r="U695" t="s">
        <v>1058</v>
      </c>
      <c r="V695" s="7">
        <v>50</v>
      </c>
      <c r="W695" s="7">
        <v>43.678035218757444</v>
      </c>
      <c r="X695">
        <v>5</v>
      </c>
      <c r="Y695" s="7">
        <v>30</v>
      </c>
      <c r="Z695" s="7">
        <v>250</v>
      </c>
      <c r="AA695" s="7">
        <f t="shared" si="42"/>
        <v>220</v>
      </c>
      <c r="AB695" t="s">
        <v>66</v>
      </c>
      <c r="AC695" t="str">
        <f t="shared" si="43"/>
        <v>Non-Cash Payments</v>
      </c>
    </row>
    <row r="696" spans="1:29" x14ac:dyDescent="0.25">
      <c r="A696">
        <v>9063</v>
      </c>
      <c r="B696" s="2">
        <v>42137</v>
      </c>
      <c r="C696">
        <v>4</v>
      </c>
      <c r="D696" s="2">
        <f t="shared" si="40"/>
        <v>42143</v>
      </c>
      <c r="E696">
        <v>0</v>
      </c>
      <c r="F696" t="s">
        <v>62</v>
      </c>
      <c r="G696" t="str">
        <f t="shared" si="41"/>
        <v>Other</v>
      </c>
      <c r="H696">
        <v>26</v>
      </c>
      <c r="I696">
        <v>5274</v>
      </c>
      <c r="J696">
        <v>5</v>
      </c>
      <c r="K696" t="s">
        <v>31</v>
      </c>
      <c r="L696" t="s">
        <v>480</v>
      </c>
      <c r="M696" t="s">
        <v>547</v>
      </c>
      <c r="N696" t="s">
        <v>482</v>
      </c>
      <c r="P696" t="s">
        <v>482</v>
      </c>
      <c r="Q696" t="s">
        <v>483</v>
      </c>
      <c r="R696">
        <v>26</v>
      </c>
      <c r="T696">
        <v>564</v>
      </c>
      <c r="U696" t="s">
        <v>1062</v>
      </c>
      <c r="V696" s="7">
        <v>30</v>
      </c>
      <c r="W696" s="7">
        <v>45.158749390000004</v>
      </c>
      <c r="X696">
        <v>5</v>
      </c>
      <c r="Y696" s="7">
        <v>27</v>
      </c>
      <c r="Z696" s="7">
        <v>150</v>
      </c>
      <c r="AA696" s="7">
        <f t="shared" si="42"/>
        <v>123</v>
      </c>
      <c r="AB696" t="s">
        <v>66</v>
      </c>
      <c r="AC696" t="str">
        <f t="shared" si="43"/>
        <v>Non-Cash Payments</v>
      </c>
    </row>
    <row r="697" spans="1:29" x14ac:dyDescent="0.25">
      <c r="A697">
        <v>61419</v>
      </c>
      <c r="B697" s="2">
        <v>42901</v>
      </c>
      <c r="C697">
        <v>4</v>
      </c>
      <c r="D697" s="2">
        <f t="shared" si="40"/>
        <v>42907</v>
      </c>
      <c r="E697">
        <v>0</v>
      </c>
      <c r="F697" t="s">
        <v>62</v>
      </c>
      <c r="G697" t="str">
        <f t="shared" si="41"/>
        <v>Other</v>
      </c>
      <c r="H697">
        <v>24</v>
      </c>
      <c r="I697">
        <v>11273</v>
      </c>
      <c r="J697">
        <v>5</v>
      </c>
      <c r="K697" t="s">
        <v>31</v>
      </c>
      <c r="L697" t="s">
        <v>480</v>
      </c>
      <c r="M697" t="s">
        <v>655</v>
      </c>
      <c r="N697" t="s">
        <v>656</v>
      </c>
      <c r="P697" t="s">
        <v>506</v>
      </c>
      <c r="Q697" t="s">
        <v>496</v>
      </c>
      <c r="R697">
        <v>24</v>
      </c>
      <c r="T697">
        <v>502</v>
      </c>
      <c r="U697" t="s">
        <v>1058</v>
      </c>
      <c r="V697" s="7">
        <v>50</v>
      </c>
      <c r="W697" s="7">
        <v>43.678035218757444</v>
      </c>
      <c r="X697">
        <v>5</v>
      </c>
      <c r="Y697" s="7">
        <v>50</v>
      </c>
      <c r="Z697" s="7">
        <v>250</v>
      </c>
      <c r="AA697" s="7">
        <f t="shared" si="42"/>
        <v>200</v>
      </c>
      <c r="AB697" t="s">
        <v>66</v>
      </c>
      <c r="AC697" t="str">
        <f t="shared" si="43"/>
        <v>Non-Cash Payments</v>
      </c>
    </row>
    <row r="698" spans="1:29" x14ac:dyDescent="0.25">
      <c r="A698">
        <v>5919</v>
      </c>
      <c r="B698" s="2">
        <v>42091</v>
      </c>
      <c r="C698">
        <v>4</v>
      </c>
      <c r="D698" s="2">
        <f t="shared" si="40"/>
        <v>42096</v>
      </c>
      <c r="E698">
        <v>0</v>
      </c>
      <c r="F698" t="s">
        <v>62</v>
      </c>
      <c r="G698" t="str">
        <f t="shared" si="41"/>
        <v>Other</v>
      </c>
      <c r="H698">
        <v>29</v>
      </c>
      <c r="I698">
        <v>6306</v>
      </c>
      <c r="J698">
        <v>5</v>
      </c>
      <c r="K698" t="s">
        <v>31</v>
      </c>
      <c r="L698" t="s">
        <v>480</v>
      </c>
      <c r="M698" t="s">
        <v>652</v>
      </c>
      <c r="N698" t="s">
        <v>653</v>
      </c>
      <c r="P698" t="s">
        <v>506</v>
      </c>
      <c r="Q698" t="s">
        <v>496</v>
      </c>
      <c r="R698">
        <v>29</v>
      </c>
      <c r="T698">
        <v>627</v>
      </c>
      <c r="U698" t="s">
        <v>1046</v>
      </c>
      <c r="V698" s="7">
        <v>39.990001679999999</v>
      </c>
      <c r="W698" s="7">
        <v>34.198098313835338</v>
      </c>
      <c r="X698">
        <v>5</v>
      </c>
      <c r="Y698" s="7">
        <v>49.990001679999999</v>
      </c>
      <c r="Z698" s="7">
        <v>199.9500084</v>
      </c>
      <c r="AA698" s="7">
        <f t="shared" si="42"/>
        <v>149.96000672</v>
      </c>
      <c r="AB698" t="s">
        <v>66</v>
      </c>
      <c r="AC698" t="str">
        <f t="shared" si="43"/>
        <v>Non-Cash Payments</v>
      </c>
    </row>
    <row r="699" spans="1:29" x14ac:dyDescent="0.25">
      <c r="A699">
        <v>906</v>
      </c>
      <c r="B699" s="2">
        <v>42018</v>
      </c>
      <c r="C699">
        <v>4</v>
      </c>
      <c r="D699" s="2">
        <f t="shared" si="40"/>
        <v>42024</v>
      </c>
      <c r="E699">
        <v>0</v>
      </c>
      <c r="F699" t="s">
        <v>62</v>
      </c>
      <c r="G699" t="str">
        <f t="shared" si="41"/>
        <v>Other</v>
      </c>
      <c r="H699">
        <v>40</v>
      </c>
      <c r="I699">
        <v>7141</v>
      </c>
      <c r="J699">
        <v>6</v>
      </c>
      <c r="K699" t="s">
        <v>35</v>
      </c>
      <c r="L699" t="s">
        <v>480</v>
      </c>
      <c r="M699" t="s">
        <v>639</v>
      </c>
      <c r="N699" t="s">
        <v>618</v>
      </c>
      <c r="P699" t="s">
        <v>640</v>
      </c>
      <c r="Q699" t="s">
        <v>496</v>
      </c>
      <c r="R699">
        <v>40</v>
      </c>
      <c r="T699">
        <v>886</v>
      </c>
      <c r="U699" t="s">
        <v>1066</v>
      </c>
      <c r="V699" s="7">
        <v>24.989999770000001</v>
      </c>
      <c r="W699" s="7">
        <v>18.459749817000002</v>
      </c>
      <c r="X699">
        <v>2</v>
      </c>
      <c r="Y699" s="7">
        <v>8.5</v>
      </c>
      <c r="Z699" s="7">
        <v>49.979999540000001</v>
      </c>
      <c r="AA699" s="7">
        <f t="shared" si="42"/>
        <v>41.479999540000001</v>
      </c>
      <c r="AB699" t="s">
        <v>66</v>
      </c>
      <c r="AC699" t="str">
        <f t="shared" si="43"/>
        <v>Non-Cash Payments</v>
      </c>
    </row>
    <row r="700" spans="1:29" x14ac:dyDescent="0.25">
      <c r="A700">
        <v>5479</v>
      </c>
      <c r="B700" s="2">
        <v>42084</v>
      </c>
      <c r="C700">
        <v>4</v>
      </c>
      <c r="D700" s="2">
        <f t="shared" si="40"/>
        <v>42089</v>
      </c>
      <c r="E700">
        <v>1</v>
      </c>
      <c r="F700" t="s">
        <v>62</v>
      </c>
      <c r="G700" t="str">
        <f t="shared" si="41"/>
        <v>Other</v>
      </c>
      <c r="H700">
        <v>41</v>
      </c>
      <c r="I700">
        <v>6172</v>
      </c>
      <c r="J700">
        <v>6</v>
      </c>
      <c r="K700" t="s">
        <v>35</v>
      </c>
      <c r="L700" t="s">
        <v>480</v>
      </c>
      <c r="M700" t="s">
        <v>548</v>
      </c>
      <c r="N700" t="s">
        <v>549</v>
      </c>
      <c r="P700" t="s">
        <v>522</v>
      </c>
      <c r="Q700" t="s">
        <v>492</v>
      </c>
      <c r="R700">
        <v>41</v>
      </c>
      <c r="T700">
        <v>926</v>
      </c>
      <c r="U700" t="s">
        <v>1067</v>
      </c>
      <c r="V700" s="7">
        <v>15.989999770000001</v>
      </c>
      <c r="W700" s="7">
        <v>12.230249713200003</v>
      </c>
      <c r="X700">
        <v>2</v>
      </c>
      <c r="Y700" s="7">
        <v>5.7600002290000001</v>
      </c>
      <c r="Z700" s="7">
        <v>31.979999540000001</v>
      </c>
      <c r="AA700" s="7">
        <f t="shared" si="42"/>
        <v>26.219999311000002</v>
      </c>
      <c r="AB700" t="s">
        <v>66</v>
      </c>
      <c r="AC700" t="str">
        <f t="shared" si="43"/>
        <v>Non-Cash Payments</v>
      </c>
    </row>
    <row r="701" spans="1:29" x14ac:dyDescent="0.25">
      <c r="A701">
        <v>51396</v>
      </c>
      <c r="B701" s="2">
        <v>42755</v>
      </c>
      <c r="C701">
        <v>4</v>
      </c>
      <c r="D701" s="2">
        <f t="shared" si="40"/>
        <v>42761</v>
      </c>
      <c r="E701">
        <v>0</v>
      </c>
      <c r="F701" t="s">
        <v>62</v>
      </c>
      <c r="G701" t="str">
        <f t="shared" si="41"/>
        <v>Other</v>
      </c>
      <c r="H701">
        <v>37</v>
      </c>
      <c r="I701">
        <v>2741</v>
      </c>
      <c r="J701">
        <v>6</v>
      </c>
      <c r="K701" t="s">
        <v>35</v>
      </c>
      <c r="L701" t="s">
        <v>480</v>
      </c>
      <c r="M701" t="s">
        <v>507</v>
      </c>
      <c r="N701" t="s">
        <v>508</v>
      </c>
      <c r="P701" t="s">
        <v>509</v>
      </c>
      <c r="Q701" t="s">
        <v>483</v>
      </c>
      <c r="R701">
        <v>37</v>
      </c>
      <c r="T701">
        <v>828</v>
      </c>
      <c r="U701" t="s">
        <v>1050</v>
      </c>
      <c r="V701" s="7">
        <v>31.989999770000001</v>
      </c>
      <c r="W701" s="7">
        <v>24.284221986666665</v>
      </c>
      <c r="X701">
        <v>2</v>
      </c>
      <c r="Y701" s="7">
        <v>12.80000019</v>
      </c>
      <c r="Z701" s="7">
        <v>63.979999540000001</v>
      </c>
      <c r="AA701" s="7">
        <f t="shared" si="42"/>
        <v>51.179999350000003</v>
      </c>
      <c r="AB701" t="s">
        <v>66</v>
      </c>
      <c r="AC701" t="str">
        <f t="shared" si="43"/>
        <v>Non-Cash Payments</v>
      </c>
    </row>
    <row r="702" spans="1:29" x14ac:dyDescent="0.25">
      <c r="A702">
        <v>10116</v>
      </c>
      <c r="B702" s="2">
        <v>42152</v>
      </c>
      <c r="C702">
        <v>4</v>
      </c>
      <c r="D702" s="2">
        <f t="shared" si="40"/>
        <v>42158</v>
      </c>
      <c r="E702">
        <v>0</v>
      </c>
      <c r="F702" t="s">
        <v>62</v>
      </c>
      <c r="G702" t="str">
        <f t="shared" si="41"/>
        <v>Other</v>
      </c>
      <c r="H702">
        <v>9</v>
      </c>
      <c r="I702">
        <v>1180</v>
      </c>
      <c r="J702">
        <v>3</v>
      </c>
      <c r="K702" t="s">
        <v>24</v>
      </c>
      <c r="L702" t="s">
        <v>480</v>
      </c>
      <c r="M702" t="s">
        <v>657</v>
      </c>
      <c r="N702" t="s">
        <v>513</v>
      </c>
      <c r="P702" t="s">
        <v>506</v>
      </c>
      <c r="Q702" t="s">
        <v>496</v>
      </c>
      <c r="R702">
        <v>9</v>
      </c>
      <c r="T702">
        <v>191</v>
      </c>
      <c r="U702" t="s">
        <v>1044</v>
      </c>
      <c r="V702" s="7">
        <v>99.989997860000003</v>
      </c>
      <c r="W702" s="7">
        <v>95.114003926871064</v>
      </c>
      <c r="X702">
        <v>2</v>
      </c>
      <c r="Y702" s="7">
        <v>10</v>
      </c>
      <c r="Z702" s="7">
        <v>199.97999572000001</v>
      </c>
      <c r="AA702" s="7">
        <f t="shared" si="42"/>
        <v>189.97999572000001</v>
      </c>
      <c r="AB702" t="s">
        <v>66</v>
      </c>
      <c r="AC702" t="str">
        <f t="shared" si="43"/>
        <v>Non-Cash Payments</v>
      </c>
    </row>
    <row r="703" spans="1:29" x14ac:dyDescent="0.25">
      <c r="A703">
        <v>1756</v>
      </c>
      <c r="B703" s="2">
        <v>42030</v>
      </c>
      <c r="C703">
        <v>4</v>
      </c>
      <c r="D703" s="2">
        <f t="shared" si="40"/>
        <v>42034</v>
      </c>
      <c r="E703">
        <v>0</v>
      </c>
      <c r="F703" t="s">
        <v>62</v>
      </c>
      <c r="G703" t="str">
        <f t="shared" si="41"/>
        <v>Other</v>
      </c>
      <c r="H703">
        <v>9</v>
      </c>
      <c r="I703">
        <v>6875</v>
      </c>
      <c r="J703">
        <v>3</v>
      </c>
      <c r="K703" t="s">
        <v>24</v>
      </c>
      <c r="L703" t="s">
        <v>480</v>
      </c>
      <c r="M703" t="s">
        <v>533</v>
      </c>
      <c r="N703" t="s">
        <v>534</v>
      </c>
      <c r="P703" t="s">
        <v>503</v>
      </c>
      <c r="Q703" t="s">
        <v>483</v>
      </c>
      <c r="R703">
        <v>9</v>
      </c>
      <c r="T703">
        <v>191</v>
      </c>
      <c r="U703" t="s">
        <v>1044</v>
      </c>
      <c r="V703" s="7">
        <v>99.989997860000003</v>
      </c>
      <c r="W703" s="7">
        <v>95.114003926871064</v>
      </c>
      <c r="X703">
        <v>2</v>
      </c>
      <c r="Y703" s="7">
        <v>14</v>
      </c>
      <c r="Z703" s="7">
        <v>199.97999572000001</v>
      </c>
      <c r="AA703" s="7">
        <f t="shared" si="42"/>
        <v>185.97999572000001</v>
      </c>
      <c r="AB703" t="s">
        <v>66</v>
      </c>
      <c r="AC703" t="str">
        <f t="shared" si="43"/>
        <v>Non-Cash Payments</v>
      </c>
    </row>
    <row r="704" spans="1:29" x14ac:dyDescent="0.25">
      <c r="A704">
        <v>10014</v>
      </c>
      <c r="B704" s="2">
        <v>42151</v>
      </c>
      <c r="C704">
        <v>4</v>
      </c>
      <c r="D704" s="2">
        <f t="shared" si="40"/>
        <v>42157</v>
      </c>
      <c r="E704">
        <v>0</v>
      </c>
      <c r="F704" t="s">
        <v>62</v>
      </c>
      <c r="G704" t="str">
        <f t="shared" si="41"/>
        <v>Other</v>
      </c>
      <c r="H704">
        <v>9</v>
      </c>
      <c r="I704">
        <v>10864</v>
      </c>
      <c r="J704">
        <v>3</v>
      </c>
      <c r="K704" t="s">
        <v>24</v>
      </c>
      <c r="L704" t="s">
        <v>480</v>
      </c>
      <c r="M704" t="s">
        <v>658</v>
      </c>
      <c r="N704" t="s">
        <v>559</v>
      </c>
      <c r="P704" t="s">
        <v>506</v>
      </c>
      <c r="Q704" t="s">
        <v>496</v>
      </c>
      <c r="R704">
        <v>9</v>
      </c>
      <c r="T704">
        <v>191</v>
      </c>
      <c r="U704" t="s">
        <v>1044</v>
      </c>
      <c r="V704" s="7">
        <v>99.989997860000003</v>
      </c>
      <c r="W704" s="7">
        <v>95.114003926871064</v>
      </c>
      <c r="X704">
        <v>2</v>
      </c>
      <c r="Y704" s="7">
        <v>26</v>
      </c>
      <c r="Z704" s="7">
        <v>199.97999572000001</v>
      </c>
      <c r="AA704" s="7">
        <f t="shared" si="42"/>
        <v>173.97999572000001</v>
      </c>
      <c r="AB704" t="s">
        <v>66</v>
      </c>
      <c r="AC704" t="str">
        <f t="shared" si="43"/>
        <v>Non-Cash Payments</v>
      </c>
    </row>
    <row r="705" spans="1:29" x14ac:dyDescent="0.25">
      <c r="A705">
        <v>1991</v>
      </c>
      <c r="B705" s="2">
        <v>42034</v>
      </c>
      <c r="C705">
        <v>4</v>
      </c>
      <c r="D705" s="2">
        <f t="shared" si="40"/>
        <v>42040</v>
      </c>
      <c r="E705">
        <v>0</v>
      </c>
      <c r="F705" t="s">
        <v>62</v>
      </c>
      <c r="G705" t="str">
        <f t="shared" si="41"/>
        <v>Other</v>
      </c>
      <c r="H705">
        <v>9</v>
      </c>
      <c r="I705">
        <v>242</v>
      </c>
      <c r="J705">
        <v>3</v>
      </c>
      <c r="K705" t="s">
        <v>24</v>
      </c>
      <c r="L705" t="s">
        <v>480</v>
      </c>
      <c r="M705" t="s">
        <v>501</v>
      </c>
      <c r="N705" t="s">
        <v>502</v>
      </c>
      <c r="P705" t="s">
        <v>503</v>
      </c>
      <c r="Q705" t="s">
        <v>483</v>
      </c>
      <c r="R705">
        <v>9</v>
      </c>
      <c r="T705">
        <v>191</v>
      </c>
      <c r="U705" t="s">
        <v>1044</v>
      </c>
      <c r="V705" s="7">
        <v>99.989997860000003</v>
      </c>
      <c r="W705" s="7">
        <v>95.114003926871064</v>
      </c>
      <c r="X705">
        <v>2</v>
      </c>
      <c r="Y705" s="7">
        <v>32</v>
      </c>
      <c r="Z705" s="7">
        <v>199.97999572000001</v>
      </c>
      <c r="AA705" s="7">
        <f t="shared" si="42"/>
        <v>167.97999572000001</v>
      </c>
      <c r="AB705" t="s">
        <v>66</v>
      </c>
      <c r="AC705" t="str">
        <f t="shared" si="43"/>
        <v>Non-Cash Payments</v>
      </c>
    </row>
    <row r="706" spans="1:29" x14ac:dyDescent="0.25">
      <c r="A706">
        <v>52533</v>
      </c>
      <c r="B706" s="2">
        <v>42857</v>
      </c>
      <c r="C706">
        <v>4</v>
      </c>
      <c r="D706" s="2">
        <f t="shared" si="40"/>
        <v>42863</v>
      </c>
      <c r="E706">
        <v>0</v>
      </c>
      <c r="F706" t="s">
        <v>62</v>
      </c>
      <c r="G706" t="str">
        <f t="shared" si="41"/>
        <v>Other</v>
      </c>
      <c r="H706">
        <v>17</v>
      </c>
      <c r="I706">
        <v>9002</v>
      </c>
      <c r="J706">
        <v>4</v>
      </c>
      <c r="K706" t="s">
        <v>46</v>
      </c>
      <c r="L706" t="s">
        <v>480</v>
      </c>
      <c r="M706" t="s">
        <v>659</v>
      </c>
      <c r="N706" t="s">
        <v>482</v>
      </c>
      <c r="P706" t="s">
        <v>482</v>
      </c>
      <c r="Q706" t="s">
        <v>483</v>
      </c>
      <c r="R706">
        <v>17</v>
      </c>
      <c r="T706">
        <v>365</v>
      </c>
      <c r="U706" t="s">
        <v>1054</v>
      </c>
      <c r="V706" s="7">
        <v>59.990001679999999</v>
      </c>
      <c r="W706" s="7">
        <v>54.488929209402009</v>
      </c>
      <c r="X706">
        <v>2</v>
      </c>
      <c r="Y706" s="7">
        <v>14.399999619999999</v>
      </c>
      <c r="Z706" s="7">
        <v>119.98000336</v>
      </c>
      <c r="AA706" s="7">
        <f t="shared" si="42"/>
        <v>105.58000374</v>
      </c>
      <c r="AB706" t="s">
        <v>66</v>
      </c>
      <c r="AC706" t="str">
        <f t="shared" si="43"/>
        <v>Non-Cash Payments</v>
      </c>
    </row>
    <row r="707" spans="1:29" x14ac:dyDescent="0.25">
      <c r="A707">
        <v>52533</v>
      </c>
      <c r="B707" s="2">
        <v>42857</v>
      </c>
      <c r="C707">
        <v>4</v>
      </c>
      <c r="D707" s="2">
        <f t="shared" ref="D707:D770" si="44">WORKDAY(B707,C707)</f>
        <v>42863</v>
      </c>
      <c r="E707">
        <v>0</v>
      </c>
      <c r="F707" t="s">
        <v>62</v>
      </c>
      <c r="G707" t="str">
        <f t="shared" ref="G707:G770" si="45">IF(AND(E707=0,F707="Same Day"),"Same Day - On Time","Other")</f>
        <v>Other</v>
      </c>
      <c r="H707">
        <v>17</v>
      </c>
      <c r="I707">
        <v>9002</v>
      </c>
      <c r="J707">
        <v>4</v>
      </c>
      <c r="K707" t="s">
        <v>46</v>
      </c>
      <c r="L707" t="s">
        <v>480</v>
      </c>
      <c r="M707" t="s">
        <v>659</v>
      </c>
      <c r="N707" t="s">
        <v>482</v>
      </c>
      <c r="P707" t="s">
        <v>482</v>
      </c>
      <c r="Q707" t="s">
        <v>483</v>
      </c>
      <c r="R707">
        <v>17</v>
      </c>
      <c r="T707">
        <v>365</v>
      </c>
      <c r="U707" t="s">
        <v>1054</v>
      </c>
      <c r="V707" s="7">
        <v>59.990001679999999</v>
      </c>
      <c r="W707" s="7">
        <v>54.488929209402009</v>
      </c>
      <c r="X707">
        <v>2</v>
      </c>
      <c r="Y707" s="7">
        <v>15.600000380000001</v>
      </c>
      <c r="Z707" s="7">
        <v>119.98000336</v>
      </c>
      <c r="AA707" s="7">
        <f t="shared" ref="AA707:AA770" si="46">Z707-Y707</f>
        <v>104.38000298</v>
      </c>
      <c r="AB707" t="s">
        <v>66</v>
      </c>
      <c r="AC707" t="str">
        <f t="shared" ref="AC707:AC770" si="47">IF(AND(AA707&gt;200,AB707="CASH"),"Cash Over 200",IF(AB707="CASH","Cash Not Over 200","Non-Cash Payments"))</f>
        <v>Non-Cash Payments</v>
      </c>
    </row>
    <row r="708" spans="1:29" x14ac:dyDescent="0.25">
      <c r="A708">
        <v>2332</v>
      </c>
      <c r="B708" s="2">
        <v>42096</v>
      </c>
      <c r="C708">
        <v>4</v>
      </c>
      <c r="D708" s="2">
        <f t="shared" si="44"/>
        <v>42102</v>
      </c>
      <c r="E708">
        <v>0</v>
      </c>
      <c r="F708" t="s">
        <v>62</v>
      </c>
      <c r="G708" t="str">
        <f t="shared" si="45"/>
        <v>Other</v>
      </c>
      <c r="H708">
        <v>17</v>
      </c>
      <c r="I708">
        <v>9145</v>
      </c>
      <c r="J708">
        <v>4</v>
      </c>
      <c r="K708" t="s">
        <v>46</v>
      </c>
      <c r="L708" t="s">
        <v>480</v>
      </c>
      <c r="M708" t="s">
        <v>660</v>
      </c>
      <c r="N708" t="s">
        <v>601</v>
      </c>
      <c r="P708" t="s">
        <v>509</v>
      </c>
      <c r="Q708" t="s">
        <v>483</v>
      </c>
      <c r="R708">
        <v>17</v>
      </c>
      <c r="T708">
        <v>365</v>
      </c>
      <c r="U708" t="s">
        <v>1054</v>
      </c>
      <c r="V708" s="7">
        <v>59.990001679999999</v>
      </c>
      <c r="W708" s="7">
        <v>54.488929209402009</v>
      </c>
      <c r="X708">
        <v>2</v>
      </c>
      <c r="Y708" s="7">
        <v>15.600000380000001</v>
      </c>
      <c r="Z708" s="7">
        <v>119.98000336</v>
      </c>
      <c r="AA708" s="7">
        <f t="shared" si="46"/>
        <v>104.38000298</v>
      </c>
      <c r="AB708" t="s">
        <v>66</v>
      </c>
      <c r="AC708" t="str">
        <f t="shared" si="47"/>
        <v>Non-Cash Payments</v>
      </c>
    </row>
    <row r="709" spans="1:29" x14ac:dyDescent="0.25">
      <c r="A709">
        <v>10276</v>
      </c>
      <c r="B709" s="2">
        <v>42154</v>
      </c>
      <c r="C709">
        <v>4</v>
      </c>
      <c r="D709" s="2">
        <f t="shared" si="44"/>
        <v>42159</v>
      </c>
      <c r="E709">
        <v>0</v>
      </c>
      <c r="F709" t="s">
        <v>62</v>
      </c>
      <c r="G709" t="str">
        <f t="shared" si="45"/>
        <v>Other</v>
      </c>
      <c r="H709">
        <v>24</v>
      </c>
      <c r="I709">
        <v>7887</v>
      </c>
      <c r="J709">
        <v>5</v>
      </c>
      <c r="K709" t="s">
        <v>31</v>
      </c>
      <c r="L709" t="s">
        <v>480</v>
      </c>
      <c r="M709" t="s">
        <v>661</v>
      </c>
      <c r="N709" t="s">
        <v>505</v>
      </c>
      <c r="P709" t="s">
        <v>506</v>
      </c>
      <c r="Q709" t="s">
        <v>496</v>
      </c>
      <c r="R709">
        <v>24</v>
      </c>
      <c r="T709">
        <v>502</v>
      </c>
      <c r="U709" t="s">
        <v>1058</v>
      </c>
      <c r="V709" s="7">
        <v>50</v>
      </c>
      <c r="W709" s="7">
        <v>43.678035218757444</v>
      </c>
      <c r="X709">
        <v>2</v>
      </c>
      <c r="Y709" s="7">
        <v>1</v>
      </c>
      <c r="Z709" s="7">
        <v>100</v>
      </c>
      <c r="AA709" s="7">
        <f t="shared" si="46"/>
        <v>99</v>
      </c>
      <c r="AB709" t="s">
        <v>66</v>
      </c>
      <c r="AC709" t="str">
        <f t="shared" si="47"/>
        <v>Non-Cash Payments</v>
      </c>
    </row>
    <row r="710" spans="1:29" x14ac:dyDescent="0.25">
      <c r="A710">
        <v>2911</v>
      </c>
      <c r="B710" s="2">
        <v>42340</v>
      </c>
      <c r="C710">
        <v>4</v>
      </c>
      <c r="D710" s="2">
        <f t="shared" si="44"/>
        <v>42346</v>
      </c>
      <c r="E710">
        <v>0</v>
      </c>
      <c r="F710" t="s">
        <v>62</v>
      </c>
      <c r="G710" t="str">
        <f t="shared" si="45"/>
        <v>Other</v>
      </c>
      <c r="H710">
        <v>24</v>
      </c>
      <c r="I710">
        <v>2817</v>
      </c>
      <c r="J710">
        <v>5</v>
      </c>
      <c r="K710" t="s">
        <v>31</v>
      </c>
      <c r="L710" t="s">
        <v>480</v>
      </c>
      <c r="M710" t="s">
        <v>662</v>
      </c>
      <c r="N710" t="s">
        <v>656</v>
      </c>
      <c r="P710" t="s">
        <v>506</v>
      </c>
      <c r="Q710" t="s">
        <v>496</v>
      </c>
      <c r="R710">
        <v>24</v>
      </c>
      <c r="T710">
        <v>502</v>
      </c>
      <c r="U710" t="s">
        <v>1058</v>
      </c>
      <c r="V710" s="7">
        <v>50</v>
      </c>
      <c r="W710" s="7">
        <v>43.678035218757444</v>
      </c>
      <c r="X710">
        <v>2</v>
      </c>
      <c r="Y710" s="7">
        <v>2</v>
      </c>
      <c r="Z710" s="7">
        <v>100</v>
      </c>
      <c r="AA710" s="7">
        <f t="shared" si="46"/>
        <v>98</v>
      </c>
      <c r="AB710" t="s">
        <v>66</v>
      </c>
      <c r="AC710" t="str">
        <f t="shared" si="47"/>
        <v>Non-Cash Payments</v>
      </c>
    </row>
    <row r="711" spans="1:29" x14ac:dyDescent="0.25">
      <c r="A711">
        <v>53568</v>
      </c>
      <c r="B711" s="2">
        <v>42786</v>
      </c>
      <c r="C711">
        <v>4</v>
      </c>
      <c r="D711" s="2">
        <f t="shared" si="44"/>
        <v>42790</v>
      </c>
      <c r="E711">
        <v>0</v>
      </c>
      <c r="F711" t="s">
        <v>62</v>
      </c>
      <c r="G711" t="str">
        <f t="shared" si="45"/>
        <v>Other</v>
      </c>
      <c r="H711">
        <v>29</v>
      </c>
      <c r="I711">
        <v>2013</v>
      </c>
      <c r="J711">
        <v>5</v>
      </c>
      <c r="K711" t="s">
        <v>31</v>
      </c>
      <c r="L711" t="s">
        <v>480</v>
      </c>
      <c r="M711" t="s">
        <v>663</v>
      </c>
      <c r="N711" t="s">
        <v>513</v>
      </c>
      <c r="P711" t="s">
        <v>506</v>
      </c>
      <c r="Q711" t="s">
        <v>496</v>
      </c>
      <c r="R711">
        <v>29</v>
      </c>
      <c r="T711">
        <v>627</v>
      </c>
      <c r="U711" t="s">
        <v>1046</v>
      </c>
      <c r="V711" s="7">
        <v>39.990001679999999</v>
      </c>
      <c r="W711" s="7">
        <v>34.198098313835338</v>
      </c>
      <c r="X711">
        <v>2</v>
      </c>
      <c r="Y711" s="7">
        <v>4</v>
      </c>
      <c r="Z711" s="7">
        <v>79.980003359999998</v>
      </c>
      <c r="AA711" s="7">
        <f t="shared" si="46"/>
        <v>75.980003359999998</v>
      </c>
      <c r="AB711" t="s">
        <v>66</v>
      </c>
      <c r="AC711" t="str">
        <f t="shared" si="47"/>
        <v>Non-Cash Payments</v>
      </c>
    </row>
    <row r="712" spans="1:29" x14ac:dyDescent="0.25">
      <c r="A712">
        <v>53568</v>
      </c>
      <c r="B712" s="2">
        <v>42786</v>
      </c>
      <c r="C712">
        <v>4</v>
      </c>
      <c r="D712" s="2">
        <f t="shared" si="44"/>
        <v>42790</v>
      </c>
      <c r="E712">
        <v>0</v>
      </c>
      <c r="F712" t="s">
        <v>62</v>
      </c>
      <c r="G712" t="str">
        <f t="shared" si="45"/>
        <v>Other</v>
      </c>
      <c r="H712">
        <v>24</v>
      </c>
      <c r="I712">
        <v>2013</v>
      </c>
      <c r="J712">
        <v>5</v>
      </c>
      <c r="K712" t="s">
        <v>31</v>
      </c>
      <c r="L712" t="s">
        <v>480</v>
      </c>
      <c r="M712" t="s">
        <v>663</v>
      </c>
      <c r="N712" t="s">
        <v>513</v>
      </c>
      <c r="P712" t="s">
        <v>506</v>
      </c>
      <c r="Q712" t="s">
        <v>496</v>
      </c>
      <c r="R712">
        <v>24</v>
      </c>
      <c r="T712">
        <v>502</v>
      </c>
      <c r="U712" t="s">
        <v>1058</v>
      </c>
      <c r="V712" s="7">
        <v>50</v>
      </c>
      <c r="W712" s="7">
        <v>43.678035218757444</v>
      </c>
      <c r="X712">
        <v>2</v>
      </c>
      <c r="Y712" s="7">
        <v>20</v>
      </c>
      <c r="Z712" s="7">
        <v>100</v>
      </c>
      <c r="AA712" s="7">
        <f t="shared" si="46"/>
        <v>80</v>
      </c>
      <c r="AB712" t="s">
        <v>66</v>
      </c>
      <c r="AC712" t="str">
        <f t="shared" si="47"/>
        <v>Non-Cash Payments</v>
      </c>
    </row>
    <row r="713" spans="1:29" x14ac:dyDescent="0.25">
      <c r="A713">
        <v>6783</v>
      </c>
      <c r="B713" s="2">
        <v>42281</v>
      </c>
      <c r="C713">
        <v>2</v>
      </c>
      <c r="D713" s="2">
        <f t="shared" si="44"/>
        <v>42283</v>
      </c>
      <c r="E713">
        <v>1</v>
      </c>
      <c r="F713" t="s">
        <v>23</v>
      </c>
      <c r="G713" t="str">
        <f t="shared" si="45"/>
        <v>Other</v>
      </c>
      <c r="H713">
        <v>9</v>
      </c>
      <c r="I713">
        <v>10759</v>
      </c>
      <c r="J713">
        <v>3</v>
      </c>
      <c r="K713" t="s">
        <v>24</v>
      </c>
      <c r="L713" t="s">
        <v>480</v>
      </c>
      <c r="M713" t="s">
        <v>501</v>
      </c>
      <c r="N713" t="s">
        <v>502</v>
      </c>
      <c r="P713" t="s">
        <v>503</v>
      </c>
      <c r="Q713" t="s">
        <v>483</v>
      </c>
      <c r="R713">
        <v>9</v>
      </c>
      <c r="T713">
        <v>191</v>
      </c>
      <c r="U713" t="s">
        <v>1044</v>
      </c>
      <c r="V713" s="7">
        <v>99.989997860000003</v>
      </c>
      <c r="W713" s="7">
        <v>95.114003926871064</v>
      </c>
      <c r="X713">
        <v>5</v>
      </c>
      <c r="Y713" s="7">
        <v>25</v>
      </c>
      <c r="Z713" s="7">
        <v>499.94998930000003</v>
      </c>
      <c r="AA713" s="7">
        <f t="shared" si="46"/>
        <v>474.94998930000003</v>
      </c>
      <c r="AB713" t="s">
        <v>30</v>
      </c>
      <c r="AC713" t="str">
        <f t="shared" si="47"/>
        <v>Cash Over 200</v>
      </c>
    </row>
    <row r="714" spans="1:29" x14ac:dyDescent="0.25">
      <c r="A714">
        <v>4135</v>
      </c>
      <c r="B714" s="2">
        <v>42038</v>
      </c>
      <c r="C714">
        <v>2</v>
      </c>
      <c r="D714" s="2">
        <f t="shared" si="44"/>
        <v>42040</v>
      </c>
      <c r="E714">
        <v>1</v>
      </c>
      <c r="F714" t="s">
        <v>23</v>
      </c>
      <c r="G714" t="str">
        <f t="shared" si="45"/>
        <v>Other</v>
      </c>
      <c r="H714">
        <v>17</v>
      </c>
      <c r="I714">
        <v>10041</v>
      </c>
      <c r="J714">
        <v>4</v>
      </c>
      <c r="K714" t="s">
        <v>46</v>
      </c>
      <c r="L714" t="s">
        <v>480</v>
      </c>
      <c r="M714" t="s">
        <v>541</v>
      </c>
      <c r="N714" t="s">
        <v>541</v>
      </c>
      <c r="P714" t="s">
        <v>542</v>
      </c>
      <c r="Q714" t="s">
        <v>483</v>
      </c>
      <c r="R714">
        <v>17</v>
      </c>
      <c r="T714">
        <v>365</v>
      </c>
      <c r="U714" t="s">
        <v>1054</v>
      </c>
      <c r="V714" s="7">
        <v>59.990001679999999</v>
      </c>
      <c r="W714" s="7">
        <v>54.488929209402009</v>
      </c>
      <c r="X714">
        <v>5</v>
      </c>
      <c r="Y714" s="7">
        <v>3</v>
      </c>
      <c r="Z714" s="7">
        <v>299.9500084</v>
      </c>
      <c r="AA714" s="7">
        <f t="shared" si="46"/>
        <v>296.9500084</v>
      </c>
      <c r="AB714" t="s">
        <v>30</v>
      </c>
      <c r="AC714" t="str">
        <f t="shared" si="47"/>
        <v>Cash Over 200</v>
      </c>
    </row>
    <row r="715" spans="1:29" x14ac:dyDescent="0.25">
      <c r="A715">
        <v>4135</v>
      </c>
      <c r="B715" s="2">
        <v>42038</v>
      </c>
      <c r="C715">
        <v>2</v>
      </c>
      <c r="D715" s="2">
        <f t="shared" si="44"/>
        <v>42040</v>
      </c>
      <c r="E715">
        <v>1</v>
      </c>
      <c r="F715" t="s">
        <v>23</v>
      </c>
      <c r="G715" t="str">
        <f t="shared" si="45"/>
        <v>Other</v>
      </c>
      <c r="H715">
        <v>17</v>
      </c>
      <c r="I715">
        <v>10041</v>
      </c>
      <c r="J715">
        <v>4</v>
      </c>
      <c r="K715" t="s">
        <v>46</v>
      </c>
      <c r="L715" t="s">
        <v>480</v>
      </c>
      <c r="M715" t="s">
        <v>541</v>
      </c>
      <c r="N715" t="s">
        <v>541</v>
      </c>
      <c r="P715" t="s">
        <v>542</v>
      </c>
      <c r="Q715" t="s">
        <v>483</v>
      </c>
      <c r="R715">
        <v>17</v>
      </c>
      <c r="T715">
        <v>365</v>
      </c>
      <c r="U715" t="s">
        <v>1054</v>
      </c>
      <c r="V715" s="7">
        <v>59.990001679999999</v>
      </c>
      <c r="W715" s="7">
        <v>54.488929209402009</v>
      </c>
      <c r="X715">
        <v>5</v>
      </c>
      <c r="Y715" s="7">
        <v>6</v>
      </c>
      <c r="Z715" s="7">
        <v>299.9500084</v>
      </c>
      <c r="AA715" s="7">
        <f t="shared" si="46"/>
        <v>293.9500084</v>
      </c>
      <c r="AB715" t="s">
        <v>30</v>
      </c>
      <c r="AC715" t="str">
        <f t="shared" si="47"/>
        <v>Cash Over 200</v>
      </c>
    </row>
    <row r="716" spans="1:29" x14ac:dyDescent="0.25">
      <c r="A716">
        <v>56973</v>
      </c>
      <c r="B716" s="2">
        <v>43043</v>
      </c>
      <c r="C716">
        <v>2</v>
      </c>
      <c r="D716" s="2">
        <f t="shared" si="44"/>
        <v>43046</v>
      </c>
      <c r="E716">
        <v>1</v>
      </c>
      <c r="F716" t="s">
        <v>23</v>
      </c>
      <c r="G716" t="str">
        <f t="shared" si="45"/>
        <v>Other</v>
      </c>
      <c r="H716">
        <v>17</v>
      </c>
      <c r="I716">
        <v>8541</v>
      </c>
      <c r="J716">
        <v>4</v>
      </c>
      <c r="K716" t="s">
        <v>46</v>
      </c>
      <c r="L716" t="s">
        <v>480</v>
      </c>
      <c r="M716" t="s">
        <v>504</v>
      </c>
      <c r="N716" t="s">
        <v>505</v>
      </c>
      <c r="P716" t="s">
        <v>506</v>
      </c>
      <c r="Q716" t="s">
        <v>496</v>
      </c>
      <c r="R716">
        <v>17</v>
      </c>
      <c r="T716">
        <v>365</v>
      </c>
      <c r="U716" t="s">
        <v>1054</v>
      </c>
      <c r="V716" s="7">
        <v>59.990001679999999</v>
      </c>
      <c r="W716" s="7">
        <v>54.488929209402009</v>
      </c>
      <c r="X716">
        <v>5</v>
      </c>
      <c r="Y716" s="7">
        <v>6</v>
      </c>
      <c r="Z716" s="7">
        <v>299.9500084</v>
      </c>
      <c r="AA716" s="7">
        <f t="shared" si="46"/>
        <v>293.9500084</v>
      </c>
      <c r="AB716" t="s">
        <v>30</v>
      </c>
      <c r="AC716" t="str">
        <f t="shared" si="47"/>
        <v>Cash Over 200</v>
      </c>
    </row>
    <row r="717" spans="1:29" x14ac:dyDescent="0.25">
      <c r="A717">
        <v>5895</v>
      </c>
      <c r="B717" s="2">
        <v>42091</v>
      </c>
      <c r="C717">
        <v>2</v>
      </c>
      <c r="D717" s="2">
        <f t="shared" si="44"/>
        <v>42094</v>
      </c>
      <c r="E717">
        <v>1</v>
      </c>
      <c r="F717" t="s">
        <v>23</v>
      </c>
      <c r="G717" t="str">
        <f t="shared" si="45"/>
        <v>Other</v>
      </c>
      <c r="H717">
        <v>17</v>
      </c>
      <c r="I717">
        <v>8707</v>
      </c>
      <c r="J717">
        <v>4</v>
      </c>
      <c r="K717" t="s">
        <v>46</v>
      </c>
      <c r="L717" t="s">
        <v>480</v>
      </c>
      <c r="M717" t="s">
        <v>481</v>
      </c>
      <c r="N717" t="s">
        <v>482</v>
      </c>
      <c r="P717" t="s">
        <v>482</v>
      </c>
      <c r="Q717" t="s">
        <v>483</v>
      </c>
      <c r="R717">
        <v>17</v>
      </c>
      <c r="T717">
        <v>365</v>
      </c>
      <c r="U717" t="s">
        <v>1054</v>
      </c>
      <c r="V717" s="7">
        <v>59.990001679999999</v>
      </c>
      <c r="W717" s="7">
        <v>54.488929209402009</v>
      </c>
      <c r="X717">
        <v>5</v>
      </c>
      <c r="Y717" s="7">
        <v>16.5</v>
      </c>
      <c r="Z717" s="7">
        <v>299.9500084</v>
      </c>
      <c r="AA717" s="7">
        <f t="shared" si="46"/>
        <v>283.4500084</v>
      </c>
      <c r="AB717" t="s">
        <v>30</v>
      </c>
      <c r="AC717" t="str">
        <f t="shared" si="47"/>
        <v>Cash Over 200</v>
      </c>
    </row>
    <row r="718" spans="1:29" x14ac:dyDescent="0.25">
      <c r="A718">
        <v>56357</v>
      </c>
      <c r="B718" s="2">
        <v>42770</v>
      </c>
      <c r="C718">
        <v>2</v>
      </c>
      <c r="D718" s="2">
        <f t="shared" si="44"/>
        <v>42773</v>
      </c>
      <c r="E718">
        <v>1</v>
      </c>
      <c r="F718" t="s">
        <v>23</v>
      </c>
      <c r="G718" t="str">
        <f t="shared" si="45"/>
        <v>Other</v>
      </c>
      <c r="H718">
        <v>17</v>
      </c>
      <c r="I718">
        <v>6268</v>
      </c>
      <c r="J718">
        <v>4</v>
      </c>
      <c r="K718" t="s">
        <v>46</v>
      </c>
      <c r="L718" t="s">
        <v>480</v>
      </c>
      <c r="M718" t="s">
        <v>664</v>
      </c>
      <c r="N718" t="s">
        <v>513</v>
      </c>
      <c r="P718" t="s">
        <v>506</v>
      </c>
      <c r="Q718" t="s">
        <v>496</v>
      </c>
      <c r="R718">
        <v>17</v>
      </c>
      <c r="T718">
        <v>365</v>
      </c>
      <c r="U718" t="s">
        <v>1054</v>
      </c>
      <c r="V718" s="7">
        <v>59.990001679999999</v>
      </c>
      <c r="W718" s="7">
        <v>54.488929209402009</v>
      </c>
      <c r="X718">
        <v>5</v>
      </c>
      <c r="Y718" s="7">
        <v>16.5</v>
      </c>
      <c r="Z718" s="7">
        <v>299.9500084</v>
      </c>
      <c r="AA718" s="7">
        <f t="shared" si="46"/>
        <v>283.4500084</v>
      </c>
      <c r="AB718" t="s">
        <v>30</v>
      </c>
      <c r="AC718" t="str">
        <f t="shared" si="47"/>
        <v>Cash Over 200</v>
      </c>
    </row>
    <row r="719" spans="1:29" x14ac:dyDescent="0.25">
      <c r="A719">
        <v>6326</v>
      </c>
      <c r="B719" s="2">
        <v>42067</v>
      </c>
      <c r="C719">
        <v>2</v>
      </c>
      <c r="D719" s="2">
        <f t="shared" si="44"/>
        <v>42069</v>
      </c>
      <c r="E719">
        <v>0</v>
      </c>
      <c r="F719" t="s">
        <v>23</v>
      </c>
      <c r="G719" t="str">
        <f t="shared" si="45"/>
        <v>Other</v>
      </c>
      <c r="H719">
        <v>17</v>
      </c>
      <c r="I719">
        <v>6636</v>
      </c>
      <c r="J719">
        <v>4</v>
      </c>
      <c r="K719" t="s">
        <v>46</v>
      </c>
      <c r="L719" t="s">
        <v>480</v>
      </c>
      <c r="M719" t="s">
        <v>665</v>
      </c>
      <c r="N719" t="s">
        <v>666</v>
      </c>
      <c r="P719" t="s">
        <v>486</v>
      </c>
      <c r="Q719" t="s">
        <v>483</v>
      </c>
      <c r="R719">
        <v>17</v>
      </c>
      <c r="T719">
        <v>365</v>
      </c>
      <c r="U719" t="s">
        <v>1054</v>
      </c>
      <c r="V719" s="7">
        <v>59.990001679999999</v>
      </c>
      <c r="W719" s="7">
        <v>54.488929209402009</v>
      </c>
      <c r="X719">
        <v>5</v>
      </c>
      <c r="Y719" s="7">
        <v>38.990001679999999</v>
      </c>
      <c r="Z719" s="7">
        <v>299.9500084</v>
      </c>
      <c r="AA719" s="7">
        <f t="shared" si="46"/>
        <v>260.96000672000002</v>
      </c>
      <c r="AB719" t="s">
        <v>30</v>
      </c>
      <c r="AC719" t="str">
        <f t="shared" si="47"/>
        <v>Cash Over 200</v>
      </c>
    </row>
    <row r="720" spans="1:29" x14ac:dyDescent="0.25">
      <c r="A720">
        <v>3975</v>
      </c>
      <c r="B720" s="2">
        <v>42063</v>
      </c>
      <c r="C720">
        <v>2</v>
      </c>
      <c r="D720" s="2">
        <f t="shared" si="44"/>
        <v>42066</v>
      </c>
      <c r="E720">
        <v>1</v>
      </c>
      <c r="F720" t="s">
        <v>23</v>
      </c>
      <c r="G720" t="str">
        <f t="shared" si="45"/>
        <v>Other</v>
      </c>
      <c r="H720">
        <v>17</v>
      </c>
      <c r="I720">
        <v>7468</v>
      </c>
      <c r="J720">
        <v>4</v>
      </c>
      <c r="K720" t="s">
        <v>46</v>
      </c>
      <c r="L720" t="s">
        <v>480</v>
      </c>
      <c r="M720" t="s">
        <v>485</v>
      </c>
      <c r="N720" t="s">
        <v>485</v>
      </c>
      <c r="P720" t="s">
        <v>486</v>
      </c>
      <c r="Q720" t="s">
        <v>483</v>
      </c>
      <c r="R720">
        <v>17</v>
      </c>
      <c r="T720">
        <v>365</v>
      </c>
      <c r="U720" t="s">
        <v>1054</v>
      </c>
      <c r="V720" s="7">
        <v>59.990001679999999</v>
      </c>
      <c r="W720" s="7">
        <v>54.488929209402009</v>
      </c>
      <c r="X720">
        <v>5</v>
      </c>
      <c r="Y720" s="7">
        <v>44.990001679999999</v>
      </c>
      <c r="Z720" s="7">
        <v>299.9500084</v>
      </c>
      <c r="AA720" s="7">
        <f t="shared" si="46"/>
        <v>254.96000672</v>
      </c>
      <c r="AB720" t="s">
        <v>30</v>
      </c>
      <c r="AC720" t="str">
        <f t="shared" si="47"/>
        <v>Cash Over 200</v>
      </c>
    </row>
    <row r="721" spans="1:29" x14ac:dyDescent="0.25">
      <c r="A721">
        <v>8163</v>
      </c>
      <c r="B721" s="2">
        <v>42124</v>
      </c>
      <c r="C721">
        <v>2</v>
      </c>
      <c r="D721" s="2">
        <f t="shared" si="44"/>
        <v>42128</v>
      </c>
      <c r="E721">
        <v>1</v>
      </c>
      <c r="F721" t="s">
        <v>23</v>
      </c>
      <c r="G721" t="str">
        <f t="shared" si="45"/>
        <v>Other</v>
      </c>
      <c r="H721">
        <v>17</v>
      </c>
      <c r="I721">
        <v>10588</v>
      </c>
      <c r="J721">
        <v>4</v>
      </c>
      <c r="K721" t="s">
        <v>46</v>
      </c>
      <c r="L721" t="s">
        <v>480</v>
      </c>
      <c r="M721" t="s">
        <v>535</v>
      </c>
      <c r="N721" t="s">
        <v>536</v>
      </c>
      <c r="P721" t="s">
        <v>537</v>
      </c>
      <c r="Q721" t="s">
        <v>496</v>
      </c>
      <c r="R721">
        <v>17</v>
      </c>
      <c r="T721">
        <v>365</v>
      </c>
      <c r="U721" t="s">
        <v>1054</v>
      </c>
      <c r="V721" s="7">
        <v>59.990001679999999</v>
      </c>
      <c r="W721" s="7">
        <v>54.488929209402009</v>
      </c>
      <c r="X721">
        <v>5</v>
      </c>
      <c r="Y721" s="7">
        <v>44.990001679999999</v>
      </c>
      <c r="Z721" s="7">
        <v>299.9500084</v>
      </c>
      <c r="AA721" s="7">
        <f t="shared" si="46"/>
        <v>254.96000672</v>
      </c>
      <c r="AB721" t="s">
        <v>30</v>
      </c>
      <c r="AC721" t="str">
        <f t="shared" si="47"/>
        <v>Cash Over 200</v>
      </c>
    </row>
    <row r="722" spans="1:29" x14ac:dyDescent="0.25">
      <c r="A722">
        <v>53413</v>
      </c>
      <c r="B722" s="2">
        <v>42784</v>
      </c>
      <c r="C722">
        <v>2</v>
      </c>
      <c r="D722" s="2">
        <f t="shared" si="44"/>
        <v>42787</v>
      </c>
      <c r="E722">
        <v>1</v>
      </c>
      <c r="F722" t="s">
        <v>23</v>
      </c>
      <c r="G722" t="str">
        <f t="shared" si="45"/>
        <v>Other</v>
      </c>
      <c r="H722">
        <v>17</v>
      </c>
      <c r="I722">
        <v>376</v>
      </c>
      <c r="J722">
        <v>4</v>
      </c>
      <c r="K722" t="s">
        <v>46</v>
      </c>
      <c r="L722" t="s">
        <v>480</v>
      </c>
      <c r="M722" t="s">
        <v>497</v>
      </c>
      <c r="N722" t="s">
        <v>498</v>
      </c>
      <c r="P722" t="s">
        <v>499</v>
      </c>
      <c r="Q722" t="s">
        <v>496</v>
      </c>
      <c r="R722">
        <v>17</v>
      </c>
      <c r="T722">
        <v>365</v>
      </c>
      <c r="U722" t="s">
        <v>1054</v>
      </c>
      <c r="V722" s="7">
        <v>59.990001679999999</v>
      </c>
      <c r="W722" s="7">
        <v>54.488929209402009</v>
      </c>
      <c r="X722">
        <v>5</v>
      </c>
      <c r="Y722" s="7">
        <v>53.990001679999999</v>
      </c>
      <c r="Z722" s="7">
        <v>299.9500084</v>
      </c>
      <c r="AA722" s="7">
        <f t="shared" si="46"/>
        <v>245.96000672</v>
      </c>
      <c r="AB722" t="s">
        <v>30</v>
      </c>
      <c r="AC722" t="str">
        <f t="shared" si="47"/>
        <v>Cash Over 200</v>
      </c>
    </row>
    <row r="723" spans="1:29" x14ac:dyDescent="0.25">
      <c r="A723">
        <v>53202</v>
      </c>
      <c r="B723" s="2">
        <v>42781</v>
      </c>
      <c r="C723">
        <v>2</v>
      </c>
      <c r="D723" s="2">
        <f t="shared" si="44"/>
        <v>42783</v>
      </c>
      <c r="E723">
        <v>1</v>
      </c>
      <c r="F723" t="s">
        <v>23</v>
      </c>
      <c r="G723" t="str">
        <f t="shared" si="45"/>
        <v>Other</v>
      </c>
      <c r="H723">
        <v>17</v>
      </c>
      <c r="I723">
        <v>5007</v>
      </c>
      <c r="J723">
        <v>4</v>
      </c>
      <c r="K723" t="s">
        <v>46</v>
      </c>
      <c r="L723" t="s">
        <v>480</v>
      </c>
      <c r="M723" t="s">
        <v>609</v>
      </c>
      <c r="N723" t="s">
        <v>610</v>
      </c>
      <c r="P723" t="s">
        <v>509</v>
      </c>
      <c r="Q723" t="s">
        <v>483</v>
      </c>
      <c r="R723">
        <v>17</v>
      </c>
      <c r="T723">
        <v>365</v>
      </c>
      <c r="U723" t="s">
        <v>1054</v>
      </c>
      <c r="V723" s="7">
        <v>59.990001679999999</v>
      </c>
      <c r="W723" s="7">
        <v>54.488929209402009</v>
      </c>
      <c r="X723">
        <v>5</v>
      </c>
      <c r="Y723" s="7">
        <v>74.989997860000003</v>
      </c>
      <c r="Z723" s="7">
        <v>299.9500084</v>
      </c>
      <c r="AA723" s="7">
        <f t="shared" si="46"/>
        <v>224.96001053999998</v>
      </c>
      <c r="AB723" t="s">
        <v>30</v>
      </c>
      <c r="AC723" t="str">
        <f t="shared" si="47"/>
        <v>Cash Over 200</v>
      </c>
    </row>
    <row r="724" spans="1:29" x14ac:dyDescent="0.25">
      <c r="A724">
        <v>3987</v>
      </c>
      <c r="B724" s="2">
        <v>42063</v>
      </c>
      <c r="C724">
        <v>2</v>
      </c>
      <c r="D724" s="2">
        <f t="shared" si="44"/>
        <v>42066</v>
      </c>
      <c r="E724">
        <v>1</v>
      </c>
      <c r="F724" t="s">
        <v>23</v>
      </c>
      <c r="G724" t="str">
        <f t="shared" si="45"/>
        <v>Other</v>
      </c>
      <c r="H724">
        <v>24</v>
      </c>
      <c r="I724">
        <v>6280</v>
      </c>
      <c r="J724">
        <v>5</v>
      </c>
      <c r="K724" t="s">
        <v>31</v>
      </c>
      <c r="L724" t="s">
        <v>480</v>
      </c>
      <c r="M724" t="s">
        <v>490</v>
      </c>
      <c r="N724" t="s">
        <v>490</v>
      </c>
      <c r="P724" t="s">
        <v>491</v>
      </c>
      <c r="Q724" t="s">
        <v>492</v>
      </c>
      <c r="R724">
        <v>24</v>
      </c>
      <c r="T724">
        <v>502</v>
      </c>
      <c r="U724" t="s">
        <v>1058</v>
      </c>
      <c r="V724" s="7">
        <v>50</v>
      </c>
      <c r="W724" s="7">
        <v>43.678035218757444</v>
      </c>
      <c r="X724">
        <v>5</v>
      </c>
      <c r="Y724" s="7">
        <v>5</v>
      </c>
      <c r="Z724" s="7">
        <v>250</v>
      </c>
      <c r="AA724" s="7">
        <f t="shared" si="46"/>
        <v>245</v>
      </c>
      <c r="AB724" t="s">
        <v>30</v>
      </c>
      <c r="AC724" t="str">
        <f t="shared" si="47"/>
        <v>Cash Over 200</v>
      </c>
    </row>
    <row r="725" spans="1:29" x14ac:dyDescent="0.25">
      <c r="A725">
        <v>8578</v>
      </c>
      <c r="B725" s="2">
        <v>42160</v>
      </c>
      <c r="C725">
        <v>2</v>
      </c>
      <c r="D725" s="2">
        <f t="shared" si="44"/>
        <v>42164</v>
      </c>
      <c r="E725">
        <v>1</v>
      </c>
      <c r="F725" t="s">
        <v>23</v>
      </c>
      <c r="G725" t="str">
        <f t="shared" si="45"/>
        <v>Other</v>
      </c>
      <c r="H725">
        <v>29</v>
      </c>
      <c r="I725">
        <v>1989</v>
      </c>
      <c r="J725">
        <v>5</v>
      </c>
      <c r="K725" t="s">
        <v>31</v>
      </c>
      <c r="L725" t="s">
        <v>480</v>
      </c>
      <c r="M725" t="s">
        <v>667</v>
      </c>
      <c r="N725" t="s">
        <v>511</v>
      </c>
      <c r="P725" t="s">
        <v>509</v>
      </c>
      <c r="Q725" t="s">
        <v>483</v>
      </c>
      <c r="R725">
        <v>29</v>
      </c>
      <c r="T725">
        <v>627</v>
      </c>
      <c r="U725" t="s">
        <v>1046</v>
      </c>
      <c r="V725" s="7">
        <v>39.990001679999999</v>
      </c>
      <c r="W725" s="7">
        <v>34.198098313835338</v>
      </c>
      <c r="X725">
        <v>5</v>
      </c>
      <c r="Y725" s="7">
        <v>4</v>
      </c>
      <c r="Z725" s="7">
        <v>199.9500084</v>
      </c>
      <c r="AA725" s="7">
        <f t="shared" si="46"/>
        <v>195.9500084</v>
      </c>
      <c r="AB725" t="s">
        <v>30</v>
      </c>
      <c r="AC725" t="str">
        <f t="shared" si="47"/>
        <v>Cash Not Over 200</v>
      </c>
    </row>
    <row r="726" spans="1:29" x14ac:dyDescent="0.25">
      <c r="A726">
        <v>55906</v>
      </c>
      <c r="B726" s="2">
        <v>42821</v>
      </c>
      <c r="C726">
        <v>2</v>
      </c>
      <c r="D726" s="2">
        <f t="shared" si="44"/>
        <v>42823</v>
      </c>
      <c r="E726">
        <v>0</v>
      </c>
      <c r="F726" t="s">
        <v>23</v>
      </c>
      <c r="G726" t="str">
        <f t="shared" si="45"/>
        <v>Other</v>
      </c>
      <c r="H726">
        <v>24</v>
      </c>
      <c r="I726">
        <v>633</v>
      </c>
      <c r="J726">
        <v>5</v>
      </c>
      <c r="K726" t="s">
        <v>31</v>
      </c>
      <c r="L726" t="s">
        <v>480</v>
      </c>
      <c r="M726" t="s">
        <v>507</v>
      </c>
      <c r="N726" t="s">
        <v>508</v>
      </c>
      <c r="P726" t="s">
        <v>509</v>
      </c>
      <c r="Q726" t="s">
        <v>483</v>
      </c>
      <c r="R726">
        <v>24</v>
      </c>
      <c r="T726">
        <v>502</v>
      </c>
      <c r="U726" t="s">
        <v>1058</v>
      </c>
      <c r="V726" s="7">
        <v>50</v>
      </c>
      <c r="W726" s="7">
        <v>43.678035218757444</v>
      </c>
      <c r="X726">
        <v>5</v>
      </c>
      <c r="Y726" s="7">
        <v>7.5</v>
      </c>
      <c r="Z726" s="7">
        <v>250</v>
      </c>
      <c r="AA726" s="7">
        <f t="shared" si="46"/>
        <v>242.5</v>
      </c>
      <c r="AB726" t="s">
        <v>30</v>
      </c>
      <c r="AC726" t="str">
        <f t="shared" si="47"/>
        <v>Cash Over 200</v>
      </c>
    </row>
    <row r="727" spans="1:29" x14ac:dyDescent="0.25">
      <c r="A727">
        <v>10164</v>
      </c>
      <c r="B727" s="2">
        <v>42153</v>
      </c>
      <c r="C727">
        <v>2</v>
      </c>
      <c r="D727" s="2">
        <f t="shared" si="44"/>
        <v>42157</v>
      </c>
      <c r="E727">
        <v>1</v>
      </c>
      <c r="F727" t="s">
        <v>23</v>
      </c>
      <c r="G727" t="str">
        <f t="shared" si="45"/>
        <v>Other</v>
      </c>
      <c r="H727">
        <v>24</v>
      </c>
      <c r="I727">
        <v>146</v>
      </c>
      <c r="J727">
        <v>5</v>
      </c>
      <c r="K727" t="s">
        <v>31</v>
      </c>
      <c r="L727" t="s">
        <v>480</v>
      </c>
      <c r="M727" t="s">
        <v>658</v>
      </c>
      <c r="N727" t="s">
        <v>559</v>
      </c>
      <c r="P727" t="s">
        <v>506</v>
      </c>
      <c r="Q727" t="s">
        <v>496</v>
      </c>
      <c r="R727">
        <v>24</v>
      </c>
      <c r="T727">
        <v>502</v>
      </c>
      <c r="U727" t="s">
        <v>1058</v>
      </c>
      <c r="V727" s="7">
        <v>50</v>
      </c>
      <c r="W727" s="7">
        <v>43.678035218757444</v>
      </c>
      <c r="X727">
        <v>5</v>
      </c>
      <c r="Y727" s="7">
        <v>12.5</v>
      </c>
      <c r="Z727" s="7">
        <v>250</v>
      </c>
      <c r="AA727" s="7">
        <f t="shared" si="46"/>
        <v>237.5</v>
      </c>
      <c r="AB727" t="s">
        <v>30</v>
      </c>
      <c r="AC727" t="str">
        <f t="shared" si="47"/>
        <v>Cash Over 200</v>
      </c>
    </row>
    <row r="728" spans="1:29" x14ac:dyDescent="0.25">
      <c r="A728">
        <v>58239</v>
      </c>
      <c r="B728" s="2">
        <v>42855</v>
      </c>
      <c r="C728">
        <v>2</v>
      </c>
      <c r="D728" s="2">
        <f t="shared" si="44"/>
        <v>42857</v>
      </c>
      <c r="E728">
        <v>1</v>
      </c>
      <c r="F728" t="s">
        <v>23</v>
      </c>
      <c r="G728" t="str">
        <f t="shared" si="45"/>
        <v>Other</v>
      </c>
      <c r="H728">
        <v>29</v>
      </c>
      <c r="I728">
        <v>10166</v>
      </c>
      <c r="J728">
        <v>5</v>
      </c>
      <c r="K728" t="s">
        <v>31</v>
      </c>
      <c r="L728" t="s">
        <v>480</v>
      </c>
      <c r="M728" t="s">
        <v>490</v>
      </c>
      <c r="N728" t="s">
        <v>490</v>
      </c>
      <c r="P728" t="s">
        <v>491</v>
      </c>
      <c r="Q728" t="s">
        <v>492</v>
      </c>
      <c r="R728">
        <v>29</v>
      </c>
      <c r="T728">
        <v>627</v>
      </c>
      <c r="U728" t="s">
        <v>1046</v>
      </c>
      <c r="V728" s="7">
        <v>39.990001679999999</v>
      </c>
      <c r="W728" s="7">
        <v>34.198098313835338</v>
      </c>
      <c r="X728">
        <v>5</v>
      </c>
      <c r="Y728" s="7">
        <v>11</v>
      </c>
      <c r="Z728" s="7">
        <v>199.9500084</v>
      </c>
      <c r="AA728" s="7">
        <f t="shared" si="46"/>
        <v>188.9500084</v>
      </c>
      <c r="AB728" t="s">
        <v>30</v>
      </c>
      <c r="AC728" t="str">
        <f t="shared" si="47"/>
        <v>Cash Not Over 200</v>
      </c>
    </row>
    <row r="729" spans="1:29" x14ac:dyDescent="0.25">
      <c r="A729">
        <v>3975</v>
      </c>
      <c r="B729" s="2">
        <v>42063</v>
      </c>
      <c r="C729">
        <v>2</v>
      </c>
      <c r="D729" s="2">
        <f t="shared" si="44"/>
        <v>42066</v>
      </c>
      <c r="E729">
        <v>1</v>
      </c>
      <c r="F729" t="s">
        <v>23</v>
      </c>
      <c r="G729" t="str">
        <f t="shared" si="45"/>
        <v>Other</v>
      </c>
      <c r="H729">
        <v>29</v>
      </c>
      <c r="I729">
        <v>7468</v>
      </c>
      <c r="J729">
        <v>5</v>
      </c>
      <c r="K729" t="s">
        <v>31</v>
      </c>
      <c r="L729" t="s">
        <v>480</v>
      </c>
      <c r="M729" t="s">
        <v>485</v>
      </c>
      <c r="N729" t="s">
        <v>485</v>
      </c>
      <c r="P729" t="s">
        <v>486</v>
      </c>
      <c r="Q729" t="s">
        <v>483</v>
      </c>
      <c r="R729">
        <v>29</v>
      </c>
      <c r="T729">
        <v>627</v>
      </c>
      <c r="U729" t="s">
        <v>1046</v>
      </c>
      <c r="V729" s="7">
        <v>39.990001679999999</v>
      </c>
      <c r="W729" s="7">
        <v>34.198098313835338</v>
      </c>
      <c r="X729">
        <v>5</v>
      </c>
      <c r="Y729" s="7">
        <v>18</v>
      </c>
      <c r="Z729" s="7">
        <v>199.9500084</v>
      </c>
      <c r="AA729" s="7">
        <f t="shared" si="46"/>
        <v>181.9500084</v>
      </c>
      <c r="AB729" t="s">
        <v>30</v>
      </c>
      <c r="AC729" t="str">
        <f t="shared" si="47"/>
        <v>Cash Not Over 200</v>
      </c>
    </row>
    <row r="730" spans="1:29" x14ac:dyDescent="0.25">
      <c r="A730">
        <v>54128</v>
      </c>
      <c r="B730" s="2">
        <v>42738</v>
      </c>
      <c r="C730">
        <v>2</v>
      </c>
      <c r="D730" s="2">
        <f t="shared" si="44"/>
        <v>42740</v>
      </c>
      <c r="E730">
        <v>1</v>
      </c>
      <c r="F730" t="s">
        <v>23</v>
      </c>
      <c r="G730" t="str">
        <f t="shared" si="45"/>
        <v>Other</v>
      </c>
      <c r="H730">
        <v>24</v>
      </c>
      <c r="I730">
        <v>8986</v>
      </c>
      <c r="J730">
        <v>5</v>
      </c>
      <c r="K730" t="s">
        <v>31</v>
      </c>
      <c r="L730" t="s">
        <v>480</v>
      </c>
      <c r="M730" t="s">
        <v>612</v>
      </c>
      <c r="N730" t="s">
        <v>513</v>
      </c>
      <c r="P730" t="s">
        <v>506</v>
      </c>
      <c r="Q730" t="s">
        <v>496</v>
      </c>
      <c r="R730">
        <v>24</v>
      </c>
      <c r="T730">
        <v>502</v>
      </c>
      <c r="U730" t="s">
        <v>1058</v>
      </c>
      <c r="V730" s="7">
        <v>50</v>
      </c>
      <c r="W730" s="7">
        <v>43.678035218757444</v>
      </c>
      <c r="X730">
        <v>5</v>
      </c>
      <c r="Y730" s="7">
        <v>30</v>
      </c>
      <c r="Z730" s="7">
        <v>250</v>
      </c>
      <c r="AA730" s="7">
        <f t="shared" si="46"/>
        <v>220</v>
      </c>
      <c r="AB730" t="s">
        <v>30</v>
      </c>
      <c r="AC730" t="str">
        <f t="shared" si="47"/>
        <v>Cash Over 200</v>
      </c>
    </row>
    <row r="731" spans="1:29" x14ac:dyDescent="0.25">
      <c r="A731">
        <v>54128</v>
      </c>
      <c r="B731" s="2">
        <v>42738</v>
      </c>
      <c r="C731">
        <v>2</v>
      </c>
      <c r="D731" s="2">
        <f t="shared" si="44"/>
        <v>42740</v>
      </c>
      <c r="E731">
        <v>1</v>
      </c>
      <c r="F731" t="s">
        <v>23</v>
      </c>
      <c r="G731" t="str">
        <f t="shared" si="45"/>
        <v>Other</v>
      </c>
      <c r="H731">
        <v>24</v>
      </c>
      <c r="I731">
        <v>8986</v>
      </c>
      <c r="J731">
        <v>5</v>
      </c>
      <c r="K731" t="s">
        <v>31</v>
      </c>
      <c r="L731" t="s">
        <v>480</v>
      </c>
      <c r="M731" t="s">
        <v>612</v>
      </c>
      <c r="N731" t="s">
        <v>513</v>
      </c>
      <c r="P731" t="s">
        <v>506</v>
      </c>
      <c r="Q731" t="s">
        <v>496</v>
      </c>
      <c r="R731">
        <v>24</v>
      </c>
      <c r="T731">
        <v>502</v>
      </c>
      <c r="U731" t="s">
        <v>1058</v>
      </c>
      <c r="V731" s="7">
        <v>50</v>
      </c>
      <c r="W731" s="7">
        <v>43.678035218757444</v>
      </c>
      <c r="X731">
        <v>5</v>
      </c>
      <c r="Y731" s="7">
        <v>32.5</v>
      </c>
      <c r="Z731" s="7">
        <v>250</v>
      </c>
      <c r="AA731" s="7">
        <f t="shared" si="46"/>
        <v>217.5</v>
      </c>
      <c r="AB731" t="s">
        <v>30</v>
      </c>
      <c r="AC731" t="str">
        <f t="shared" si="47"/>
        <v>Cash Over 200</v>
      </c>
    </row>
    <row r="732" spans="1:29" x14ac:dyDescent="0.25">
      <c r="A732">
        <v>5042</v>
      </c>
      <c r="B732" s="2">
        <v>42078</v>
      </c>
      <c r="C732">
        <v>2</v>
      </c>
      <c r="D732" s="2">
        <f t="shared" si="44"/>
        <v>42080</v>
      </c>
      <c r="E732">
        <v>1</v>
      </c>
      <c r="F732" t="s">
        <v>23</v>
      </c>
      <c r="G732" t="str">
        <f t="shared" si="45"/>
        <v>Other</v>
      </c>
      <c r="H732">
        <v>24</v>
      </c>
      <c r="I732">
        <v>2339</v>
      </c>
      <c r="J732">
        <v>5</v>
      </c>
      <c r="K732" t="s">
        <v>31</v>
      </c>
      <c r="L732" t="s">
        <v>480</v>
      </c>
      <c r="M732" t="s">
        <v>513</v>
      </c>
      <c r="N732" t="s">
        <v>513</v>
      </c>
      <c r="P732" t="s">
        <v>506</v>
      </c>
      <c r="Q732" t="s">
        <v>496</v>
      </c>
      <c r="R732">
        <v>24</v>
      </c>
      <c r="T732">
        <v>502</v>
      </c>
      <c r="U732" t="s">
        <v>1058</v>
      </c>
      <c r="V732" s="7">
        <v>50</v>
      </c>
      <c r="W732" s="7">
        <v>43.678035218757444</v>
      </c>
      <c r="X732">
        <v>5</v>
      </c>
      <c r="Y732" s="7">
        <v>32.5</v>
      </c>
      <c r="Z732" s="7">
        <v>250</v>
      </c>
      <c r="AA732" s="7">
        <f t="shared" si="46"/>
        <v>217.5</v>
      </c>
      <c r="AB732" t="s">
        <v>30</v>
      </c>
      <c r="AC732" t="str">
        <f t="shared" si="47"/>
        <v>Cash Over 200</v>
      </c>
    </row>
    <row r="733" spans="1:29" x14ac:dyDescent="0.25">
      <c r="A733">
        <v>51298</v>
      </c>
      <c r="B733" s="2">
        <v>42753</v>
      </c>
      <c r="C733">
        <v>2</v>
      </c>
      <c r="D733" s="2">
        <f t="shared" si="44"/>
        <v>42755</v>
      </c>
      <c r="E733">
        <v>1</v>
      </c>
      <c r="F733" t="s">
        <v>23</v>
      </c>
      <c r="G733" t="str">
        <f t="shared" si="45"/>
        <v>Other</v>
      </c>
      <c r="H733">
        <v>24</v>
      </c>
      <c r="I733">
        <v>9272</v>
      </c>
      <c r="J733">
        <v>5</v>
      </c>
      <c r="K733" t="s">
        <v>31</v>
      </c>
      <c r="L733" t="s">
        <v>480</v>
      </c>
      <c r="M733" t="s">
        <v>513</v>
      </c>
      <c r="N733" t="s">
        <v>513</v>
      </c>
      <c r="P733" t="s">
        <v>506</v>
      </c>
      <c r="Q733" t="s">
        <v>496</v>
      </c>
      <c r="R733">
        <v>24</v>
      </c>
      <c r="T733">
        <v>502</v>
      </c>
      <c r="U733" t="s">
        <v>1058</v>
      </c>
      <c r="V733" s="7">
        <v>50</v>
      </c>
      <c r="W733" s="7">
        <v>43.678035218757444</v>
      </c>
      <c r="X733">
        <v>5</v>
      </c>
      <c r="Y733" s="7">
        <v>45</v>
      </c>
      <c r="Z733" s="7">
        <v>250</v>
      </c>
      <c r="AA733" s="7">
        <f t="shared" si="46"/>
        <v>205</v>
      </c>
      <c r="AB733" t="s">
        <v>30</v>
      </c>
      <c r="AC733" t="str">
        <f t="shared" si="47"/>
        <v>Cash Over 200</v>
      </c>
    </row>
    <row r="734" spans="1:29" x14ac:dyDescent="0.25">
      <c r="A734">
        <v>56317</v>
      </c>
      <c r="B734" s="2">
        <v>42770</v>
      </c>
      <c r="C734">
        <v>2</v>
      </c>
      <c r="D734" s="2">
        <f t="shared" si="44"/>
        <v>42773</v>
      </c>
      <c r="E734">
        <v>1</v>
      </c>
      <c r="F734" t="s">
        <v>23</v>
      </c>
      <c r="G734" t="str">
        <f t="shared" si="45"/>
        <v>Other</v>
      </c>
      <c r="H734">
        <v>9</v>
      </c>
      <c r="I734">
        <v>9918</v>
      </c>
      <c r="J734">
        <v>3</v>
      </c>
      <c r="K734" t="s">
        <v>24</v>
      </c>
      <c r="L734" t="s">
        <v>480</v>
      </c>
      <c r="M734" t="s">
        <v>668</v>
      </c>
      <c r="N734" t="s">
        <v>116</v>
      </c>
      <c r="P734" t="s">
        <v>669</v>
      </c>
      <c r="Q734" t="s">
        <v>492</v>
      </c>
      <c r="R734">
        <v>9</v>
      </c>
      <c r="T734">
        <v>191</v>
      </c>
      <c r="U734" t="s">
        <v>1044</v>
      </c>
      <c r="V734" s="7">
        <v>99.989997860000003</v>
      </c>
      <c r="W734" s="7">
        <v>95.114003926871064</v>
      </c>
      <c r="X734">
        <v>1</v>
      </c>
      <c r="Y734" s="7">
        <v>3</v>
      </c>
      <c r="Z734" s="7">
        <v>99.989997860000003</v>
      </c>
      <c r="AA734" s="7">
        <f t="shared" si="46"/>
        <v>96.989997860000003</v>
      </c>
      <c r="AB734" t="s">
        <v>45</v>
      </c>
      <c r="AC734" t="str">
        <f t="shared" si="47"/>
        <v>Non-Cash Payments</v>
      </c>
    </row>
    <row r="735" spans="1:29" x14ac:dyDescent="0.25">
      <c r="A735">
        <v>52407</v>
      </c>
      <c r="B735" s="2">
        <v>42827</v>
      </c>
      <c r="C735">
        <v>2</v>
      </c>
      <c r="D735" s="2">
        <f t="shared" si="44"/>
        <v>42829</v>
      </c>
      <c r="E735">
        <v>1</v>
      </c>
      <c r="F735" t="s">
        <v>23</v>
      </c>
      <c r="G735" t="str">
        <f t="shared" si="45"/>
        <v>Other</v>
      </c>
      <c r="H735">
        <v>9</v>
      </c>
      <c r="I735">
        <v>6517</v>
      </c>
      <c r="J735">
        <v>3</v>
      </c>
      <c r="K735" t="s">
        <v>24</v>
      </c>
      <c r="L735" t="s">
        <v>480</v>
      </c>
      <c r="M735" t="s">
        <v>572</v>
      </c>
      <c r="N735" t="s">
        <v>572</v>
      </c>
      <c r="P735" t="s">
        <v>509</v>
      </c>
      <c r="Q735" t="s">
        <v>483</v>
      </c>
      <c r="R735">
        <v>9</v>
      </c>
      <c r="T735">
        <v>191</v>
      </c>
      <c r="U735" t="s">
        <v>1044</v>
      </c>
      <c r="V735" s="7">
        <v>99.989997860000003</v>
      </c>
      <c r="W735" s="7">
        <v>95.114003926871064</v>
      </c>
      <c r="X735">
        <v>1</v>
      </c>
      <c r="Y735" s="7">
        <v>3</v>
      </c>
      <c r="Z735" s="7">
        <v>99.989997860000003</v>
      </c>
      <c r="AA735" s="7">
        <f t="shared" si="46"/>
        <v>96.989997860000003</v>
      </c>
      <c r="AB735" t="s">
        <v>45</v>
      </c>
      <c r="AC735" t="str">
        <f t="shared" si="47"/>
        <v>Non-Cash Payments</v>
      </c>
    </row>
    <row r="736" spans="1:29" x14ac:dyDescent="0.25">
      <c r="A736">
        <v>8455</v>
      </c>
      <c r="B736" s="2">
        <v>42099</v>
      </c>
      <c r="C736">
        <v>2</v>
      </c>
      <c r="D736" s="2">
        <f t="shared" si="44"/>
        <v>42101</v>
      </c>
      <c r="E736">
        <v>1</v>
      </c>
      <c r="F736" t="s">
        <v>23</v>
      </c>
      <c r="G736" t="str">
        <f t="shared" si="45"/>
        <v>Other</v>
      </c>
      <c r="H736">
        <v>9</v>
      </c>
      <c r="I736">
        <v>468</v>
      </c>
      <c r="J736">
        <v>3</v>
      </c>
      <c r="K736" t="s">
        <v>24</v>
      </c>
      <c r="L736" t="s">
        <v>480</v>
      </c>
      <c r="M736" t="s">
        <v>490</v>
      </c>
      <c r="N736" t="s">
        <v>490</v>
      </c>
      <c r="P736" t="s">
        <v>491</v>
      </c>
      <c r="Q736" t="s">
        <v>492</v>
      </c>
      <c r="R736">
        <v>9</v>
      </c>
      <c r="T736">
        <v>191</v>
      </c>
      <c r="U736" t="s">
        <v>1044</v>
      </c>
      <c r="V736" s="7">
        <v>99.989997860000003</v>
      </c>
      <c r="W736" s="7">
        <v>95.114003926871064</v>
      </c>
      <c r="X736">
        <v>1</v>
      </c>
      <c r="Y736" s="7">
        <v>4</v>
      </c>
      <c r="Z736" s="7">
        <v>99.989997860000003</v>
      </c>
      <c r="AA736" s="7">
        <f t="shared" si="46"/>
        <v>95.989997860000003</v>
      </c>
      <c r="AB736" t="s">
        <v>45</v>
      </c>
      <c r="AC736" t="str">
        <f t="shared" si="47"/>
        <v>Non-Cash Payments</v>
      </c>
    </row>
    <row r="737" spans="1:29" x14ac:dyDescent="0.25">
      <c r="A737">
        <v>8455</v>
      </c>
      <c r="B737" s="2">
        <v>42099</v>
      </c>
      <c r="C737">
        <v>2</v>
      </c>
      <c r="D737" s="2">
        <f t="shared" si="44"/>
        <v>42101</v>
      </c>
      <c r="E737">
        <v>1</v>
      </c>
      <c r="F737" t="s">
        <v>23</v>
      </c>
      <c r="G737" t="str">
        <f t="shared" si="45"/>
        <v>Other</v>
      </c>
      <c r="H737">
        <v>9</v>
      </c>
      <c r="I737">
        <v>468</v>
      </c>
      <c r="J737">
        <v>3</v>
      </c>
      <c r="K737" t="s">
        <v>24</v>
      </c>
      <c r="L737" t="s">
        <v>480</v>
      </c>
      <c r="M737" t="s">
        <v>490</v>
      </c>
      <c r="N737" t="s">
        <v>490</v>
      </c>
      <c r="P737" t="s">
        <v>491</v>
      </c>
      <c r="Q737" t="s">
        <v>492</v>
      </c>
      <c r="R737">
        <v>9</v>
      </c>
      <c r="T737">
        <v>191</v>
      </c>
      <c r="U737" t="s">
        <v>1044</v>
      </c>
      <c r="V737" s="7">
        <v>99.989997860000003</v>
      </c>
      <c r="W737" s="7">
        <v>95.114003926871064</v>
      </c>
      <c r="X737">
        <v>1</v>
      </c>
      <c r="Y737" s="7">
        <v>5</v>
      </c>
      <c r="Z737" s="7">
        <v>99.989997860000003</v>
      </c>
      <c r="AA737" s="7">
        <f t="shared" si="46"/>
        <v>94.989997860000003</v>
      </c>
      <c r="AB737" t="s">
        <v>45</v>
      </c>
      <c r="AC737" t="str">
        <f t="shared" si="47"/>
        <v>Non-Cash Payments</v>
      </c>
    </row>
    <row r="738" spans="1:29" x14ac:dyDescent="0.25">
      <c r="A738">
        <v>10253</v>
      </c>
      <c r="B738" s="2">
        <v>42154</v>
      </c>
      <c r="C738">
        <v>2</v>
      </c>
      <c r="D738" s="2">
        <f t="shared" si="44"/>
        <v>42157</v>
      </c>
      <c r="E738">
        <v>1</v>
      </c>
      <c r="F738" t="s">
        <v>23</v>
      </c>
      <c r="G738" t="str">
        <f t="shared" si="45"/>
        <v>Other</v>
      </c>
      <c r="H738">
        <v>9</v>
      </c>
      <c r="I738">
        <v>8398</v>
      </c>
      <c r="J738">
        <v>3</v>
      </c>
      <c r="K738" t="s">
        <v>24</v>
      </c>
      <c r="L738" t="s">
        <v>480</v>
      </c>
      <c r="M738" t="s">
        <v>670</v>
      </c>
      <c r="N738" t="s">
        <v>531</v>
      </c>
      <c r="P738" t="s">
        <v>506</v>
      </c>
      <c r="Q738" t="s">
        <v>496</v>
      </c>
      <c r="R738">
        <v>9</v>
      </c>
      <c r="T738">
        <v>191</v>
      </c>
      <c r="U738" t="s">
        <v>1044</v>
      </c>
      <c r="V738" s="7">
        <v>99.989997860000003</v>
      </c>
      <c r="W738" s="7">
        <v>95.114003926871064</v>
      </c>
      <c r="X738">
        <v>1</v>
      </c>
      <c r="Y738" s="7">
        <v>5</v>
      </c>
      <c r="Z738" s="7">
        <v>99.989997860000003</v>
      </c>
      <c r="AA738" s="7">
        <f t="shared" si="46"/>
        <v>94.989997860000003</v>
      </c>
      <c r="AB738" t="s">
        <v>45</v>
      </c>
      <c r="AC738" t="str">
        <f t="shared" si="47"/>
        <v>Non-Cash Payments</v>
      </c>
    </row>
    <row r="739" spans="1:29" x14ac:dyDescent="0.25">
      <c r="A739">
        <v>53816</v>
      </c>
      <c r="B739" s="2">
        <v>42790</v>
      </c>
      <c r="C739">
        <v>2</v>
      </c>
      <c r="D739" s="2">
        <f t="shared" si="44"/>
        <v>42794</v>
      </c>
      <c r="E739">
        <v>0</v>
      </c>
      <c r="F739" t="s">
        <v>23</v>
      </c>
      <c r="G739" t="str">
        <f t="shared" si="45"/>
        <v>Other</v>
      </c>
      <c r="H739">
        <v>9</v>
      </c>
      <c r="I739">
        <v>8360</v>
      </c>
      <c r="J739">
        <v>3</v>
      </c>
      <c r="K739" t="s">
        <v>24</v>
      </c>
      <c r="L739" t="s">
        <v>480</v>
      </c>
      <c r="M739" t="s">
        <v>671</v>
      </c>
      <c r="N739" t="s">
        <v>672</v>
      </c>
      <c r="P739" t="s">
        <v>517</v>
      </c>
      <c r="Q739" t="s">
        <v>496</v>
      </c>
      <c r="R739">
        <v>9</v>
      </c>
      <c r="T739">
        <v>191</v>
      </c>
      <c r="U739" t="s">
        <v>1044</v>
      </c>
      <c r="V739" s="7">
        <v>99.989997860000003</v>
      </c>
      <c r="W739" s="7">
        <v>95.114003926871064</v>
      </c>
      <c r="X739">
        <v>1</v>
      </c>
      <c r="Y739" s="7">
        <v>9</v>
      </c>
      <c r="Z739" s="7">
        <v>99.989997860000003</v>
      </c>
      <c r="AA739" s="7">
        <f t="shared" si="46"/>
        <v>90.989997860000003</v>
      </c>
      <c r="AB739" t="s">
        <v>45</v>
      </c>
      <c r="AC739" t="str">
        <f t="shared" si="47"/>
        <v>Non-Cash Payments</v>
      </c>
    </row>
    <row r="740" spans="1:29" x14ac:dyDescent="0.25">
      <c r="A740">
        <v>1077</v>
      </c>
      <c r="B740" s="2">
        <v>42020</v>
      </c>
      <c r="C740">
        <v>2</v>
      </c>
      <c r="D740" s="2">
        <f t="shared" si="44"/>
        <v>42024</v>
      </c>
      <c r="E740">
        <v>1</v>
      </c>
      <c r="F740" t="s">
        <v>23</v>
      </c>
      <c r="G740" t="str">
        <f t="shared" si="45"/>
        <v>Other</v>
      </c>
      <c r="H740">
        <v>9</v>
      </c>
      <c r="I740">
        <v>8103</v>
      </c>
      <c r="J740">
        <v>3</v>
      </c>
      <c r="K740" t="s">
        <v>24</v>
      </c>
      <c r="L740" t="s">
        <v>480</v>
      </c>
      <c r="M740" t="s">
        <v>673</v>
      </c>
      <c r="N740" t="s">
        <v>673</v>
      </c>
      <c r="P740" t="s">
        <v>482</v>
      </c>
      <c r="Q740" t="s">
        <v>483</v>
      </c>
      <c r="R740">
        <v>9</v>
      </c>
      <c r="T740">
        <v>191</v>
      </c>
      <c r="U740" t="s">
        <v>1044</v>
      </c>
      <c r="V740" s="7">
        <v>99.989997860000003</v>
      </c>
      <c r="W740" s="7">
        <v>95.114003926871064</v>
      </c>
      <c r="X740">
        <v>1</v>
      </c>
      <c r="Y740" s="7">
        <v>10</v>
      </c>
      <c r="Z740" s="7">
        <v>99.989997860000003</v>
      </c>
      <c r="AA740" s="7">
        <f t="shared" si="46"/>
        <v>89.989997860000003</v>
      </c>
      <c r="AB740" t="s">
        <v>45</v>
      </c>
      <c r="AC740" t="str">
        <f t="shared" si="47"/>
        <v>Non-Cash Payments</v>
      </c>
    </row>
    <row r="741" spans="1:29" x14ac:dyDescent="0.25">
      <c r="A741">
        <v>56037</v>
      </c>
      <c r="B741" s="2">
        <v>42822</v>
      </c>
      <c r="C741">
        <v>2</v>
      </c>
      <c r="D741" s="2">
        <f t="shared" si="44"/>
        <v>42824</v>
      </c>
      <c r="E741">
        <v>1</v>
      </c>
      <c r="F741" t="s">
        <v>23</v>
      </c>
      <c r="G741" t="str">
        <f t="shared" si="45"/>
        <v>Other</v>
      </c>
      <c r="H741">
        <v>9</v>
      </c>
      <c r="I741">
        <v>3125</v>
      </c>
      <c r="J741">
        <v>3</v>
      </c>
      <c r="K741" t="s">
        <v>24</v>
      </c>
      <c r="L741" t="s">
        <v>480</v>
      </c>
      <c r="M741" t="s">
        <v>674</v>
      </c>
      <c r="N741" t="s">
        <v>489</v>
      </c>
      <c r="P741" t="s">
        <v>489</v>
      </c>
      <c r="Q741" t="s">
        <v>483</v>
      </c>
      <c r="R741">
        <v>9</v>
      </c>
      <c r="T741">
        <v>191</v>
      </c>
      <c r="U741" t="s">
        <v>1044</v>
      </c>
      <c r="V741" s="7">
        <v>99.989997860000003</v>
      </c>
      <c r="W741" s="7">
        <v>95.114003926871064</v>
      </c>
      <c r="X741">
        <v>1</v>
      </c>
      <c r="Y741" s="7">
        <v>18</v>
      </c>
      <c r="Z741" s="7">
        <v>99.989997860000003</v>
      </c>
      <c r="AA741" s="7">
        <f t="shared" si="46"/>
        <v>81.989997860000003</v>
      </c>
      <c r="AB741" t="s">
        <v>45</v>
      </c>
      <c r="AC741" t="str">
        <f t="shared" si="47"/>
        <v>Non-Cash Payments</v>
      </c>
    </row>
    <row r="742" spans="1:29" x14ac:dyDescent="0.25">
      <c r="A742">
        <v>8455</v>
      </c>
      <c r="B742" s="2">
        <v>42099</v>
      </c>
      <c r="C742">
        <v>2</v>
      </c>
      <c r="D742" s="2">
        <f t="shared" si="44"/>
        <v>42101</v>
      </c>
      <c r="E742">
        <v>1</v>
      </c>
      <c r="F742" t="s">
        <v>23</v>
      </c>
      <c r="G742" t="str">
        <f t="shared" si="45"/>
        <v>Other</v>
      </c>
      <c r="H742">
        <v>17</v>
      </c>
      <c r="I742">
        <v>468</v>
      </c>
      <c r="J742">
        <v>4</v>
      </c>
      <c r="K742" t="s">
        <v>46</v>
      </c>
      <c r="L742" t="s">
        <v>480</v>
      </c>
      <c r="M742" t="s">
        <v>490</v>
      </c>
      <c r="N742" t="s">
        <v>490</v>
      </c>
      <c r="P742" t="s">
        <v>491</v>
      </c>
      <c r="Q742" t="s">
        <v>492</v>
      </c>
      <c r="R742">
        <v>17</v>
      </c>
      <c r="T742">
        <v>365</v>
      </c>
      <c r="U742" t="s">
        <v>1054</v>
      </c>
      <c r="V742" s="7">
        <v>59.990001679999999</v>
      </c>
      <c r="W742" s="7">
        <v>54.488929209402009</v>
      </c>
      <c r="X742">
        <v>1</v>
      </c>
      <c r="Y742" s="7">
        <v>0</v>
      </c>
      <c r="Z742" s="7">
        <v>59.990001679999999</v>
      </c>
      <c r="AA742" s="7">
        <f t="shared" si="46"/>
        <v>59.990001679999999</v>
      </c>
      <c r="AB742" t="s">
        <v>45</v>
      </c>
      <c r="AC742" t="str">
        <f t="shared" si="47"/>
        <v>Non-Cash Payments</v>
      </c>
    </row>
    <row r="743" spans="1:29" x14ac:dyDescent="0.25">
      <c r="A743">
        <v>7884</v>
      </c>
      <c r="B743" s="2">
        <v>42120</v>
      </c>
      <c r="C743">
        <v>2</v>
      </c>
      <c r="D743" s="2">
        <f t="shared" si="44"/>
        <v>42122</v>
      </c>
      <c r="E743">
        <v>1</v>
      </c>
      <c r="F743" t="s">
        <v>23</v>
      </c>
      <c r="G743" t="str">
        <f t="shared" si="45"/>
        <v>Other</v>
      </c>
      <c r="H743">
        <v>17</v>
      </c>
      <c r="I743">
        <v>4899</v>
      </c>
      <c r="J743">
        <v>4</v>
      </c>
      <c r="K743" t="s">
        <v>46</v>
      </c>
      <c r="L743" t="s">
        <v>480</v>
      </c>
      <c r="M743" t="s">
        <v>500</v>
      </c>
      <c r="N743" t="s">
        <v>485</v>
      </c>
      <c r="P743" t="s">
        <v>486</v>
      </c>
      <c r="Q743" t="s">
        <v>483</v>
      </c>
      <c r="R743">
        <v>17</v>
      </c>
      <c r="T743">
        <v>365</v>
      </c>
      <c r="U743" t="s">
        <v>1054</v>
      </c>
      <c r="V743" s="7">
        <v>59.990001679999999</v>
      </c>
      <c r="W743" s="7">
        <v>54.488929209402009</v>
      </c>
      <c r="X743">
        <v>1</v>
      </c>
      <c r="Y743" s="7">
        <v>0</v>
      </c>
      <c r="Z743" s="7">
        <v>59.990001679999999</v>
      </c>
      <c r="AA743" s="7">
        <f t="shared" si="46"/>
        <v>59.990001679999999</v>
      </c>
      <c r="AB743" t="s">
        <v>45</v>
      </c>
      <c r="AC743" t="str">
        <f t="shared" si="47"/>
        <v>Non-Cash Payments</v>
      </c>
    </row>
    <row r="744" spans="1:29" x14ac:dyDescent="0.25">
      <c r="A744">
        <v>2887</v>
      </c>
      <c r="B744" s="2">
        <v>42340</v>
      </c>
      <c r="C744">
        <v>4</v>
      </c>
      <c r="D744" s="2">
        <f t="shared" si="44"/>
        <v>42346</v>
      </c>
      <c r="E744">
        <v>0</v>
      </c>
      <c r="F744" t="s">
        <v>62</v>
      </c>
      <c r="G744" t="str">
        <f t="shared" si="45"/>
        <v>Other</v>
      </c>
      <c r="H744">
        <v>3</v>
      </c>
      <c r="I744">
        <v>10632</v>
      </c>
      <c r="J744">
        <v>2</v>
      </c>
      <c r="K744" t="s">
        <v>136</v>
      </c>
      <c r="L744" t="s">
        <v>480</v>
      </c>
      <c r="M744" t="s">
        <v>526</v>
      </c>
      <c r="N744" t="s">
        <v>489</v>
      </c>
      <c r="P744" t="s">
        <v>489</v>
      </c>
      <c r="Q744" t="s">
        <v>483</v>
      </c>
      <c r="R744">
        <v>3</v>
      </c>
      <c r="T744">
        <v>44</v>
      </c>
      <c r="U744" t="s">
        <v>1088</v>
      </c>
      <c r="V744" s="7">
        <v>59.990001679999999</v>
      </c>
      <c r="W744" s="7">
        <v>57.194418487916671</v>
      </c>
      <c r="X744">
        <v>4</v>
      </c>
      <c r="Y744" s="7">
        <v>31.190000529999999</v>
      </c>
      <c r="Z744" s="7">
        <v>239.96000672</v>
      </c>
      <c r="AA744" s="7">
        <f t="shared" si="46"/>
        <v>208.77000619</v>
      </c>
      <c r="AB744" t="s">
        <v>66</v>
      </c>
      <c r="AC744" t="str">
        <f t="shared" si="47"/>
        <v>Non-Cash Payments</v>
      </c>
    </row>
    <row r="745" spans="1:29" x14ac:dyDescent="0.25">
      <c r="A745">
        <v>1186</v>
      </c>
      <c r="B745" s="2">
        <v>42022</v>
      </c>
      <c r="C745">
        <v>4</v>
      </c>
      <c r="D745" s="2">
        <f t="shared" si="44"/>
        <v>42026</v>
      </c>
      <c r="E745">
        <v>0</v>
      </c>
      <c r="F745" t="s">
        <v>62</v>
      </c>
      <c r="G745" t="str">
        <f t="shared" si="45"/>
        <v>Other</v>
      </c>
      <c r="H745">
        <v>9</v>
      </c>
      <c r="I745">
        <v>11947</v>
      </c>
      <c r="J745">
        <v>3</v>
      </c>
      <c r="K745" t="s">
        <v>24</v>
      </c>
      <c r="L745" t="s">
        <v>480</v>
      </c>
      <c r="M745" t="s">
        <v>524</v>
      </c>
      <c r="N745" t="s">
        <v>525</v>
      </c>
      <c r="P745" t="s">
        <v>509</v>
      </c>
      <c r="Q745" t="s">
        <v>483</v>
      </c>
      <c r="R745">
        <v>9</v>
      </c>
      <c r="T745">
        <v>191</v>
      </c>
      <c r="U745" t="s">
        <v>1044</v>
      </c>
      <c r="V745" s="7">
        <v>99.989997860000003</v>
      </c>
      <c r="W745" s="7">
        <v>95.114003926871064</v>
      </c>
      <c r="X745">
        <v>4</v>
      </c>
      <c r="Y745" s="7">
        <v>4</v>
      </c>
      <c r="Z745" s="7">
        <v>399.95999144000001</v>
      </c>
      <c r="AA745" s="7">
        <f t="shared" si="46"/>
        <v>395.95999144000001</v>
      </c>
      <c r="AB745" t="s">
        <v>66</v>
      </c>
      <c r="AC745" t="str">
        <f t="shared" si="47"/>
        <v>Non-Cash Payments</v>
      </c>
    </row>
    <row r="746" spans="1:29" x14ac:dyDescent="0.25">
      <c r="A746">
        <v>8488</v>
      </c>
      <c r="B746" s="2">
        <v>42099</v>
      </c>
      <c r="C746">
        <v>4</v>
      </c>
      <c r="D746" s="2">
        <f t="shared" si="44"/>
        <v>42103</v>
      </c>
      <c r="E746">
        <v>0</v>
      </c>
      <c r="F746" t="s">
        <v>62</v>
      </c>
      <c r="G746" t="str">
        <f t="shared" si="45"/>
        <v>Other</v>
      </c>
      <c r="H746">
        <v>9</v>
      </c>
      <c r="I746">
        <v>9154</v>
      </c>
      <c r="J746">
        <v>3</v>
      </c>
      <c r="K746" t="s">
        <v>24</v>
      </c>
      <c r="L746" t="s">
        <v>480</v>
      </c>
      <c r="M746" t="s">
        <v>675</v>
      </c>
      <c r="N746" t="s">
        <v>676</v>
      </c>
      <c r="P746" t="s">
        <v>517</v>
      </c>
      <c r="Q746" t="s">
        <v>496</v>
      </c>
      <c r="R746">
        <v>9</v>
      </c>
      <c r="T746">
        <v>191</v>
      </c>
      <c r="U746" t="s">
        <v>1044</v>
      </c>
      <c r="V746" s="7">
        <v>99.989997860000003</v>
      </c>
      <c r="W746" s="7">
        <v>95.114003926871064</v>
      </c>
      <c r="X746">
        <v>4</v>
      </c>
      <c r="Y746" s="7">
        <v>63.990001679999999</v>
      </c>
      <c r="Z746" s="7">
        <v>399.95999144000001</v>
      </c>
      <c r="AA746" s="7">
        <f t="shared" si="46"/>
        <v>335.96998976000003</v>
      </c>
      <c r="AB746" t="s">
        <v>66</v>
      </c>
      <c r="AC746" t="str">
        <f t="shared" si="47"/>
        <v>Non-Cash Payments</v>
      </c>
    </row>
    <row r="747" spans="1:29" x14ac:dyDescent="0.25">
      <c r="A747">
        <v>55000</v>
      </c>
      <c r="B747" s="2">
        <v>42807</v>
      </c>
      <c r="C747">
        <v>4</v>
      </c>
      <c r="D747" s="2">
        <f t="shared" si="44"/>
        <v>42811</v>
      </c>
      <c r="E747">
        <v>0</v>
      </c>
      <c r="F747" t="s">
        <v>62</v>
      </c>
      <c r="G747" t="str">
        <f t="shared" si="45"/>
        <v>Other</v>
      </c>
      <c r="H747">
        <v>9</v>
      </c>
      <c r="I747">
        <v>9897</v>
      </c>
      <c r="J747">
        <v>3</v>
      </c>
      <c r="K747" t="s">
        <v>24</v>
      </c>
      <c r="L747" t="s">
        <v>480</v>
      </c>
      <c r="M747" t="s">
        <v>677</v>
      </c>
      <c r="N747" t="s">
        <v>678</v>
      </c>
      <c r="P747" t="s">
        <v>509</v>
      </c>
      <c r="Q747" t="s">
        <v>483</v>
      </c>
      <c r="R747">
        <v>9</v>
      </c>
      <c r="T747">
        <v>191</v>
      </c>
      <c r="U747" t="s">
        <v>1044</v>
      </c>
      <c r="V747" s="7">
        <v>99.989997860000003</v>
      </c>
      <c r="W747" s="7">
        <v>95.114003926871064</v>
      </c>
      <c r="X747">
        <v>4</v>
      </c>
      <c r="Y747" s="7">
        <v>79.989997860000003</v>
      </c>
      <c r="Z747" s="7">
        <v>399.95999144000001</v>
      </c>
      <c r="AA747" s="7">
        <f t="shared" si="46"/>
        <v>319.96999357999999</v>
      </c>
      <c r="AB747" t="s">
        <v>66</v>
      </c>
      <c r="AC747" t="str">
        <f t="shared" si="47"/>
        <v>Non-Cash Payments</v>
      </c>
    </row>
    <row r="748" spans="1:29" x14ac:dyDescent="0.25">
      <c r="A748">
        <v>55201</v>
      </c>
      <c r="B748" s="2">
        <v>42810</v>
      </c>
      <c r="C748">
        <v>4</v>
      </c>
      <c r="D748" s="2">
        <f t="shared" si="44"/>
        <v>42816</v>
      </c>
      <c r="E748">
        <v>0</v>
      </c>
      <c r="F748" t="s">
        <v>62</v>
      </c>
      <c r="G748" t="str">
        <f t="shared" si="45"/>
        <v>Other</v>
      </c>
      <c r="H748">
        <v>17</v>
      </c>
      <c r="I748">
        <v>11198</v>
      </c>
      <c r="J748">
        <v>4</v>
      </c>
      <c r="K748" t="s">
        <v>46</v>
      </c>
      <c r="L748" t="s">
        <v>480</v>
      </c>
      <c r="M748" t="s">
        <v>674</v>
      </c>
      <c r="N748" t="s">
        <v>489</v>
      </c>
      <c r="P748" t="s">
        <v>489</v>
      </c>
      <c r="Q748" t="s">
        <v>483</v>
      </c>
      <c r="R748">
        <v>17</v>
      </c>
      <c r="T748">
        <v>365</v>
      </c>
      <c r="U748" t="s">
        <v>1054</v>
      </c>
      <c r="V748" s="7">
        <v>59.990001679999999</v>
      </c>
      <c r="W748" s="7">
        <v>54.488929209402009</v>
      </c>
      <c r="X748">
        <v>4</v>
      </c>
      <c r="Y748" s="7">
        <v>21.600000380000001</v>
      </c>
      <c r="Z748" s="7">
        <v>239.96000672</v>
      </c>
      <c r="AA748" s="7">
        <f t="shared" si="46"/>
        <v>218.36000633999998</v>
      </c>
      <c r="AB748" t="s">
        <v>66</v>
      </c>
      <c r="AC748" t="str">
        <f t="shared" si="47"/>
        <v>Non-Cash Payments</v>
      </c>
    </row>
    <row r="749" spans="1:29" x14ac:dyDescent="0.25">
      <c r="A749">
        <v>1186</v>
      </c>
      <c r="B749" s="2">
        <v>42022</v>
      </c>
      <c r="C749">
        <v>4</v>
      </c>
      <c r="D749" s="2">
        <f t="shared" si="44"/>
        <v>42026</v>
      </c>
      <c r="E749">
        <v>0</v>
      </c>
      <c r="F749" t="s">
        <v>62</v>
      </c>
      <c r="G749" t="str">
        <f t="shared" si="45"/>
        <v>Other</v>
      </c>
      <c r="H749">
        <v>17</v>
      </c>
      <c r="I749">
        <v>11947</v>
      </c>
      <c r="J749">
        <v>4</v>
      </c>
      <c r="K749" t="s">
        <v>46</v>
      </c>
      <c r="L749" t="s">
        <v>480</v>
      </c>
      <c r="M749" t="s">
        <v>524</v>
      </c>
      <c r="N749" t="s">
        <v>525</v>
      </c>
      <c r="P749" t="s">
        <v>509</v>
      </c>
      <c r="Q749" t="s">
        <v>483</v>
      </c>
      <c r="R749">
        <v>17</v>
      </c>
      <c r="T749">
        <v>365</v>
      </c>
      <c r="U749" t="s">
        <v>1054</v>
      </c>
      <c r="V749" s="7">
        <v>59.990001679999999</v>
      </c>
      <c r="W749" s="7">
        <v>54.488929209402009</v>
      </c>
      <c r="X749">
        <v>4</v>
      </c>
      <c r="Y749" s="7">
        <v>35.990001679999999</v>
      </c>
      <c r="Z749" s="7">
        <v>239.96000672</v>
      </c>
      <c r="AA749" s="7">
        <f t="shared" si="46"/>
        <v>203.97000503999999</v>
      </c>
      <c r="AB749" t="s">
        <v>66</v>
      </c>
      <c r="AC749" t="str">
        <f t="shared" si="47"/>
        <v>Non-Cash Payments</v>
      </c>
    </row>
    <row r="750" spans="1:29" x14ac:dyDescent="0.25">
      <c r="A750">
        <v>1383</v>
      </c>
      <c r="B750" s="2">
        <v>42025</v>
      </c>
      <c r="C750">
        <v>4</v>
      </c>
      <c r="D750" s="2">
        <f t="shared" si="44"/>
        <v>42031</v>
      </c>
      <c r="E750">
        <v>0</v>
      </c>
      <c r="F750" t="s">
        <v>62</v>
      </c>
      <c r="G750" t="str">
        <f t="shared" si="45"/>
        <v>Other</v>
      </c>
      <c r="H750">
        <v>17</v>
      </c>
      <c r="I750">
        <v>1753</v>
      </c>
      <c r="J750">
        <v>4</v>
      </c>
      <c r="K750" t="s">
        <v>46</v>
      </c>
      <c r="L750" t="s">
        <v>480</v>
      </c>
      <c r="M750" t="s">
        <v>636</v>
      </c>
      <c r="N750" t="s">
        <v>513</v>
      </c>
      <c r="P750" t="s">
        <v>506</v>
      </c>
      <c r="Q750" t="s">
        <v>496</v>
      </c>
      <c r="R750">
        <v>17</v>
      </c>
      <c r="T750">
        <v>365</v>
      </c>
      <c r="U750" t="s">
        <v>1054</v>
      </c>
      <c r="V750" s="7">
        <v>59.990001679999999</v>
      </c>
      <c r="W750" s="7">
        <v>54.488929209402009</v>
      </c>
      <c r="X750">
        <v>4</v>
      </c>
      <c r="Y750" s="7">
        <v>35.990001679999999</v>
      </c>
      <c r="Z750" s="7">
        <v>239.96000672</v>
      </c>
      <c r="AA750" s="7">
        <f t="shared" si="46"/>
        <v>203.97000503999999</v>
      </c>
      <c r="AB750" t="s">
        <v>66</v>
      </c>
      <c r="AC750" t="str">
        <f t="shared" si="47"/>
        <v>Non-Cash Payments</v>
      </c>
    </row>
    <row r="751" spans="1:29" x14ac:dyDescent="0.25">
      <c r="A751">
        <v>53581</v>
      </c>
      <c r="B751" s="2">
        <v>42787</v>
      </c>
      <c r="C751">
        <v>4</v>
      </c>
      <c r="D751" s="2">
        <f t="shared" si="44"/>
        <v>42793</v>
      </c>
      <c r="E751">
        <v>0</v>
      </c>
      <c r="F751" t="s">
        <v>62</v>
      </c>
      <c r="G751" t="str">
        <f t="shared" si="45"/>
        <v>Other</v>
      </c>
      <c r="H751">
        <v>17</v>
      </c>
      <c r="I751">
        <v>2790</v>
      </c>
      <c r="J751">
        <v>4</v>
      </c>
      <c r="K751" t="s">
        <v>46</v>
      </c>
      <c r="L751" t="s">
        <v>480</v>
      </c>
      <c r="M751" t="s">
        <v>605</v>
      </c>
      <c r="N751" t="s">
        <v>605</v>
      </c>
      <c r="P751" t="s">
        <v>499</v>
      </c>
      <c r="Q751" t="s">
        <v>496</v>
      </c>
      <c r="R751">
        <v>17</v>
      </c>
      <c r="T751">
        <v>365</v>
      </c>
      <c r="U751" t="s">
        <v>1054</v>
      </c>
      <c r="V751" s="7">
        <v>59.990001679999999</v>
      </c>
      <c r="W751" s="7">
        <v>54.488929209402009</v>
      </c>
      <c r="X751">
        <v>4</v>
      </c>
      <c r="Y751" s="7">
        <v>38.38999939</v>
      </c>
      <c r="Z751" s="7">
        <v>239.96000672</v>
      </c>
      <c r="AA751" s="7">
        <f t="shared" si="46"/>
        <v>201.57000733000001</v>
      </c>
      <c r="AB751" t="s">
        <v>66</v>
      </c>
      <c r="AC751" t="str">
        <f t="shared" si="47"/>
        <v>Non-Cash Payments</v>
      </c>
    </row>
    <row r="752" spans="1:29" x14ac:dyDescent="0.25">
      <c r="A752">
        <v>1383</v>
      </c>
      <c r="B752" s="2">
        <v>42025</v>
      </c>
      <c r="C752">
        <v>4</v>
      </c>
      <c r="D752" s="2">
        <f t="shared" si="44"/>
        <v>42031</v>
      </c>
      <c r="E752">
        <v>0</v>
      </c>
      <c r="F752" t="s">
        <v>62</v>
      </c>
      <c r="G752" t="str">
        <f t="shared" si="45"/>
        <v>Other</v>
      </c>
      <c r="H752">
        <v>17</v>
      </c>
      <c r="I752">
        <v>1753</v>
      </c>
      <c r="J752">
        <v>4</v>
      </c>
      <c r="K752" t="s">
        <v>46</v>
      </c>
      <c r="L752" t="s">
        <v>480</v>
      </c>
      <c r="M752" t="s">
        <v>636</v>
      </c>
      <c r="N752" t="s">
        <v>513</v>
      </c>
      <c r="P752" t="s">
        <v>506</v>
      </c>
      <c r="Q752" t="s">
        <v>496</v>
      </c>
      <c r="R752">
        <v>17</v>
      </c>
      <c r="T752">
        <v>365</v>
      </c>
      <c r="U752" t="s">
        <v>1054</v>
      </c>
      <c r="V752" s="7">
        <v>59.990001679999999</v>
      </c>
      <c r="W752" s="7">
        <v>54.488929209402009</v>
      </c>
      <c r="X752">
        <v>4</v>
      </c>
      <c r="Y752" s="7">
        <v>38.38999939</v>
      </c>
      <c r="Z752" s="7">
        <v>239.96000672</v>
      </c>
      <c r="AA752" s="7">
        <f t="shared" si="46"/>
        <v>201.57000733000001</v>
      </c>
      <c r="AB752" t="s">
        <v>66</v>
      </c>
      <c r="AC752" t="str">
        <f t="shared" si="47"/>
        <v>Non-Cash Payments</v>
      </c>
    </row>
    <row r="753" spans="1:29" x14ac:dyDescent="0.25">
      <c r="A753">
        <v>57479</v>
      </c>
      <c r="B753" s="2">
        <v>42844</v>
      </c>
      <c r="C753">
        <v>4</v>
      </c>
      <c r="D753" s="2">
        <f t="shared" si="44"/>
        <v>42850</v>
      </c>
      <c r="E753">
        <v>0</v>
      </c>
      <c r="F753" t="s">
        <v>62</v>
      </c>
      <c r="G753" t="str">
        <f t="shared" si="45"/>
        <v>Other</v>
      </c>
      <c r="H753">
        <v>17</v>
      </c>
      <c r="I753">
        <v>1756</v>
      </c>
      <c r="J753">
        <v>4</v>
      </c>
      <c r="K753" t="s">
        <v>46</v>
      </c>
      <c r="L753" t="s">
        <v>480</v>
      </c>
      <c r="M753" t="s">
        <v>679</v>
      </c>
      <c r="N753" t="s">
        <v>679</v>
      </c>
      <c r="P753" t="s">
        <v>522</v>
      </c>
      <c r="Q753" t="s">
        <v>492</v>
      </c>
      <c r="R753">
        <v>17</v>
      </c>
      <c r="T753">
        <v>365</v>
      </c>
      <c r="U753" t="s">
        <v>1054</v>
      </c>
      <c r="V753" s="7">
        <v>59.990001679999999</v>
      </c>
      <c r="W753" s="7">
        <v>54.488929209402009</v>
      </c>
      <c r="X753">
        <v>4</v>
      </c>
      <c r="Y753" s="7">
        <v>40.790000919999997</v>
      </c>
      <c r="Z753" s="7">
        <v>239.96000672</v>
      </c>
      <c r="AA753" s="7">
        <f t="shared" si="46"/>
        <v>199.17000580000001</v>
      </c>
      <c r="AB753" t="s">
        <v>66</v>
      </c>
      <c r="AC753" t="str">
        <f t="shared" si="47"/>
        <v>Non-Cash Payments</v>
      </c>
    </row>
    <row r="754" spans="1:29" x14ac:dyDescent="0.25">
      <c r="A754">
        <v>738</v>
      </c>
      <c r="B754" s="2">
        <v>42309</v>
      </c>
      <c r="C754">
        <v>4</v>
      </c>
      <c r="D754" s="2">
        <f t="shared" si="44"/>
        <v>42313</v>
      </c>
      <c r="E754">
        <v>0</v>
      </c>
      <c r="F754" t="s">
        <v>62</v>
      </c>
      <c r="G754" t="str">
        <f t="shared" si="45"/>
        <v>Other</v>
      </c>
      <c r="H754">
        <v>17</v>
      </c>
      <c r="I754">
        <v>10042</v>
      </c>
      <c r="J754">
        <v>4</v>
      </c>
      <c r="K754" t="s">
        <v>46</v>
      </c>
      <c r="L754" t="s">
        <v>480</v>
      </c>
      <c r="M754" t="s">
        <v>664</v>
      </c>
      <c r="N754" t="s">
        <v>513</v>
      </c>
      <c r="P754" t="s">
        <v>506</v>
      </c>
      <c r="Q754" t="s">
        <v>496</v>
      </c>
      <c r="R754">
        <v>17</v>
      </c>
      <c r="T754">
        <v>365</v>
      </c>
      <c r="U754" t="s">
        <v>1054</v>
      </c>
      <c r="V754" s="7">
        <v>59.990001679999999</v>
      </c>
      <c r="W754" s="7">
        <v>54.488929209402009</v>
      </c>
      <c r="X754">
        <v>4</v>
      </c>
      <c r="Y754" s="7">
        <v>40.790000919999997</v>
      </c>
      <c r="Z754" s="7">
        <v>239.96000672</v>
      </c>
      <c r="AA754" s="7">
        <f t="shared" si="46"/>
        <v>199.17000580000001</v>
      </c>
      <c r="AB754" t="s">
        <v>66</v>
      </c>
      <c r="AC754" t="str">
        <f t="shared" si="47"/>
        <v>Non-Cash Payments</v>
      </c>
    </row>
    <row r="755" spans="1:29" x14ac:dyDescent="0.25">
      <c r="A755">
        <v>56476</v>
      </c>
      <c r="B755" s="2">
        <v>42829</v>
      </c>
      <c r="C755">
        <v>4</v>
      </c>
      <c r="D755" s="2">
        <f t="shared" si="44"/>
        <v>42835</v>
      </c>
      <c r="E755">
        <v>0</v>
      </c>
      <c r="F755" t="s">
        <v>62</v>
      </c>
      <c r="G755" t="str">
        <f t="shared" si="45"/>
        <v>Other</v>
      </c>
      <c r="H755">
        <v>17</v>
      </c>
      <c r="I755">
        <v>9698</v>
      </c>
      <c r="J755">
        <v>4</v>
      </c>
      <c r="K755" t="s">
        <v>46</v>
      </c>
      <c r="L755" t="s">
        <v>480</v>
      </c>
      <c r="M755" t="s">
        <v>680</v>
      </c>
      <c r="N755" t="s">
        <v>513</v>
      </c>
      <c r="P755" t="s">
        <v>506</v>
      </c>
      <c r="Q755" t="s">
        <v>496</v>
      </c>
      <c r="R755">
        <v>17</v>
      </c>
      <c r="T755">
        <v>365</v>
      </c>
      <c r="U755" t="s">
        <v>1054</v>
      </c>
      <c r="V755" s="7">
        <v>59.990001679999999</v>
      </c>
      <c r="W755" s="7">
        <v>54.488929209402009</v>
      </c>
      <c r="X755">
        <v>4</v>
      </c>
      <c r="Y755" s="7">
        <v>40.790000919999997</v>
      </c>
      <c r="Z755" s="7">
        <v>239.96000672</v>
      </c>
      <c r="AA755" s="7">
        <f t="shared" si="46"/>
        <v>199.17000580000001</v>
      </c>
      <c r="AB755" t="s">
        <v>66</v>
      </c>
      <c r="AC755" t="str">
        <f t="shared" si="47"/>
        <v>Non-Cash Payments</v>
      </c>
    </row>
    <row r="756" spans="1:29" x14ac:dyDescent="0.25">
      <c r="A756">
        <v>8488</v>
      </c>
      <c r="B756" s="2">
        <v>42099</v>
      </c>
      <c r="C756">
        <v>4</v>
      </c>
      <c r="D756" s="2">
        <f t="shared" si="44"/>
        <v>42103</v>
      </c>
      <c r="E756">
        <v>0</v>
      </c>
      <c r="F756" t="s">
        <v>62</v>
      </c>
      <c r="G756" t="str">
        <f t="shared" si="45"/>
        <v>Other</v>
      </c>
      <c r="H756">
        <v>17</v>
      </c>
      <c r="I756">
        <v>9154</v>
      </c>
      <c r="J756">
        <v>4</v>
      </c>
      <c r="K756" t="s">
        <v>46</v>
      </c>
      <c r="L756" t="s">
        <v>480</v>
      </c>
      <c r="M756" t="s">
        <v>675</v>
      </c>
      <c r="N756" t="s">
        <v>676</v>
      </c>
      <c r="P756" t="s">
        <v>517</v>
      </c>
      <c r="Q756" t="s">
        <v>496</v>
      </c>
      <c r="R756">
        <v>17</v>
      </c>
      <c r="T756">
        <v>365</v>
      </c>
      <c r="U756" t="s">
        <v>1054</v>
      </c>
      <c r="V756" s="7">
        <v>59.990001679999999</v>
      </c>
      <c r="W756" s="7">
        <v>54.488929209402009</v>
      </c>
      <c r="X756">
        <v>4</v>
      </c>
      <c r="Y756" s="7">
        <v>40.790000919999997</v>
      </c>
      <c r="Z756" s="7">
        <v>239.96000672</v>
      </c>
      <c r="AA756" s="7">
        <f t="shared" si="46"/>
        <v>199.17000580000001</v>
      </c>
      <c r="AB756" t="s">
        <v>66</v>
      </c>
      <c r="AC756" t="str">
        <f t="shared" si="47"/>
        <v>Non-Cash Payments</v>
      </c>
    </row>
    <row r="757" spans="1:29" x14ac:dyDescent="0.25">
      <c r="A757">
        <v>57575</v>
      </c>
      <c r="B757" s="2">
        <v>42845</v>
      </c>
      <c r="C757">
        <v>4</v>
      </c>
      <c r="D757" s="2">
        <f t="shared" si="44"/>
        <v>42851</v>
      </c>
      <c r="E757">
        <v>1</v>
      </c>
      <c r="F757" t="s">
        <v>62</v>
      </c>
      <c r="G757" t="str">
        <f t="shared" si="45"/>
        <v>Other</v>
      </c>
      <c r="H757">
        <v>7</v>
      </c>
      <c r="I757">
        <v>4768</v>
      </c>
      <c r="J757">
        <v>2</v>
      </c>
      <c r="K757" t="s">
        <v>136</v>
      </c>
      <c r="L757" t="s">
        <v>480</v>
      </c>
      <c r="M757" t="s">
        <v>681</v>
      </c>
      <c r="N757" t="s">
        <v>682</v>
      </c>
      <c r="P757" t="s">
        <v>506</v>
      </c>
      <c r="Q757" t="s">
        <v>496</v>
      </c>
      <c r="R757">
        <v>7</v>
      </c>
      <c r="T757">
        <v>135</v>
      </c>
      <c r="U757" t="s">
        <v>1082</v>
      </c>
      <c r="V757" s="7">
        <v>22</v>
      </c>
      <c r="W757" s="7">
        <v>19.656208341820829</v>
      </c>
      <c r="X757">
        <v>2</v>
      </c>
      <c r="Y757" s="7">
        <v>0.439999998</v>
      </c>
      <c r="Z757" s="7">
        <v>44</v>
      </c>
      <c r="AA757" s="7">
        <f t="shared" si="46"/>
        <v>43.560000002000002</v>
      </c>
      <c r="AB757" t="s">
        <v>66</v>
      </c>
      <c r="AC757" t="str">
        <f t="shared" si="47"/>
        <v>Non-Cash Payments</v>
      </c>
    </row>
    <row r="758" spans="1:29" x14ac:dyDescent="0.25">
      <c r="A758">
        <v>57380</v>
      </c>
      <c r="B758" s="2">
        <v>42842</v>
      </c>
      <c r="C758">
        <v>1</v>
      </c>
      <c r="D758" s="2">
        <f t="shared" si="44"/>
        <v>42843</v>
      </c>
      <c r="E758">
        <v>1</v>
      </c>
      <c r="F758" t="s">
        <v>187</v>
      </c>
      <c r="G758" t="str">
        <f t="shared" si="45"/>
        <v>Other</v>
      </c>
      <c r="H758">
        <v>7</v>
      </c>
      <c r="I758">
        <v>9037</v>
      </c>
      <c r="J758">
        <v>2</v>
      </c>
      <c r="K758" t="s">
        <v>136</v>
      </c>
      <c r="L758" t="s">
        <v>480</v>
      </c>
      <c r="M758" t="s">
        <v>484</v>
      </c>
      <c r="N758" t="s">
        <v>485</v>
      </c>
      <c r="P758" t="s">
        <v>486</v>
      </c>
      <c r="Q758" t="s">
        <v>483</v>
      </c>
      <c r="R758">
        <v>7</v>
      </c>
      <c r="T758">
        <v>135</v>
      </c>
      <c r="U758" t="s">
        <v>1082</v>
      </c>
      <c r="V758" s="7">
        <v>22</v>
      </c>
      <c r="W758" s="7">
        <v>19.656208341820829</v>
      </c>
      <c r="X758">
        <v>4</v>
      </c>
      <c r="Y758" s="7">
        <v>4.4000000950000002</v>
      </c>
      <c r="Z758" s="7">
        <v>88</v>
      </c>
      <c r="AA758" s="7">
        <f t="shared" si="46"/>
        <v>83.599999905000004</v>
      </c>
      <c r="AB758" t="s">
        <v>30</v>
      </c>
      <c r="AC758" t="str">
        <f t="shared" si="47"/>
        <v>Cash Not Over 200</v>
      </c>
    </row>
    <row r="759" spans="1:29" x14ac:dyDescent="0.25">
      <c r="A759">
        <v>57353</v>
      </c>
      <c r="B759" s="2">
        <v>42842</v>
      </c>
      <c r="C759">
        <v>0</v>
      </c>
      <c r="D759" s="2">
        <f t="shared" si="44"/>
        <v>42842</v>
      </c>
      <c r="E759">
        <v>0</v>
      </c>
      <c r="F759" t="s">
        <v>214</v>
      </c>
      <c r="G759" t="str">
        <f t="shared" si="45"/>
        <v>Same Day - On Time</v>
      </c>
      <c r="H759">
        <v>7</v>
      </c>
      <c r="I759">
        <v>5783</v>
      </c>
      <c r="J759">
        <v>2</v>
      </c>
      <c r="K759" t="s">
        <v>136</v>
      </c>
      <c r="L759" t="s">
        <v>480</v>
      </c>
      <c r="M759" t="s">
        <v>501</v>
      </c>
      <c r="N759" t="s">
        <v>502</v>
      </c>
      <c r="P759" t="s">
        <v>503</v>
      </c>
      <c r="Q759" t="s">
        <v>483</v>
      </c>
      <c r="R759">
        <v>7</v>
      </c>
      <c r="T759">
        <v>135</v>
      </c>
      <c r="U759" t="s">
        <v>1082</v>
      </c>
      <c r="V759" s="7">
        <v>22</v>
      </c>
      <c r="W759" s="7">
        <v>19.656208341820829</v>
      </c>
      <c r="X759">
        <v>1</v>
      </c>
      <c r="Y759" s="7">
        <v>0.87999999500000003</v>
      </c>
      <c r="Z759" s="7">
        <v>22</v>
      </c>
      <c r="AA759" s="7">
        <f t="shared" si="46"/>
        <v>21.120000005000001</v>
      </c>
      <c r="AB759" t="s">
        <v>45</v>
      </c>
      <c r="AC759" t="str">
        <f t="shared" si="47"/>
        <v>Non-Cash Payments</v>
      </c>
    </row>
    <row r="760" spans="1:29" x14ac:dyDescent="0.25">
      <c r="A760">
        <v>77202</v>
      </c>
      <c r="B760" s="2">
        <v>43131</v>
      </c>
      <c r="C760">
        <v>4</v>
      </c>
      <c r="D760" s="2">
        <f t="shared" si="44"/>
        <v>43137</v>
      </c>
      <c r="E760">
        <v>0</v>
      </c>
      <c r="F760" t="s">
        <v>62</v>
      </c>
      <c r="G760" t="str">
        <f t="shared" si="45"/>
        <v>Other</v>
      </c>
      <c r="H760">
        <v>73</v>
      </c>
      <c r="I760">
        <v>20755</v>
      </c>
      <c r="J760">
        <v>2</v>
      </c>
      <c r="K760" t="s">
        <v>136</v>
      </c>
      <c r="L760" t="s">
        <v>683</v>
      </c>
      <c r="M760" t="s">
        <v>684</v>
      </c>
      <c r="N760" t="s">
        <v>685</v>
      </c>
      <c r="P760" t="s">
        <v>686</v>
      </c>
      <c r="Q760" t="s">
        <v>687</v>
      </c>
      <c r="R760">
        <v>73</v>
      </c>
      <c r="T760">
        <v>1360</v>
      </c>
      <c r="U760" t="s">
        <v>1126</v>
      </c>
      <c r="V760" s="7">
        <v>327.75</v>
      </c>
      <c r="W760" s="7">
        <v>297.07027734645828</v>
      </c>
      <c r="X760">
        <v>1</v>
      </c>
      <c r="Y760" s="7">
        <v>13.10999966</v>
      </c>
      <c r="Z760" s="7">
        <v>327.75</v>
      </c>
      <c r="AA760" s="7">
        <f t="shared" si="46"/>
        <v>314.64000034000003</v>
      </c>
      <c r="AB760" t="s">
        <v>45</v>
      </c>
      <c r="AC760" t="str">
        <f t="shared" si="47"/>
        <v>Non-Cash Payments</v>
      </c>
    </row>
    <row r="761" spans="1:29" x14ac:dyDescent="0.25">
      <c r="A761">
        <v>75939</v>
      </c>
      <c r="B761" s="2">
        <v>43113</v>
      </c>
      <c r="C761">
        <v>4</v>
      </c>
      <c r="D761" s="2">
        <f t="shared" si="44"/>
        <v>43118</v>
      </c>
      <c r="E761">
        <v>1</v>
      </c>
      <c r="F761" t="s">
        <v>62</v>
      </c>
      <c r="G761" t="str">
        <f t="shared" si="45"/>
        <v>Other</v>
      </c>
      <c r="H761">
        <v>73</v>
      </c>
      <c r="I761">
        <v>19492</v>
      </c>
      <c r="J761">
        <v>2</v>
      </c>
      <c r="K761" t="s">
        <v>136</v>
      </c>
      <c r="L761" t="s">
        <v>683</v>
      </c>
      <c r="M761" t="s">
        <v>688</v>
      </c>
      <c r="N761" t="s">
        <v>689</v>
      </c>
      <c r="P761" t="s">
        <v>690</v>
      </c>
      <c r="Q761" t="s">
        <v>691</v>
      </c>
      <c r="R761">
        <v>73</v>
      </c>
      <c r="T761">
        <v>1360</v>
      </c>
      <c r="U761" t="s">
        <v>1126</v>
      </c>
      <c r="V761" s="7">
        <v>327.75</v>
      </c>
      <c r="W761" s="7">
        <v>297.07027734645828</v>
      </c>
      <c r="X761">
        <v>1</v>
      </c>
      <c r="Y761" s="7">
        <v>16.38999939</v>
      </c>
      <c r="Z761" s="7">
        <v>327.75</v>
      </c>
      <c r="AA761" s="7">
        <f t="shared" si="46"/>
        <v>311.36000060999999</v>
      </c>
      <c r="AB761" t="s">
        <v>66</v>
      </c>
      <c r="AC761" t="str">
        <f t="shared" si="47"/>
        <v>Non-Cash Payments</v>
      </c>
    </row>
    <row r="762" spans="1:29" x14ac:dyDescent="0.25">
      <c r="A762">
        <v>75938</v>
      </c>
      <c r="B762" s="2">
        <v>43113</v>
      </c>
      <c r="C762">
        <v>4</v>
      </c>
      <c r="D762" s="2">
        <f t="shared" si="44"/>
        <v>43118</v>
      </c>
      <c r="E762">
        <v>0</v>
      </c>
      <c r="F762" t="s">
        <v>62</v>
      </c>
      <c r="G762" t="str">
        <f t="shared" si="45"/>
        <v>Other</v>
      </c>
      <c r="H762">
        <v>73</v>
      </c>
      <c r="I762">
        <v>19491</v>
      </c>
      <c r="J762">
        <v>2</v>
      </c>
      <c r="K762" t="s">
        <v>136</v>
      </c>
      <c r="L762" t="s">
        <v>683</v>
      </c>
      <c r="M762" t="s">
        <v>688</v>
      </c>
      <c r="N762" t="s">
        <v>689</v>
      </c>
      <c r="P762" t="s">
        <v>690</v>
      </c>
      <c r="Q762" t="s">
        <v>691</v>
      </c>
      <c r="R762">
        <v>73</v>
      </c>
      <c r="T762">
        <v>1360</v>
      </c>
      <c r="U762" t="s">
        <v>1126</v>
      </c>
      <c r="V762" s="7">
        <v>327.75</v>
      </c>
      <c r="W762" s="7">
        <v>297.07027734645828</v>
      </c>
      <c r="X762">
        <v>1</v>
      </c>
      <c r="Y762" s="7">
        <v>18.030000690000001</v>
      </c>
      <c r="Z762" s="7">
        <v>327.75</v>
      </c>
      <c r="AA762" s="7">
        <f t="shared" si="46"/>
        <v>309.71999930999999</v>
      </c>
      <c r="AB762" t="s">
        <v>30</v>
      </c>
      <c r="AC762" t="str">
        <f t="shared" si="47"/>
        <v>Cash Over 200</v>
      </c>
    </row>
    <row r="763" spans="1:29" x14ac:dyDescent="0.25">
      <c r="A763">
        <v>75937</v>
      </c>
      <c r="B763" s="2">
        <v>43113</v>
      </c>
      <c r="C763">
        <v>4</v>
      </c>
      <c r="D763" s="2">
        <f t="shared" si="44"/>
        <v>43118</v>
      </c>
      <c r="E763">
        <v>0</v>
      </c>
      <c r="F763" t="s">
        <v>62</v>
      </c>
      <c r="G763" t="str">
        <f t="shared" si="45"/>
        <v>Other</v>
      </c>
      <c r="H763">
        <v>73</v>
      </c>
      <c r="I763">
        <v>19490</v>
      </c>
      <c r="J763">
        <v>2</v>
      </c>
      <c r="K763" t="s">
        <v>136</v>
      </c>
      <c r="L763" t="s">
        <v>683</v>
      </c>
      <c r="M763" t="s">
        <v>692</v>
      </c>
      <c r="N763" t="s">
        <v>693</v>
      </c>
      <c r="P763" t="s">
        <v>694</v>
      </c>
      <c r="Q763" t="s">
        <v>695</v>
      </c>
      <c r="R763">
        <v>73</v>
      </c>
      <c r="T763">
        <v>1360</v>
      </c>
      <c r="U763" t="s">
        <v>1126</v>
      </c>
      <c r="V763" s="7">
        <v>327.75</v>
      </c>
      <c r="W763" s="7">
        <v>297.07027734645828</v>
      </c>
      <c r="X763">
        <v>1</v>
      </c>
      <c r="Y763" s="7">
        <v>22.940000529999999</v>
      </c>
      <c r="Z763" s="7">
        <v>327.75</v>
      </c>
      <c r="AA763" s="7">
        <f t="shared" si="46"/>
        <v>304.80999946999998</v>
      </c>
      <c r="AB763" t="s">
        <v>45</v>
      </c>
      <c r="AC763" t="str">
        <f t="shared" si="47"/>
        <v>Non-Cash Payments</v>
      </c>
    </row>
    <row r="764" spans="1:29" x14ac:dyDescent="0.25">
      <c r="A764">
        <v>75936</v>
      </c>
      <c r="B764" s="2">
        <v>43113</v>
      </c>
      <c r="C764">
        <v>4</v>
      </c>
      <c r="D764" s="2">
        <f t="shared" si="44"/>
        <v>43118</v>
      </c>
      <c r="E764">
        <v>0</v>
      </c>
      <c r="F764" t="s">
        <v>62</v>
      </c>
      <c r="G764" t="str">
        <f t="shared" si="45"/>
        <v>Other</v>
      </c>
      <c r="H764">
        <v>73</v>
      </c>
      <c r="I764">
        <v>19489</v>
      </c>
      <c r="J764">
        <v>2</v>
      </c>
      <c r="K764" t="s">
        <v>136</v>
      </c>
      <c r="L764" t="s">
        <v>683</v>
      </c>
      <c r="M764" t="s">
        <v>692</v>
      </c>
      <c r="N764" t="s">
        <v>693</v>
      </c>
      <c r="P764" t="s">
        <v>694</v>
      </c>
      <c r="Q764" t="s">
        <v>695</v>
      </c>
      <c r="R764">
        <v>73</v>
      </c>
      <c r="T764">
        <v>1360</v>
      </c>
      <c r="U764" t="s">
        <v>1126</v>
      </c>
      <c r="V764" s="7">
        <v>327.75</v>
      </c>
      <c r="W764" s="7">
        <v>297.07027734645828</v>
      </c>
      <c r="X764">
        <v>1</v>
      </c>
      <c r="Y764" s="7">
        <v>29.5</v>
      </c>
      <c r="Z764" s="7">
        <v>327.75</v>
      </c>
      <c r="AA764" s="7">
        <f t="shared" si="46"/>
        <v>298.25</v>
      </c>
      <c r="AB764" t="s">
        <v>30</v>
      </c>
      <c r="AC764" t="str">
        <f t="shared" si="47"/>
        <v>Cash Over 200</v>
      </c>
    </row>
    <row r="765" spans="1:29" x14ac:dyDescent="0.25">
      <c r="A765">
        <v>75935</v>
      </c>
      <c r="B765" s="2">
        <v>43113</v>
      </c>
      <c r="C765">
        <v>4</v>
      </c>
      <c r="D765" s="2">
        <f t="shared" si="44"/>
        <v>43118</v>
      </c>
      <c r="E765">
        <v>0</v>
      </c>
      <c r="F765" t="s">
        <v>62</v>
      </c>
      <c r="G765" t="str">
        <f t="shared" si="45"/>
        <v>Other</v>
      </c>
      <c r="H765">
        <v>73</v>
      </c>
      <c r="I765">
        <v>19488</v>
      </c>
      <c r="J765">
        <v>2</v>
      </c>
      <c r="K765" t="s">
        <v>136</v>
      </c>
      <c r="L765" t="s">
        <v>683</v>
      </c>
      <c r="M765" t="s">
        <v>696</v>
      </c>
      <c r="N765" t="s">
        <v>693</v>
      </c>
      <c r="P765" t="s">
        <v>694</v>
      </c>
      <c r="Q765" t="s">
        <v>695</v>
      </c>
      <c r="R765">
        <v>73</v>
      </c>
      <c r="T765">
        <v>1360</v>
      </c>
      <c r="U765" t="s">
        <v>1126</v>
      </c>
      <c r="V765" s="7">
        <v>327.75</v>
      </c>
      <c r="W765" s="7">
        <v>297.07027734645828</v>
      </c>
      <c r="X765">
        <v>1</v>
      </c>
      <c r="Y765" s="7">
        <v>32.77999878</v>
      </c>
      <c r="Z765" s="7">
        <v>327.75</v>
      </c>
      <c r="AA765" s="7">
        <f t="shared" si="46"/>
        <v>294.97000121999997</v>
      </c>
      <c r="AB765" t="s">
        <v>66</v>
      </c>
      <c r="AC765" t="str">
        <f t="shared" si="47"/>
        <v>Non-Cash Payments</v>
      </c>
    </row>
    <row r="766" spans="1:29" x14ac:dyDescent="0.25">
      <c r="A766">
        <v>75934</v>
      </c>
      <c r="B766" s="2">
        <v>43113</v>
      </c>
      <c r="C766">
        <v>1</v>
      </c>
      <c r="D766" s="2">
        <f t="shared" si="44"/>
        <v>43115</v>
      </c>
      <c r="E766">
        <v>1</v>
      </c>
      <c r="F766" t="s">
        <v>187</v>
      </c>
      <c r="G766" t="str">
        <f t="shared" si="45"/>
        <v>Other</v>
      </c>
      <c r="H766">
        <v>73</v>
      </c>
      <c r="I766">
        <v>19487</v>
      </c>
      <c r="J766">
        <v>2</v>
      </c>
      <c r="K766" t="s">
        <v>136</v>
      </c>
      <c r="L766" t="s">
        <v>683</v>
      </c>
      <c r="M766" t="s">
        <v>697</v>
      </c>
      <c r="N766" t="s">
        <v>698</v>
      </c>
      <c r="P766" t="s">
        <v>699</v>
      </c>
      <c r="Q766" t="s">
        <v>700</v>
      </c>
      <c r="R766">
        <v>73</v>
      </c>
      <c r="T766">
        <v>1360</v>
      </c>
      <c r="U766" t="s">
        <v>1126</v>
      </c>
      <c r="V766" s="7">
        <v>327.75</v>
      </c>
      <c r="W766" s="7">
        <v>297.07027734645828</v>
      </c>
      <c r="X766">
        <v>1</v>
      </c>
      <c r="Y766" s="7">
        <v>39.33000183</v>
      </c>
      <c r="Z766" s="7">
        <v>327.75</v>
      </c>
      <c r="AA766" s="7">
        <f t="shared" si="46"/>
        <v>288.41999816999999</v>
      </c>
      <c r="AB766" t="s">
        <v>45</v>
      </c>
      <c r="AC766" t="str">
        <f t="shared" si="47"/>
        <v>Non-Cash Payments</v>
      </c>
    </row>
    <row r="767" spans="1:29" x14ac:dyDescent="0.25">
      <c r="A767">
        <v>75933</v>
      </c>
      <c r="B767" s="2">
        <v>43113</v>
      </c>
      <c r="C767">
        <v>1</v>
      </c>
      <c r="D767" s="2">
        <f t="shared" si="44"/>
        <v>43115</v>
      </c>
      <c r="E767">
        <v>1</v>
      </c>
      <c r="F767" t="s">
        <v>187</v>
      </c>
      <c r="G767" t="str">
        <f t="shared" si="45"/>
        <v>Other</v>
      </c>
      <c r="H767">
        <v>73</v>
      </c>
      <c r="I767">
        <v>19486</v>
      </c>
      <c r="J767">
        <v>2</v>
      </c>
      <c r="K767" t="s">
        <v>136</v>
      </c>
      <c r="L767" t="s">
        <v>683</v>
      </c>
      <c r="M767" t="s">
        <v>697</v>
      </c>
      <c r="N767" t="s">
        <v>698</v>
      </c>
      <c r="P767" t="s">
        <v>699</v>
      </c>
      <c r="Q767" t="s">
        <v>700</v>
      </c>
      <c r="R767">
        <v>73</v>
      </c>
      <c r="T767">
        <v>1360</v>
      </c>
      <c r="U767" t="s">
        <v>1126</v>
      </c>
      <c r="V767" s="7">
        <v>327.75</v>
      </c>
      <c r="W767" s="7">
        <v>297.07027734645828</v>
      </c>
      <c r="X767">
        <v>1</v>
      </c>
      <c r="Y767" s="7">
        <v>42.61000061</v>
      </c>
      <c r="Z767" s="7">
        <v>327.75</v>
      </c>
      <c r="AA767" s="7">
        <f t="shared" si="46"/>
        <v>285.13999939000001</v>
      </c>
      <c r="AB767" t="s">
        <v>66</v>
      </c>
      <c r="AC767" t="str">
        <f t="shared" si="47"/>
        <v>Non-Cash Payments</v>
      </c>
    </row>
    <row r="768" spans="1:29" x14ac:dyDescent="0.25">
      <c r="A768">
        <v>75932</v>
      </c>
      <c r="B768" s="2">
        <v>43113</v>
      </c>
      <c r="C768">
        <v>2</v>
      </c>
      <c r="D768" s="2">
        <f t="shared" si="44"/>
        <v>43116</v>
      </c>
      <c r="E768">
        <v>1</v>
      </c>
      <c r="F768" t="s">
        <v>23</v>
      </c>
      <c r="G768" t="str">
        <f t="shared" si="45"/>
        <v>Other</v>
      </c>
      <c r="H768">
        <v>73</v>
      </c>
      <c r="I768">
        <v>19485</v>
      </c>
      <c r="J768">
        <v>2</v>
      </c>
      <c r="K768" t="s">
        <v>136</v>
      </c>
      <c r="L768" t="s">
        <v>683</v>
      </c>
      <c r="M768" t="s">
        <v>697</v>
      </c>
      <c r="N768" t="s">
        <v>698</v>
      </c>
      <c r="P768" t="s">
        <v>699</v>
      </c>
      <c r="Q768" t="s">
        <v>700</v>
      </c>
      <c r="R768">
        <v>73</v>
      </c>
      <c r="T768">
        <v>1360</v>
      </c>
      <c r="U768" t="s">
        <v>1126</v>
      </c>
      <c r="V768" s="7">
        <v>327.75</v>
      </c>
      <c r="W768" s="7">
        <v>297.07027734645828</v>
      </c>
      <c r="X768">
        <v>1</v>
      </c>
      <c r="Y768" s="7">
        <v>49.159999849999998</v>
      </c>
      <c r="Z768" s="7">
        <v>327.75</v>
      </c>
      <c r="AA768" s="7">
        <f t="shared" si="46"/>
        <v>278.59000014999998</v>
      </c>
      <c r="AB768" t="s">
        <v>30</v>
      </c>
      <c r="AC768" t="str">
        <f t="shared" si="47"/>
        <v>Cash Over 200</v>
      </c>
    </row>
    <row r="769" spans="1:29" x14ac:dyDescent="0.25">
      <c r="A769">
        <v>75931</v>
      </c>
      <c r="B769" s="2">
        <v>43113</v>
      </c>
      <c r="C769">
        <v>1</v>
      </c>
      <c r="D769" s="2">
        <f t="shared" si="44"/>
        <v>43115</v>
      </c>
      <c r="E769">
        <v>1</v>
      </c>
      <c r="F769" t="s">
        <v>187</v>
      </c>
      <c r="G769" t="str">
        <f t="shared" si="45"/>
        <v>Other</v>
      </c>
      <c r="H769">
        <v>73</v>
      </c>
      <c r="I769">
        <v>19484</v>
      </c>
      <c r="J769">
        <v>2</v>
      </c>
      <c r="K769" t="s">
        <v>136</v>
      </c>
      <c r="L769" t="s">
        <v>683</v>
      </c>
      <c r="M769" t="s">
        <v>697</v>
      </c>
      <c r="N769" t="s">
        <v>698</v>
      </c>
      <c r="P769" t="s">
        <v>699</v>
      </c>
      <c r="Q769" t="s">
        <v>700</v>
      </c>
      <c r="R769">
        <v>73</v>
      </c>
      <c r="T769">
        <v>1360</v>
      </c>
      <c r="U769" t="s">
        <v>1126</v>
      </c>
      <c r="V769" s="7">
        <v>327.75</v>
      </c>
      <c r="W769" s="7">
        <v>297.07027734645828</v>
      </c>
      <c r="X769">
        <v>1</v>
      </c>
      <c r="Y769" s="7">
        <v>52.439998629999998</v>
      </c>
      <c r="Z769" s="7">
        <v>327.75</v>
      </c>
      <c r="AA769" s="7">
        <f t="shared" si="46"/>
        <v>275.31000137000001</v>
      </c>
      <c r="AB769" t="s">
        <v>30</v>
      </c>
      <c r="AC769" t="str">
        <f t="shared" si="47"/>
        <v>Cash Over 200</v>
      </c>
    </row>
    <row r="770" spans="1:29" x14ac:dyDescent="0.25">
      <c r="A770">
        <v>75930</v>
      </c>
      <c r="B770" s="2">
        <v>43113</v>
      </c>
      <c r="C770">
        <v>2</v>
      </c>
      <c r="D770" s="2">
        <f t="shared" si="44"/>
        <v>43116</v>
      </c>
      <c r="E770">
        <v>0</v>
      </c>
      <c r="F770" t="s">
        <v>23</v>
      </c>
      <c r="G770" t="str">
        <f t="shared" si="45"/>
        <v>Other</v>
      </c>
      <c r="H770">
        <v>73</v>
      </c>
      <c r="I770">
        <v>19483</v>
      </c>
      <c r="J770">
        <v>2</v>
      </c>
      <c r="K770" t="s">
        <v>136</v>
      </c>
      <c r="L770" t="s">
        <v>683</v>
      </c>
      <c r="M770" t="s">
        <v>701</v>
      </c>
      <c r="N770" t="s">
        <v>701</v>
      </c>
      <c r="P770" t="s">
        <v>702</v>
      </c>
      <c r="Q770" t="s">
        <v>700</v>
      </c>
      <c r="R770">
        <v>73</v>
      </c>
      <c r="T770">
        <v>1360</v>
      </c>
      <c r="U770" t="s">
        <v>1126</v>
      </c>
      <c r="V770" s="7">
        <v>327.75</v>
      </c>
      <c r="W770" s="7">
        <v>297.07027734645828</v>
      </c>
      <c r="X770">
        <v>1</v>
      </c>
      <c r="Y770" s="7">
        <v>55.72000122</v>
      </c>
      <c r="Z770" s="7">
        <v>327.75</v>
      </c>
      <c r="AA770" s="7">
        <f t="shared" si="46"/>
        <v>272.02999878000003</v>
      </c>
      <c r="AB770" t="s">
        <v>66</v>
      </c>
      <c r="AC770" t="str">
        <f t="shared" si="47"/>
        <v>Non-Cash Payments</v>
      </c>
    </row>
    <row r="771" spans="1:29" x14ac:dyDescent="0.25">
      <c r="A771">
        <v>75929</v>
      </c>
      <c r="B771" s="2">
        <v>43113</v>
      </c>
      <c r="C771">
        <v>2</v>
      </c>
      <c r="D771" s="2">
        <f t="shared" ref="D771:D834" si="48">WORKDAY(B771,C771)</f>
        <v>43116</v>
      </c>
      <c r="E771">
        <v>1</v>
      </c>
      <c r="F771" t="s">
        <v>23</v>
      </c>
      <c r="G771" t="str">
        <f t="shared" ref="G771:G834" si="49">IF(AND(E771=0,F771="Same Day"),"Same Day - On Time","Other")</f>
        <v>Other</v>
      </c>
      <c r="H771">
        <v>73</v>
      </c>
      <c r="I771">
        <v>19482</v>
      </c>
      <c r="J771">
        <v>2</v>
      </c>
      <c r="K771" t="s">
        <v>136</v>
      </c>
      <c r="L771" t="s">
        <v>683</v>
      </c>
      <c r="M771" t="s">
        <v>703</v>
      </c>
      <c r="N771" t="s">
        <v>704</v>
      </c>
      <c r="P771" t="s">
        <v>686</v>
      </c>
      <c r="Q771" t="s">
        <v>687</v>
      </c>
      <c r="R771">
        <v>73</v>
      </c>
      <c r="T771">
        <v>1360</v>
      </c>
      <c r="U771" t="s">
        <v>1126</v>
      </c>
      <c r="V771" s="7">
        <v>327.75</v>
      </c>
      <c r="W771" s="7">
        <v>297.07027734645828</v>
      </c>
      <c r="X771">
        <v>1</v>
      </c>
      <c r="Y771" s="7">
        <v>59</v>
      </c>
      <c r="Z771" s="7">
        <v>327.75</v>
      </c>
      <c r="AA771" s="7">
        <f t="shared" ref="AA771:AA834" si="50">Z771-Y771</f>
        <v>268.75</v>
      </c>
      <c r="AB771" t="s">
        <v>66</v>
      </c>
      <c r="AC771" t="str">
        <f t="shared" ref="AC771:AC834" si="51">IF(AND(AA771&gt;200,AB771="CASH"),"Cash Over 200",IF(AB771="CASH","Cash Not Over 200","Non-Cash Payments"))</f>
        <v>Non-Cash Payments</v>
      </c>
    </row>
    <row r="772" spans="1:29" x14ac:dyDescent="0.25">
      <c r="A772">
        <v>75928</v>
      </c>
      <c r="B772" s="2">
        <v>43113</v>
      </c>
      <c r="C772">
        <v>2</v>
      </c>
      <c r="D772" s="2">
        <f t="shared" si="48"/>
        <v>43116</v>
      </c>
      <c r="E772">
        <v>1</v>
      </c>
      <c r="F772" t="s">
        <v>23</v>
      </c>
      <c r="G772" t="str">
        <f t="shared" si="49"/>
        <v>Other</v>
      </c>
      <c r="H772">
        <v>73</v>
      </c>
      <c r="I772">
        <v>19481</v>
      </c>
      <c r="J772">
        <v>2</v>
      </c>
      <c r="K772" t="s">
        <v>136</v>
      </c>
      <c r="L772" t="s">
        <v>683</v>
      </c>
      <c r="M772" t="s">
        <v>703</v>
      </c>
      <c r="N772" t="s">
        <v>704</v>
      </c>
      <c r="P772" t="s">
        <v>686</v>
      </c>
      <c r="Q772" t="s">
        <v>687</v>
      </c>
      <c r="R772">
        <v>73</v>
      </c>
      <c r="T772">
        <v>1360</v>
      </c>
      <c r="U772" t="s">
        <v>1126</v>
      </c>
      <c r="V772" s="7">
        <v>327.75</v>
      </c>
      <c r="W772" s="7">
        <v>297.07027734645828</v>
      </c>
      <c r="X772">
        <v>1</v>
      </c>
      <c r="Y772" s="7">
        <v>65.550003050000001</v>
      </c>
      <c r="Z772" s="7">
        <v>327.75</v>
      </c>
      <c r="AA772" s="7">
        <f t="shared" si="50"/>
        <v>262.19999695000001</v>
      </c>
      <c r="AB772" t="s">
        <v>66</v>
      </c>
      <c r="AC772" t="str">
        <f t="shared" si="51"/>
        <v>Non-Cash Payments</v>
      </c>
    </row>
    <row r="773" spans="1:29" x14ac:dyDescent="0.25">
      <c r="A773">
        <v>75927</v>
      </c>
      <c r="B773" s="2">
        <v>43113</v>
      </c>
      <c r="C773">
        <v>1</v>
      </c>
      <c r="D773" s="2">
        <f t="shared" si="48"/>
        <v>43115</v>
      </c>
      <c r="E773">
        <v>1</v>
      </c>
      <c r="F773" t="s">
        <v>187</v>
      </c>
      <c r="G773" t="str">
        <f t="shared" si="49"/>
        <v>Other</v>
      </c>
      <c r="H773">
        <v>73</v>
      </c>
      <c r="I773">
        <v>19480</v>
      </c>
      <c r="J773">
        <v>2</v>
      </c>
      <c r="K773" t="s">
        <v>136</v>
      </c>
      <c r="L773" t="s">
        <v>683</v>
      </c>
      <c r="M773" t="s">
        <v>705</v>
      </c>
      <c r="N773" t="s">
        <v>706</v>
      </c>
      <c r="P773" t="s">
        <v>690</v>
      </c>
      <c r="Q773" t="s">
        <v>691</v>
      </c>
      <c r="R773">
        <v>73</v>
      </c>
      <c r="T773">
        <v>1360</v>
      </c>
      <c r="U773" t="s">
        <v>1126</v>
      </c>
      <c r="V773" s="7">
        <v>327.75</v>
      </c>
      <c r="W773" s="7">
        <v>297.07027734645828</v>
      </c>
      <c r="X773">
        <v>1</v>
      </c>
      <c r="Y773" s="7">
        <v>81.940002440000001</v>
      </c>
      <c r="Z773" s="7">
        <v>327.75</v>
      </c>
      <c r="AA773" s="7">
        <f t="shared" si="50"/>
        <v>245.80999756</v>
      </c>
      <c r="AB773" t="s">
        <v>45</v>
      </c>
      <c r="AC773" t="str">
        <f t="shared" si="51"/>
        <v>Non-Cash Payments</v>
      </c>
    </row>
    <row r="774" spans="1:29" x14ac:dyDescent="0.25">
      <c r="A774">
        <v>75926</v>
      </c>
      <c r="B774" s="2">
        <v>43113</v>
      </c>
      <c r="C774">
        <v>1</v>
      </c>
      <c r="D774" s="2">
        <f t="shared" si="48"/>
        <v>43115</v>
      </c>
      <c r="E774">
        <v>1</v>
      </c>
      <c r="F774" t="s">
        <v>187</v>
      </c>
      <c r="G774" t="str">
        <f t="shared" si="49"/>
        <v>Other</v>
      </c>
      <c r="H774">
        <v>73</v>
      </c>
      <c r="I774">
        <v>19479</v>
      </c>
      <c r="J774">
        <v>2</v>
      </c>
      <c r="K774" t="s">
        <v>136</v>
      </c>
      <c r="L774" t="s">
        <v>683</v>
      </c>
      <c r="M774" t="s">
        <v>705</v>
      </c>
      <c r="N774" t="s">
        <v>706</v>
      </c>
      <c r="P774" t="s">
        <v>690</v>
      </c>
      <c r="Q774" t="s">
        <v>691</v>
      </c>
      <c r="R774">
        <v>73</v>
      </c>
      <c r="T774">
        <v>1360</v>
      </c>
      <c r="U774" t="s">
        <v>1126</v>
      </c>
      <c r="V774" s="7">
        <v>327.75</v>
      </c>
      <c r="W774" s="7">
        <v>297.07027734645828</v>
      </c>
      <c r="X774">
        <v>1</v>
      </c>
      <c r="Y774" s="7">
        <v>0</v>
      </c>
      <c r="Z774" s="7">
        <v>327.75</v>
      </c>
      <c r="AA774" s="7">
        <f t="shared" si="50"/>
        <v>327.75</v>
      </c>
      <c r="AB774" t="s">
        <v>66</v>
      </c>
      <c r="AC774" t="str">
        <f t="shared" si="51"/>
        <v>Non-Cash Payments</v>
      </c>
    </row>
    <row r="775" spans="1:29" x14ac:dyDescent="0.25">
      <c r="A775">
        <v>75925</v>
      </c>
      <c r="B775" s="2">
        <v>43113</v>
      </c>
      <c r="C775">
        <v>1</v>
      </c>
      <c r="D775" s="2">
        <f t="shared" si="48"/>
        <v>43115</v>
      </c>
      <c r="E775">
        <v>1</v>
      </c>
      <c r="F775" t="s">
        <v>187</v>
      </c>
      <c r="G775" t="str">
        <f t="shared" si="49"/>
        <v>Other</v>
      </c>
      <c r="H775">
        <v>73</v>
      </c>
      <c r="I775">
        <v>19478</v>
      </c>
      <c r="J775">
        <v>2</v>
      </c>
      <c r="K775" t="s">
        <v>136</v>
      </c>
      <c r="L775" t="s">
        <v>683</v>
      </c>
      <c r="M775" t="s">
        <v>705</v>
      </c>
      <c r="N775" t="s">
        <v>706</v>
      </c>
      <c r="P775" t="s">
        <v>690</v>
      </c>
      <c r="Q775" t="s">
        <v>691</v>
      </c>
      <c r="R775">
        <v>73</v>
      </c>
      <c r="T775">
        <v>1360</v>
      </c>
      <c r="U775" t="s">
        <v>1126</v>
      </c>
      <c r="V775" s="7">
        <v>327.75</v>
      </c>
      <c r="W775" s="7">
        <v>297.07027734645828</v>
      </c>
      <c r="X775">
        <v>1</v>
      </c>
      <c r="Y775" s="7">
        <v>3.2799999710000001</v>
      </c>
      <c r="Z775" s="7">
        <v>327.75</v>
      </c>
      <c r="AA775" s="7">
        <f t="shared" si="50"/>
        <v>324.470000029</v>
      </c>
      <c r="AB775" t="s">
        <v>45</v>
      </c>
      <c r="AC775" t="str">
        <f t="shared" si="51"/>
        <v>Non-Cash Payments</v>
      </c>
    </row>
    <row r="776" spans="1:29" x14ac:dyDescent="0.25">
      <c r="A776">
        <v>75924</v>
      </c>
      <c r="B776" s="2">
        <v>43113</v>
      </c>
      <c r="C776">
        <v>2</v>
      </c>
      <c r="D776" s="2">
        <f t="shared" si="48"/>
        <v>43116</v>
      </c>
      <c r="E776">
        <v>1</v>
      </c>
      <c r="F776" t="s">
        <v>23</v>
      </c>
      <c r="G776" t="str">
        <f t="shared" si="49"/>
        <v>Other</v>
      </c>
      <c r="H776">
        <v>73</v>
      </c>
      <c r="I776">
        <v>19477</v>
      </c>
      <c r="J776">
        <v>2</v>
      </c>
      <c r="K776" t="s">
        <v>136</v>
      </c>
      <c r="L776" t="s">
        <v>683</v>
      </c>
      <c r="M776" t="s">
        <v>707</v>
      </c>
      <c r="N776" t="s">
        <v>707</v>
      </c>
      <c r="P776" t="s">
        <v>708</v>
      </c>
      <c r="Q776" t="s">
        <v>700</v>
      </c>
      <c r="R776">
        <v>73</v>
      </c>
      <c r="T776">
        <v>1360</v>
      </c>
      <c r="U776" t="s">
        <v>1126</v>
      </c>
      <c r="V776" s="7">
        <v>327.75</v>
      </c>
      <c r="W776" s="7">
        <v>297.07027734645828</v>
      </c>
      <c r="X776">
        <v>1</v>
      </c>
      <c r="Y776" s="7">
        <v>6.5599999430000002</v>
      </c>
      <c r="Z776" s="7">
        <v>327.75</v>
      </c>
      <c r="AA776" s="7">
        <f t="shared" si="50"/>
        <v>321.19000005700002</v>
      </c>
      <c r="AB776" t="s">
        <v>30</v>
      </c>
      <c r="AC776" t="str">
        <f t="shared" si="51"/>
        <v>Cash Over 200</v>
      </c>
    </row>
    <row r="777" spans="1:29" x14ac:dyDescent="0.25">
      <c r="A777">
        <v>75923</v>
      </c>
      <c r="B777" s="2">
        <v>43113</v>
      </c>
      <c r="C777">
        <v>1</v>
      </c>
      <c r="D777" s="2">
        <f t="shared" si="48"/>
        <v>43115</v>
      </c>
      <c r="E777">
        <v>1</v>
      </c>
      <c r="F777" t="s">
        <v>187</v>
      </c>
      <c r="G777" t="str">
        <f t="shared" si="49"/>
        <v>Other</v>
      </c>
      <c r="H777">
        <v>73</v>
      </c>
      <c r="I777">
        <v>19476</v>
      </c>
      <c r="J777">
        <v>2</v>
      </c>
      <c r="K777" t="s">
        <v>136</v>
      </c>
      <c r="L777" t="s">
        <v>683</v>
      </c>
      <c r="M777" t="s">
        <v>709</v>
      </c>
      <c r="N777" t="s">
        <v>710</v>
      </c>
      <c r="P777" t="s">
        <v>690</v>
      </c>
      <c r="Q777" t="s">
        <v>691</v>
      </c>
      <c r="R777">
        <v>73</v>
      </c>
      <c r="T777">
        <v>1360</v>
      </c>
      <c r="U777" t="s">
        <v>1126</v>
      </c>
      <c r="V777" s="7">
        <v>327.75</v>
      </c>
      <c r="W777" s="7">
        <v>297.07027734645828</v>
      </c>
      <c r="X777">
        <v>1</v>
      </c>
      <c r="Y777" s="7">
        <v>9.8299999239999991</v>
      </c>
      <c r="Z777" s="7">
        <v>327.75</v>
      </c>
      <c r="AA777" s="7">
        <f t="shared" si="50"/>
        <v>317.92000007600001</v>
      </c>
      <c r="AB777" t="s">
        <v>30</v>
      </c>
      <c r="AC777" t="str">
        <f t="shared" si="51"/>
        <v>Cash Over 200</v>
      </c>
    </row>
    <row r="778" spans="1:29" x14ac:dyDescent="0.25">
      <c r="A778">
        <v>75922</v>
      </c>
      <c r="B778" s="2">
        <v>43113</v>
      </c>
      <c r="C778">
        <v>1</v>
      </c>
      <c r="D778" s="2">
        <f t="shared" si="48"/>
        <v>43115</v>
      </c>
      <c r="E778">
        <v>1</v>
      </c>
      <c r="F778" t="s">
        <v>187</v>
      </c>
      <c r="G778" t="str">
        <f t="shared" si="49"/>
        <v>Other</v>
      </c>
      <c r="H778">
        <v>73</v>
      </c>
      <c r="I778">
        <v>19475</v>
      </c>
      <c r="J778">
        <v>2</v>
      </c>
      <c r="K778" t="s">
        <v>136</v>
      </c>
      <c r="L778" t="s">
        <v>683</v>
      </c>
      <c r="M778" t="s">
        <v>709</v>
      </c>
      <c r="N778" t="s">
        <v>710</v>
      </c>
      <c r="P778" t="s">
        <v>690</v>
      </c>
      <c r="Q778" t="s">
        <v>691</v>
      </c>
      <c r="R778">
        <v>73</v>
      </c>
      <c r="T778">
        <v>1360</v>
      </c>
      <c r="U778" t="s">
        <v>1126</v>
      </c>
      <c r="V778" s="7">
        <v>327.75</v>
      </c>
      <c r="W778" s="7">
        <v>297.07027734645828</v>
      </c>
      <c r="X778">
        <v>1</v>
      </c>
      <c r="Y778" s="7">
        <v>13.10999966</v>
      </c>
      <c r="Z778" s="7">
        <v>327.75</v>
      </c>
      <c r="AA778" s="7">
        <f t="shared" si="50"/>
        <v>314.64000034000003</v>
      </c>
      <c r="AB778" t="s">
        <v>45</v>
      </c>
      <c r="AC778" t="str">
        <f t="shared" si="51"/>
        <v>Non-Cash Payments</v>
      </c>
    </row>
    <row r="779" spans="1:29" x14ac:dyDescent="0.25">
      <c r="A779">
        <v>75921</v>
      </c>
      <c r="B779" s="2">
        <v>43113</v>
      </c>
      <c r="C779">
        <v>0</v>
      </c>
      <c r="D779" s="2">
        <f t="shared" si="48"/>
        <v>43113</v>
      </c>
      <c r="E779">
        <v>0</v>
      </c>
      <c r="F779" t="s">
        <v>214</v>
      </c>
      <c r="G779" t="str">
        <f t="shared" si="49"/>
        <v>Same Day - On Time</v>
      </c>
      <c r="H779">
        <v>73</v>
      </c>
      <c r="I779">
        <v>19474</v>
      </c>
      <c r="J779">
        <v>2</v>
      </c>
      <c r="K779" t="s">
        <v>136</v>
      </c>
      <c r="L779" t="s">
        <v>683</v>
      </c>
      <c r="M779" t="s">
        <v>709</v>
      </c>
      <c r="N779" t="s">
        <v>710</v>
      </c>
      <c r="P779" t="s">
        <v>690</v>
      </c>
      <c r="Q779" t="s">
        <v>691</v>
      </c>
      <c r="R779">
        <v>73</v>
      </c>
      <c r="T779">
        <v>1360</v>
      </c>
      <c r="U779" t="s">
        <v>1126</v>
      </c>
      <c r="V779" s="7">
        <v>327.75</v>
      </c>
      <c r="W779" s="7">
        <v>297.07027734645828</v>
      </c>
      <c r="X779">
        <v>1</v>
      </c>
      <c r="Y779" s="7">
        <v>16.38999939</v>
      </c>
      <c r="Z779" s="7">
        <v>327.75</v>
      </c>
      <c r="AA779" s="7">
        <f t="shared" si="50"/>
        <v>311.36000060999999</v>
      </c>
      <c r="AB779" t="s">
        <v>30</v>
      </c>
      <c r="AC779" t="str">
        <f t="shared" si="51"/>
        <v>Cash Over 200</v>
      </c>
    </row>
    <row r="780" spans="1:29" x14ac:dyDescent="0.25">
      <c r="A780">
        <v>75920</v>
      </c>
      <c r="B780" s="2">
        <v>43113</v>
      </c>
      <c r="C780">
        <v>0</v>
      </c>
      <c r="D780" s="2">
        <f t="shared" si="48"/>
        <v>43113</v>
      </c>
      <c r="E780">
        <v>0</v>
      </c>
      <c r="F780" t="s">
        <v>214</v>
      </c>
      <c r="G780" t="str">
        <f t="shared" si="49"/>
        <v>Same Day - On Time</v>
      </c>
      <c r="H780">
        <v>73</v>
      </c>
      <c r="I780">
        <v>19473</v>
      </c>
      <c r="J780">
        <v>2</v>
      </c>
      <c r="K780" t="s">
        <v>136</v>
      </c>
      <c r="L780" t="s">
        <v>683</v>
      </c>
      <c r="M780" t="s">
        <v>709</v>
      </c>
      <c r="N780" t="s">
        <v>710</v>
      </c>
      <c r="P780" t="s">
        <v>690</v>
      </c>
      <c r="Q780" t="s">
        <v>691</v>
      </c>
      <c r="R780">
        <v>73</v>
      </c>
      <c r="T780">
        <v>1360</v>
      </c>
      <c r="U780" t="s">
        <v>1126</v>
      </c>
      <c r="V780" s="7">
        <v>327.75</v>
      </c>
      <c r="W780" s="7">
        <v>297.07027734645828</v>
      </c>
      <c r="X780">
        <v>1</v>
      </c>
      <c r="Y780" s="7">
        <v>18.030000690000001</v>
      </c>
      <c r="Z780" s="7">
        <v>327.75</v>
      </c>
      <c r="AA780" s="7">
        <f t="shared" si="50"/>
        <v>309.71999930999999</v>
      </c>
      <c r="AB780" t="s">
        <v>66</v>
      </c>
      <c r="AC780" t="str">
        <f t="shared" si="51"/>
        <v>Non-Cash Payments</v>
      </c>
    </row>
    <row r="781" spans="1:29" x14ac:dyDescent="0.25">
      <c r="A781">
        <v>75919</v>
      </c>
      <c r="B781" s="2">
        <v>43113</v>
      </c>
      <c r="C781">
        <v>4</v>
      </c>
      <c r="D781" s="2">
        <f t="shared" si="48"/>
        <v>43118</v>
      </c>
      <c r="E781">
        <v>1</v>
      </c>
      <c r="F781" t="s">
        <v>62</v>
      </c>
      <c r="G781" t="str">
        <f t="shared" si="49"/>
        <v>Other</v>
      </c>
      <c r="H781">
        <v>73</v>
      </c>
      <c r="I781">
        <v>19472</v>
      </c>
      <c r="J781">
        <v>2</v>
      </c>
      <c r="K781" t="s">
        <v>136</v>
      </c>
      <c r="L781" t="s">
        <v>683</v>
      </c>
      <c r="M781" t="s">
        <v>709</v>
      </c>
      <c r="N781" t="s">
        <v>710</v>
      </c>
      <c r="P781" t="s">
        <v>690</v>
      </c>
      <c r="Q781" t="s">
        <v>691</v>
      </c>
      <c r="R781">
        <v>73</v>
      </c>
      <c r="T781">
        <v>1360</v>
      </c>
      <c r="U781" t="s">
        <v>1126</v>
      </c>
      <c r="V781" s="7">
        <v>327.75</v>
      </c>
      <c r="W781" s="7">
        <v>297.07027734645828</v>
      </c>
      <c r="X781">
        <v>1</v>
      </c>
      <c r="Y781" s="7">
        <v>22.940000529999999</v>
      </c>
      <c r="Z781" s="7">
        <v>327.75</v>
      </c>
      <c r="AA781" s="7">
        <f t="shared" si="50"/>
        <v>304.80999946999998</v>
      </c>
      <c r="AB781" t="s">
        <v>66</v>
      </c>
      <c r="AC781" t="str">
        <f t="shared" si="51"/>
        <v>Non-Cash Payments</v>
      </c>
    </row>
    <row r="782" spans="1:29" x14ac:dyDescent="0.25">
      <c r="A782">
        <v>75918</v>
      </c>
      <c r="B782" s="2">
        <v>43113</v>
      </c>
      <c r="C782">
        <v>2</v>
      </c>
      <c r="D782" s="2">
        <f t="shared" si="48"/>
        <v>43116</v>
      </c>
      <c r="E782">
        <v>1</v>
      </c>
      <c r="F782" t="s">
        <v>23</v>
      </c>
      <c r="G782" t="str">
        <f t="shared" si="49"/>
        <v>Other</v>
      </c>
      <c r="H782">
        <v>73</v>
      </c>
      <c r="I782">
        <v>19471</v>
      </c>
      <c r="J782">
        <v>2</v>
      </c>
      <c r="K782" t="s">
        <v>136</v>
      </c>
      <c r="L782" t="s">
        <v>683</v>
      </c>
      <c r="M782" t="s">
        <v>711</v>
      </c>
      <c r="N782" t="s">
        <v>712</v>
      </c>
      <c r="P782" t="s">
        <v>694</v>
      </c>
      <c r="Q782" t="s">
        <v>695</v>
      </c>
      <c r="R782">
        <v>73</v>
      </c>
      <c r="T782">
        <v>1360</v>
      </c>
      <c r="U782" t="s">
        <v>1126</v>
      </c>
      <c r="V782" s="7">
        <v>327.75</v>
      </c>
      <c r="W782" s="7">
        <v>297.07027734645828</v>
      </c>
      <c r="X782">
        <v>1</v>
      </c>
      <c r="Y782" s="7">
        <v>29.5</v>
      </c>
      <c r="Z782" s="7">
        <v>327.75</v>
      </c>
      <c r="AA782" s="7">
        <f t="shared" si="50"/>
        <v>298.25</v>
      </c>
      <c r="AB782" t="s">
        <v>66</v>
      </c>
      <c r="AC782" t="str">
        <f t="shared" si="51"/>
        <v>Non-Cash Payments</v>
      </c>
    </row>
    <row r="783" spans="1:29" x14ac:dyDescent="0.25">
      <c r="A783">
        <v>75917</v>
      </c>
      <c r="B783" s="2">
        <v>43113</v>
      </c>
      <c r="C783">
        <v>2</v>
      </c>
      <c r="D783" s="2">
        <f t="shared" si="48"/>
        <v>43116</v>
      </c>
      <c r="E783">
        <v>0</v>
      </c>
      <c r="F783" t="s">
        <v>23</v>
      </c>
      <c r="G783" t="str">
        <f t="shared" si="49"/>
        <v>Other</v>
      </c>
      <c r="H783">
        <v>73</v>
      </c>
      <c r="I783">
        <v>19470</v>
      </c>
      <c r="J783">
        <v>2</v>
      </c>
      <c r="K783" t="s">
        <v>136</v>
      </c>
      <c r="L783" t="s">
        <v>683</v>
      </c>
      <c r="M783" t="s">
        <v>711</v>
      </c>
      <c r="N783" t="s">
        <v>712</v>
      </c>
      <c r="P783" t="s">
        <v>694</v>
      </c>
      <c r="Q783" t="s">
        <v>695</v>
      </c>
      <c r="R783">
        <v>73</v>
      </c>
      <c r="T783">
        <v>1360</v>
      </c>
      <c r="U783" t="s">
        <v>1126</v>
      </c>
      <c r="V783" s="7">
        <v>327.75</v>
      </c>
      <c r="W783" s="7">
        <v>297.07027734645828</v>
      </c>
      <c r="X783">
        <v>1</v>
      </c>
      <c r="Y783" s="7">
        <v>32.77999878</v>
      </c>
      <c r="Z783" s="7">
        <v>327.75</v>
      </c>
      <c r="AA783" s="7">
        <f t="shared" si="50"/>
        <v>294.97000121999997</v>
      </c>
      <c r="AB783" t="s">
        <v>66</v>
      </c>
      <c r="AC783" t="str">
        <f t="shared" si="51"/>
        <v>Non-Cash Payments</v>
      </c>
    </row>
    <row r="784" spans="1:29" x14ac:dyDescent="0.25">
      <c r="A784">
        <v>75916</v>
      </c>
      <c r="B784" s="2">
        <v>43113</v>
      </c>
      <c r="C784">
        <v>2</v>
      </c>
      <c r="D784" s="2">
        <f t="shared" si="48"/>
        <v>43116</v>
      </c>
      <c r="E784">
        <v>0</v>
      </c>
      <c r="F784" t="s">
        <v>23</v>
      </c>
      <c r="G784" t="str">
        <f t="shared" si="49"/>
        <v>Other</v>
      </c>
      <c r="H784">
        <v>73</v>
      </c>
      <c r="I784">
        <v>19469</v>
      </c>
      <c r="J784">
        <v>2</v>
      </c>
      <c r="K784" t="s">
        <v>136</v>
      </c>
      <c r="L784" t="s">
        <v>683</v>
      </c>
      <c r="M784" t="s">
        <v>713</v>
      </c>
      <c r="N784" t="s">
        <v>693</v>
      </c>
      <c r="P784" t="s">
        <v>694</v>
      </c>
      <c r="Q784" t="s">
        <v>695</v>
      </c>
      <c r="R784">
        <v>73</v>
      </c>
      <c r="T784">
        <v>1360</v>
      </c>
      <c r="U784" t="s">
        <v>1126</v>
      </c>
      <c r="V784" s="7">
        <v>327.75</v>
      </c>
      <c r="W784" s="7">
        <v>297.07027734645828</v>
      </c>
      <c r="X784">
        <v>1</v>
      </c>
      <c r="Y784" s="7">
        <v>39.33000183</v>
      </c>
      <c r="Z784" s="7">
        <v>327.75</v>
      </c>
      <c r="AA784" s="7">
        <f t="shared" si="50"/>
        <v>288.41999816999999</v>
      </c>
      <c r="AB784" t="s">
        <v>66</v>
      </c>
      <c r="AC784" t="str">
        <f t="shared" si="51"/>
        <v>Non-Cash Payments</v>
      </c>
    </row>
    <row r="785" spans="1:29" x14ac:dyDescent="0.25">
      <c r="A785">
        <v>75915</v>
      </c>
      <c r="B785" s="2">
        <v>43113</v>
      </c>
      <c r="C785">
        <v>2</v>
      </c>
      <c r="D785" s="2">
        <f t="shared" si="48"/>
        <v>43116</v>
      </c>
      <c r="E785">
        <v>1</v>
      </c>
      <c r="F785" t="s">
        <v>23</v>
      </c>
      <c r="G785" t="str">
        <f t="shared" si="49"/>
        <v>Other</v>
      </c>
      <c r="H785">
        <v>73</v>
      </c>
      <c r="I785">
        <v>19468</v>
      </c>
      <c r="J785">
        <v>2</v>
      </c>
      <c r="K785" t="s">
        <v>136</v>
      </c>
      <c r="L785" t="s">
        <v>683</v>
      </c>
      <c r="M785" t="s">
        <v>714</v>
      </c>
      <c r="N785" t="s">
        <v>715</v>
      </c>
      <c r="P785" t="s">
        <v>694</v>
      </c>
      <c r="Q785" t="s">
        <v>695</v>
      </c>
      <c r="R785">
        <v>73</v>
      </c>
      <c r="T785">
        <v>1360</v>
      </c>
      <c r="U785" t="s">
        <v>1126</v>
      </c>
      <c r="V785" s="7">
        <v>327.75</v>
      </c>
      <c r="W785" s="7">
        <v>297.07027734645828</v>
      </c>
      <c r="X785">
        <v>1</v>
      </c>
      <c r="Y785" s="7">
        <v>42.61000061</v>
      </c>
      <c r="Z785" s="7">
        <v>327.75</v>
      </c>
      <c r="AA785" s="7">
        <f t="shared" si="50"/>
        <v>285.13999939000001</v>
      </c>
      <c r="AB785" t="s">
        <v>45</v>
      </c>
      <c r="AC785" t="str">
        <f t="shared" si="51"/>
        <v>Non-Cash Payments</v>
      </c>
    </row>
    <row r="786" spans="1:29" x14ac:dyDescent="0.25">
      <c r="A786">
        <v>75914</v>
      </c>
      <c r="B786" s="2">
        <v>43113</v>
      </c>
      <c r="C786">
        <v>2</v>
      </c>
      <c r="D786" s="2">
        <f t="shared" si="48"/>
        <v>43116</v>
      </c>
      <c r="E786">
        <v>1</v>
      </c>
      <c r="F786" t="s">
        <v>23</v>
      </c>
      <c r="G786" t="str">
        <f t="shared" si="49"/>
        <v>Other</v>
      </c>
      <c r="H786">
        <v>73</v>
      </c>
      <c r="I786">
        <v>19467</v>
      </c>
      <c r="J786">
        <v>2</v>
      </c>
      <c r="K786" t="s">
        <v>136</v>
      </c>
      <c r="L786" t="s">
        <v>683</v>
      </c>
      <c r="M786" t="s">
        <v>714</v>
      </c>
      <c r="N786" t="s">
        <v>715</v>
      </c>
      <c r="P786" t="s">
        <v>694</v>
      </c>
      <c r="Q786" t="s">
        <v>695</v>
      </c>
      <c r="R786">
        <v>73</v>
      </c>
      <c r="T786">
        <v>1360</v>
      </c>
      <c r="U786" t="s">
        <v>1126</v>
      </c>
      <c r="V786" s="7">
        <v>327.75</v>
      </c>
      <c r="W786" s="7">
        <v>297.07027734645828</v>
      </c>
      <c r="X786">
        <v>1</v>
      </c>
      <c r="Y786" s="7">
        <v>49.159999849999998</v>
      </c>
      <c r="Z786" s="7">
        <v>327.75</v>
      </c>
      <c r="AA786" s="7">
        <f t="shared" si="50"/>
        <v>278.59000014999998</v>
      </c>
      <c r="AB786" t="s">
        <v>66</v>
      </c>
      <c r="AC786" t="str">
        <f t="shared" si="51"/>
        <v>Non-Cash Payments</v>
      </c>
    </row>
    <row r="787" spans="1:29" x14ac:dyDescent="0.25">
      <c r="A787">
        <v>75913</v>
      </c>
      <c r="B787" s="2">
        <v>43113</v>
      </c>
      <c r="C787">
        <v>4</v>
      </c>
      <c r="D787" s="2">
        <f t="shared" si="48"/>
        <v>43118</v>
      </c>
      <c r="E787">
        <v>0</v>
      </c>
      <c r="F787" t="s">
        <v>62</v>
      </c>
      <c r="G787" t="str">
        <f t="shared" si="49"/>
        <v>Other</v>
      </c>
      <c r="H787">
        <v>73</v>
      </c>
      <c r="I787">
        <v>19466</v>
      </c>
      <c r="J787">
        <v>2</v>
      </c>
      <c r="K787" t="s">
        <v>136</v>
      </c>
      <c r="L787" t="s">
        <v>683</v>
      </c>
      <c r="M787" t="s">
        <v>716</v>
      </c>
      <c r="N787" t="s">
        <v>717</v>
      </c>
      <c r="P787" t="s">
        <v>699</v>
      </c>
      <c r="Q787" t="s">
        <v>700</v>
      </c>
      <c r="R787">
        <v>73</v>
      </c>
      <c r="T787">
        <v>1360</v>
      </c>
      <c r="U787" t="s">
        <v>1126</v>
      </c>
      <c r="V787" s="7">
        <v>327.75</v>
      </c>
      <c r="W787" s="7">
        <v>297.07027734645828</v>
      </c>
      <c r="X787">
        <v>1</v>
      </c>
      <c r="Y787" s="7">
        <v>52.439998629999998</v>
      </c>
      <c r="Z787" s="7">
        <v>327.75</v>
      </c>
      <c r="AA787" s="7">
        <f t="shared" si="50"/>
        <v>275.31000137000001</v>
      </c>
      <c r="AB787" t="s">
        <v>30</v>
      </c>
      <c r="AC787" t="str">
        <f t="shared" si="51"/>
        <v>Cash Over 200</v>
      </c>
    </row>
    <row r="788" spans="1:29" x14ac:dyDescent="0.25">
      <c r="A788">
        <v>75912</v>
      </c>
      <c r="B788" s="2">
        <v>43113</v>
      </c>
      <c r="C788">
        <v>4</v>
      </c>
      <c r="D788" s="2">
        <f t="shared" si="48"/>
        <v>43118</v>
      </c>
      <c r="E788">
        <v>0</v>
      </c>
      <c r="F788" t="s">
        <v>62</v>
      </c>
      <c r="G788" t="str">
        <f t="shared" si="49"/>
        <v>Other</v>
      </c>
      <c r="H788">
        <v>73</v>
      </c>
      <c r="I788">
        <v>19465</v>
      </c>
      <c r="J788">
        <v>2</v>
      </c>
      <c r="K788" t="s">
        <v>136</v>
      </c>
      <c r="L788" t="s">
        <v>683</v>
      </c>
      <c r="M788" t="s">
        <v>716</v>
      </c>
      <c r="N788" t="s">
        <v>717</v>
      </c>
      <c r="P788" t="s">
        <v>699</v>
      </c>
      <c r="Q788" t="s">
        <v>700</v>
      </c>
      <c r="R788">
        <v>73</v>
      </c>
      <c r="T788">
        <v>1360</v>
      </c>
      <c r="U788" t="s">
        <v>1126</v>
      </c>
      <c r="V788" s="7">
        <v>327.75</v>
      </c>
      <c r="W788" s="7">
        <v>297.07027734645828</v>
      </c>
      <c r="X788">
        <v>1</v>
      </c>
      <c r="Y788" s="7">
        <v>55.72000122</v>
      </c>
      <c r="Z788" s="7">
        <v>327.75</v>
      </c>
      <c r="AA788" s="7">
        <f t="shared" si="50"/>
        <v>272.02999878000003</v>
      </c>
      <c r="AB788" t="s">
        <v>45</v>
      </c>
      <c r="AC788" t="str">
        <f t="shared" si="51"/>
        <v>Non-Cash Payments</v>
      </c>
    </row>
    <row r="789" spans="1:29" x14ac:dyDescent="0.25">
      <c r="A789">
        <v>75911</v>
      </c>
      <c r="B789" s="2">
        <v>43113</v>
      </c>
      <c r="C789">
        <v>4</v>
      </c>
      <c r="D789" s="2">
        <f t="shared" si="48"/>
        <v>43118</v>
      </c>
      <c r="E789">
        <v>0</v>
      </c>
      <c r="F789" t="s">
        <v>62</v>
      </c>
      <c r="G789" t="str">
        <f t="shared" si="49"/>
        <v>Other</v>
      </c>
      <c r="H789">
        <v>73</v>
      </c>
      <c r="I789">
        <v>19464</v>
      </c>
      <c r="J789">
        <v>2</v>
      </c>
      <c r="K789" t="s">
        <v>136</v>
      </c>
      <c r="L789" t="s">
        <v>683</v>
      </c>
      <c r="M789" t="s">
        <v>716</v>
      </c>
      <c r="N789" t="s">
        <v>717</v>
      </c>
      <c r="P789" t="s">
        <v>699</v>
      </c>
      <c r="Q789" t="s">
        <v>700</v>
      </c>
      <c r="R789">
        <v>73</v>
      </c>
      <c r="T789">
        <v>1360</v>
      </c>
      <c r="U789" t="s">
        <v>1126</v>
      </c>
      <c r="V789" s="7">
        <v>327.75</v>
      </c>
      <c r="W789" s="7">
        <v>297.07027734645828</v>
      </c>
      <c r="X789">
        <v>1</v>
      </c>
      <c r="Y789" s="7">
        <v>59</v>
      </c>
      <c r="Z789" s="7">
        <v>327.75</v>
      </c>
      <c r="AA789" s="7">
        <f t="shared" si="50"/>
        <v>268.75</v>
      </c>
      <c r="AB789" t="s">
        <v>66</v>
      </c>
      <c r="AC789" t="str">
        <f t="shared" si="51"/>
        <v>Non-Cash Payments</v>
      </c>
    </row>
    <row r="790" spans="1:29" x14ac:dyDescent="0.25">
      <c r="A790">
        <v>75910</v>
      </c>
      <c r="B790" s="2">
        <v>43113</v>
      </c>
      <c r="C790">
        <v>4</v>
      </c>
      <c r="D790" s="2">
        <f t="shared" si="48"/>
        <v>43118</v>
      </c>
      <c r="E790">
        <v>1</v>
      </c>
      <c r="F790" t="s">
        <v>62</v>
      </c>
      <c r="G790" t="str">
        <f t="shared" si="49"/>
        <v>Other</v>
      </c>
      <c r="H790">
        <v>73</v>
      </c>
      <c r="I790">
        <v>19463</v>
      </c>
      <c r="J790">
        <v>2</v>
      </c>
      <c r="K790" t="s">
        <v>136</v>
      </c>
      <c r="L790" t="s">
        <v>683</v>
      </c>
      <c r="M790" t="s">
        <v>716</v>
      </c>
      <c r="N790" t="s">
        <v>717</v>
      </c>
      <c r="P790" t="s">
        <v>699</v>
      </c>
      <c r="Q790" t="s">
        <v>700</v>
      </c>
      <c r="R790">
        <v>73</v>
      </c>
      <c r="T790">
        <v>1360</v>
      </c>
      <c r="U790" t="s">
        <v>1126</v>
      </c>
      <c r="V790" s="7">
        <v>327.75</v>
      </c>
      <c r="W790" s="7">
        <v>297.07027734645828</v>
      </c>
      <c r="X790">
        <v>1</v>
      </c>
      <c r="Y790" s="7">
        <v>65.550003050000001</v>
      </c>
      <c r="Z790" s="7">
        <v>327.75</v>
      </c>
      <c r="AA790" s="7">
        <f t="shared" si="50"/>
        <v>262.19999695000001</v>
      </c>
      <c r="AB790" t="s">
        <v>45</v>
      </c>
      <c r="AC790" t="str">
        <f t="shared" si="51"/>
        <v>Non-Cash Payments</v>
      </c>
    </row>
    <row r="791" spans="1:29" x14ac:dyDescent="0.25">
      <c r="A791">
        <v>75909</v>
      </c>
      <c r="B791" s="2">
        <v>43113</v>
      </c>
      <c r="C791">
        <v>4</v>
      </c>
      <c r="D791" s="2">
        <f t="shared" si="48"/>
        <v>43118</v>
      </c>
      <c r="E791">
        <v>1</v>
      </c>
      <c r="F791" t="s">
        <v>62</v>
      </c>
      <c r="G791" t="str">
        <f t="shared" si="49"/>
        <v>Other</v>
      </c>
      <c r="H791">
        <v>73</v>
      </c>
      <c r="I791">
        <v>19462</v>
      </c>
      <c r="J791">
        <v>2</v>
      </c>
      <c r="K791" t="s">
        <v>136</v>
      </c>
      <c r="L791" t="s">
        <v>683</v>
      </c>
      <c r="M791" t="s">
        <v>718</v>
      </c>
      <c r="N791" t="s">
        <v>718</v>
      </c>
      <c r="P791" t="s">
        <v>690</v>
      </c>
      <c r="Q791" t="s">
        <v>691</v>
      </c>
      <c r="R791">
        <v>73</v>
      </c>
      <c r="T791">
        <v>1360</v>
      </c>
      <c r="U791" t="s">
        <v>1126</v>
      </c>
      <c r="V791" s="7">
        <v>327.75</v>
      </c>
      <c r="W791" s="7">
        <v>297.07027734645828</v>
      </c>
      <c r="X791">
        <v>1</v>
      </c>
      <c r="Y791" s="7">
        <v>81.940002440000001</v>
      </c>
      <c r="Z791" s="7">
        <v>327.75</v>
      </c>
      <c r="AA791" s="7">
        <f t="shared" si="50"/>
        <v>245.80999756</v>
      </c>
      <c r="AB791" t="s">
        <v>45</v>
      </c>
      <c r="AC791" t="str">
        <f t="shared" si="51"/>
        <v>Non-Cash Payments</v>
      </c>
    </row>
    <row r="792" spans="1:29" x14ac:dyDescent="0.25">
      <c r="A792">
        <v>75908</v>
      </c>
      <c r="B792" s="2">
        <v>43113</v>
      </c>
      <c r="C792">
        <v>4</v>
      </c>
      <c r="D792" s="2">
        <f t="shared" si="48"/>
        <v>43118</v>
      </c>
      <c r="E792">
        <v>0</v>
      </c>
      <c r="F792" t="s">
        <v>62</v>
      </c>
      <c r="G792" t="str">
        <f t="shared" si="49"/>
        <v>Other</v>
      </c>
      <c r="H792">
        <v>73</v>
      </c>
      <c r="I792">
        <v>19461</v>
      </c>
      <c r="J792">
        <v>2</v>
      </c>
      <c r="K792" t="s">
        <v>136</v>
      </c>
      <c r="L792" t="s">
        <v>683</v>
      </c>
      <c r="M792" t="s">
        <v>718</v>
      </c>
      <c r="N792" t="s">
        <v>718</v>
      </c>
      <c r="P792" t="s">
        <v>690</v>
      </c>
      <c r="Q792" t="s">
        <v>691</v>
      </c>
      <c r="R792">
        <v>73</v>
      </c>
      <c r="T792">
        <v>1360</v>
      </c>
      <c r="U792" t="s">
        <v>1126</v>
      </c>
      <c r="V792" s="7">
        <v>327.75</v>
      </c>
      <c r="W792" s="7">
        <v>297.07027734645828</v>
      </c>
      <c r="X792">
        <v>1</v>
      </c>
      <c r="Y792" s="7">
        <v>0</v>
      </c>
      <c r="Z792" s="7">
        <v>327.75</v>
      </c>
      <c r="AA792" s="7">
        <f t="shared" si="50"/>
        <v>327.75</v>
      </c>
      <c r="AB792" t="s">
        <v>30</v>
      </c>
      <c r="AC792" t="str">
        <f t="shared" si="51"/>
        <v>Cash Over 200</v>
      </c>
    </row>
    <row r="793" spans="1:29" x14ac:dyDescent="0.25">
      <c r="A793">
        <v>75907</v>
      </c>
      <c r="B793" s="2">
        <v>43113</v>
      </c>
      <c r="C793">
        <v>1</v>
      </c>
      <c r="D793" s="2">
        <f t="shared" si="48"/>
        <v>43115</v>
      </c>
      <c r="E793">
        <v>1</v>
      </c>
      <c r="F793" t="s">
        <v>187</v>
      </c>
      <c r="G793" t="str">
        <f t="shared" si="49"/>
        <v>Other</v>
      </c>
      <c r="H793">
        <v>73</v>
      </c>
      <c r="I793">
        <v>19460</v>
      </c>
      <c r="J793">
        <v>2</v>
      </c>
      <c r="K793" t="s">
        <v>136</v>
      </c>
      <c r="L793" t="s">
        <v>683</v>
      </c>
      <c r="M793" t="s">
        <v>719</v>
      </c>
      <c r="N793" t="s">
        <v>720</v>
      </c>
      <c r="P793" t="s">
        <v>699</v>
      </c>
      <c r="Q793" t="s">
        <v>700</v>
      </c>
      <c r="R793">
        <v>73</v>
      </c>
      <c r="T793">
        <v>1360</v>
      </c>
      <c r="U793" t="s">
        <v>1126</v>
      </c>
      <c r="V793" s="7">
        <v>327.75</v>
      </c>
      <c r="W793" s="7">
        <v>297.07027734645828</v>
      </c>
      <c r="X793">
        <v>1</v>
      </c>
      <c r="Y793" s="7">
        <v>3.2799999710000001</v>
      </c>
      <c r="Z793" s="7">
        <v>327.75</v>
      </c>
      <c r="AA793" s="7">
        <f t="shared" si="50"/>
        <v>324.470000029</v>
      </c>
      <c r="AB793" t="s">
        <v>45</v>
      </c>
      <c r="AC793" t="str">
        <f t="shared" si="51"/>
        <v>Non-Cash Payments</v>
      </c>
    </row>
    <row r="794" spans="1:29" x14ac:dyDescent="0.25">
      <c r="A794">
        <v>75906</v>
      </c>
      <c r="B794" s="2">
        <v>43113</v>
      </c>
      <c r="C794">
        <v>1</v>
      </c>
      <c r="D794" s="2">
        <f t="shared" si="48"/>
        <v>43115</v>
      </c>
      <c r="E794">
        <v>1</v>
      </c>
      <c r="F794" t="s">
        <v>187</v>
      </c>
      <c r="G794" t="str">
        <f t="shared" si="49"/>
        <v>Other</v>
      </c>
      <c r="H794">
        <v>73</v>
      </c>
      <c r="I794">
        <v>19459</v>
      </c>
      <c r="J794">
        <v>2</v>
      </c>
      <c r="K794" t="s">
        <v>136</v>
      </c>
      <c r="L794" t="s">
        <v>683</v>
      </c>
      <c r="M794" t="s">
        <v>719</v>
      </c>
      <c r="N794" t="s">
        <v>720</v>
      </c>
      <c r="P794" t="s">
        <v>699</v>
      </c>
      <c r="Q794" t="s">
        <v>700</v>
      </c>
      <c r="R794">
        <v>73</v>
      </c>
      <c r="T794">
        <v>1360</v>
      </c>
      <c r="U794" t="s">
        <v>1126</v>
      </c>
      <c r="V794" s="7">
        <v>327.75</v>
      </c>
      <c r="W794" s="7">
        <v>297.07027734645828</v>
      </c>
      <c r="X794">
        <v>1</v>
      </c>
      <c r="Y794" s="7">
        <v>6.5599999430000002</v>
      </c>
      <c r="Z794" s="7">
        <v>327.75</v>
      </c>
      <c r="AA794" s="7">
        <f t="shared" si="50"/>
        <v>321.19000005700002</v>
      </c>
      <c r="AB794" t="s">
        <v>30</v>
      </c>
      <c r="AC794" t="str">
        <f t="shared" si="51"/>
        <v>Cash Over 200</v>
      </c>
    </row>
    <row r="795" spans="1:29" x14ac:dyDescent="0.25">
      <c r="A795">
        <v>75905</v>
      </c>
      <c r="B795" s="2">
        <v>43113</v>
      </c>
      <c r="C795">
        <v>1</v>
      </c>
      <c r="D795" s="2">
        <f t="shared" si="48"/>
        <v>43115</v>
      </c>
      <c r="E795">
        <v>1</v>
      </c>
      <c r="F795" t="s">
        <v>187</v>
      </c>
      <c r="G795" t="str">
        <f t="shared" si="49"/>
        <v>Other</v>
      </c>
      <c r="H795">
        <v>73</v>
      </c>
      <c r="I795">
        <v>19458</v>
      </c>
      <c r="J795">
        <v>2</v>
      </c>
      <c r="K795" t="s">
        <v>136</v>
      </c>
      <c r="L795" t="s">
        <v>683</v>
      </c>
      <c r="M795" t="s">
        <v>721</v>
      </c>
      <c r="N795" t="s">
        <v>721</v>
      </c>
      <c r="P795" t="s">
        <v>721</v>
      </c>
      <c r="Q795" t="s">
        <v>687</v>
      </c>
      <c r="R795">
        <v>73</v>
      </c>
      <c r="T795">
        <v>1360</v>
      </c>
      <c r="U795" t="s">
        <v>1126</v>
      </c>
      <c r="V795" s="7">
        <v>327.75</v>
      </c>
      <c r="W795" s="7">
        <v>297.07027734645828</v>
      </c>
      <c r="X795">
        <v>1</v>
      </c>
      <c r="Y795" s="7">
        <v>9.8299999239999991</v>
      </c>
      <c r="Z795" s="7">
        <v>327.75</v>
      </c>
      <c r="AA795" s="7">
        <f t="shared" si="50"/>
        <v>317.92000007600001</v>
      </c>
      <c r="AB795" t="s">
        <v>30</v>
      </c>
      <c r="AC795" t="str">
        <f t="shared" si="51"/>
        <v>Cash Over 200</v>
      </c>
    </row>
    <row r="796" spans="1:29" x14ac:dyDescent="0.25">
      <c r="A796">
        <v>75904</v>
      </c>
      <c r="B796" s="2">
        <v>43113</v>
      </c>
      <c r="C796">
        <v>1</v>
      </c>
      <c r="D796" s="2">
        <f t="shared" si="48"/>
        <v>43115</v>
      </c>
      <c r="E796">
        <v>1</v>
      </c>
      <c r="F796" t="s">
        <v>187</v>
      </c>
      <c r="G796" t="str">
        <f t="shared" si="49"/>
        <v>Other</v>
      </c>
      <c r="H796">
        <v>73</v>
      </c>
      <c r="I796">
        <v>19457</v>
      </c>
      <c r="J796">
        <v>2</v>
      </c>
      <c r="K796" t="s">
        <v>136</v>
      </c>
      <c r="L796" t="s">
        <v>683</v>
      </c>
      <c r="M796" t="s">
        <v>722</v>
      </c>
      <c r="N796" t="s">
        <v>723</v>
      </c>
      <c r="P796" t="s">
        <v>690</v>
      </c>
      <c r="Q796" t="s">
        <v>691</v>
      </c>
      <c r="R796">
        <v>73</v>
      </c>
      <c r="T796">
        <v>1360</v>
      </c>
      <c r="U796" t="s">
        <v>1126</v>
      </c>
      <c r="V796" s="7">
        <v>327.75</v>
      </c>
      <c r="W796" s="7">
        <v>297.07027734645828</v>
      </c>
      <c r="X796">
        <v>1</v>
      </c>
      <c r="Y796" s="7">
        <v>13.10999966</v>
      </c>
      <c r="Z796" s="7">
        <v>327.75</v>
      </c>
      <c r="AA796" s="7">
        <f t="shared" si="50"/>
        <v>314.64000034000003</v>
      </c>
      <c r="AB796" t="s">
        <v>30</v>
      </c>
      <c r="AC796" t="str">
        <f t="shared" si="51"/>
        <v>Cash Over 200</v>
      </c>
    </row>
    <row r="797" spans="1:29" x14ac:dyDescent="0.25">
      <c r="A797">
        <v>75903</v>
      </c>
      <c r="B797" s="2">
        <v>43435</v>
      </c>
      <c r="C797">
        <v>1</v>
      </c>
      <c r="D797" s="2">
        <f t="shared" si="48"/>
        <v>43437</v>
      </c>
      <c r="E797">
        <v>1</v>
      </c>
      <c r="F797" t="s">
        <v>187</v>
      </c>
      <c r="G797" t="str">
        <f t="shared" si="49"/>
        <v>Other</v>
      </c>
      <c r="H797">
        <v>73</v>
      </c>
      <c r="I797">
        <v>19456</v>
      </c>
      <c r="J797">
        <v>2</v>
      </c>
      <c r="K797" t="s">
        <v>136</v>
      </c>
      <c r="L797" t="s">
        <v>683</v>
      </c>
      <c r="M797" t="s">
        <v>724</v>
      </c>
      <c r="N797" t="s">
        <v>725</v>
      </c>
      <c r="P797" t="s">
        <v>694</v>
      </c>
      <c r="Q797" t="s">
        <v>695</v>
      </c>
      <c r="R797">
        <v>73</v>
      </c>
      <c r="T797">
        <v>1360</v>
      </c>
      <c r="U797" t="s">
        <v>1126</v>
      </c>
      <c r="V797" s="7">
        <v>327.75</v>
      </c>
      <c r="W797" s="7">
        <v>297.07027734645828</v>
      </c>
      <c r="X797">
        <v>1</v>
      </c>
      <c r="Y797" s="7">
        <v>16.38999939</v>
      </c>
      <c r="Z797" s="7">
        <v>327.75</v>
      </c>
      <c r="AA797" s="7">
        <f t="shared" si="50"/>
        <v>311.36000060999999</v>
      </c>
      <c r="AB797" t="s">
        <v>45</v>
      </c>
      <c r="AC797" t="str">
        <f t="shared" si="51"/>
        <v>Non-Cash Payments</v>
      </c>
    </row>
    <row r="798" spans="1:29" x14ac:dyDescent="0.25">
      <c r="A798">
        <v>75902</v>
      </c>
      <c r="B798" s="2">
        <v>43435</v>
      </c>
      <c r="C798">
        <v>0</v>
      </c>
      <c r="D798" s="2">
        <f t="shared" si="48"/>
        <v>43435</v>
      </c>
      <c r="E798">
        <v>1</v>
      </c>
      <c r="F798" t="s">
        <v>214</v>
      </c>
      <c r="G798" t="str">
        <f t="shared" si="49"/>
        <v>Other</v>
      </c>
      <c r="H798">
        <v>73</v>
      </c>
      <c r="I798">
        <v>19455</v>
      </c>
      <c r="J798">
        <v>2</v>
      </c>
      <c r="K798" t="s">
        <v>136</v>
      </c>
      <c r="L798" t="s">
        <v>683</v>
      </c>
      <c r="M798" t="s">
        <v>724</v>
      </c>
      <c r="N798" t="s">
        <v>725</v>
      </c>
      <c r="P798" t="s">
        <v>694</v>
      </c>
      <c r="Q798" t="s">
        <v>695</v>
      </c>
      <c r="R798">
        <v>73</v>
      </c>
      <c r="T798">
        <v>1360</v>
      </c>
      <c r="U798" t="s">
        <v>1126</v>
      </c>
      <c r="V798" s="7">
        <v>327.75</v>
      </c>
      <c r="W798" s="7">
        <v>297.07027734645828</v>
      </c>
      <c r="X798">
        <v>1</v>
      </c>
      <c r="Y798" s="7">
        <v>18.030000690000001</v>
      </c>
      <c r="Z798" s="7">
        <v>327.75</v>
      </c>
      <c r="AA798" s="7">
        <f t="shared" si="50"/>
        <v>309.71999930999999</v>
      </c>
      <c r="AB798" t="s">
        <v>45</v>
      </c>
      <c r="AC798" t="str">
        <f t="shared" si="51"/>
        <v>Non-Cash Payments</v>
      </c>
    </row>
    <row r="799" spans="1:29" x14ac:dyDescent="0.25">
      <c r="A799">
        <v>75901</v>
      </c>
      <c r="B799" s="2">
        <v>43435</v>
      </c>
      <c r="C799">
        <v>0</v>
      </c>
      <c r="D799" s="2">
        <f t="shared" si="48"/>
        <v>43435</v>
      </c>
      <c r="E799">
        <v>0</v>
      </c>
      <c r="F799" t="s">
        <v>214</v>
      </c>
      <c r="G799" t="str">
        <f t="shared" si="49"/>
        <v>Same Day - On Time</v>
      </c>
      <c r="H799">
        <v>73</v>
      </c>
      <c r="I799">
        <v>19454</v>
      </c>
      <c r="J799">
        <v>2</v>
      </c>
      <c r="K799" t="s">
        <v>136</v>
      </c>
      <c r="L799" t="s">
        <v>683</v>
      </c>
      <c r="M799" t="s">
        <v>724</v>
      </c>
      <c r="N799" t="s">
        <v>725</v>
      </c>
      <c r="P799" t="s">
        <v>694</v>
      </c>
      <c r="Q799" t="s">
        <v>695</v>
      </c>
      <c r="R799">
        <v>73</v>
      </c>
      <c r="T799">
        <v>1360</v>
      </c>
      <c r="U799" t="s">
        <v>1126</v>
      </c>
      <c r="V799" s="7">
        <v>327.75</v>
      </c>
      <c r="W799" s="7">
        <v>297.07027734645828</v>
      </c>
      <c r="X799">
        <v>1</v>
      </c>
      <c r="Y799" s="7">
        <v>22.940000529999999</v>
      </c>
      <c r="Z799" s="7">
        <v>327.75</v>
      </c>
      <c r="AA799" s="7">
        <f t="shared" si="50"/>
        <v>304.80999946999998</v>
      </c>
      <c r="AB799" t="s">
        <v>66</v>
      </c>
      <c r="AC799" t="str">
        <f t="shared" si="51"/>
        <v>Non-Cash Payments</v>
      </c>
    </row>
    <row r="800" spans="1:29" x14ac:dyDescent="0.25">
      <c r="A800">
        <v>75900</v>
      </c>
      <c r="B800" s="2">
        <v>43435</v>
      </c>
      <c r="C800">
        <v>0</v>
      </c>
      <c r="D800" s="2">
        <f t="shared" si="48"/>
        <v>43435</v>
      </c>
      <c r="E800">
        <v>1</v>
      </c>
      <c r="F800" t="s">
        <v>214</v>
      </c>
      <c r="G800" t="str">
        <f t="shared" si="49"/>
        <v>Other</v>
      </c>
      <c r="H800">
        <v>73</v>
      </c>
      <c r="I800">
        <v>19453</v>
      </c>
      <c r="J800">
        <v>2</v>
      </c>
      <c r="K800" t="s">
        <v>136</v>
      </c>
      <c r="L800" t="s">
        <v>683</v>
      </c>
      <c r="M800" t="s">
        <v>721</v>
      </c>
      <c r="N800" t="s">
        <v>721</v>
      </c>
      <c r="P800" t="s">
        <v>721</v>
      </c>
      <c r="Q800" t="s">
        <v>687</v>
      </c>
      <c r="R800">
        <v>73</v>
      </c>
      <c r="T800">
        <v>1360</v>
      </c>
      <c r="U800" t="s">
        <v>1126</v>
      </c>
      <c r="V800" s="7">
        <v>327.75</v>
      </c>
      <c r="W800" s="7">
        <v>297.07027734645828</v>
      </c>
      <c r="X800">
        <v>1</v>
      </c>
      <c r="Y800" s="7">
        <v>29.5</v>
      </c>
      <c r="Z800" s="7">
        <v>327.75</v>
      </c>
      <c r="AA800" s="7">
        <f t="shared" si="50"/>
        <v>298.25</v>
      </c>
      <c r="AB800" t="s">
        <v>30</v>
      </c>
      <c r="AC800" t="str">
        <f t="shared" si="51"/>
        <v>Cash Over 200</v>
      </c>
    </row>
    <row r="801" spans="1:29" x14ac:dyDescent="0.25">
      <c r="A801">
        <v>75899</v>
      </c>
      <c r="B801" s="2">
        <v>43435</v>
      </c>
      <c r="C801">
        <v>0</v>
      </c>
      <c r="D801" s="2">
        <f t="shared" si="48"/>
        <v>43435</v>
      </c>
      <c r="E801">
        <v>1</v>
      </c>
      <c r="F801" t="s">
        <v>214</v>
      </c>
      <c r="G801" t="str">
        <f t="shared" si="49"/>
        <v>Other</v>
      </c>
      <c r="H801">
        <v>73</v>
      </c>
      <c r="I801">
        <v>19452</v>
      </c>
      <c r="J801">
        <v>2</v>
      </c>
      <c r="K801" t="s">
        <v>136</v>
      </c>
      <c r="L801" t="s">
        <v>683</v>
      </c>
      <c r="M801" t="s">
        <v>721</v>
      </c>
      <c r="N801" t="s">
        <v>721</v>
      </c>
      <c r="P801" t="s">
        <v>721</v>
      </c>
      <c r="Q801" t="s">
        <v>687</v>
      </c>
      <c r="R801">
        <v>73</v>
      </c>
      <c r="T801">
        <v>1360</v>
      </c>
      <c r="U801" t="s">
        <v>1126</v>
      </c>
      <c r="V801" s="7">
        <v>327.75</v>
      </c>
      <c r="W801" s="7">
        <v>297.07027734645828</v>
      </c>
      <c r="X801">
        <v>1</v>
      </c>
      <c r="Y801" s="7">
        <v>32.77999878</v>
      </c>
      <c r="Z801" s="7">
        <v>327.75</v>
      </c>
      <c r="AA801" s="7">
        <f t="shared" si="50"/>
        <v>294.97000121999997</v>
      </c>
      <c r="AB801" t="s">
        <v>45</v>
      </c>
      <c r="AC801" t="str">
        <f t="shared" si="51"/>
        <v>Non-Cash Payments</v>
      </c>
    </row>
    <row r="802" spans="1:29" x14ac:dyDescent="0.25">
      <c r="A802">
        <v>75898</v>
      </c>
      <c r="B802" s="2">
        <v>43435</v>
      </c>
      <c r="C802">
        <v>4</v>
      </c>
      <c r="D802" s="2">
        <f t="shared" si="48"/>
        <v>43440</v>
      </c>
      <c r="E802">
        <v>0</v>
      </c>
      <c r="F802" t="s">
        <v>62</v>
      </c>
      <c r="G802" t="str">
        <f t="shared" si="49"/>
        <v>Other</v>
      </c>
      <c r="H802">
        <v>73</v>
      </c>
      <c r="I802">
        <v>19451</v>
      </c>
      <c r="J802">
        <v>2</v>
      </c>
      <c r="K802" t="s">
        <v>136</v>
      </c>
      <c r="L802" t="s">
        <v>683</v>
      </c>
      <c r="M802" t="s">
        <v>726</v>
      </c>
      <c r="N802" t="s">
        <v>727</v>
      </c>
      <c r="P802" t="s">
        <v>686</v>
      </c>
      <c r="Q802" t="s">
        <v>687</v>
      </c>
      <c r="R802">
        <v>73</v>
      </c>
      <c r="T802">
        <v>1360</v>
      </c>
      <c r="U802" t="s">
        <v>1126</v>
      </c>
      <c r="V802" s="7">
        <v>327.75</v>
      </c>
      <c r="W802" s="7">
        <v>297.07027734645828</v>
      </c>
      <c r="X802">
        <v>1</v>
      </c>
      <c r="Y802" s="7">
        <v>39.33000183</v>
      </c>
      <c r="Z802" s="7">
        <v>327.75</v>
      </c>
      <c r="AA802" s="7">
        <f t="shared" si="50"/>
        <v>288.41999816999999</v>
      </c>
      <c r="AB802" t="s">
        <v>30</v>
      </c>
      <c r="AC802" t="str">
        <f t="shared" si="51"/>
        <v>Cash Over 200</v>
      </c>
    </row>
    <row r="803" spans="1:29" x14ac:dyDescent="0.25">
      <c r="A803">
        <v>75897</v>
      </c>
      <c r="B803" s="2">
        <v>43435</v>
      </c>
      <c r="C803">
        <v>4</v>
      </c>
      <c r="D803" s="2">
        <f t="shared" si="48"/>
        <v>43440</v>
      </c>
      <c r="E803">
        <v>0</v>
      </c>
      <c r="F803" t="s">
        <v>62</v>
      </c>
      <c r="G803" t="str">
        <f t="shared" si="49"/>
        <v>Other</v>
      </c>
      <c r="H803">
        <v>73</v>
      </c>
      <c r="I803">
        <v>19450</v>
      </c>
      <c r="J803">
        <v>2</v>
      </c>
      <c r="K803" t="s">
        <v>136</v>
      </c>
      <c r="L803" t="s">
        <v>683</v>
      </c>
      <c r="M803" t="s">
        <v>726</v>
      </c>
      <c r="N803" t="s">
        <v>727</v>
      </c>
      <c r="P803" t="s">
        <v>686</v>
      </c>
      <c r="Q803" t="s">
        <v>687</v>
      </c>
      <c r="R803">
        <v>73</v>
      </c>
      <c r="T803">
        <v>1360</v>
      </c>
      <c r="U803" t="s">
        <v>1126</v>
      </c>
      <c r="V803" s="7">
        <v>327.75</v>
      </c>
      <c r="W803" s="7">
        <v>297.07027734645828</v>
      </c>
      <c r="X803">
        <v>1</v>
      </c>
      <c r="Y803" s="7">
        <v>42.61000061</v>
      </c>
      <c r="Z803" s="7">
        <v>327.75</v>
      </c>
      <c r="AA803" s="7">
        <f t="shared" si="50"/>
        <v>285.13999939000001</v>
      </c>
      <c r="AB803" t="s">
        <v>30</v>
      </c>
      <c r="AC803" t="str">
        <f t="shared" si="51"/>
        <v>Cash Over 200</v>
      </c>
    </row>
    <row r="804" spans="1:29" x14ac:dyDescent="0.25">
      <c r="A804">
        <v>75896</v>
      </c>
      <c r="B804" s="2">
        <v>43435</v>
      </c>
      <c r="C804">
        <v>4</v>
      </c>
      <c r="D804" s="2">
        <f t="shared" si="48"/>
        <v>43440</v>
      </c>
      <c r="E804">
        <v>0</v>
      </c>
      <c r="F804" t="s">
        <v>62</v>
      </c>
      <c r="G804" t="str">
        <f t="shared" si="49"/>
        <v>Other</v>
      </c>
      <c r="H804">
        <v>73</v>
      </c>
      <c r="I804">
        <v>19449</v>
      </c>
      <c r="J804">
        <v>2</v>
      </c>
      <c r="K804" t="s">
        <v>136</v>
      </c>
      <c r="L804" t="s">
        <v>683</v>
      </c>
      <c r="M804" t="s">
        <v>728</v>
      </c>
      <c r="N804" t="s">
        <v>729</v>
      </c>
      <c r="P804" t="s">
        <v>694</v>
      </c>
      <c r="Q804" t="s">
        <v>695</v>
      </c>
      <c r="R804">
        <v>73</v>
      </c>
      <c r="T804">
        <v>1360</v>
      </c>
      <c r="U804" t="s">
        <v>1126</v>
      </c>
      <c r="V804" s="7">
        <v>327.75</v>
      </c>
      <c r="W804" s="7">
        <v>297.07027734645828</v>
      </c>
      <c r="X804">
        <v>1</v>
      </c>
      <c r="Y804" s="7">
        <v>49.159999849999998</v>
      </c>
      <c r="Z804" s="7">
        <v>327.75</v>
      </c>
      <c r="AA804" s="7">
        <f t="shared" si="50"/>
        <v>278.59000014999998</v>
      </c>
      <c r="AB804" t="s">
        <v>45</v>
      </c>
      <c r="AC804" t="str">
        <f t="shared" si="51"/>
        <v>Non-Cash Payments</v>
      </c>
    </row>
    <row r="805" spans="1:29" x14ac:dyDescent="0.25">
      <c r="A805">
        <v>75895</v>
      </c>
      <c r="B805" s="2">
        <v>43435</v>
      </c>
      <c r="C805">
        <v>4</v>
      </c>
      <c r="D805" s="2">
        <f t="shared" si="48"/>
        <v>43440</v>
      </c>
      <c r="E805">
        <v>1</v>
      </c>
      <c r="F805" t="s">
        <v>62</v>
      </c>
      <c r="G805" t="str">
        <f t="shared" si="49"/>
        <v>Other</v>
      </c>
      <c r="H805">
        <v>73</v>
      </c>
      <c r="I805">
        <v>19448</v>
      </c>
      <c r="J805">
        <v>2</v>
      </c>
      <c r="K805" t="s">
        <v>136</v>
      </c>
      <c r="L805" t="s">
        <v>683</v>
      </c>
      <c r="M805" t="s">
        <v>730</v>
      </c>
      <c r="N805" t="s">
        <v>723</v>
      </c>
      <c r="P805" t="s">
        <v>690</v>
      </c>
      <c r="Q805" t="s">
        <v>691</v>
      </c>
      <c r="R805">
        <v>73</v>
      </c>
      <c r="T805">
        <v>1360</v>
      </c>
      <c r="U805" t="s">
        <v>1126</v>
      </c>
      <c r="V805" s="7">
        <v>327.75</v>
      </c>
      <c r="W805" s="7">
        <v>297.07027734645828</v>
      </c>
      <c r="X805">
        <v>1</v>
      </c>
      <c r="Y805" s="7">
        <v>52.439998629999998</v>
      </c>
      <c r="Z805" s="7">
        <v>327.75</v>
      </c>
      <c r="AA805" s="7">
        <f t="shared" si="50"/>
        <v>275.31000137000001</v>
      </c>
      <c r="AB805" t="s">
        <v>66</v>
      </c>
      <c r="AC805" t="str">
        <f t="shared" si="51"/>
        <v>Non-Cash Payments</v>
      </c>
    </row>
    <row r="806" spans="1:29" x14ac:dyDescent="0.25">
      <c r="A806">
        <v>75894</v>
      </c>
      <c r="B806" s="2">
        <v>43435</v>
      </c>
      <c r="C806">
        <v>2</v>
      </c>
      <c r="D806" s="2">
        <f t="shared" si="48"/>
        <v>43438</v>
      </c>
      <c r="E806">
        <v>1</v>
      </c>
      <c r="F806" t="s">
        <v>23</v>
      </c>
      <c r="G806" t="str">
        <f t="shared" si="49"/>
        <v>Other</v>
      </c>
      <c r="H806">
        <v>73</v>
      </c>
      <c r="I806">
        <v>19447</v>
      </c>
      <c r="J806">
        <v>2</v>
      </c>
      <c r="K806" t="s">
        <v>136</v>
      </c>
      <c r="L806" t="s">
        <v>683</v>
      </c>
      <c r="M806" t="s">
        <v>730</v>
      </c>
      <c r="N806" t="s">
        <v>723</v>
      </c>
      <c r="P806" t="s">
        <v>690</v>
      </c>
      <c r="Q806" t="s">
        <v>691</v>
      </c>
      <c r="R806">
        <v>73</v>
      </c>
      <c r="T806">
        <v>1360</v>
      </c>
      <c r="U806" t="s">
        <v>1126</v>
      </c>
      <c r="V806" s="7">
        <v>327.75</v>
      </c>
      <c r="W806" s="7">
        <v>297.07027734645828</v>
      </c>
      <c r="X806">
        <v>1</v>
      </c>
      <c r="Y806" s="7">
        <v>55.72000122</v>
      </c>
      <c r="Z806" s="7">
        <v>327.75</v>
      </c>
      <c r="AA806" s="7">
        <f t="shared" si="50"/>
        <v>272.02999878000003</v>
      </c>
      <c r="AB806" t="s">
        <v>66</v>
      </c>
      <c r="AC806" t="str">
        <f t="shared" si="51"/>
        <v>Non-Cash Payments</v>
      </c>
    </row>
    <row r="807" spans="1:29" x14ac:dyDescent="0.25">
      <c r="A807">
        <v>75893</v>
      </c>
      <c r="B807" s="2">
        <v>43435</v>
      </c>
      <c r="C807">
        <v>4</v>
      </c>
      <c r="D807" s="2">
        <f t="shared" si="48"/>
        <v>43440</v>
      </c>
      <c r="E807">
        <v>0</v>
      </c>
      <c r="F807" t="s">
        <v>62</v>
      </c>
      <c r="G807" t="str">
        <f t="shared" si="49"/>
        <v>Other</v>
      </c>
      <c r="H807">
        <v>73</v>
      </c>
      <c r="I807">
        <v>19446</v>
      </c>
      <c r="J807">
        <v>2</v>
      </c>
      <c r="K807" t="s">
        <v>136</v>
      </c>
      <c r="L807" t="s">
        <v>683</v>
      </c>
      <c r="M807" t="s">
        <v>731</v>
      </c>
      <c r="N807" t="s">
        <v>732</v>
      </c>
      <c r="P807" t="s">
        <v>699</v>
      </c>
      <c r="Q807" t="s">
        <v>700</v>
      </c>
      <c r="R807">
        <v>73</v>
      </c>
      <c r="T807">
        <v>1360</v>
      </c>
      <c r="U807" t="s">
        <v>1126</v>
      </c>
      <c r="V807" s="7">
        <v>327.75</v>
      </c>
      <c r="W807" s="7">
        <v>297.07027734645828</v>
      </c>
      <c r="X807">
        <v>1</v>
      </c>
      <c r="Y807" s="7">
        <v>59</v>
      </c>
      <c r="Z807" s="7">
        <v>327.75</v>
      </c>
      <c r="AA807" s="7">
        <f t="shared" si="50"/>
        <v>268.75</v>
      </c>
      <c r="AB807" t="s">
        <v>66</v>
      </c>
      <c r="AC807" t="str">
        <f t="shared" si="51"/>
        <v>Non-Cash Payments</v>
      </c>
    </row>
    <row r="808" spans="1:29" x14ac:dyDescent="0.25">
      <c r="A808">
        <v>28744</v>
      </c>
      <c r="B808" s="2">
        <v>42424</v>
      </c>
      <c r="C808">
        <v>2</v>
      </c>
      <c r="D808" s="2">
        <f t="shared" si="48"/>
        <v>42426</v>
      </c>
      <c r="E808">
        <v>1</v>
      </c>
      <c r="F808" t="s">
        <v>23</v>
      </c>
      <c r="G808" t="str">
        <f t="shared" si="49"/>
        <v>Other</v>
      </c>
      <c r="H808">
        <v>17</v>
      </c>
      <c r="I808">
        <v>9083</v>
      </c>
      <c r="J808">
        <v>4</v>
      </c>
      <c r="K808" t="s">
        <v>46</v>
      </c>
      <c r="L808" t="s">
        <v>683</v>
      </c>
      <c r="M808" t="s">
        <v>733</v>
      </c>
      <c r="N808" t="s">
        <v>734</v>
      </c>
      <c r="P808" t="s">
        <v>690</v>
      </c>
      <c r="Q808" t="s">
        <v>691</v>
      </c>
      <c r="R808">
        <v>17</v>
      </c>
      <c r="T808">
        <v>365</v>
      </c>
      <c r="U808" t="s">
        <v>1054</v>
      </c>
      <c r="V808" s="7">
        <v>59.990001679999999</v>
      </c>
      <c r="W808" s="7">
        <v>54.488929209402009</v>
      </c>
      <c r="X808">
        <v>2</v>
      </c>
      <c r="Y808" s="7">
        <v>4.8000001909999996</v>
      </c>
      <c r="Z808" s="7">
        <v>119.98000336</v>
      </c>
      <c r="AA808" s="7">
        <f t="shared" si="50"/>
        <v>115.180003169</v>
      </c>
      <c r="AB808" t="s">
        <v>30</v>
      </c>
      <c r="AC808" t="str">
        <f t="shared" si="51"/>
        <v>Cash Not Over 200</v>
      </c>
    </row>
    <row r="809" spans="1:29" x14ac:dyDescent="0.25">
      <c r="A809">
        <v>45461</v>
      </c>
      <c r="B809" s="2">
        <v>42668</v>
      </c>
      <c r="C809">
        <v>2</v>
      </c>
      <c r="D809" s="2">
        <f t="shared" si="48"/>
        <v>42670</v>
      </c>
      <c r="E809">
        <v>0</v>
      </c>
      <c r="F809" t="s">
        <v>23</v>
      </c>
      <c r="G809" t="str">
        <f t="shared" si="49"/>
        <v>Other</v>
      </c>
      <c r="H809">
        <v>29</v>
      </c>
      <c r="I809">
        <v>4741</v>
      </c>
      <c r="J809">
        <v>5</v>
      </c>
      <c r="K809" t="s">
        <v>31</v>
      </c>
      <c r="L809" t="s">
        <v>683</v>
      </c>
      <c r="M809" t="s">
        <v>735</v>
      </c>
      <c r="N809" t="s">
        <v>735</v>
      </c>
      <c r="P809" t="s">
        <v>736</v>
      </c>
      <c r="Q809" t="s">
        <v>737</v>
      </c>
      <c r="R809">
        <v>29</v>
      </c>
      <c r="T809">
        <v>627</v>
      </c>
      <c r="U809" t="s">
        <v>1046</v>
      </c>
      <c r="V809" s="7">
        <v>39.990001679999999</v>
      </c>
      <c r="W809" s="7">
        <v>34.198098313835338</v>
      </c>
      <c r="X809">
        <v>2</v>
      </c>
      <c r="Y809" s="7">
        <v>0.80000001200000004</v>
      </c>
      <c r="Z809" s="7">
        <v>79.980003359999998</v>
      </c>
      <c r="AA809" s="7">
        <f t="shared" si="50"/>
        <v>79.180003348</v>
      </c>
      <c r="AB809" t="s">
        <v>30</v>
      </c>
      <c r="AC809" t="str">
        <f t="shared" si="51"/>
        <v>Cash Not Over 200</v>
      </c>
    </row>
    <row r="810" spans="1:29" x14ac:dyDescent="0.25">
      <c r="A810">
        <v>31115</v>
      </c>
      <c r="B810" s="2">
        <v>42459</v>
      </c>
      <c r="C810">
        <v>2</v>
      </c>
      <c r="D810" s="2">
        <f t="shared" si="48"/>
        <v>42461</v>
      </c>
      <c r="E810">
        <v>1</v>
      </c>
      <c r="F810" t="s">
        <v>23</v>
      </c>
      <c r="G810" t="str">
        <f t="shared" si="49"/>
        <v>Other</v>
      </c>
      <c r="H810">
        <v>24</v>
      </c>
      <c r="I810">
        <v>639</v>
      </c>
      <c r="J810">
        <v>5</v>
      </c>
      <c r="K810" t="s">
        <v>31</v>
      </c>
      <c r="L810" t="s">
        <v>683</v>
      </c>
      <c r="M810" t="s">
        <v>738</v>
      </c>
      <c r="N810" t="s">
        <v>739</v>
      </c>
      <c r="P810" t="s">
        <v>694</v>
      </c>
      <c r="Q810" t="s">
        <v>695</v>
      </c>
      <c r="R810">
        <v>24</v>
      </c>
      <c r="T810">
        <v>502</v>
      </c>
      <c r="U810" t="s">
        <v>1058</v>
      </c>
      <c r="V810" s="7">
        <v>50</v>
      </c>
      <c r="W810" s="7">
        <v>43.678035218757444</v>
      </c>
      <c r="X810">
        <v>2</v>
      </c>
      <c r="Y810" s="7">
        <v>4</v>
      </c>
      <c r="Z810" s="7">
        <v>100</v>
      </c>
      <c r="AA810" s="7">
        <f t="shared" si="50"/>
        <v>96</v>
      </c>
      <c r="AB810" t="s">
        <v>30</v>
      </c>
      <c r="AC810" t="str">
        <f t="shared" si="51"/>
        <v>Cash Not Over 200</v>
      </c>
    </row>
    <row r="811" spans="1:29" x14ac:dyDescent="0.25">
      <c r="A811">
        <v>45766</v>
      </c>
      <c r="B811" s="2">
        <v>42673</v>
      </c>
      <c r="C811">
        <v>2</v>
      </c>
      <c r="D811" s="2">
        <f t="shared" si="48"/>
        <v>42675</v>
      </c>
      <c r="E811">
        <v>0</v>
      </c>
      <c r="F811" t="s">
        <v>23</v>
      </c>
      <c r="G811" t="str">
        <f t="shared" si="49"/>
        <v>Other</v>
      </c>
      <c r="H811">
        <v>29</v>
      </c>
      <c r="I811">
        <v>9702</v>
      </c>
      <c r="J811">
        <v>5</v>
      </c>
      <c r="K811" t="s">
        <v>31</v>
      </c>
      <c r="L811" t="s">
        <v>683</v>
      </c>
      <c r="M811" t="s">
        <v>740</v>
      </c>
      <c r="N811" t="s">
        <v>741</v>
      </c>
      <c r="P811" t="s">
        <v>736</v>
      </c>
      <c r="Q811" t="s">
        <v>737</v>
      </c>
      <c r="R811">
        <v>29</v>
      </c>
      <c r="T811">
        <v>627</v>
      </c>
      <c r="U811" t="s">
        <v>1046</v>
      </c>
      <c r="V811" s="7">
        <v>39.990001679999999</v>
      </c>
      <c r="W811" s="7">
        <v>34.198098313835338</v>
      </c>
      <c r="X811">
        <v>2</v>
      </c>
      <c r="Y811" s="7">
        <v>4</v>
      </c>
      <c r="Z811" s="7">
        <v>79.980003359999998</v>
      </c>
      <c r="AA811" s="7">
        <f t="shared" si="50"/>
        <v>75.980003359999998</v>
      </c>
      <c r="AB811" t="s">
        <v>30</v>
      </c>
      <c r="AC811" t="str">
        <f t="shared" si="51"/>
        <v>Cash Not Over 200</v>
      </c>
    </row>
    <row r="812" spans="1:29" x14ac:dyDescent="0.25">
      <c r="A812">
        <v>47752</v>
      </c>
      <c r="B812" s="2">
        <v>42702</v>
      </c>
      <c r="C812">
        <v>2</v>
      </c>
      <c r="D812" s="2">
        <f t="shared" si="48"/>
        <v>42704</v>
      </c>
      <c r="E812">
        <v>1</v>
      </c>
      <c r="F812" t="s">
        <v>23</v>
      </c>
      <c r="G812" t="str">
        <f t="shared" si="49"/>
        <v>Other</v>
      </c>
      <c r="H812">
        <v>24</v>
      </c>
      <c r="I812">
        <v>9114</v>
      </c>
      <c r="J812">
        <v>5</v>
      </c>
      <c r="K812" t="s">
        <v>31</v>
      </c>
      <c r="L812" t="s">
        <v>683</v>
      </c>
      <c r="M812" t="s">
        <v>742</v>
      </c>
      <c r="N812" t="s">
        <v>743</v>
      </c>
      <c r="P812" t="s">
        <v>744</v>
      </c>
      <c r="Q812" t="s">
        <v>700</v>
      </c>
      <c r="R812">
        <v>24</v>
      </c>
      <c r="T812">
        <v>502</v>
      </c>
      <c r="U812" t="s">
        <v>1058</v>
      </c>
      <c r="V812" s="7">
        <v>50</v>
      </c>
      <c r="W812" s="7">
        <v>43.678035218757444</v>
      </c>
      <c r="X812">
        <v>2</v>
      </c>
      <c r="Y812" s="7">
        <v>9</v>
      </c>
      <c r="Z812" s="7">
        <v>100</v>
      </c>
      <c r="AA812" s="7">
        <f t="shared" si="50"/>
        <v>91</v>
      </c>
      <c r="AB812" t="s">
        <v>30</v>
      </c>
      <c r="AC812" t="str">
        <f t="shared" si="51"/>
        <v>Cash Not Over 200</v>
      </c>
    </row>
    <row r="813" spans="1:29" x14ac:dyDescent="0.25">
      <c r="A813">
        <v>50054</v>
      </c>
      <c r="B813" s="2">
        <v>42735</v>
      </c>
      <c r="C813">
        <v>2</v>
      </c>
      <c r="D813" s="2">
        <f t="shared" si="48"/>
        <v>42738</v>
      </c>
      <c r="E813">
        <v>1</v>
      </c>
      <c r="F813" t="s">
        <v>23</v>
      </c>
      <c r="G813" t="str">
        <f t="shared" si="49"/>
        <v>Other</v>
      </c>
      <c r="H813">
        <v>24</v>
      </c>
      <c r="I813">
        <v>1362</v>
      </c>
      <c r="J813">
        <v>5</v>
      </c>
      <c r="K813" t="s">
        <v>31</v>
      </c>
      <c r="L813" t="s">
        <v>683</v>
      </c>
      <c r="M813" t="s">
        <v>741</v>
      </c>
      <c r="N813" t="s">
        <v>741</v>
      </c>
      <c r="P813" t="s">
        <v>736</v>
      </c>
      <c r="Q813" t="s">
        <v>737</v>
      </c>
      <c r="R813">
        <v>24</v>
      </c>
      <c r="T813">
        <v>502</v>
      </c>
      <c r="U813" t="s">
        <v>1058</v>
      </c>
      <c r="V813" s="7">
        <v>50</v>
      </c>
      <c r="W813" s="7">
        <v>43.678035218757444</v>
      </c>
      <c r="X813">
        <v>2</v>
      </c>
      <c r="Y813" s="7">
        <v>13</v>
      </c>
      <c r="Z813" s="7">
        <v>100</v>
      </c>
      <c r="AA813" s="7">
        <f t="shared" si="50"/>
        <v>87</v>
      </c>
      <c r="AB813" t="s">
        <v>30</v>
      </c>
      <c r="AC813" t="str">
        <f t="shared" si="51"/>
        <v>Cash Not Over 200</v>
      </c>
    </row>
    <row r="814" spans="1:29" x14ac:dyDescent="0.25">
      <c r="A814">
        <v>20365</v>
      </c>
      <c r="B814" s="2">
        <v>42302</v>
      </c>
      <c r="C814">
        <v>2</v>
      </c>
      <c r="D814" s="2">
        <f t="shared" si="48"/>
        <v>42304</v>
      </c>
      <c r="E814">
        <v>1</v>
      </c>
      <c r="F814" t="s">
        <v>23</v>
      </c>
      <c r="G814" t="str">
        <f t="shared" si="49"/>
        <v>Other</v>
      </c>
      <c r="H814">
        <v>24</v>
      </c>
      <c r="I814">
        <v>8011</v>
      </c>
      <c r="J814">
        <v>5</v>
      </c>
      <c r="K814" t="s">
        <v>31</v>
      </c>
      <c r="L814" t="s">
        <v>683</v>
      </c>
      <c r="M814" t="s">
        <v>745</v>
      </c>
      <c r="N814" t="s">
        <v>689</v>
      </c>
      <c r="P814" t="s">
        <v>690</v>
      </c>
      <c r="Q814" t="s">
        <v>691</v>
      </c>
      <c r="R814">
        <v>24</v>
      </c>
      <c r="T814">
        <v>502</v>
      </c>
      <c r="U814" t="s">
        <v>1058</v>
      </c>
      <c r="V814" s="7">
        <v>50</v>
      </c>
      <c r="W814" s="7">
        <v>43.678035218757444</v>
      </c>
      <c r="X814">
        <v>2</v>
      </c>
      <c r="Y814" s="7">
        <v>18</v>
      </c>
      <c r="Z814" s="7">
        <v>100</v>
      </c>
      <c r="AA814" s="7">
        <f t="shared" si="50"/>
        <v>82</v>
      </c>
      <c r="AB814" t="s">
        <v>30</v>
      </c>
      <c r="AC814" t="str">
        <f t="shared" si="51"/>
        <v>Cash Not Over 200</v>
      </c>
    </row>
    <row r="815" spans="1:29" x14ac:dyDescent="0.25">
      <c r="A815">
        <v>41686</v>
      </c>
      <c r="B815" s="2">
        <v>42613</v>
      </c>
      <c r="C815">
        <v>4</v>
      </c>
      <c r="D815" s="2">
        <f t="shared" si="48"/>
        <v>42619</v>
      </c>
      <c r="E815">
        <v>0</v>
      </c>
      <c r="F815" t="s">
        <v>62</v>
      </c>
      <c r="G815" t="str">
        <f t="shared" si="49"/>
        <v>Other</v>
      </c>
      <c r="H815">
        <v>18</v>
      </c>
      <c r="I815">
        <v>7884</v>
      </c>
      <c r="J815">
        <v>4</v>
      </c>
      <c r="K815" t="s">
        <v>46</v>
      </c>
      <c r="L815" t="s">
        <v>683</v>
      </c>
      <c r="M815" t="s">
        <v>741</v>
      </c>
      <c r="N815" t="s">
        <v>741</v>
      </c>
      <c r="P815" t="s">
        <v>736</v>
      </c>
      <c r="Q815" t="s">
        <v>737</v>
      </c>
      <c r="R815">
        <v>18</v>
      </c>
      <c r="T815">
        <v>403</v>
      </c>
      <c r="U815" t="s">
        <v>1052</v>
      </c>
      <c r="V815" s="7">
        <v>129.9900055</v>
      </c>
      <c r="W815" s="7">
        <v>110.80340837177086</v>
      </c>
      <c r="X815">
        <v>1</v>
      </c>
      <c r="Y815" s="7">
        <v>5.1999998090000004</v>
      </c>
      <c r="Z815" s="7">
        <v>129.9900055</v>
      </c>
      <c r="AA815" s="7">
        <f t="shared" si="50"/>
        <v>124.79000569099999</v>
      </c>
      <c r="AB815" t="s">
        <v>45</v>
      </c>
      <c r="AC815" t="str">
        <f t="shared" si="51"/>
        <v>Non-Cash Payments</v>
      </c>
    </row>
    <row r="816" spans="1:29" x14ac:dyDescent="0.25">
      <c r="A816">
        <v>41896</v>
      </c>
      <c r="B816" s="2">
        <v>42438</v>
      </c>
      <c r="C816">
        <v>4</v>
      </c>
      <c r="D816" s="2">
        <f t="shared" si="48"/>
        <v>42444</v>
      </c>
      <c r="E816">
        <v>0</v>
      </c>
      <c r="F816" t="s">
        <v>62</v>
      </c>
      <c r="G816" t="str">
        <f t="shared" si="49"/>
        <v>Other</v>
      </c>
      <c r="H816">
        <v>18</v>
      </c>
      <c r="I816">
        <v>289</v>
      </c>
      <c r="J816">
        <v>4</v>
      </c>
      <c r="K816" t="s">
        <v>46</v>
      </c>
      <c r="L816" t="s">
        <v>683</v>
      </c>
      <c r="M816" t="s">
        <v>746</v>
      </c>
      <c r="N816" t="s">
        <v>746</v>
      </c>
      <c r="P816" t="s">
        <v>747</v>
      </c>
      <c r="Q816" t="s">
        <v>737</v>
      </c>
      <c r="R816">
        <v>18</v>
      </c>
      <c r="T816">
        <v>403</v>
      </c>
      <c r="U816" t="s">
        <v>1052</v>
      </c>
      <c r="V816" s="7">
        <v>129.9900055</v>
      </c>
      <c r="W816" s="7">
        <v>110.80340837177086</v>
      </c>
      <c r="X816">
        <v>1</v>
      </c>
      <c r="Y816" s="7">
        <v>5.1999998090000004</v>
      </c>
      <c r="Z816" s="7">
        <v>129.9900055</v>
      </c>
      <c r="AA816" s="7">
        <f t="shared" si="50"/>
        <v>124.79000569099999</v>
      </c>
      <c r="AB816" t="s">
        <v>45</v>
      </c>
      <c r="AC816" t="str">
        <f t="shared" si="51"/>
        <v>Non-Cash Payments</v>
      </c>
    </row>
    <row r="817" spans="1:29" x14ac:dyDescent="0.25">
      <c r="A817">
        <v>28168</v>
      </c>
      <c r="B817" s="2">
        <v>42416</v>
      </c>
      <c r="C817">
        <v>4</v>
      </c>
      <c r="D817" s="2">
        <f t="shared" si="48"/>
        <v>42422</v>
      </c>
      <c r="E817">
        <v>0</v>
      </c>
      <c r="F817" t="s">
        <v>62</v>
      </c>
      <c r="G817" t="str">
        <f t="shared" si="49"/>
        <v>Other</v>
      </c>
      <c r="H817">
        <v>17</v>
      </c>
      <c r="I817">
        <v>10081</v>
      </c>
      <c r="J817">
        <v>4</v>
      </c>
      <c r="K817" t="s">
        <v>46</v>
      </c>
      <c r="L817" t="s">
        <v>683</v>
      </c>
      <c r="M817" t="s">
        <v>748</v>
      </c>
      <c r="N817" t="s">
        <v>693</v>
      </c>
      <c r="P817" t="s">
        <v>694</v>
      </c>
      <c r="Q817" t="s">
        <v>695</v>
      </c>
      <c r="R817">
        <v>17</v>
      </c>
      <c r="T817">
        <v>365</v>
      </c>
      <c r="U817" t="s">
        <v>1054</v>
      </c>
      <c r="V817" s="7">
        <v>59.990001679999999</v>
      </c>
      <c r="W817" s="7">
        <v>54.488929209402009</v>
      </c>
      <c r="X817">
        <v>1</v>
      </c>
      <c r="Y817" s="7">
        <v>3</v>
      </c>
      <c r="Z817" s="7">
        <v>59.990001679999999</v>
      </c>
      <c r="AA817" s="7">
        <f t="shared" si="50"/>
        <v>56.990001679999999</v>
      </c>
      <c r="AB817" t="s">
        <v>45</v>
      </c>
      <c r="AC817" t="str">
        <f t="shared" si="51"/>
        <v>Non-Cash Payments</v>
      </c>
    </row>
    <row r="818" spans="1:29" x14ac:dyDescent="0.25">
      <c r="A818">
        <v>24992</v>
      </c>
      <c r="B818" s="2">
        <v>42369</v>
      </c>
      <c r="C818">
        <v>4</v>
      </c>
      <c r="D818" s="2">
        <f t="shared" si="48"/>
        <v>42375</v>
      </c>
      <c r="E818">
        <v>0</v>
      </c>
      <c r="F818" t="s">
        <v>62</v>
      </c>
      <c r="G818" t="str">
        <f t="shared" si="49"/>
        <v>Other</v>
      </c>
      <c r="H818">
        <v>18</v>
      </c>
      <c r="I818">
        <v>1169</v>
      </c>
      <c r="J818">
        <v>4</v>
      </c>
      <c r="K818" t="s">
        <v>46</v>
      </c>
      <c r="L818" t="s">
        <v>683</v>
      </c>
      <c r="M818" t="s">
        <v>105</v>
      </c>
      <c r="N818" t="s">
        <v>725</v>
      </c>
      <c r="P818" t="s">
        <v>694</v>
      </c>
      <c r="Q818" t="s">
        <v>695</v>
      </c>
      <c r="R818">
        <v>18</v>
      </c>
      <c r="T818">
        <v>403</v>
      </c>
      <c r="U818" t="s">
        <v>1052</v>
      </c>
      <c r="V818" s="7">
        <v>129.9900055</v>
      </c>
      <c r="W818" s="7">
        <v>110.80340837177086</v>
      </c>
      <c r="X818">
        <v>1</v>
      </c>
      <c r="Y818" s="7">
        <v>6.5</v>
      </c>
      <c r="Z818" s="7">
        <v>129.9900055</v>
      </c>
      <c r="AA818" s="7">
        <f t="shared" si="50"/>
        <v>123.4900055</v>
      </c>
      <c r="AB818" t="s">
        <v>45</v>
      </c>
      <c r="AC818" t="str">
        <f t="shared" si="51"/>
        <v>Non-Cash Payments</v>
      </c>
    </row>
    <row r="819" spans="1:29" x14ac:dyDescent="0.25">
      <c r="A819">
        <v>30851</v>
      </c>
      <c r="B819" s="2">
        <v>42455</v>
      </c>
      <c r="C819">
        <v>4</v>
      </c>
      <c r="D819" s="2">
        <f t="shared" si="48"/>
        <v>42460</v>
      </c>
      <c r="E819">
        <v>0</v>
      </c>
      <c r="F819" t="s">
        <v>62</v>
      </c>
      <c r="G819" t="str">
        <f t="shared" si="49"/>
        <v>Other</v>
      </c>
      <c r="H819">
        <v>18</v>
      </c>
      <c r="I819">
        <v>1182</v>
      </c>
      <c r="J819">
        <v>4</v>
      </c>
      <c r="K819" t="s">
        <v>46</v>
      </c>
      <c r="L819" t="s">
        <v>683</v>
      </c>
      <c r="M819" t="s">
        <v>749</v>
      </c>
      <c r="N819" t="s">
        <v>750</v>
      </c>
      <c r="P819" t="s">
        <v>751</v>
      </c>
      <c r="Q819" t="s">
        <v>695</v>
      </c>
      <c r="R819">
        <v>18</v>
      </c>
      <c r="T819">
        <v>403</v>
      </c>
      <c r="U819" t="s">
        <v>1052</v>
      </c>
      <c r="V819" s="7">
        <v>129.9900055</v>
      </c>
      <c r="W819" s="7">
        <v>110.80340837177086</v>
      </c>
      <c r="X819">
        <v>1</v>
      </c>
      <c r="Y819" s="7">
        <v>6.5</v>
      </c>
      <c r="Z819" s="7">
        <v>129.9900055</v>
      </c>
      <c r="AA819" s="7">
        <f t="shared" si="50"/>
        <v>123.4900055</v>
      </c>
      <c r="AB819" t="s">
        <v>45</v>
      </c>
      <c r="AC819" t="str">
        <f t="shared" si="51"/>
        <v>Non-Cash Payments</v>
      </c>
    </row>
    <row r="820" spans="1:29" x14ac:dyDescent="0.25">
      <c r="A820">
        <v>25074</v>
      </c>
      <c r="B820" s="2">
        <v>42401</v>
      </c>
      <c r="C820">
        <v>4</v>
      </c>
      <c r="D820" s="2">
        <f t="shared" si="48"/>
        <v>42405</v>
      </c>
      <c r="E820">
        <v>1</v>
      </c>
      <c r="F820" t="s">
        <v>62</v>
      </c>
      <c r="G820" t="str">
        <f t="shared" si="49"/>
        <v>Other</v>
      </c>
      <c r="H820">
        <v>18</v>
      </c>
      <c r="I820">
        <v>717</v>
      </c>
      <c r="J820">
        <v>4</v>
      </c>
      <c r="K820" t="s">
        <v>46</v>
      </c>
      <c r="L820" t="s">
        <v>683</v>
      </c>
      <c r="M820" t="s">
        <v>752</v>
      </c>
      <c r="N820" t="s">
        <v>712</v>
      </c>
      <c r="P820" t="s">
        <v>694</v>
      </c>
      <c r="Q820" t="s">
        <v>695</v>
      </c>
      <c r="R820">
        <v>18</v>
      </c>
      <c r="T820">
        <v>403</v>
      </c>
      <c r="U820" t="s">
        <v>1052</v>
      </c>
      <c r="V820" s="7">
        <v>129.9900055</v>
      </c>
      <c r="W820" s="7">
        <v>110.80340837177086</v>
      </c>
      <c r="X820">
        <v>1</v>
      </c>
      <c r="Y820" s="7">
        <v>6.5</v>
      </c>
      <c r="Z820" s="7">
        <v>129.9900055</v>
      </c>
      <c r="AA820" s="7">
        <f t="shared" si="50"/>
        <v>123.4900055</v>
      </c>
      <c r="AB820" t="s">
        <v>45</v>
      </c>
      <c r="AC820" t="str">
        <f t="shared" si="51"/>
        <v>Non-Cash Payments</v>
      </c>
    </row>
    <row r="821" spans="1:29" x14ac:dyDescent="0.25">
      <c r="A821">
        <v>76870</v>
      </c>
      <c r="B821" s="2">
        <v>43127</v>
      </c>
      <c r="C821">
        <v>4</v>
      </c>
      <c r="D821" s="2">
        <f t="shared" si="48"/>
        <v>43132</v>
      </c>
      <c r="E821">
        <v>1</v>
      </c>
      <c r="F821" t="s">
        <v>62</v>
      </c>
      <c r="G821" t="str">
        <f t="shared" si="49"/>
        <v>Other</v>
      </c>
      <c r="H821">
        <v>76</v>
      </c>
      <c r="I821">
        <v>20423</v>
      </c>
      <c r="J821">
        <v>4</v>
      </c>
      <c r="K821" t="s">
        <v>46</v>
      </c>
      <c r="L821" t="s">
        <v>683</v>
      </c>
      <c r="M821" t="s">
        <v>713</v>
      </c>
      <c r="N821" t="s">
        <v>693</v>
      </c>
      <c r="P821" t="s">
        <v>694</v>
      </c>
      <c r="Q821" t="s">
        <v>695</v>
      </c>
      <c r="R821">
        <v>76</v>
      </c>
      <c r="T821">
        <v>1363</v>
      </c>
      <c r="U821" t="s">
        <v>1128</v>
      </c>
      <c r="V821" s="7">
        <v>215.82000729999999</v>
      </c>
      <c r="W821" s="7">
        <v>186.82667412499998</v>
      </c>
      <c r="X821">
        <v>1</v>
      </c>
      <c r="Y821" s="7">
        <v>10.789999959999999</v>
      </c>
      <c r="Z821" s="7">
        <v>215.82000729999999</v>
      </c>
      <c r="AA821" s="7">
        <f t="shared" si="50"/>
        <v>205.03000734</v>
      </c>
      <c r="AB821" t="s">
        <v>45</v>
      </c>
      <c r="AC821" t="str">
        <f t="shared" si="51"/>
        <v>Non-Cash Payments</v>
      </c>
    </row>
    <row r="822" spans="1:29" x14ac:dyDescent="0.25">
      <c r="A822">
        <v>25163</v>
      </c>
      <c r="B822" s="2">
        <v>42430</v>
      </c>
      <c r="C822">
        <v>4</v>
      </c>
      <c r="D822" s="2">
        <f t="shared" si="48"/>
        <v>42436</v>
      </c>
      <c r="E822">
        <v>0</v>
      </c>
      <c r="F822" t="s">
        <v>62</v>
      </c>
      <c r="G822" t="str">
        <f t="shared" si="49"/>
        <v>Other</v>
      </c>
      <c r="H822">
        <v>18</v>
      </c>
      <c r="I822">
        <v>5801</v>
      </c>
      <c r="J822">
        <v>4</v>
      </c>
      <c r="K822" t="s">
        <v>46</v>
      </c>
      <c r="L822" t="s">
        <v>683</v>
      </c>
      <c r="M822" t="s">
        <v>753</v>
      </c>
      <c r="N822" t="s">
        <v>753</v>
      </c>
      <c r="P822" t="s">
        <v>754</v>
      </c>
      <c r="Q822" t="s">
        <v>691</v>
      </c>
      <c r="R822">
        <v>18</v>
      </c>
      <c r="T822">
        <v>403</v>
      </c>
      <c r="U822" t="s">
        <v>1052</v>
      </c>
      <c r="V822" s="7">
        <v>129.9900055</v>
      </c>
      <c r="W822" s="7">
        <v>110.80340837177086</v>
      </c>
      <c r="X822">
        <v>1</v>
      </c>
      <c r="Y822" s="7">
        <v>6.5</v>
      </c>
      <c r="Z822" s="7">
        <v>129.9900055</v>
      </c>
      <c r="AA822" s="7">
        <f t="shared" si="50"/>
        <v>123.4900055</v>
      </c>
      <c r="AB822" t="s">
        <v>45</v>
      </c>
      <c r="AC822" t="str">
        <f t="shared" si="51"/>
        <v>Non-Cash Payments</v>
      </c>
    </row>
    <row r="823" spans="1:29" x14ac:dyDescent="0.25">
      <c r="A823">
        <v>28036</v>
      </c>
      <c r="B823" s="2">
        <v>42414</v>
      </c>
      <c r="C823">
        <v>4</v>
      </c>
      <c r="D823" s="2">
        <f t="shared" si="48"/>
        <v>42418</v>
      </c>
      <c r="E823">
        <v>0</v>
      </c>
      <c r="F823" t="s">
        <v>62</v>
      </c>
      <c r="G823" t="str">
        <f t="shared" si="49"/>
        <v>Other</v>
      </c>
      <c r="H823">
        <v>18</v>
      </c>
      <c r="I823">
        <v>702</v>
      </c>
      <c r="J823">
        <v>4</v>
      </c>
      <c r="K823" t="s">
        <v>46</v>
      </c>
      <c r="L823" t="s">
        <v>683</v>
      </c>
      <c r="M823" t="s">
        <v>755</v>
      </c>
      <c r="N823" t="s">
        <v>734</v>
      </c>
      <c r="P823" t="s">
        <v>690</v>
      </c>
      <c r="Q823" t="s">
        <v>691</v>
      </c>
      <c r="R823">
        <v>18</v>
      </c>
      <c r="T823">
        <v>403</v>
      </c>
      <c r="U823" t="s">
        <v>1052</v>
      </c>
      <c r="V823" s="7">
        <v>129.9900055</v>
      </c>
      <c r="W823" s="7">
        <v>110.80340837177086</v>
      </c>
      <c r="X823">
        <v>1</v>
      </c>
      <c r="Y823" s="7">
        <v>6.5</v>
      </c>
      <c r="Z823" s="7">
        <v>129.9900055</v>
      </c>
      <c r="AA823" s="7">
        <f t="shared" si="50"/>
        <v>123.4900055</v>
      </c>
      <c r="AB823" t="s">
        <v>45</v>
      </c>
      <c r="AC823" t="str">
        <f t="shared" si="51"/>
        <v>Non-Cash Payments</v>
      </c>
    </row>
    <row r="824" spans="1:29" x14ac:dyDescent="0.25">
      <c r="A824">
        <v>22679</v>
      </c>
      <c r="B824" s="2">
        <v>42336</v>
      </c>
      <c r="C824">
        <v>4</v>
      </c>
      <c r="D824" s="2">
        <f t="shared" si="48"/>
        <v>42341</v>
      </c>
      <c r="E824">
        <v>1</v>
      </c>
      <c r="F824" t="s">
        <v>62</v>
      </c>
      <c r="G824" t="str">
        <f t="shared" si="49"/>
        <v>Other</v>
      </c>
      <c r="H824">
        <v>18</v>
      </c>
      <c r="I824">
        <v>6951</v>
      </c>
      <c r="J824">
        <v>4</v>
      </c>
      <c r="K824" t="s">
        <v>46</v>
      </c>
      <c r="L824" t="s">
        <v>683</v>
      </c>
      <c r="M824" t="s">
        <v>756</v>
      </c>
      <c r="N824" t="s">
        <v>756</v>
      </c>
      <c r="P824" t="s">
        <v>757</v>
      </c>
      <c r="Q824" t="s">
        <v>687</v>
      </c>
      <c r="R824">
        <v>18</v>
      </c>
      <c r="T824">
        <v>403</v>
      </c>
      <c r="U824" t="s">
        <v>1052</v>
      </c>
      <c r="V824" s="7">
        <v>129.9900055</v>
      </c>
      <c r="W824" s="7">
        <v>110.80340837177086</v>
      </c>
      <c r="X824">
        <v>1</v>
      </c>
      <c r="Y824" s="7">
        <v>6.5</v>
      </c>
      <c r="Z824" s="7">
        <v>129.9900055</v>
      </c>
      <c r="AA824" s="7">
        <f t="shared" si="50"/>
        <v>123.4900055</v>
      </c>
      <c r="AB824" t="s">
        <v>45</v>
      </c>
      <c r="AC824" t="str">
        <f t="shared" si="51"/>
        <v>Non-Cash Payments</v>
      </c>
    </row>
    <row r="825" spans="1:29" x14ac:dyDescent="0.25">
      <c r="A825">
        <v>23610</v>
      </c>
      <c r="B825" s="2">
        <v>42320</v>
      </c>
      <c r="C825">
        <v>4</v>
      </c>
      <c r="D825" s="2">
        <f t="shared" si="48"/>
        <v>42326</v>
      </c>
      <c r="E825">
        <v>1</v>
      </c>
      <c r="F825" t="s">
        <v>62</v>
      </c>
      <c r="G825" t="str">
        <f t="shared" si="49"/>
        <v>Other</v>
      </c>
      <c r="H825">
        <v>18</v>
      </c>
      <c r="I825">
        <v>6780</v>
      </c>
      <c r="J825">
        <v>4</v>
      </c>
      <c r="K825" t="s">
        <v>46</v>
      </c>
      <c r="L825" t="s">
        <v>683</v>
      </c>
      <c r="M825" t="s">
        <v>756</v>
      </c>
      <c r="N825" t="s">
        <v>756</v>
      </c>
      <c r="P825" t="s">
        <v>757</v>
      </c>
      <c r="Q825" t="s">
        <v>687</v>
      </c>
      <c r="R825">
        <v>18</v>
      </c>
      <c r="T825">
        <v>403</v>
      </c>
      <c r="U825" t="s">
        <v>1052</v>
      </c>
      <c r="V825" s="7">
        <v>129.9900055</v>
      </c>
      <c r="W825" s="7">
        <v>110.80340837177086</v>
      </c>
      <c r="X825">
        <v>1</v>
      </c>
      <c r="Y825" s="7">
        <v>6.5</v>
      </c>
      <c r="Z825" s="7">
        <v>129.9900055</v>
      </c>
      <c r="AA825" s="7">
        <f t="shared" si="50"/>
        <v>123.4900055</v>
      </c>
      <c r="AB825" t="s">
        <v>45</v>
      </c>
      <c r="AC825" t="str">
        <f t="shared" si="51"/>
        <v>Non-Cash Payments</v>
      </c>
    </row>
    <row r="826" spans="1:29" x14ac:dyDescent="0.25">
      <c r="A826">
        <v>42828</v>
      </c>
      <c r="B826" s="2">
        <v>42630</v>
      </c>
      <c r="C826">
        <v>4</v>
      </c>
      <c r="D826" s="2">
        <f t="shared" si="48"/>
        <v>42635</v>
      </c>
      <c r="E826">
        <v>0</v>
      </c>
      <c r="F826" t="s">
        <v>62</v>
      </c>
      <c r="G826" t="str">
        <f t="shared" si="49"/>
        <v>Other</v>
      </c>
      <c r="H826">
        <v>17</v>
      </c>
      <c r="I826">
        <v>6422</v>
      </c>
      <c r="J826">
        <v>4</v>
      </c>
      <c r="K826" t="s">
        <v>46</v>
      </c>
      <c r="L826" t="s">
        <v>683</v>
      </c>
      <c r="M826" t="s">
        <v>758</v>
      </c>
      <c r="N826" t="s">
        <v>758</v>
      </c>
      <c r="P826" t="s">
        <v>759</v>
      </c>
      <c r="Q826" t="s">
        <v>737</v>
      </c>
      <c r="R826">
        <v>17</v>
      </c>
      <c r="T826">
        <v>365</v>
      </c>
      <c r="U826" t="s">
        <v>1054</v>
      </c>
      <c r="V826" s="7">
        <v>59.990001679999999</v>
      </c>
      <c r="W826" s="7">
        <v>54.488929209402009</v>
      </c>
      <c r="X826">
        <v>1</v>
      </c>
      <c r="Y826" s="7">
        <v>3</v>
      </c>
      <c r="Z826" s="7">
        <v>59.990001679999999</v>
      </c>
      <c r="AA826" s="7">
        <f t="shared" si="50"/>
        <v>56.990001679999999</v>
      </c>
      <c r="AB826" t="s">
        <v>45</v>
      </c>
      <c r="AC826" t="str">
        <f t="shared" si="51"/>
        <v>Non-Cash Payments</v>
      </c>
    </row>
    <row r="827" spans="1:29" x14ac:dyDescent="0.25">
      <c r="A827">
        <v>41896</v>
      </c>
      <c r="B827" s="2">
        <v>42438</v>
      </c>
      <c r="C827">
        <v>4</v>
      </c>
      <c r="D827" s="2">
        <f t="shared" si="48"/>
        <v>42444</v>
      </c>
      <c r="E827">
        <v>0</v>
      </c>
      <c r="F827" t="s">
        <v>62</v>
      </c>
      <c r="G827" t="str">
        <f t="shared" si="49"/>
        <v>Other</v>
      </c>
      <c r="H827">
        <v>18</v>
      </c>
      <c r="I827">
        <v>289</v>
      </c>
      <c r="J827">
        <v>4</v>
      </c>
      <c r="K827" t="s">
        <v>46</v>
      </c>
      <c r="L827" t="s">
        <v>683</v>
      </c>
      <c r="M827" t="s">
        <v>746</v>
      </c>
      <c r="N827" t="s">
        <v>746</v>
      </c>
      <c r="P827" t="s">
        <v>747</v>
      </c>
      <c r="Q827" t="s">
        <v>737</v>
      </c>
      <c r="R827">
        <v>18</v>
      </c>
      <c r="T827">
        <v>403</v>
      </c>
      <c r="U827" t="s">
        <v>1052</v>
      </c>
      <c r="V827" s="7">
        <v>129.9900055</v>
      </c>
      <c r="W827" s="7">
        <v>110.80340837177086</v>
      </c>
      <c r="X827">
        <v>1</v>
      </c>
      <c r="Y827" s="7">
        <v>6.5</v>
      </c>
      <c r="Z827" s="7">
        <v>129.9900055</v>
      </c>
      <c r="AA827" s="7">
        <f t="shared" si="50"/>
        <v>123.4900055</v>
      </c>
      <c r="AB827" t="s">
        <v>45</v>
      </c>
      <c r="AC827" t="str">
        <f t="shared" si="51"/>
        <v>Non-Cash Payments</v>
      </c>
    </row>
    <row r="828" spans="1:29" x14ac:dyDescent="0.25">
      <c r="A828">
        <v>48713</v>
      </c>
      <c r="B828" s="2">
        <v>42716</v>
      </c>
      <c r="C828">
        <v>4</v>
      </c>
      <c r="D828" s="2">
        <f t="shared" si="48"/>
        <v>42720</v>
      </c>
      <c r="E828">
        <v>0</v>
      </c>
      <c r="F828" t="s">
        <v>62</v>
      </c>
      <c r="G828" t="str">
        <f t="shared" si="49"/>
        <v>Other</v>
      </c>
      <c r="H828">
        <v>18</v>
      </c>
      <c r="I828">
        <v>5384</v>
      </c>
      <c r="J828">
        <v>4</v>
      </c>
      <c r="K828" t="s">
        <v>46</v>
      </c>
      <c r="L828" t="s">
        <v>683</v>
      </c>
      <c r="M828" t="s">
        <v>760</v>
      </c>
      <c r="N828" t="s">
        <v>760</v>
      </c>
      <c r="P828" t="s">
        <v>736</v>
      </c>
      <c r="Q828" t="s">
        <v>737</v>
      </c>
      <c r="R828">
        <v>18</v>
      </c>
      <c r="T828">
        <v>403</v>
      </c>
      <c r="U828" t="s">
        <v>1052</v>
      </c>
      <c r="V828" s="7">
        <v>129.9900055</v>
      </c>
      <c r="W828" s="7">
        <v>110.80340837177086</v>
      </c>
      <c r="X828">
        <v>1</v>
      </c>
      <c r="Y828" s="7">
        <v>6.5</v>
      </c>
      <c r="Z828" s="7">
        <v>129.9900055</v>
      </c>
      <c r="AA828" s="7">
        <f t="shared" si="50"/>
        <v>123.4900055</v>
      </c>
      <c r="AB828" t="s">
        <v>45</v>
      </c>
      <c r="AC828" t="str">
        <f t="shared" si="51"/>
        <v>Non-Cash Payments</v>
      </c>
    </row>
    <row r="829" spans="1:29" x14ac:dyDescent="0.25">
      <c r="A829">
        <v>45668</v>
      </c>
      <c r="B829" s="2">
        <v>42671</v>
      </c>
      <c r="C829">
        <v>4</v>
      </c>
      <c r="D829" s="2">
        <f t="shared" si="48"/>
        <v>42677</v>
      </c>
      <c r="E829">
        <v>0</v>
      </c>
      <c r="F829" t="s">
        <v>62</v>
      </c>
      <c r="G829" t="str">
        <f t="shared" si="49"/>
        <v>Other</v>
      </c>
      <c r="H829">
        <v>18</v>
      </c>
      <c r="I829">
        <v>2985</v>
      </c>
      <c r="J829">
        <v>4</v>
      </c>
      <c r="K829" t="s">
        <v>46</v>
      </c>
      <c r="L829" t="s">
        <v>683</v>
      </c>
      <c r="M829" t="s">
        <v>761</v>
      </c>
      <c r="N829" t="s">
        <v>761</v>
      </c>
      <c r="P829" t="s">
        <v>762</v>
      </c>
      <c r="Q829" t="s">
        <v>737</v>
      </c>
      <c r="R829">
        <v>18</v>
      </c>
      <c r="T829">
        <v>403</v>
      </c>
      <c r="U829" t="s">
        <v>1052</v>
      </c>
      <c r="V829" s="7">
        <v>129.9900055</v>
      </c>
      <c r="W829" s="7">
        <v>110.80340837177086</v>
      </c>
      <c r="X829">
        <v>1</v>
      </c>
      <c r="Y829" s="7">
        <v>6.5</v>
      </c>
      <c r="Z829" s="7">
        <v>129.9900055</v>
      </c>
      <c r="AA829" s="7">
        <f t="shared" si="50"/>
        <v>123.4900055</v>
      </c>
      <c r="AB829" t="s">
        <v>45</v>
      </c>
      <c r="AC829" t="str">
        <f t="shared" si="51"/>
        <v>Non-Cash Payments</v>
      </c>
    </row>
    <row r="830" spans="1:29" x14ac:dyDescent="0.25">
      <c r="A830">
        <v>74796</v>
      </c>
      <c r="B830" s="2">
        <v>43096</v>
      </c>
      <c r="C830">
        <v>4</v>
      </c>
      <c r="D830" s="2">
        <f t="shared" si="48"/>
        <v>43102</v>
      </c>
      <c r="E830">
        <v>0</v>
      </c>
      <c r="F830" t="s">
        <v>62</v>
      </c>
      <c r="G830" t="str">
        <f t="shared" si="49"/>
        <v>Other</v>
      </c>
      <c r="H830">
        <v>66</v>
      </c>
      <c r="I830">
        <v>18349</v>
      </c>
      <c r="J830">
        <v>4</v>
      </c>
      <c r="K830" t="s">
        <v>46</v>
      </c>
      <c r="L830" t="s">
        <v>683</v>
      </c>
      <c r="M830" t="s">
        <v>763</v>
      </c>
      <c r="N830" t="s">
        <v>698</v>
      </c>
      <c r="P830" t="s">
        <v>699</v>
      </c>
      <c r="Q830" t="s">
        <v>700</v>
      </c>
      <c r="R830">
        <v>66</v>
      </c>
      <c r="T830">
        <v>1353</v>
      </c>
      <c r="U830" t="s">
        <v>1114</v>
      </c>
      <c r="V830" s="7">
        <v>461.48001099999999</v>
      </c>
      <c r="W830" s="7">
        <v>376.77167767999998</v>
      </c>
      <c r="X830">
        <v>1</v>
      </c>
      <c r="Y830" s="7">
        <v>25.379999160000001</v>
      </c>
      <c r="Z830" s="7">
        <v>461.48001099999999</v>
      </c>
      <c r="AA830" s="7">
        <f t="shared" si="50"/>
        <v>436.10001183999998</v>
      </c>
      <c r="AB830" t="s">
        <v>45</v>
      </c>
      <c r="AC830" t="str">
        <f t="shared" si="51"/>
        <v>Non-Cash Payments</v>
      </c>
    </row>
    <row r="831" spans="1:29" x14ac:dyDescent="0.25">
      <c r="A831">
        <v>27918</v>
      </c>
      <c r="B831" s="2">
        <v>42706</v>
      </c>
      <c r="C831">
        <v>4</v>
      </c>
      <c r="D831" s="2">
        <f t="shared" si="48"/>
        <v>42712</v>
      </c>
      <c r="E831">
        <v>0</v>
      </c>
      <c r="F831" t="s">
        <v>62</v>
      </c>
      <c r="G831" t="str">
        <f t="shared" si="49"/>
        <v>Other</v>
      </c>
      <c r="H831">
        <v>18</v>
      </c>
      <c r="I831">
        <v>11286</v>
      </c>
      <c r="J831">
        <v>4</v>
      </c>
      <c r="K831" t="s">
        <v>46</v>
      </c>
      <c r="L831" t="s">
        <v>683</v>
      </c>
      <c r="M831" t="s">
        <v>764</v>
      </c>
      <c r="N831" t="s">
        <v>764</v>
      </c>
      <c r="P831" t="s">
        <v>699</v>
      </c>
      <c r="Q831" t="s">
        <v>700</v>
      </c>
      <c r="R831">
        <v>18</v>
      </c>
      <c r="T831">
        <v>403</v>
      </c>
      <c r="U831" t="s">
        <v>1052</v>
      </c>
      <c r="V831" s="7">
        <v>129.9900055</v>
      </c>
      <c r="W831" s="7">
        <v>110.80340837177086</v>
      </c>
      <c r="X831">
        <v>1</v>
      </c>
      <c r="Y831" s="7">
        <v>7.1500000950000002</v>
      </c>
      <c r="Z831" s="7">
        <v>129.9900055</v>
      </c>
      <c r="AA831" s="7">
        <f t="shared" si="50"/>
        <v>122.840005405</v>
      </c>
      <c r="AB831" t="s">
        <v>45</v>
      </c>
      <c r="AC831" t="str">
        <f t="shared" si="51"/>
        <v>Non-Cash Payments</v>
      </c>
    </row>
    <row r="832" spans="1:29" x14ac:dyDescent="0.25">
      <c r="A832">
        <v>30097</v>
      </c>
      <c r="B832" s="2">
        <v>42444</v>
      </c>
      <c r="C832">
        <v>4</v>
      </c>
      <c r="D832" s="2">
        <f t="shared" si="48"/>
        <v>42450</v>
      </c>
      <c r="E832">
        <v>0</v>
      </c>
      <c r="F832" t="s">
        <v>62</v>
      </c>
      <c r="G832" t="str">
        <f t="shared" si="49"/>
        <v>Other</v>
      </c>
      <c r="H832">
        <v>17</v>
      </c>
      <c r="I832">
        <v>489</v>
      </c>
      <c r="J832">
        <v>4</v>
      </c>
      <c r="K832" t="s">
        <v>46</v>
      </c>
      <c r="L832" t="s">
        <v>683</v>
      </c>
      <c r="M832" t="s">
        <v>765</v>
      </c>
      <c r="N832" t="s">
        <v>715</v>
      </c>
      <c r="P832" t="s">
        <v>694</v>
      </c>
      <c r="Q832" t="s">
        <v>695</v>
      </c>
      <c r="R832">
        <v>17</v>
      </c>
      <c r="T832">
        <v>365</v>
      </c>
      <c r="U832" t="s">
        <v>1054</v>
      </c>
      <c r="V832" s="7">
        <v>59.990001679999999</v>
      </c>
      <c r="W832" s="7">
        <v>54.488929209402009</v>
      </c>
      <c r="X832">
        <v>1</v>
      </c>
      <c r="Y832" s="7">
        <v>3.2999999519999998</v>
      </c>
      <c r="Z832" s="7">
        <v>59.990001679999999</v>
      </c>
      <c r="AA832" s="7">
        <f t="shared" si="50"/>
        <v>56.690001727999999</v>
      </c>
      <c r="AB832" t="s">
        <v>45</v>
      </c>
      <c r="AC832" t="str">
        <f t="shared" si="51"/>
        <v>Non-Cash Payments</v>
      </c>
    </row>
    <row r="833" spans="1:29" x14ac:dyDescent="0.25">
      <c r="A833">
        <v>30966</v>
      </c>
      <c r="B833" s="2">
        <v>42457</v>
      </c>
      <c r="C833">
        <v>4</v>
      </c>
      <c r="D833" s="2">
        <f t="shared" si="48"/>
        <v>42461</v>
      </c>
      <c r="E833">
        <v>0</v>
      </c>
      <c r="F833" t="s">
        <v>62</v>
      </c>
      <c r="G833" t="str">
        <f t="shared" si="49"/>
        <v>Other</v>
      </c>
      <c r="H833">
        <v>18</v>
      </c>
      <c r="I833">
        <v>4510</v>
      </c>
      <c r="J833">
        <v>4</v>
      </c>
      <c r="K833" t="s">
        <v>46</v>
      </c>
      <c r="L833" t="s">
        <v>683</v>
      </c>
      <c r="M833" t="s">
        <v>766</v>
      </c>
      <c r="N833" t="s">
        <v>767</v>
      </c>
      <c r="P833" t="s">
        <v>751</v>
      </c>
      <c r="Q833" t="s">
        <v>695</v>
      </c>
      <c r="R833">
        <v>18</v>
      </c>
      <c r="T833">
        <v>403</v>
      </c>
      <c r="U833" t="s">
        <v>1052</v>
      </c>
      <c r="V833" s="7">
        <v>129.9900055</v>
      </c>
      <c r="W833" s="7">
        <v>110.80340837177086</v>
      </c>
      <c r="X833">
        <v>1</v>
      </c>
      <c r="Y833" s="7">
        <v>7.1500000950000002</v>
      </c>
      <c r="Z833" s="7">
        <v>129.9900055</v>
      </c>
      <c r="AA833" s="7">
        <f t="shared" si="50"/>
        <v>122.840005405</v>
      </c>
      <c r="AB833" t="s">
        <v>45</v>
      </c>
      <c r="AC833" t="str">
        <f t="shared" si="51"/>
        <v>Non-Cash Payments</v>
      </c>
    </row>
    <row r="834" spans="1:29" x14ac:dyDescent="0.25">
      <c r="A834">
        <v>30063</v>
      </c>
      <c r="B834" s="2">
        <v>42443</v>
      </c>
      <c r="C834">
        <v>4</v>
      </c>
      <c r="D834" s="2">
        <f t="shared" si="48"/>
        <v>42447</v>
      </c>
      <c r="E834">
        <v>0</v>
      </c>
      <c r="F834" t="s">
        <v>62</v>
      </c>
      <c r="G834" t="str">
        <f t="shared" si="49"/>
        <v>Other</v>
      </c>
      <c r="H834">
        <v>18</v>
      </c>
      <c r="I834">
        <v>9626</v>
      </c>
      <c r="J834">
        <v>4</v>
      </c>
      <c r="K834" t="s">
        <v>46</v>
      </c>
      <c r="L834" t="s">
        <v>683</v>
      </c>
      <c r="M834" t="s">
        <v>768</v>
      </c>
      <c r="N834" t="s">
        <v>712</v>
      </c>
      <c r="P834" t="s">
        <v>694</v>
      </c>
      <c r="Q834" t="s">
        <v>695</v>
      </c>
      <c r="R834">
        <v>18</v>
      </c>
      <c r="T834">
        <v>403</v>
      </c>
      <c r="U834" t="s">
        <v>1052</v>
      </c>
      <c r="V834" s="7">
        <v>129.9900055</v>
      </c>
      <c r="W834" s="7">
        <v>110.80340837177086</v>
      </c>
      <c r="X834">
        <v>1</v>
      </c>
      <c r="Y834" s="7">
        <v>7.1500000950000002</v>
      </c>
      <c r="Z834" s="7">
        <v>129.9900055</v>
      </c>
      <c r="AA834" s="7">
        <f t="shared" si="50"/>
        <v>122.840005405</v>
      </c>
      <c r="AB834" t="s">
        <v>45</v>
      </c>
      <c r="AC834" t="str">
        <f t="shared" si="51"/>
        <v>Non-Cash Payments</v>
      </c>
    </row>
    <row r="835" spans="1:29" x14ac:dyDescent="0.25">
      <c r="A835">
        <v>22019</v>
      </c>
      <c r="B835" s="2">
        <v>42326</v>
      </c>
      <c r="C835">
        <v>4</v>
      </c>
      <c r="D835" s="2">
        <f t="shared" ref="D835:D898" si="52">WORKDAY(B835,C835)</f>
        <v>42332</v>
      </c>
      <c r="E835">
        <v>1</v>
      </c>
      <c r="F835" t="s">
        <v>62</v>
      </c>
      <c r="G835" t="str">
        <f t="shared" ref="G835:G898" si="53">IF(AND(E835=0,F835="Same Day"),"Same Day - On Time","Other")</f>
        <v>Other</v>
      </c>
      <c r="H835">
        <v>18</v>
      </c>
      <c r="I835">
        <v>9494</v>
      </c>
      <c r="J835">
        <v>4</v>
      </c>
      <c r="K835" t="s">
        <v>46</v>
      </c>
      <c r="L835" t="s">
        <v>683</v>
      </c>
      <c r="M835" t="s">
        <v>769</v>
      </c>
      <c r="N835" t="s">
        <v>706</v>
      </c>
      <c r="P835" t="s">
        <v>690</v>
      </c>
      <c r="Q835" t="s">
        <v>691</v>
      </c>
      <c r="R835">
        <v>18</v>
      </c>
      <c r="T835">
        <v>403</v>
      </c>
      <c r="U835" t="s">
        <v>1052</v>
      </c>
      <c r="V835" s="7">
        <v>129.9900055</v>
      </c>
      <c r="W835" s="7">
        <v>110.80340837177086</v>
      </c>
      <c r="X835">
        <v>1</v>
      </c>
      <c r="Y835" s="7">
        <v>7.1500000950000002</v>
      </c>
      <c r="Z835" s="7">
        <v>129.9900055</v>
      </c>
      <c r="AA835" s="7">
        <f t="shared" ref="AA835:AA898" si="54">Z835-Y835</f>
        <v>122.840005405</v>
      </c>
      <c r="AB835" t="s">
        <v>45</v>
      </c>
      <c r="AC835" t="str">
        <f t="shared" ref="AC835:AC898" si="55">IF(AND(AA835&gt;200,AB835="CASH"),"Cash Over 200",IF(AB835="CASH","Cash Not Over 200","Non-Cash Payments"))</f>
        <v>Non-Cash Payments</v>
      </c>
    </row>
    <row r="836" spans="1:29" x14ac:dyDescent="0.25">
      <c r="A836">
        <v>24230</v>
      </c>
      <c r="B836" s="2">
        <v>42358</v>
      </c>
      <c r="C836">
        <v>4</v>
      </c>
      <c r="D836" s="2">
        <f t="shared" si="52"/>
        <v>42362</v>
      </c>
      <c r="E836">
        <v>1</v>
      </c>
      <c r="F836" t="s">
        <v>62</v>
      </c>
      <c r="G836" t="str">
        <f t="shared" si="53"/>
        <v>Other</v>
      </c>
      <c r="H836">
        <v>18</v>
      </c>
      <c r="I836">
        <v>1718</v>
      </c>
      <c r="J836">
        <v>4</v>
      </c>
      <c r="K836" t="s">
        <v>46</v>
      </c>
      <c r="L836" t="s">
        <v>683</v>
      </c>
      <c r="M836" t="s">
        <v>770</v>
      </c>
      <c r="N836" t="s">
        <v>771</v>
      </c>
      <c r="P836" t="s">
        <v>772</v>
      </c>
      <c r="Q836" t="s">
        <v>687</v>
      </c>
      <c r="R836">
        <v>18</v>
      </c>
      <c r="T836">
        <v>403</v>
      </c>
      <c r="U836" t="s">
        <v>1052</v>
      </c>
      <c r="V836" s="7">
        <v>129.9900055</v>
      </c>
      <c r="W836" s="7">
        <v>110.80340837177086</v>
      </c>
      <c r="X836">
        <v>1</v>
      </c>
      <c r="Y836" s="7">
        <v>7.1500000950000002</v>
      </c>
      <c r="Z836" s="7">
        <v>129.9900055</v>
      </c>
      <c r="AA836" s="7">
        <f t="shared" si="54"/>
        <v>122.840005405</v>
      </c>
      <c r="AB836" t="s">
        <v>45</v>
      </c>
      <c r="AC836" t="str">
        <f t="shared" si="55"/>
        <v>Non-Cash Payments</v>
      </c>
    </row>
    <row r="837" spans="1:29" x14ac:dyDescent="0.25">
      <c r="A837">
        <v>48713</v>
      </c>
      <c r="B837" s="2">
        <v>42716</v>
      </c>
      <c r="C837">
        <v>4</v>
      </c>
      <c r="D837" s="2">
        <f t="shared" si="52"/>
        <v>42720</v>
      </c>
      <c r="E837">
        <v>0</v>
      </c>
      <c r="F837" t="s">
        <v>62</v>
      </c>
      <c r="G837" t="str">
        <f t="shared" si="53"/>
        <v>Other</v>
      </c>
      <c r="H837">
        <v>18</v>
      </c>
      <c r="I837">
        <v>5384</v>
      </c>
      <c r="J837">
        <v>4</v>
      </c>
      <c r="K837" t="s">
        <v>46</v>
      </c>
      <c r="L837" t="s">
        <v>683</v>
      </c>
      <c r="M837" t="s">
        <v>760</v>
      </c>
      <c r="N837" t="s">
        <v>760</v>
      </c>
      <c r="P837" t="s">
        <v>736</v>
      </c>
      <c r="Q837" t="s">
        <v>737</v>
      </c>
      <c r="R837">
        <v>18</v>
      </c>
      <c r="T837">
        <v>403</v>
      </c>
      <c r="U837" t="s">
        <v>1052</v>
      </c>
      <c r="V837" s="7">
        <v>129.9900055</v>
      </c>
      <c r="W837" s="7">
        <v>110.80340837177086</v>
      </c>
      <c r="X837">
        <v>1</v>
      </c>
      <c r="Y837" s="7">
        <v>7.1500000950000002</v>
      </c>
      <c r="Z837" s="7">
        <v>129.9900055</v>
      </c>
      <c r="AA837" s="7">
        <f t="shared" si="54"/>
        <v>122.840005405</v>
      </c>
      <c r="AB837" t="s">
        <v>45</v>
      </c>
      <c r="AC837" t="str">
        <f t="shared" si="55"/>
        <v>Non-Cash Payments</v>
      </c>
    </row>
    <row r="838" spans="1:29" x14ac:dyDescent="0.25">
      <c r="A838">
        <v>42353</v>
      </c>
      <c r="B838" s="2">
        <v>42652</v>
      </c>
      <c r="C838">
        <v>4</v>
      </c>
      <c r="D838" s="2">
        <f t="shared" si="52"/>
        <v>42656</v>
      </c>
      <c r="E838">
        <v>0</v>
      </c>
      <c r="F838" t="s">
        <v>62</v>
      </c>
      <c r="G838" t="str">
        <f t="shared" si="53"/>
        <v>Other</v>
      </c>
      <c r="H838">
        <v>18</v>
      </c>
      <c r="I838">
        <v>5295</v>
      </c>
      <c r="J838">
        <v>4</v>
      </c>
      <c r="K838" t="s">
        <v>46</v>
      </c>
      <c r="L838" t="s">
        <v>683</v>
      </c>
      <c r="M838" t="s">
        <v>773</v>
      </c>
      <c r="N838" t="s">
        <v>773</v>
      </c>
      <c r="P838" t="s">
        <v>736</v>
      </c>
      <c r="Q838" t="s">
        <v>737</v>
      </c>
      <c r="R838">
        <v>18</v>
      </c>
      <c r="T838">
        <v>403</v>
      </c>
      <c r="U838" t="s">
        <v>1052</v>
      </c>
      <c r="V838" s="7">
        <v>129.9900055</v>
      </c>
      <c r="W838" s="7">
        <v>110.80340837177086</v>
      </c>
      <c r="X838">
        <v>1</v>
      </c>
      <c r="Y838" s="7">
        <v>7.1500000950000002</v>
      </c>
      <c r="Z838" s="7">
        <v>129.9900055</v>
      </c>
      <c r="AA838" s="7">
        <f t="shared" si="54"/>
        <v>122.840005405</v>
      </c>
      <c r="AB838" t="s">
        <v>45</v>
      </c>
      <c r="AC838" t="str">
        <f t="shared" si="55"/>
        <v>Non-Cash Payments</v>
      </c>
    </row>
    <row r="839" spans="1:29" x14ac:dyDescent="0.25">
      <c r="A839">
        <v>45668</v>
      </c>
      <c r="B839" s="2">
        <v>42671</v>
      </c>
      <c r="C839">
        <v>4</v>
      </c>
      <c r="D839" s="2">
        <f t="shared" si="52"/>
        <v>42677</v>
      </c>
      <c r="E839">
        <v>0</v>
      </c>
      <c r="F839" t="s">
        <v>62</v>
      </c>
      <c r="G839" t="str">
        <f t="shared" si="53"/>
        <v>Other</v>
      </c>
      <c r="H839">
        <v>18</v>
      </c>
      <c r="I839">
        <v>2985</v>
      </c>
      <c r="J839">
        <v>4</v>
      </c>
      <c r="K839" t="s">
        <v>46</v>
      </c>
      <c r="L839" t="s">
        <v>683</v>
      </c>
      <c r="M839" t="s">
        <v>761</v>
      </c>
      <c r="N839" t="s">
        <v>761</v>
      </c>
      <c r="P839" t="s">
        <v>762</v>
      </c>
      <c r="Q839" t="s">
        <v>737</v>
      </c>
      <c r="R839">
        <v>18</v>
      </c>
      <c r="T839">
        <v>403</v>
      </c>
      <c r="U839" t="s">
        <v>1052</v>
      </c>
      <c r="V839" s="7">
        <v>129.9900055</v>
      </c>
      <c r="W839" s="7">
        <v>110.80340837177086</v>
      </c>
      <c r="X839">
        <v>1</v>
      </c>
      <c r="Y839" s="7">
        <v>7.1500000950000002</v>
      </c>
      <c r="Z839" s="7">
        <v>129.9900055</v>
      </c>
      <c r="AA839" s="7">
        <f t="shared" si="54"/>
        <v>122.840005405</v>
      </c>
      <c r="AB839" t="s">
        <v>45</v>
      </c>
      <c r="AC839" t="str">
        <f t="shared" si="55"/>
        <v>Non-Cash Payments</v>
      </c>
    </row>
    <row r="840" spans="1:29" x14ac:dyDescent="0.25">
      <c r="A840">
        <v>42134</v>
      </c>
      <c r="B840" s="2">
        <v>42560</v>
      </c>
      <c r="C840">
        <v>4</v>
      </c>
      <c r="D840" s="2">
        <f t="shared" si="52"/>
        <v>42565</v>
      </c>
      <c r="E840">
        <v>1</v>
      </c>
      <c r="F840" t="s">
        <v>62</v>
      </c>
      <c r="G840" t="str">
        <f t="shared" si="53"/>
        <v>Other</v>
      </c>
      <c r="H840">
        <v>18</v>
      </c>
      <c r="I840">
        <v>3984</v>
      </c>
      <c r="J840">
        <v>4</v>
      </c>
      <c r="K840" t="s">
        <v>46</v>
      </c>
      <c r="L840" t="s">
        <v>683</v>
      </c>
      <c r="M840" t="s">
        <v>774</v>
      </c>
      <c r="N840" t="s">
        <v>775</v>
      </c>
      <c r="P840" t="s">
        <v>776</v>
      </c>
      <c r="Q840" t="s">
        <v>777</v>
      </c>
      <c r="R840">
        <v>18</v>
      </c>
      <c r="T840">
        <v>403</v>
      </c>
      <c r="U840" t="s">
        <v>1052</v>
      </c>
      <c r="V840" s="7">
        <v>129.9900055</v>
      </c>
      <c r="W840" s="7">
        <v>110.80340837177086</v>
      </c>
      <c r="X840">
        <v>1</v>
      </c>
      <c r="Y840" s="7">
        <v>9.1000003809999992</v>
      </c>
      <c r="Z840" s="7">
        <v>129.9900055</v>
      </c>
      <c r="AA840" s="7">
        <f t="shared" si="54"/>
        <v>120.89000511899999</v>
      </c>
      <c r="AB840" t="s">
        <v>45</v>
      </c>
      <c r="AC840" t="str">
        <f t="shared" si="55"/>
        <v>Non-Cash Payments</v>
      </c>
    </row>
    <row r="841" spans="1:29" x14ac:dyDescent="0.25">
      <c r="A841">
        <v>21522</v>
      </c>
      <c r="B841" s="2">
        <v>42319</v>
      </c>
      <c r="C841">
        <v>4</v>
      </c>
      <c r="D841" s="2">
        <f t="shared" si="52"/>
        <v>42325</v>
      </c>
      <c r="E841">
        <v>0</v>
      </c>
      <c r="F841" t="s">
        <v>62</v>
      </c>
      <c r="G841" t="str">
        <f t="shared" si="53"/>
        <v>Other</v>
      </c>
      <c r="H841">
        <v>18</v>
      </c>
      <c r="I841">
        <v>5270</v>
      </c>
      <c r="J841">
        <v>4</v>
      </c>
      <c r="K841" t="s">
        <v>46</v>
      </c>
      <c r="L841" t="s">
        <v>683</v>
      </c>
      <c r="M841" t="s">
        <v>778</v>
      </c>
      <c r="N841" t="s">
        <v>779</v>
      </c>
      <c r="P841" t="s">
        <v>699</v>
      </c>
      <c r="Q841" t="s">
        <v>700</v>
      </c>
      <c r="R841">
        <v>18</v>
      </c>
      <c r="T841">
        <v>403</v>
      </c>
      <c r="U841" t="s">
        <v>1052</v>
      </c>
      <c r="V841" s="7">
        <v>129.9900055</v>
      </c>
      <c r="W841" s="7">
        <v>110.80340837177086</v>
      </c>
      <c r="X841">
        <v>1</v>
      </c>
      <c r="Y841" s="7">
        <v>9.1000003809999992</v>
      </c>
      <c r="Z841" s="7">
        <v>129.9900055</v>
      </c>
      <c r="AA841" s="7">
        <f t="shared" si="54"/>
        <v>120.89000511899999</v>
      </c>
      <c r="AB841" t="s">
        <v>45</v>
      </c>
      <c r="AC841" t="str">
        <f t="shared" si="55"/>
        <v>Non-Cash Payments</v>
      </c>
    </row>
    <row r="842" spans="1:29" x14ac:dyDescent="0.25">
      <c r="A842">
        <v>23767</v>
      </c>
      <c r="B842" s="2">
        <v>42351</v>
      </c>
      <c r="C842">
        <v>4</v>
      </c>
      <c r="D842" s="2">
        <f t="shared" si="52"/>
        <v>42355</v>
      </c>
      <c r="E842">
        <v>0</v>
      </c>
      <c r="F842" t="s">
        <v>62</v>
      </c>
      <c r="G842" t="str">
        <f t="shared" si="53"/>
        <v>Other</v>
      </c>
      <c r="H842">
        <v>18</v>
      </c>
      <c r="I842">
        <v>10966</v>
      </c>
      <c r="J842">
        <v>4</v>
      </c>
      <c r="K842" t="s">
        <v>46</v>
      </c>
      <c r="L842" t="s">
        <v>683</v>
      </c>
      <c r="M842" t="s">
        <v>780</v>
      </c>
      <c r="N842" t="s">
        <v>781</v>
      </c>
      <c r="P842" t="s">
        <v>699</v>
      </c>
      <c r="Q842" t="s">
        <v>700</v>
      </c>
      <c r="R842">
        <v>18</v>
      </c>
      <c r="T842">
        <v>403</v>
      </c>
      <c r="U842" t="s">
        <v>1052</v>
      </c>
      <c r="V842" s="7">
        <v>129.9900055</v>
      </c>
      <c r="W842" s="7">
        <v>110.80340837177086</v>
      </c>
      <c r="X842">
        <v>1</v>
      </c>
      <c r="Y842" s="7">
        <v>9.1000003809999992</v>
      </c>
      <c r="Z842" s="7">
        <v>129.9900055</v>
      </c>
      <c r="AA842" s="7">
        <f t="shared" si="54"/>
        <v>120.89000511899999</v>
      </c>
      <c r="AB842" t="s">
        <v>45</v>
      </c>
      <c r="AC842" t="str">
        <f t="shared" si="55"/>
        <v>Non-Cash Payments</v>
      </c>
    </row>
    <row r="843" spans="1:29" x14ac:dyDescent="0.25">
      <c r="A843">
        <v>25433</v>
      </c>
      <c r="B843" s="2">
        <v>42552</v>
      </c>
      <c r="C843">
        <v>4</v>
      </c>
      <c r="D843" s="2">
        <f t="shared" si="52"/>
        <v>42558</v>
      </c>
      <c r="E843">
        <v>0</v>
      </c>
      <c r="F843" t="s">
        <v>62</v>
      </c>
      <c r="G843" t="str">
        <f t="shared" si="53"/>
        <v>Other</v>
      </c>
      <c r="H843">
        <v>18</v>
      </c>
      <c r="I843">
        <v>1868</v>
      </c>
      <c r="J843">
        <v>4</v>
      </c>
      <c r="K843" t="s">
        <v>46</v>
      </c>
      <c r="L843" t="s">
        <v>683</v>
      </c>
      <c r="M843" t="s">
        <v>782</v>
      </c>
      <c r="N843" t="s">
        <v>783</v>
      </c>
      <c r="P843" t="s">
        <v>699</v>
      </c>
      <c r="Q843" t="s">
        <v>700</v>
      </c>
      <c r="R843">
        <v>18</v>
      </c>
      <c r="T843">
        <v>403</v>
      </c>
      <c r="U843" t="s">
        <v>1052</v>
      </c>
      <c r="V843" s="7">
        <v>129.9900055</v>
      </c>
      <c r="W843" s="7">
        <v>110.80340837177086</v>
      </c>
      <c r="X843">
        <v>1</v>
      </c>
      <c r="Y843" s="7">
        <v>9.1000003809999992</v>
      </c>
      <c r="Z843" s="7">
        <v>129.9900055</v>
      </c>
      <c r="AA843" s="7">
        <f t="shared" si="54"/>
        <v>120.89000511899999</v>
      </c>
      <c r="AB843" t="s">
        <v>45</v>
      </c>
      <c r="AC843" t="str">
        <f t="shared" si="55"/>
        <v>Non-Cash Payments</v>
      </c>
    </row>
    <row r="844" spans="1:29" x14ac:dyDescent="0.25">
      <c r="A844">
        <v>73893</v>
      </c>
      <c r="B844" s="2">
        <v>43083</v>
      </c>
      <c r="C844">
        <v>4</v>
      </c>
      <c r="D844" s="2">
        <f t="shared" si="52"/>
        <v>43089</v>
      </c>
      <c r="E844">
        <v>0</v>
      </c>
      <c r="F844" t="s">
        <v>62</v>
      </c>
      <c r="G844" t="str">
        <f t="shared" si="53"/>
        <v>Other</v>
      </c>
      <c r="H844">
        <v>76</v>
      </c>
      <c r="I844">
        <v>17446</v>
      </c>
      <c r="J844">
        <v>4</v>
      </c>
      <c r="K844" t="s">
        <v>46</v>
      </c>
      <c r="L844" t="s">
        <v>683</v>
      </c>
      <c r="M844" t="s">
        <v>784</v>
      </c>
      <c r="N844" t="s">
        <v>785</v>
      </c>
      <c r="P844" t="s">
        <v>699</v>
      </c>
      <c r="Q844" t="s">
        <v>700</v>
      </c>
      <c r="R844">
        <v>76</v>
      </c>
      <c r="T844">
        <v>1363</v>
      </c>
      <c r="U844" t="s">
        <v>1128</v>
      </c>
      <c r="V844" s="7">
        <v>215.82000729999999</v>
      </c>
      <c r="W844" s="7">
        <v>186.82667412499998</v>
      </c>
      <c r="X844">
        <v>1</v>
      </c>
      <c r="Y844" s="7">
        <v>15.10999966</v>
      </c>
      <c r="Z844" s="7">
        <v>215.82000729999999</v>
      </c>
      <c r="AA844" s="7">
        <f t="shared" si="54"/>
        <v>200.71000763999999</v>
      </c>
      <c r="AB844" t="s">
        <v>45</v>
      </c>
      <c r="AC844" t="str">
        <f t="shared" si="55"/>
        <v>Non-Cash Payments</v>
      </c>
    </row>
    <row r="845" spans="1:29" x14ac:dyDescent="0.25">
      <c r="A845">
        <v>30085</v>
      </c>
      <c r="B845" s="2">
        <v>42444</v>
      </c>
      <c r="C845">
        <v>4</v>
      </c>
      <c r="D845" s="2">
        <f t="shared" si="52"/>
        <v>42450</v>
      </c>
      <c r="E845">
        <v>1</v>
      </c>
      <c r="F845" t="s">
        <v>62</v>
      </c>
      <c r="G845" t="str">
        <f t="shared" si="53"/>
        <v>Other</v>
      </c>
      <c r="H845">
        <v>17</v>
      </c>
      <c r="I845">
        <v>10071</v>
      </c>
      <c r="J845">
        <v>4</v>
      </c>
      <c r="K845" t="s">
        <v>46</v>
      </c>
      <c r="L845" t="s">
        <v>683</v>
      </c>
      <c r="M845" t="s">
        <v>786</v>
      </c>
      <c r="N845" t="s">
        <v>693</v>
      </c>
      <c r="P845" t="s">
        <v>694</v>
      </c>
      <c r="Q845" t="s">
        <v>695</v>
      </c>
      <c r="R845">
        <v>17</v>
      </c>
      <c r="T845">
        <v>365</v>
      </c>
      <c r="U845" t="s">
        <v>1054</v>
      </c>
      <c r="V845" s="7">
        <v>59.990001679999999</v>
      </c>
      <c r="W845" s="7">
        <v>54.488929209402009</v>
      </c>
      <c r="X845">
        <v>1</v>
      </c>
      <c r="Y845" s="7">
        <v>4.1999998090000004</v>
      </c>
      <c r="Z845" s="7">
        <v>59.990001679999999</v>
      </c>
      <c r="AA845" s="7">
        <f t="shared" si="54"/>
        <v>55.790001871000001</v>
      </c>
      <c r="AB845" t="s">
        <v>45</v>
      </c>
      <c r="AC845" t="str">
        <f t="shared" si="55"/>
        <v>Non-Cash Payments</v>
      </c>
    </row>
    <row r="846" spans="1:29" x14ac:dyDescent="0.25">
      <c r="A846">
        <v>30172</v>
      </c>
      <c r="B846" s="2">
        <v>42445</v>
      </c>
      <c r="C846">
        <v>4</v>
      </c>
      <c r="D846" s="2">
        <f t="shared" si="52"/>
        <v>42451</v>
      </c>
      <c r="E846">
        <v>0</v>
      </c>
      <c r="F846" t="s">
        <v>62</v>
      </c>
      <c r="G846" t="str">
        <f t="shared" si="53"/>
        <v>Other</v>
      </c>
      <c r="H846">
        <v>18</v>
      </c>
      <c r="I846">
        <v>1271</v>
      </c>
      <c r="J846">
        <v>4</v>
      </c>
      <c r="K846" t="s">
        <v>46</v>
      </c>
      <c r="L846" t="s">
        <v>683</v>
      </c>
      <c r="M846" t="s">
        <v>768</v>
      </c>
      <c r="N846" t="s">
        <v>712</v>
      </c>
      <c r="P846" t="s">
        <v>694</v>
      </c>
      <c r="Q846" t="s">
        <v>695</v>
      </c>
      <c r="R846">
        <v>18</v>
      </c>
      <c r="T846">
        <v>403</v>
      </c>
      <c r="U846" t="s">
        <v>1052</v>
      </c>
      <c r="V846" s="7">
        <v>129.9900055</v>
      </c>
      <c r="W846" s="7">
        <v>110.80340837177086</v>
      </c>
      <c r="X846">
        <v>1</v>
      </c>
      <c r="Y846" s="7">
        <v>9.1000003809999992</v>
      </c>
      <c r="Z846" s="7">
        <v>129.9900055</v>
      </c>
      <c r="AA846" s="7">
        <f t="shared" si="54"/>
        <v>120.89000511899999</v>
      </c>
      <c r="AB846" t="s">
        <v>45</v>
      </c>
      <c r="AC846" t="str">
        <f t="shared" si="55"/>
        <v>Non-Cash Payments</v>
      </c>
    </row>
    <row r="847" spans="1:29" x14ac:dyDescent="0.25">
      <c r="A847">
        <v>27478</v>
      </c>
      <c r="B847" s="2">
        <v>42523</v>
      </c>
      <c r="C847">
        <v>4</v>
      </c>
      <c r="D847" s="2">
        <f t="shared" si="52"/>
        <v>42529</v>
      </c>
      <c r="E847">
        <v>0</v>
      </c>
      <c r="F847" t="s">
        <v>62</v>
      </c>
      <c r="G847" t="str">
        <f t="shared" si="53"/>
        <v>Other</v>
      </c>
      <c r="H847">
        <v>18</v>
      </c>
      <c r="I847">
        <v>11930</v>
      </c>
      <c r="J847">
        <v>4</v>
      </c>
      <c r="K847" t="s">
        <v>46</v>
      </c>
      <c r="L847" t="s">
        <v>683</v>
      </c>
      <c r="M847" t="s">
        <v>787</v>
      </c>
      <c r="N847" t="s">
        <v>712</v>
      </c>
      <c r="P847" t="s">
        <v>694</v>
      </c>
      <c r="Q847" t="s">
        <v>695</v>
      </c>
      <c r="R847">
        <v>18</v>
      </c>
      <c r="T847">
        <v>403</v>
      </c>
      <c r="U847" t="s">
        <v>1052</v>
      </c>
      <c r="V847" s="7">
        <v>129.9900055</v>
      </c>
      <c r="W847" s="7">
        <v>110.80340837177086</v>
      </c>
      <c r="X847">
        <v>1</v>
      </c>
      <c r="Y847" s="7">
        <v>9.1000003809999992</v>
      </c>
      <c r="Z847" s="7">
        <v>129.9900055</v>
      </c>
      <c r="AA847" s="7">
        <f t="shared" si="54"/>
        <v>120.89000511899999</v>
      </c>
      <c r="AB847" t="s">
        <v>45</v>
      </c>
      <c r="AC847" t="str">
        <f t="shared" si="55"/>
        <v>Non-Cash Payments</v>
      </c>
    </row>
    <row r="848" spans="1:29" x14ac:dyDescent="0.25">
      <c r="A848">
        <v>76976</v>
      </c>
      <c r="B848" s="2">
        <v>43128</v>
      </c>
      <c r="C848">
        <v>4</v>
      </c>
      <c r="D848" s="2">
        <f t="shared" si="52"/>
        <v>43132</v>
      </c>
      <c r="E848">
        <v>0</v>
      </c>
      <c r="F848" t="s">
        <v>62</v>
      </c>
      <c r="G848" t="str">
        <f t="shared" si="53"/>
        <v>Other</v>
      </c>
      <c r="H848">
        <v>76</v>
      </c>
      <c r="I848">
        <v>20529</v>
      </c>
      <c r="J848">
        <v>4</v>
      </c>
      <c r="K848" t="s">
        <v>46</v>
      </c>
      <c r="L848" t="s">
        <v>683</v>
      </c>
      <c r="M848" t="s">
        <v>788</v>
      </c>
      <c r="N848" t="s">
        <v>739</v>
      </c>
      <c r="P848" t="s">
        <v>694</v>
      </c>
      <c r="Q848" t="s">
        <v>695</v>
      </c>
      <c r="R848">
        <v>76</v>
      </c>
      <c r="T848">
        <v>1363</v>
      </c>
      <c r="U848" t="s">
        <v>1128</v>
      </c>
      <c r="V848" s="7">
        <v>215.82000729999999</v>
      </c>
      <c r="W848" s="7">
        <v>186.82667412499998</v>
      </c>
      <c r="X848">
        <v>1</v>
      </c>
      <c r="Y848" s="7">
        <v>15.10999966</v>
      </c>
      <c r="Z848" s="7">
        <v>215.82000729999999</v>
      </c>
      <c r="AA848" s="7">
        <f t="shared" si="54"/>
        <v>200.71000763999999</v>
      </c>
      <c r="AB848" t="s">
        <v>45</v>
      </c>
      <c r="AC848" t="str">
        <f t="shared" si="55"/>
        <v>Non-Cash Payments</v>
      </c>
    </row>
    <row r="849" spans="1:29" x14ac:dyDescent="0.25">
      <c r="A849">
        <v>24063</v>
      </c>
      <c r="B849" s="2">
        <v>42356</v>
      </c>
      <c r="C849">
        <v>4</v>
      </c>
      <c r="D849" s="2">
        <f t="shared" si="52"/>
        <v>42362</v>
      </c>
      <c r="E849">
        <v>0</v>
      </c>
      <c r="F849" t="s">
        <v>62</v>
      </c>
      <c r="G849" t="str">
        <f t="shared" si="53"/>
        <v>Other</v>
      </c>
      <c r="H849">
        <v>18</v>
      </c>
      <c r="I849">
        <v>8358</v>
      </c>
      <c r="J849">
        <v>4</v>
      </c>
      <c r="K849" t="s">
        <v>46</v>
      </c>
      <c r="L849" t="s">
        <v>683</v>
      </c>
      <c r="M849" t="s">
        <v>789</v>
      </c>
      <c r="N849" t="s">
        <v>689</v>
      </c>
      <c r="P849" t="s">
        <v>690</v>
      </c>
      <c r="Q849" t="s">
        <v>691</v>
      </c>
      <c r="R849">
        <v>18</v>
      </c>
      <c r="T849">
        <v>403</v>
      </c>
      <c r="U849" t="s">
        <v>1052</v>
      </c>
      <c r="V849" s="7">
        <v>129.9900055</v>
      </c>
      <c r="W849" s="7">
        <v>110.80340837177086</v>
      </c>
      <c r="X849">
        <v>1</v>
      </c>
      <c r="Y849" s="7">
        <v>9.1000003809999992</v>
      </c>
      <c r="Z849" s="7">
        <v>129.9900055</v>
      </c>
      <c r="AA849" s="7">
        <f t="shared" si="54"/>
        <v>120.89000511899999</v>
      </c>
      <c r="AB849" t="s">
        <v>45</v>
      </c>
      <c r="AC849" t="str">
        <f t="shared" si="55"/>
        <v>Non-Cash Payments</v>
      </c>
    </row>
    <row r="850" spans="1:29" x14ac:dyDescent="0.25">
      <c r="A850">
        <v>51209</v>
      </c>
      <c r="B850" s="2">
        <v>42752</v>
      </c>
      <c r="C850">
        <v>4</v>
      </c>
      <c r="D850" s="2">
        <f t="shared" si="52"/>
        <v>42758</v>
      </c>
      <c r="E850">
        <v>1</v>
      </c>
      <c r="F850" t="s">
        <v>62</v>
      </c>
      <c r="G850" t="str">
        <f t="shared" si="53"/>
        <v>Other</v>
      </c>
      <c r="H850">
        <v>18</v>
      </c>
      <c r="I850">
        <v>7705</v>
      </c>
      <c r="J850">
        <v>4</v>
      </c>
      <c r="K850" t="s">
        <v>46</v>
      </c>
      <c r="L850" t="s">
        <v>683</v>
      </c>
      <c r="M850" t="s">
        <v>790</v>
      </c>
      <c r="N850" t="s">
        <v>790</v>
      </c>
      <c r="P850" t="s">
        <v>791</v>
      </c>
      <c r="Q850" t="s">
        <v>691</v>
      </c>
      <c r="R850">
        <v>18</v>
      </c>
      <c r="T850">
        <v>403</v>
      </c>
      <c r="U850" t="s">
        <v>1052</v>
      </c>
      <c r="V850" s="7">
        <v>129.9900055</v>
      </c>
      <c r="W850" s="7">
        <v>110.80340837177086</v>
      </c>
      <c r="X850">
        <v>1</v>
      </c>
      <c r="Y850" s="7">
        <v>9.1000003809999992</v>
      </c>
      <c r="Z850" s="7">
        <v>129.9900055</v>
      </c>
      <c r="AA850" s="7">
        <f t="shared" si="54"/>
        <v>120.89000511899999</v>
      </c>
      <c r="AB850" t="s">
        <v>45</v>
      </c>
      <c r="AC850" t="str">
        <f t="shared" si="55"/>
        <v>Non-Cash Payments</v>
      </c>
    </row>
    <row r="851" spans="1:29" x14ac:dyDescent="0.25">
      <c r="A851">
        <v>73839</v>
      </c>
      <c r="B851" s="2">
        <v>43082</v>
      </c>
      <c r="C851">
        <v>4</v>
      </c>
      <c r="D851" s="2">
        <f t="shared" si="52"/>
        <v>43088</v>
      </c>
      <c r="E851">
        <v>1</v>
      </c>
      <c r="F851" t="s">
        <v>62</v>
      </c>
      <c r="G851" t="str">
        <f t="shared" si="53"/>
        <v>Other</v>
      </c>
      <c r="H851">
        <v>76</v>
      </c>
      <c r="I851">
        <v>17392</v>
      </c>
      <c r="J851">
        <v>4</v>
      </c>
      <c r="K851" t="s">
        <v>46</v>
      </c>
      <c r="L851" t="s">
        <v>683</v>
      </c>
      <c r="M851" t="s">
        <v>792</v>
      </c>
      <c r="N851" t="s">
        <v>793</v>
      </c>
      <c r="P851" t="s">
        <v>690</v>
      </c>
      <c r="Q851" t="s">
        <v>691</v>
      </c>
      <c r="R851">
        <v>76</v>
      </c>
      <c r="T851">
        <v>1363</v>
      </c>
      <c r="U851" t="s">
        <v>1128</v>
      </c>
      <c r="V851" s="7">
        <v>215.82000729999999</v>
      </c>
      <c r="W851" s="7">
        <v>186.82667412499998</v>
      </c>
      <c r="X851">
        <v>1</v>
      </c>
      <c r="Y851" s="7">
        <v>15.10999966</v>
      </c>
      <c r="Z851" s="7">
        <v>215.82000729999999</v>
      </c>
      <c r="AA851" s="7">
        <f t="shared" si="54"/>
        <v>200.71000763999999</v>
      </c>
      <c r="AB851" t="s">
        <v>45</v>
      </c>
      <c r="AC851" t="str">
        <f t="shared" si="55"/>
        <v>Non-Cash Payments</v>
      </c>
    </row>
    <row r="852" spans="1:29" x14ac:dyDescent="0.25">
      <c r="A852">
        <v>74723</v>
      </c>
      <c r="B852" s="2">
        <v>43095</v>
      </c>
      <c r="C852">
        <v>4</v>
      </c>
      <c r="D852" s="2">
        <f t="shared" si="52"/>
        <v>43101</v>
      </c>
      <c r="E852">
        <v>0</v>
      </c>
      <c r="F852" t="s">
        <v>62</v>
      </c>
      <c r="G852" t="str">
        <f t="shared" si="53"/>
        <v>Other</v>
      </c>
      <c r="H852">
        <v>66</v>
      </c>
      <c r="I852">
        <v>18276</v>
      </c>
      <c r="J852">
        <v>4</v>
      </c>
      <c r="K852" t="s">
        <v>46</v>
      </c>
      <c r="L852" t="s">
        <v>683</v>
      </c>
      <c r="M852" t="s">
        <v>794</v>
      </c>
      <c r="N852" t="s">
        <v>795</v>
      </c>
      <c r="P852" t="s">
        <v>686</v>
      </c>
      <c r="Q852" t="s">
        <v>687</v>
      </c>
      <c r="R852">
        <v>66</v>
      </c>
      <c r="T852">
        <v>1353</v>
      </c>
      <c r="U852" t="s">
        <v>1114</v>
      </c>
      <c r="V852" s="7">
        <v>461.48001099999999</v>
      </c>
      <c r="W852" s="7">
        <v>376.77167767999998</v>
      </c>
      <c r="X852">
        <v>1</v>
      </c>
      <c r="Y852" s="7">
        <v>32.299999239999998</v>
      </c>
      <c r="Z852" s="7">
        <v>461.48001099999999</v>
      </c>
      <c r="AA852" s="7">
        <f t="shared" si="54"/>
        <v>429.18001176000001</v>
      </c>
      <c r="AB852" t="s">
        <v>45</v>
      </c>
      <c r="AC852" t="str">
        <f t="shared" si="55"/>
        <v>Non-Cash Payments</v>
      </c>
    </row>
    <row r="853" spans="1:29" x14ac:dyDescent="0.25">
      <c r="A853">
        <v>26821</v>
      </c>
      <c r="B853" s="2">
        <v>42396</v>
      </c>
      <c r="C853">
        <v>4</v>
      </c>
      <c r="D853" s="2">
        <f t="shared" si="52"/>
        <v>42402</v>
      </c>
      <c r="E853">
        <v>0</v>
      </c>
      <c r="F853" t="s">
        <v>62</v>
      </c>
      <c r="G853" t="str">
        <f t="shared" si="53"/>
        <v>Other</v>
      </c>
      <c r="H853">
        <v>18</v>
      </c>
      <c r="I853">
        <v>7795</v>
      </c>
      <c r="J853">
        <v>4</v>
      </c>
      <c r="K853" t="s">
        <v>46</v>
      </c>
      <c r="L853" t="s">
        <v>683</v>
      </c>
      <c r="M853" t="s">
        <v>796</v>
      </c>
      <c r="N853" t="s">
        <v>685</v>
      </c>
      <c r="P853" t="s">
        <v>686</v>
      </c>
      <c r="Q853" t="s">
        <v>687</v>
      </c>
      <c r="R853">
        <v>18</v>
      </c>
      <c r="T853">
        <v>403</v>
      </c>
      <c r="U853" t="s">
        <v>1052</v>
      </c>
      <c r="V853" s="7">
        <v>129.9900055</v>
      </c>
      <c r="W853" s="7">
        <v>110.80340837177086</v>
      </c>
      <c r="X853">
        <v>1</v>
      </c>
      <c r="Y853" s="7">
        <v>9.1000003809999992</v>
      </c>
      <c r="Z853" s="7">
        <v>129.9900055</v>
      </c>
      <c r="AA853" s="7">
        <f t="shared" si="54"/>
        <v>120.89000511899999</v>
      </c>
      <c r="AB853" t="s">
        <v>45</v>
      </c>
      <c r="AC853" t="str">
        <f t="shared" si="55"/>
        <v>Non-Cash Payments</v>
      </c>
    </row>
    <row r="854" spans="1:29" x14ac:dyDescent="0.25">
      <c r="A854">
        <v>77102</v>
      </c>
      <c r="B854" s="2">
        <v>43130</v>
      </c>
      <c r="C854">
        <v>4</v>
      </c>
      <c r="D854" s="2">
        <f t="shared" si="52"/>
        <v>43136</v>
      </c>
      <c r="E854">
        <v>0</v>
      </c>
      <c r="F854" t="s">
        <v>62</v>
      </c>
      <c r="G854" t="str">
        <f t="shared" si="53"/>
        <v>Other</v>
      </c>
      <c r="H854">
        <v>76</v>
      </c>
      <c r="I854">
        <v>20655</v>
      </c>
      <c r="J854">
        <v>4</v>
      </c>
      <c r="K854" t="s">
        <v>46</v>
      </c>
      <c r="L854" t="s">
        <v>683</v>
      </c>
      <c r="M854" t="s">
        <v>797</v>
      </c>
      <c r="N854" t="s">
        <v>797</v>
      </c>
      <c r="P854" t="s">
        <v>798</v>
      </c>
      <c r="Q854" t="s">
        <v>687</v>
      </c>
      <c r="R854">
        <v>76</v>
      </c>
      <c r="T854">
        <v>1363</v>
      </c>
      <c r="U854" t="s">
        <v>1128</v>
      </c>
      <c r="V854" s="7">
        <v>215.82000729999999</v>
      </c>
      <c r="W854" s="7">
        <v>186.82667412499998</v>
      </c>
      <c r="X854">
        <v>1</v>
      </c>
      <c r="Y854" s="7">
        <v>15.10999966</v>
      </c>
      <c r="Z854" s="7">
        <v>215.82000729999999</v>
      </c>
      <c r="AA854" s="7">
        <f t="shared" si="54"/>
        <v>200.71000763999999</v>
      </c>
      <c r="AB854" t="s">
        <v>45</v>
      </c>
      <c r="AC854" t="str">
        <f t="shared" si="55"/>
        <v>Non-Cash Payments</v>
      </c>
    </row>
    <row r="855" spans="1:29" x14ac:dyDescent="0.25">
      <c r="A855">
        <v>41608</v>
      </c>
      <c r="B855" s="2">
        <v>42612</v>
      </c>
      <c r="C855">
        <v>4</v>
      </c>
      <c r="D855" s="2">
        <f t="shared" si="52"/>
        <v>42618</v>
      </c>
      <c r="E855">
        <v>0</v>
      </c>
      <c r="F855" t="s">
        <v>62</v>
      </c>
      <c r="G855" t="str">
        <f t="shared" si="53"/>
        <v>Other</v>
      </c>
      <c r="H855">
        <v>18</v>
      </c>
      <c r="I855">
        <v>2454</v>
      </c>
      <c r="J855">
        <v>4</v>
      </c>
      <c r="K855" t="s">
        <v>46</v>
      </c>
      <c r="L855" t="s">
        <v>683</v>
      </c>
      <c r="M855" t="s">
        <v>799</v>
      </c>
      <c r="N855" t="s">
        <v>799</v>
      </c>
      <c r="P855" t="s">
        <v>736</v>
      </c>
      <c r="Q855" t="s">
        <v>737</v>
      </c>
      <c r="R855">
        <v>18</v>
      </c>
      <c r="T855">
        <v>403</v>
      </c>
      <c r="U855" t="s">
        <v>1052</v>
      </c>
      <c r="V855" s="7">
        <v>129.9900055</v>
      </c>
      <c r="W855" s="7">
        <v>110.80340837177086</v>
      </c>
      <c r="X855">
        <v>1</v>
      </c>
      <c r="Y855" s="7">
        <v>9.1000003809999992</v>
      </c>
      <c r="Z855" s="7">
        <v>129.9900055</v>
      </c>
      <c r="AA855" s="7">
        <f t="shared" si="54"/>
        <v>120.89000511899999</v>
      </c>
      <c r="AB855" t="s">
        <v>45</v>
      </c>
      <c r="AC855" t="str">
        <f t="shared" si="55"/>
        <v>Non-Cash Payments</v>
      </c>
    </row>
    <row r="856" spans="1:29" x14ac:dyDescent="0.25">
      <c r="A856">
        <v>47009</v>
      </c>
      <c r="B856" s="2">
        <v>42691</v>
      </c>
      <c r="C856">
        <v>4</v>
      </c>
      <c r="D856" s="2">
        <f t="shared" si="52"/>
        <v>42697</v>
      </c>
      <c r="E856">
        <v>1</v>
      </c>
      <c r="F856" t="s">
        <v>62</v>
      </c>
      <c r="G856" t="str">
        <f t="shared" si="53"/>
        <v>Other</v>
      </c>
      <c r="H856">
        <v>18</v>
      </c>
      <c r="I856">
        <v>150</v>
      </c>
      <c r="J856">
        <v>4</v>
      </c>
      <c r="K856" t="s">
        <v>46</v>
      </c>
      <c r="L856" t="s">
        <v>683</v>
      </c>
      <c r="M856" t="s">
        <v>758</v>
      </c>
      <c r="N856" t="s">
        <v>758</v>
      </c>
      <c r="P856" t="s">
        <v>759</v>
      </c>
      <c r="Q856" t="s">
        <v>737</v>
      </c>
      <c r="R856">
        <v>18</v>
      </c>
      <c r="T856">
        <v>403</v>
      </c>
      <c r="U856" t="s">
        <v>1052</v>
      </c>
      <c r="V856" s="7">
        <v>129.9900055</v>
      </c>
      <c r="W856" s="7">
        <v>110.80340837177086</v>
      </c>
      <c r="X856">
        <v>1</v>
      </c>
      <c r="Y856" s="7">
        <v>9.1000003809999992</v>
      </c>
      <c r="Z856" s="7">
        <v>129.9900055</v>
      </c>
      <c r="AA856" s="7">
        <f t="shared" si="54"/>
        <v>120.89000511899999</v>
      </c>
      <c r="AB856" t="s">
        <v>45</v>
      </c>
      <c r="AC856" t="str">
        <f t="shared" si="55"/>
        <v>Non-Cash Payments</v>
      </c>
    </row>
    <row r="857" spans="1:29" x14ac:dyDescent="0.25">
      <c r="A857">
        <v>49916</v>
      </c>
      <c r="B857" s="2">
        <v>42733</v>
      </c>
      <c r="C857">
        <v>4</v>
      </c>
      <c r="D857" s="2">
        <f t="shared" si="52"/>
        <v>42739</v>
      </c>
      <c r="E857">
        <v>0</v>
      </c>
      <c r="F857" t="s">
        <v>62</v>
      </c>
      <c r="G857" t="str">
        <f t="shared" si="53"/>
        <v>Other</v>
      </c>
      <c r="H857">
        <v>18</v>
      </c>
      <c r="I857">
        <v>10671</v>
      </c>
      <c r="J857">
        <v>4</v>
      </c>
      <c r="K857" t="s">
        <v>46</v>
      </c>
      <c r="L857" t="s">
        <v>683</v>
      </c>
      <c r="M857" t="s">
        <v>800</v>
      </c>
      <c r="N857" t="s">
        <v>800</v>
      </c>
      <c r="P857" t="s">
        <v>801</v>
      </c>
      <c r="Q857" t="s">
        <v>777</v>
      </c>
      <c r="R857">
        <v>18</v>
      </c>
      <c r="T857">
        <v>403</v>
      </c>
      <c r="U857" t="s">
        <v>1052</v>
      </c>
      <c r="V857" s="7">
        <v>129.9900055</v>
      </c>
      <c r="W857" s="7">
        <v>110.80340837177086</v>
      </c>
      <c r="X857">
        <v>1</v>
      </c>
      <c r="Y857" s="7">
        <v>11.69999981</v>
      </c>
      <c r="Z857" s="7">
        <v>129.9900055</v>
      </c>
      <c r="AA857" s="7">
        <f t="shared" si="54"/>
        <v>118.29000569</v>
      </c>
      <c r="AB857" t="s">
        <v>45</v>
      </c>
      <c r="AC857" t="str">
        <f t="shared" si="55"/>
        <v>Non-Cash Payments</v>
      </c>
    </row>
    <row r="858" spans="1:29" x14ac:dyDescent="0.25">
      <c r="A858">
        <v>29746</v>
      </c>
      <c r="B858" s="2">
        <v>42646</v>
      </c>
      <c r="C858">
        <v>4</v>
      </c>
      <c r="D858" s="2">
        <f t="shared" si="52"/>
        <v>42650</v>
      </c>
      <c r="E858">
        <v>0</v>
      </c>
      <c r="F858" t="s">
        <v>62</v>
      </c>
      <c r="G858" t="str">
        <f t="shared" si="53"/>
        <v>Other</v>
      </c>
      <c r="H858">
        <v>17</v>
      </c>
      <c r="I858">
        <v>11924</v>
      </c>
      <c r="J858">
        <v>4</v>
      </c>
      <c r="K858" t="s">
        <v>46</v>
      </c>
      <c r="L858" t="s">
        <v>683</v>
      </c>
      <c r="M858" t="s">
        <v>802</v>
      </c>
      <c r="N858" t="s">
        <v>803</v>
      </c>
      <c r="P858" t="s">
        <v>699</v>
      </c>
      <c r="Q858" t="s">
        <v>700</v>
      </c>
      <c r="R858">
        <v>17</v>
      </c>
      <c r="T858">
        <v>365</v>
      </c>
      <c r="U858" t="s">
        <v>1054</v>
      </c>
      <c r="V858" s="7">
        <v>59.990001679999999</v>
      </c>
      <c r="W858" s="7">
        <v>54.488929209402009</v>
      </c>
      <c r="X858">
        <v>1</v>
      </c>
      <c r="Y858" s="7">
        <v>5.4000000950000002</v>
      </c>
      <c r="Z858" s="7">
        <v>59.990001679999999</v>
      </c>
      <c r="AA858" s="7">
        <f t="shared" si="54"/>
        <v>54.590001584999996</v>
      </c>
      <c r="AB858" t="s">
        <v>45</v>
      </c>
      <c r="AC858" t="str">
        <f t="shared" si="55"/>
        <v>Non-Cash Payments</v>
      </c>
    </row>
    <row r="859" spans="1:29" x14ac:dyDescent="0.25">
      <c r="A859">
        <v>72533</v>
      </c>
      <c r="B859" s="2">
        <v>43063</v>
      </c>
      <c r="C859">
        <v>4</v>
      </c>
      <c r="D859" s="2">
        <f t="shared" si="52"/>
        <v>43069</v>
      </c>
      <c r="E859">
        <v>0</v>
      </c>
      <c r="F859" t="s">
        <v>62</v>
      </c>
      <c r="G859" t="str">
        <f t="shared" si="53"/>
        <v>Other</v>
      </c>
      <c r="H859">
        <v>70</v>
      </c>
      <c r="I859">
        <v>16086</v>
      </c>
      <c r="J859">
        <v>4</v>
      </c>
      <c r="K859" t="s">
        <v>46</v>
      </c>
      <c r="L859" t="s">
        <v>683</v>
      </c>
      <c r="M859" t="s">
        <v>804</v>
      </c>
      <c r="N859" t="s">
        <v>805</v>
      </c>
      <c r="P859" t="s">
        <v>699</v>
      </c>
      <c r="Q859" t="s">
        <v>700</v>
      </c>
      <c r="R859">
        <v>70</v>
      </c>
      <c r="T859">
        <v>1357</v>
      </c>
      <c r="U859" t="s">
        <v>1130</v>
      </c>
      <c r="V859" s="7">
        <v>210.8500061</v>
      </c>
      <c r="W859" s="7">
        <v>116.83000946</v>
      </c>
      <c r="X859">
        <v>1</v>
      </c>
      <c r="Y859" s="7">
        <v>18.979999540000001</v>
      </c>
      <c r="Z859" s="7">
        <v>210.8500061</v>
      </c>
      <c r="AA859" s="7">
        <f t="shared" si="54"/>
        <v>191.87000656000001</v>
      </c>
      <c r="AB859" t="s">
        <v>45</v>
      </c>
      <c r="AC859" t="str">
        <f t="shared" si="55"/>
        <v>Non-Cash Payments</v>
      </c>
    </row>
    <row r="860" spans="1:29" x14ac:dyDescent="0.25">
      <c r="A860">
        <v>75892</v>
      </c>
      <c r="B860" s="2">
        <v>43435</v>
      </c>
      <c r="C860">
        <v>4</v>
      </c>
      <c r="D860" s="2">
        <f t="shared" si="52"/>
        <v>43440</v>
      </c>
      <c r="E860">
        <v>0</v>
      </c>
      <c r="F860" t="s">
        <v>62</v>
      </c>
      <c r="G860" t="str">
        <f t="shared" si="53"/>
        <v>Other</v>
      </c>
      <c r="H860">
        <v>73</v>
      </c>
      <c r="I860">
        <v>19445</v>
      </c>
      <c r="J860">
        <v>2</v>
      </c>
      <c r="K860" t="s">
        <v>136</v>
      </c>
      <c r="L860" t="s">
        <v>683</v>
      </c>
      <c r="M860" t="s">
        <v>806</v>
      </c>
      <c r="N860" t="s">
        <v>807</v>
      </c>
      <c r="P860" t="s">
        <v>690</v>
      </c>
      <c r="Q860" t="s">
        <v>691</v>
      </c>
      <c r="R860">
        <v>73</v>
      </c>
      <c r="T860">
        <v>1360</v>
      </c>
      <c r="U860" t="s">
        <v>1126</v>
      </c>
      <c r="V860" s="7">
        <v>327.75</v>
      </c>
      <c r="W860" s="7">
        <v>297.07027734645828</v>
      </c>
      <c r="X860">
        <v>1</v>
      </c>
      <c r="Y860" s="7">
        <v>65.550003050000001</v>
      </c>
      <c r="Z860" s="7">
        <v>327.75</v>
      </c>
      <c r="AA860" s="7">
        <f t="shared" si="54"/>
        <v>262.19999695000001</v>
      </c>
      <c r="AB860" t="s">
        <v>66</v>
      </c>
      <c r="AC860" t="str">
        <f t="shared" si="55"/>
        <v>Non-Cash Payments</v>
      </c>
    </row>
    <row r="861" spans="1:29" x14ac:dyDescent="0.25">
      <c r="A861">
        <v>75891</v>
      </c>
      <c r="B861" s="2">
        <v>43435</v>
      </c>
      <c r="C861">
        <v>4</v>
      </c>
      <c r="D861" s="2">
        <f t="shared" si="52"/>
        <v>43440</v>
      </c>
      <c r="E861">
        <v>0</v>
      </c>
      <c r="F861" t="s">
        <v>62</v>
      </c>
      <c r="G861" t="str">
        <f t="shared" si="53"/>
        <v>Other</v>
      </c>
      <c r="H861">
        <v>73</v>
      </c>
      <c r="I861">
        <v>19444</v>
      </c>
      <c r="J861">
        <v>2</v>
      </c>
      <c r="K861" t="s">
        <v>136</v>
      </c>
      <c r="L861" t="s">
        <v>683</v>
      </c>
      <c r="M861" t="s">
        <v>808</v>
      </c>
      <c r="N861" t="s">
        <v>779</v>
      </c>
      <c r="P861" t="s">
        <v>699</v>
      </c>
      <c r="Q861" t="s">
        <v>700</v>
      </c>
      <c r="R861">
        <v>73</v>
      </c>
      <c r="T861">
        <v>1360</v>
      </c>
      <c r="U861" t="s">
        <v>1126</v>
      </c>
      <c r="V861" s="7">
        <v>327.75</v>
      </c>
      <c r="W861" s="7">
        <v>297.07027734645828</v>
      </c>
      <c r="X861">
        <v>1</v>
      </c>
      <c r="Y861" s="7">
        <v>81.940002440000001</v>
      </c>
      <c r="Z861" s="7">
        <v>327.75</v>
      </c>
      <c r="AA861" s="7">
        <f t="shared" si="54"/>
        <v>245.80999756</v>
      </c>
      <c r="AB861" t="s">
        <v>45</v>
      </c>
      <c r="AC861" t="str">
        <f t="shared" si="55"/>
        <v>Non-Cash Payments</v>
      </c>
    </row>
    <row r="862" spans="1:29" x14ac:dyDescent="0.25">
      <c r="A862">
        <v>75890</v>
      </c>
      <c r="B862" s="2">
        <v>43435</v>
      </c>
      <c r="C862">
        <v>2</v>
      </c>
      <c r="D862" s="2">
        <f t="shared" si="52"/>
        <v>43438</v>
      </c>
      <c r="E862">
        <v>1</v>
      </c>
      <c r="F862" t="s">
        <v>23</v>
      </c>
      <c r="G862" t="str">
        <f t="shared" si="53"/>
        <v>Other</v>
      </c>
      <c r="H862">
        <v>73</v>
      </c>
      <c r="I862">
        <v>19443</v>
      </c>
      <c r="J862">
        <v>2</v>
      </c>
      <c r="K862" t="s">
        <v>136</v>
      </c>
      <c r="L862" t="s">
        <v>683</v>
      </c>
      <c r="M862" t="s">
        <v>808</v>
      </c>
      <c r="N862" t="s">
        <v>779</v>
      </c>
      <c r="P862" t="s">
        <v>699</v>
      </c>
      <c r="Q862" t="s">
        <v>700</v>
      </c>
      <c r="R862">
        <v>73</v>
      </c>
      <c r="T862">
        <v>1360</v>
      </c>
      <c r="U862" t="s">
        <v>1126</v>
      </c>
      <c r="V862" s="7">
        <v>327.75</v>
      </c>
      <c r="W862" s="7">
        <v>297.07027734645828</v>
      </c>
      <c r="X862">
        <v>1</v>
      </c>
      <c r="Y862" s="7">
        <v>0</v>
      </c>
      <c r="Z862" s="7">
        <v>327.75</v>
      </c>
      <c r="AA862" s="7">
        <f t="shared" si="54"/>
        <v>327.75</v>
      </c>
      <c r="AB862" t="s">
        <v>45</v>
      </c>
      <c r="AC862" t="str">
        <f t="shared" si="55"/>
        <v>Non-Cash Payments</v>
      </c>
    </row>
    <row r="863" spans="1:29" x14ac:dyDescent="0.25">
      <c r="A863">
        <v>75889</v>
      </c>
      <c r="B863" s="2">
        <v>43435</v>
      </c>
      <c r="C863">
        <v>4</v>
      </c>
      <c r="D863" s="2">
        <f t="shared" si="52"/>
        <v>43440</v>
      </c>
      <c r="E863">
        <v>1</v>
      </c>
      <c r="F863" t="s">
        <v>62</v>
      </c>
      <c r="G863" t="str">
        <f t="shared" si="53"/>
        <v>Other</v>
      </c>
      <c r="H863">
        <v>73</v>
      </c>
      <c r="I863">
        <v>19442</v>
      </c>
      <c r="J863">
        <v>2</v>
      </c>
      <c r="K863" t="s">
        <v>136</v>
      </c>
      <c r="L863" t="s">
        <v>683</v>
      </c>
      <c r="M863" t="s">
        <v>809</v>
      </c>
      <c r="N863" t="s">
        <v>809</v>
      </c>
      <c r="P863" t="s">
        <v>810</v>
      </c>
      <c r="Q863" t="s">
        <v>691</v>
      </c>
      <c r="R863">
        <v>73</v>
      </c>
      <c r="T863">
        <v>1360</v>
      </c>
      <c r="U863" t="s">
        <v>1126</v>
      </c>
      <c r="V863" s="7">
        <v>327.75</v>
      </c>
      <c r="W863" s="7">
        <v>297.07027734645828</v>
      </c>
      <c r="X863">
        <v>1</v>
      </c>
      <c r="Y863" s="7">
        <v>3.2799999710000001</v>
      </c>
      <c r="Z863" s="7">
        <v>327.75</v>
      </c>
      <c r="AA863" s="7">
        <f t="shared" si="54"/>
        <v>324.470000029</v>
      </c>
      <c r="AB863" t="s">
        <v>45</v>
      </c>
      <c r="AC863" t="str">
        <f t="shared" si="55"/>
        <v>Non-Cash Payments</v>
      </c>
    </row>
    <row r="864" spans="1:29" x14ac:dyDescent="0.25">
      <c r="A864">
        <v>75888</v>
      </c>
      <c r="B864" s="2">
        <v>43435</v>
      </c>
      <c r="C864">
        <v>4</v>
      </c>
      <c r="D864" s="2">
        <f t="shared" si="52"/>
        <v>43440</v>
      </c>
      <c r="E864">
        <v>0</v>
      </c>
      <c r="F864" t="s">
        <v>62</v>
      </c>
      <c r="G864" t="str">
        <f t="shared" si="53"/>
        <v>Other</v>
      </c>
      <c r="H864">
        <v>73</v>
      </c>
      <c r="I864">
        <v>19441</v>
      </c>
      <c r="J864">
        <v>2</v>
      </c>
      <c r="K864" t="s">
        <v>136</v>
      </c>
      <c r="L864" t="s">
        <v>683</v>
      </c>
      <c r="M864" t="s">
        <v>809</v>
      </c>
      <c r="N864" t="s">
        <v>809</v>
      </c>
      <c r="P864" t="s">
        <v>810</v>
      </c>
      <c r="Q864" t="s">
        <v>691</v>
      </c>
      <c r="R864">
        <v>73</v>
      </c>
      <c r="T864">
        <v>1360</v>
      </c>
      <c r="U864" t="s">
        <v>1126</v>
      </c>
      <c r="V864" s="7">
        <v>327.75</v>
      </c>
      <c r="W864" s="7">
        <v>297.07027734645828</v>
      </c>
      <c r="X864">
        <v>1</v>
      </c>
      <c r="Y864" s="7">
        <v>6.5599999430000002</v>
      </c>
      <c r="Z864" s="7">
        <v>327.75</v>
      </c>
      <c r="AA864" s="7">
        <f t="shared" si="54"/>
        <v>321.19000005700002</v>
      </c>
      <c r="AB864" t="s">
        <v>30</v>
      </c>
      <c r="AC864" t="str">
        <f t="shared" si="55"/>
        <v>Cash Over 200</v>
      </c>
    </row>
    <row r="865" spans="1:29" x14ac:dyDescent="0.25">
      <c r="A865">
        <v>75887</v>
      </c>
      <c r="B865" s="2">
        <v>43435</v>
      </c>
      <c r="C865">
        <v>4</v>
      </c>
      <c r="D865" s="2">
        <f t="shared" si="52"/>
        <v>43440</v>
      </c>
      <c r="E865">
        <v>0</v>
      </c>
      <c r="F865" t="s">
        <v>62</v>
      </c>
      <c r="G865" t="str">
        <f t="shared" si="53"/>
        <v>Other</v>
      </c>
      <c r="H865">
        <v>73</v>
      </c>
      <c r="I865">
        <v>19440</v>
      </c>
      <c r="J865">
        <v>2</v>
      </c>
      <c r="K865" t="s">
        <v>136</v>
      </c>
      <c r="L865" t="s">
        <v>683</v>
      </c>
      <c r="M865" t="s">
        <v>809</v>
      </c>
      <c r="N865" t="s">
        <v>809</v>
      </c>
      <c r="P865" t="s">
        <v>810</v>
      </c>
      <c r="Q865" t="s">
        <v>691</v>
      </c>
      <c r="R865">
        <v>73</v>
      </c>
      <c r="T865">
        <v>1360</v>
      </c>
      <c r="U865" t="s">
        <v>1126</v>
      </c>
      <c r="V865" s="7">
        <v>327.75</v>
      </c>
      <c r="W865" s="7">
        <v>297.07027734645828</v>
      </c>
      <c r="X865">
        <v>1</v>
      </c>
      <c r="Y865" s="7">
        <v>9.8299999239999991</v>
      </c>
      <c r="Z865" s="7">
        <v>327.75</v>
      </c>
      <c r="AA865" s="7">
        <f t="shared" si="54"/>
        <v>317.92000007600001</v>
      </c>
      <c r="AB865" t="s">
        <v>45</v>
      </c>
      <c r="AC865" t="str">
        <f t="shared" si="55"/>
        <v>Non-Cash Payments</v>
      </c>
    </row>
    <row r="866" spans="1:29" x14ac:dyDescent="0.25">
      <c r="A866">
        <v>75886</v>
      </c>
      <c r="B866" s="2">
        <v>43435</v>
      </c>
      <c r="C866">
        <v>4</v>
      </c>
      <c r="D866" s="2">
        <f t="shared" si="52"/>
        <v>43440</v>
      </c>
      <c r="E866">
        <v>0</v>
      </c>
      <c r="F866" t="s">
        <v>62</v>
      </c>
      <c r="G866" t="str">
        <f t="shared" si="53"/>
        <v>Other</v>
      </c>
      <c r="H866">
        <v>73</v>
      </c>
      <c r="I866">
        <v>19439</v>
      </c>
      <c r="J866">
        <v>2</v>
      </c>
      <c r="K866" t="s">
        <v>136</v>
      </c>
      <c r="L866" t="s">
        <v>683</v>
      </c>
      <c r="M866" t="s">
        <v>811</v>
      </c>
      <c r="N866" t="s">
        <v>725</v>
      </c>
      <c r="P866" t="s">
        <v>694</v>
      </c>
      <c r="Q866" t="s">
        <v>695</v>
      </c>
      <c r="R866">
        <v>73</v>
      </c>
      <c r="T866">
        <v>1360</v>
      </c>
      <c r="U866" t="s">
        <v>1126</v>
      </c>
      <c r="V866" s="7">
        <v>327.75</v>
      </c>
      <c r="W866" s="7">
        <v>297.07027734645828</v>
      </c>
      <c r="X866">
        <v>1</v>
      </c>
      <c r="Y866" s="7">
        <v>13.10999966</v>
      </c>
      <c r="Z866" s="7">
        <v>327.75</v>
      </c>
      <c r="AA866" s="7">
        <f t="shared" si="54"/>
        <v>314.64000034000003</v>
      </c>
      <c r="AB866" t="s">
        <v>66</v>
      </c>
      <c r="AC866" t="str">
        <f t="shared" si="55"/>
        <v>Non-Cash Payments</v>
      </c>
    </row>
    <row r="867" spans="1:29" x14ac:dyDescent="0.25">
      <c r="A867">
        <v>75885</v>
      </c>
      <c r="B867" s="2">
        <v>43435</v>
      </c>
      <c r="C867">
        <v>2</v>
      </c>
      <c r="D867" s="2">
        <f t="shared" si="52"/>
        <v>43438</v>
      </c>
      <c r="E867">
        <v>1</v>
      </c>
      <c r="F867" t="s">
        <v>23</v>
      </c>
      <c r="G867" t="str">
        <f t="shared" si="53"/>
        <v>Other</v>
      </c>
      <c r="H867">
        <v>73</v>
      </c>
      <c r="I867">
        <v>19438</v>
      </c>
      <c r="J867">
        <v>2</v>
      </c>
      <c r="K867" t="s">
        <v>136</v>
      </c>
      <c r="L867" t="s">
        <v>683</v>
      </c>
      <c r="M867" t="s">
        <v>812</v>
      </c>
      <c r="N867" t="s">
        <v>685</v>
      </c>
      <c r="P867" t="s">
        <v>686</v>
      </c>
      <c r="Q867" t="s">
        <v>687</v>
      </c>
      <c r="R867">
        <v>73</v>
      </c>
      <c r="T867">
        <v>1360</v>
      </c>
      <c r="U867" t="s">
        <v>1126</v>
      </c>
      <c r="V867" s="7">
        <v>327.75</v>
      </c>
      <c r="W867" s="7">
        <v>297.07027734645828</v>
      </c>
      <c r="X867">
        <v>1</v>
      </c>
      <c r="Y867" s="7">
        <v>16.38999939</v>
      </c>
      <c r="Z867" s="7">
        <v>327.75</v>
      </c>
      <c r="AA867" s="7">
        <f t="shared" si="54"/>
        <v>311.36000060999999</v>
      </c>
      <c r="AB867" t="s">
        <v>30</v>
      </c>
      <c r="AC867" t="str">
        <f t="shared" si="55"/>
        <v>Cash Over 200</v>
      </c>
    </row>
    <row r="868" spans="1:29" x14ac:dyDescent="0.25">
      <c r="A868">
        <v>75884</v>
      </c>
      <c r="B868" s="2">
        <v>43435</v>
      </c>
      <c r="C868">
        <v>4</v>
      </c>
      <c r="D868" s="2">
        <f t="shared" si="52"/>
        <v>43440</v>
      </c>
      <c r="E868">
        <v>1</v>
      </c>
      <c r="F868" t="s">
        <v>62</v>
      </c>
      <c r="G868" t="str">
        <f t="shared" si="53"/>
        <v>Other</v>
      </c>
      <c r="H868">
        <v>73</v>
      </c>
      <c r="I868">
        <v>19437</v>
      </c>
      <c r="J868">
        <v>2</v>
      </c>
      <c r="K868" t="s">
        <v>136</v>
      </c>
      <c r="L868" t="s">
        <v>683</v>
      </c>
      <c r="M868" t="s">
        <v>105</v>
      </c>
      <c r="N868" t="s">
        <v>725</v>
      </c>
      <c r="P868" t="s">
        <v>694</v>
      </c>
      <c r="Q868" t="s">
        <v>695</v>
      </c>
      <c r="R868">
        <v>73</v>
      </c>
      <c r="T868">
        <v>1360</v>
      </c>
      <c r="U868" t="s">
        <v>1126</v>
      </c>
      <c r="V868" s="7">
        <v>327.75</v>
      </c>
      <c r="W868" s="7">
        <v>297.07027734645828</v>
      </c>
      <c r="X868">
        <v>1</v>
      </c>
      <c r="Y868" s="7">
        <v>18.030000690000001</v>
      </c>
      <c r="Z868" s="7">
        <v>327.75</v>
      </c>
      <c r="AA868" s="7">
        <f t="shared" si="54"/>
        <v>309.71999930999999</v>
      </c>
      <c r="AB868" t="s">
        <v>66</v>
      </c>
      <c r="AC868" t="str">
        <f t="shared" si="55"/>
        <v>Non-Cash Payments</v>
      </c>
    </row>
    <row r="869" spans="1:29" x14ac:dyDescent="0.25">
      <c r="A869">
        <v>75883</v>
      </c>
      <c r="B869" s="2">
        <v>43435</v>
      </c>
      <c r="C869">
        <v>1</v>
      </c>
      <c r="D869" s="2">
        <f t="shared" si="52"/>
        <v>43437</v>
      </c>
      <c r="E869">
        <v>1</v>
      </c>
      <c r="F869" t="s">
        <v>187</v>
      </c>
      <c r="G869" t="str">
        <f t="shared" si="53"/>
        <v>Other</v>
      </c>
      <c r="H869">
        <v>73</v>
      </c>
      <c r="I869">
        <v>19436</v>
      </c>
      <c r="J869">
        <v>2</v>
      </c>
      <c r="K869" t="s">
        <v>136</v>
      </c>
      <c r="L869" t="s">
        <v>683</v>
      </c>
      <c r="M869" t="s">
        <v>813</v>
      </c>
      <c r="N869" t="s">
        <v>814</v>
      </c>
      <c r="P869" t="s">
        <v>699</v>
      </c>
      <c r="Q869" t="s">
        <v>700</v>
      </c>
      <c r="R869">
        <v>73</v>
      </c>
      <c r="T869">
        <v>1360</v>
      </c>
      <c r="U869" t="s">
        <v>1126</v>
      </c>
      <c r="V869" s="7">
        <v>327.75</v>
      </c>
      <c r="W869" s="7">
        <v>297.07027734645828</v>
      </c>
      <c r="X869">
        <v>1</v>
      </c>
      <c r="Y869" s="7">
        <v>22.940000529999999</v>
      </c>
      <c r="Z869" s="7">
        <v>327.75</v>
      </c>
      <c r="AA869" s="7">
        <f t="shared" si="54"/>
        <v>304.80999946999998</v>
      </c>
      <c r="AB869" t="s">
        <v>45</v>
      </c>
      <c r="AC869" t="str">
        <f t="shared" si="55"/>
        <v>Non-Cash Payments</v>
      </c>
    </row>
    <row r="870" spans="1:29" x14ac:dyDescent="0.25">
      <c r="A870">
        <v>75882</v>
      </c>
      <c r="B870" s="2">
        <v>43435</v>
      </c>
      <c r="C870">
        <v>4</v>
      </c>
      <c r="D870" s="2">
        <f t="shared" si="52"/>
        <v>43440</v>
      </c>
      <c r="E870">
        <v>0</v>
      </c>
      <c r="F870" t="s">
        <v>62</v>
      </c>
      <c r="G870" t="str">
        <f t="shared" si="53"/>
        <v>Other</v>
      </c>
      <c r="H870">
        <v>73</v>
      </c>
      <c r="I870">
        <v>19435</v>
      </c>
      <c r="J870">
        <v>2</v>
      </c>
      <c r="K870" t="s">
        <v>136</v>
      </c>
      <c r="L870" t="s">
        <v>683</v>
      </c>
      <c r="M870" t="s">
        <v>813</v>
      </c>
      <c r="N870" t="s">
        <v>814</v>
      </c>
      <c r="P870" t="s">
        <v>699</v>
      </c>
      <c r="Q870" t="s">
        <v>700</v>
      </c>
      <c r="R870">
        <v>73</v>
      </c>
      <c r="T870">
        <v>1360</v>
      </c>
      <c r="U870" t="s">
        <v>1126</v>
      </c>
      <c r="V870" s="7">
        <v>327.75</v>
      </c>
      <c r="W870" s="7">
        <v>297.07027734645828</v>
      </c>
      <c r="X870">
        <v>1</v>
      </c>
      <c r="Y870" s="7">
        <v>29.5</v>
      </c>
      <c r="Z870" s="7">
        <v>327.75</v>
      </c>
      <c r="AA870" s="7">
        <f t="shared" si="54"/>
        <v>298.25</v>
      </c>
      <c r="AB870" t="s">
        <v>66</v>
      </c>
      <c r="AC870" t="str">
        <f t="shared" si="55"/>
        <v>Non-Cash Payments</v>
      </c>
    </row>
    <row r="871" spans="1:29" x14ac:dyDescent="0.25">
      <c r="A871">
        <v>75881</v>
      </c>
      <c r="B871" s="2">
        <v>43435</v>
      </c>
      <c r="C871">
        <v>4</v>
      </c>
      <c r="D871" s="2">
        <f t="shared" si="52"/>
        <v>43440</v>
      </c>
      <c r="E871">
        <v>0</v>
      </c>
      <c r="F871" t="s">
        <v>62</v>
      </c>
      <c r="G871" t="str">
        <f t="shared" si="53"/>
        <v>Other</v>
      </c>
      <c r="H871">
        <v>73</v>
      </c>
      <c r="I871">
        <v>19434</v>
      </c>
      <c r="J871">
        <v>2</v>
      </c>
      <c r="K871" t="s">
        <v>136</v>
      </c>
      <c r="L871" t="s">
        <v>683</v>
      </c>
      <c r="M871" t="s">
        <v>813</v>
      </c>
      <c r="N871" t="s">
        <v>814</v>
      </c>
      <c r="P871" t="s">
        <v>699</v>
      </c>
      <c r="Q871" t="s">
        <v>700</v>
      </c>
      <c r="R871">
        <v>73</v>
      </c>
      <c r="T871">
        <v>1360</v>
      </c>
      <c r="U871" t="s">
        <v>1126</v>
      </c>
      <c r="V871" s="7">
        <v>327.75</v>
      </c>
      <c r="W871" s="7">
        <v>297.07027734645828</v>
      </c>
      <c r="X871">
        <v>1</v>
      </c>
      <c r="Y871" s="7">
        <v>32.77999878</v>
      </c>
      <c r="Z871" s="7">
        <v>327.75</v>
      </c>
      <c r="AA871" s="7">
        <f t="shared" si="54"/>
        <v>294.97000121999997</v>
      </c>
      <c r="AB871" t="s">
        <v>45</v>
      </c>
      <c r="AC871" t="str">
        <f t="shared" si="55"/>
        <v>Non-Cash Payments</v>
      </c>
    </row>
    <row r="872" spans="1:29" x14ac:dyDescent="0.25">
      <c r="A872">
        <v>75880</v>
      </c>
      <c r="B872" s="2">
        <v>43435</v>
      </c>
      <c r="C872">
        <v>4</v>
      </c>
      <c r="D872" s="2">
        <f t="shared" si="52"/>
        <v>43440</v>
      </c>
      <c r="E872">
        <v>1</v>
      </c>
      <c r="F872" t="s">
        <v>62</v>
      </c>
      <c r="G872" t="str">
        <f t="shared" si="53"/>
        <v>Other</v>
      </c>
      <c r="H872">
        <v>73</v>
      </c>
      <c r="I872">
        <v>19433</v>
      </c>
      <c r="J872">
        <v>2</v>
      </c>
      <c r="K872" t="s">
        <v>136</v>
      </c>
      <c r="L872" t="s">
        <v>683</v>
      </c>
      <c r="M872" t="s">
        <v>813</v>
      </c>
      <c r="N872" t="s">
        <v>814</v>
      </c>
      <c r="P872" t="s">
        <v>699</v>
      </c>
      <c r="Q872" t="s">
        <v>700</v>
      </c>
      <c r="R872">
        <v>73</v>
      </c>
      <c r="T872">
        <v>1360</v>
      </c>
      <c r="U872" t="s">
        <v>1126</v>
      </c>
      <c r="V872" s="7">
        <v>327.75</v>
      </c>
      <c r="W872" s="7">
        <v>297.07027734645828</v>
      </c>
      <c r="X872">
        <v>1</v>
      </c>
      <c r="Y872" s="7">
        <v>39.33000183</v>
      </c>
      <c r="Z872" s="7">
        <v>327.75</v>
      </c>
      <c r="AA872" s="7">
        <f t="shared" si="54"/>
        <v>288.41999816999999</v>
      </c>
      <c r="AB872" t="s">
        <v>45</v>
      </c>
      <c r="AC872" t="str">
        <f t="shared" si="55"/>
        <v>Non-Cash Payments</v>
      </c>
    </row>
    <row r="873" spans="1:29" x14ac:dyDescent="0.25">
      <c r="A873">
        <v>75879</v>
      </c>
      <c r="B873" s="2">
        <v>43435</v>
      </c>
      <c r="C873">
        <v>4</v>
      </c>
      <c r="D873" s="2">
        <f t="shared" si="52"/>
        <v>43440</v>
      </c>
      <c r="E873">
        <v>1</v>
      </c>
      <c r="F873" t="s">
        <v>62</v>
      </c>
      <c r="G873" t="str">
        <f t="shared" si="53"/>
        <v>Other</v>
      </c>
      <c r="H873">
        <v>73</v>
      </c>
      <c r="I873">
        <v>19432</v>
      </c>
      <c r="J873">
        <v>2</v>
      </c>
      <c r="K873" t="s">
        <v>136</v>
      </c>
      <c r="L873" t="s">
        <v>683</v>
      </c>
      <c r="M873" t="s">
        <v>815</v>
      </c>
      <c r="N873" t="s">
        <v>710</v>
      </c>
      <c r="P873" t="s">
        <v>690</v>
      </c>
      <c r="Q873" t="s">
        <v>691</v>
      </c>
      <c r="R873">
        <v>73</v>
      </c>
      <c r="T873">
        <v>1360</v>
      </c>
      <c r="U873" t="s">
        <v>1126</v>
      </c>
      <c r="V873" s="7">
        <v>327.75</v>
      </c>
      <c r="W873" s="7">
        <v>297.07027734645828</v>
      </c>
      <c r="X873">
        <v>1</v>
      </c>
      <c r="Y873" s="7">
        <v>42.61000061</v>
      </c>
      <c r="Z873" s="7">
        <v>327.75</v>
      </c>
      <c r="AA873" s="7">
        <f t="shared" si="54"/>
        <v>285.13999939000001</v>
      </c>
      <c r="AB873" t="s">
        <v>66</v>
      </c>
      <c r="AC873" t="str">
        <f t="shared" si="55"/>
        <v>Non-Cash Payments</v>
      </c>
    </row>
    <row r="874" spans="1:29" x14ac:dyDescent="0.25">
      <c r="A874">
        <v>75878</v>
      </c>
      <c r="B874" s="2">
        <v>43435</v>
      </c>
      <c r="C874">
        <v>4</v>
      </c>
      <c r="D874" s="2">
        <f t="shared" si="52"/>
        <v>43440</v>
      </c>
      <c r="E874">
        <v>0</v>
      </c>
      <c r="F874" t="s">
        <v>62</v>
      </c>
      <c r="G874" t="str">
        <f t="shared" si="53"/>
        <v>Other</v>
      </c>
      <c r="H874">
        <v>73</v>
      </c>
      <c r="I874">
        <v>19431</v>
      </c>
      <c r="J874">
        <v>2</v>
      </c>
      <c r="K874" t="s">
        <v>136</v>
      </c>
      <c r="L874" t="s">
        <v>683</v>
      </c>
      <c r="M874" t="s">
        <v>815</v>
      </c>
      <c r="N874" t="s">
        <v>710</v>
      </c>
      <c r="P874" t="s">
        <v>690</v>
      </c>
      <c r="Q874" t="s">
        <v>691</v>
      </c>
      <c r="R874">
        <v>73</v>
      </c>
      <c r="T874">
        <v>1360</v>
      </c>
      <c r="U874" t="s">
        <v>1126</v>
      </c>
      <c r="V874" s="7">
        <v>327.75</v>
      </c>
      <c r="W874" s="7">
        <v>297.07027734645828</v>
      </c>
      <c r="X874">
        <v>1</v>
      </c>
      <c r="Y874" s="7">
        <v>49.159999849999998</v>
      </c>
      <c r="Z874" s="7">
        <v>327.75</v>
      </c>
      <c r="AA874" s="7">
        <f t="shared" si="54"/>
        <v>278.59000014999998</v>
      </c>
      <c r="AB874" t="s">
        <v>45</v>
      </c>
      <c r="AC874" t="str">
        <f t="shared" si="55"/>
        <v>Non-Cash Payments</v>
      </c>
    </row>
    <row r="875" spans="1:29" x14ac:dyDescent="0.25">
      <c r="A875">
        <v>75877</v>
      </c>
      <c r="B875" s="2">
        <v>43435</v>
      </c>
      <c r="C875">
        <v>4</v>
      </c>
      <c r="D875" s="2">
        <f t="shared" si="52"/>
        <v>43440</v>
      </c>
      <c r="E875">
        <v>0</v>
      </c>
      <c r="F875" t="s">
        <v>62</v>
      </c>
      <c r="G875" t="str">
        <f t="shared" si="53"/>
        <v>Other</v>
      </c>
      <c r="H875">
        <v>73</v>
      </c>
      <c r="I875">
        <v>19430</v>
      </c>
      <c r="J875">
        <v>2</v>
      </c>
      <c r="K875" t="s">
        <v>136</v>
      </c>
      <c r="L875" t="s">
        <v>683</v>
      </c>
      <c r="M875" t="s">
        <v>816</v>
      </c>
      <c r="N875" t="s">
        <v>817</v>
      </c>
      <c r="P875" t="s">
        <v>686</v>
      </c>
      <c r="Q875" t="s">
        <v>687</v>
      </c>
      <c r="R875">
        <v>73</v>
      </c>
      <c r="T875">
        <v>1360</v>
      </c>
      <c r="U875" t="s">
        <v>1126</v>
      </c>
      <c r="V875" s="7">
        <v>327.75</v>
      </c>
      <c r="W875" s="7">
        <v>297.07027734645828</v>
      </c>
      <c r="X875">
        <v>1</v>
      </c>
      <c r="Y875" s="7">
        <v>52.439998629999998</v>
      </c>
      <c r="Z875" s="7">
        <v>327.75</v>
      </c>
      <c r="AA875" s="7">
        <f t="shared" si="54"/>
        <v>275.31000137000001</v>
      </c>
      <c r="AB875" t="s">
        <v>66</v>
      </c>
      <c r="AC875" t="str">
        <f t="shared" si="55"/>
        <v>Non-Cash Payments</v>
      </c>
    </row>
    <row r="876" spans="1:29" x14ac:dyDescent="0.25">
      <c r="A876">
        <v>75876</v>
      </c>
      <c r="B876" s="2">
        <v>43435</v>
      </c>
      <c r="C876">
        <v>4</v>
      </c>
      <c r="D876" s="2">
        <f t="shared" si="52"/>
        <v>43440</v>
      </c>
      <c r="E876">
        <v>0</v>
      </c>
      <c r="F876" t="s">
        <v>62</v>
      </c>
      <c r="G876" t="str">
        <f t="shared" si="53"/>
        <v>Other</v>
      </c>
      <c r="H876">
        <v>73</v>
      </c>
      <c r="I876">
        <v>19429</v>
      </c>
      <c r="J876">
        <v>2</v>
      </c>
      <c r="K876" t="s">
        <v>136</v>
      </c>
      <c r="L876" t="s">
        <v>683</v>
      </c>
      <c r="M876" t="s">
        <v>816</v>
      </c>
      <c r="N876" t="s">
        <v>817</v>
      </c>
      <c r="P876" t="s">
        <v>686</v>
      </c>
      <c r="Q876" t="s">
        <v>687</v>
      </c>
      <c r="R876">
        <v>73</v>
      </c>
      <c r="T876">
        <v>1360</v>
      </c>
      <c r="U876" t="s">
        <v>1126</v>
      </c>
      <c r="V876" s="7">
        <v>327.75</v>
      </c>
      <c r="W876" s="7">
        <v>297.07027734645828</v>
      </c>
      <c r="X876">
        <v>1</v>
      </c>
      <c r="Y876" s="7">
        <v>55.72000122</v>
      </c>
      <c r="Z876" s="7">
        <v>327.75</v>
      </c>
      <c r="AA876" s="7">
        <f t="shared" si="54"/>
        <v>272.02999878000003</v>
      </c>
      <c r="AB876" t="s">
        <v>66</v>
      </c>
      <c r="AC876" t="str">
        <f t="shared" si="55"/>
        <v>Non-Cash Payments</v>
      </c>
    </row>
    <row r="877" spans="1:29" x14ac:dyDescent="0.25">
      <c r="A877">
        <v>75875</v>
      </c>
      <c r="B877" s="2">
        <v>43435</v>
      </c>
      <c r="C877">
        <v>2</v>
      </c>
      <c r="D877" s="2">
        <f t="shared" si="52"/>
        <v>43438</v>
      </c>
      <c r="E877">
        <v>1</v>
      </c>
      <c r="F877" t="s">
        <v>23</v>
      </c>
      <c r="G877" t="str">
        <f t="shared" si="53"/>
        <v>Other</v>
      </c>
      <c r="H877">
        <v>73</v>
      </c>
      <c r="I877">
        <v>19428</v>
      </c>
      <c r="J877">
        <v>2</v>
      </c>
      <c r="K877" t="s">
        <v>136</v>
      </c>
      <c r="L877" t="s">
        <v>683</v>
      </c>
      <c r="M877" t="s">
        <v>816</v>
      </c>
      <c r="N877" t="s">
        <v>817</v>
      </c>
      <c r="P877" t="s">
        <v>686</v>
      </c>
      <c r="Q877" t="s">
        <v>687</v>
      </c>
      <c r="R877">
        <v>73</v>
      </c>
      <c r="T877">
        <v>1360</v>
      </c>
      <c r="U877" t="s">
        <v>1126</v>
      </c>
      <c r="V877" s="7">
        <v>327.75</v>
      </c>
      <c r="W877" s="7">
        <v>297.07027734645828</v>
      </c>
      <c r="X877">
        <v>1</v>
      </c>
      <c r="Y877" s="7">
        <v>59</v>
      </c>
      <c r="Z877" s="7">
        <v>327.75</v>
      </c>
      <c r="AA877" s="7">
        <f t="shared" si="54"/>
        <v>268.75</v>
      </c>
      <c r="AB877" t="s">
        <v>30</v>
      </c>
      <c r="AC877" t="str">
        <f t="shared" si="55"/>
        <v>Cash Over 200</v>
      </c>
    </row>
    <row r="878" spans="1:29" x14ac:dyDescent="0.25">
      <c r="A878">
        <v>75874</v>
      </c>
      <c r="B878" s="2">
        <v>43435</v>
      </c>
      <c r="C878">
        <v>4</v>
      </c>
      <c r="D878" s="2">
        <f t="shared" si="52"/>
        <v>43440</v>
      </c>
      <c r="E878">
        <v>1</v>
      </c>
      <c r="F878" t="s">
        <v>62</v>
      </c>
      <c r="G878" t="str">
        <f t="shared" si="53"/>
        <v>Other</v>
      </c>
      <c r="H878">
        <v>73</v>
      </c>
      <c r="I878">
        <v>19427</v>
      </c>
      <c r="J878">
        <v>2</v>
      </c>
      <c r="K878" t="s">
        <v>136</v>
      </c>
      <c r="L878" t="s">
        <v>683</v>
      </c>
      <c r="M878" t="s">
        <v>816</v>
      </c>
      <c r="N878" t="s">
        <v>817</v>
      </c>
      <c r="P878" t="s">
        <v>686</v>
      </c>
      <c r="Q878" t="s">
        <v>687</v>
      </c>
      <c r="R878">
        <v>73</v>
      </c>
      <c r="T878">
        <v>1360</v>
      </c>
      <c r="U878" t="s">
        <v>1126</v>
      </c>
      <c r="V878" s="7">
        <v>327.75</v>
      </c>
      <c r="W878" s="7">
        <v>297.07027734645828</v>
      </c>
      <c r="X878">
        <v>1</v>
      </c>
      <c r="Y878" s="7">
        <v>65.550003050000001</v>
      </c>
      <c r="Z878" s="7">
        <v>327.75</v>
      </c>
      <c r="AA878" s="7">
        <f t="shared" si="54"/>
        <v>262.19999695000001</v>
      </c>
      <c r="AB878" t="s">
        <v>30</v>
      </c>
      <c r="AC878" t="str">
        <f t="shared" si="55"/>
        <v>Cash Over 200</v>
      </c>
    </row>
    <row r="879" spans="1:29" x14ac:dyDescent="0.25">
      <c r="A879">
        <v>75873</v>
      </c>
      <c r="B879" s="2">
        <v>43435</v>
      </c>
      <c r="C879">
        <v>4</v>
      </c>
      <c r="D879" s="2">
        <f t="shared" si="52"/>
        <v>43440</v>
      </c>
      <c r="E879">
        <v>0</v>
      </c>
      <c r="F879" t="s">
        <v>62</v>
      </c>
      <c r="G879" t="str">
        <f t="shared" si="53"/>
        <v>Other</v>
      </c>
      <c r="H879">
        <v>73</v>
      </c>
      <c r="I879">
        <v>19426</v>
      </c>
      <c r="J879">
        <v>2</v>
      </c>
      <c r="K879" t="s">
        <v>136</v>
      </c>
      <c r="L879" t="s">
        <v>683</v>
      </c>
      <c r="M879" t="s">
        <v>818</v>
      </c>
      <c r="N879" t="s">
        <v>706</v>
      </c>
      <c r="P879" t="s">
        <v>690</v>
      </c>
      <c r="Q879" t="s">
        <v>691</v>
      </c>
      <c r="R879">
        <v>73</v>
      </c>
      <c r="T879">
        <v>1360</v>
      </c>
      <c r="U879" t="s">
        <v>1126</v>
      </c>
      <c r="V879" s="7">
        <v>327.75</v>
      </c>
      <c r="W879" s="7">
        <v>297.07027734645828</v>
      </c>
      <c r="X879">
        <v>1</v>
      </c>
      <c r="Y879" s="7">
        <v>81.940002440000001</v>
      </c>
      <c r="Z879" s="7">
        <v>327.75</v>
      </c>
      <c r="AA879" s="7">
        <f t="shared" si="54"/>
        <v>245.80999756</v>
      </c>
      <c r="AB879" t="s">
        <v>66</v>
      </c>
      <c r="AC879" t="str">
        <f t="shared" si="55"/>
        <v>Non-Cash Payments</v>
      </c>
    </row>
    <row r="880" spans="1:29" x14ac:dyDescent="0.25">
      <c r="A880">
        <v>75872</v>
      </c>
      <c r="B880" s="2">
        <v>43435</v>
      </c>
      <c r="C880">
        <v>4</v>
      </c>
      <c r="D880" s="2">
        <f t="shared" si="52"/>
        <v>43440</v>
      </c>
      <c r="E880">
        <v>0</v>
      </c>
      <c r="F880" t="s">
        <v>62</v>
      </c>
      <c r="G880" t="str">
        <f t="shared" si="53"/>
        <v>Other</v>
      </c>
      <c r="H880">
        <v>73</v>
      </c>
      <c r="I880">
        <v>19425</v>
      </c>
      <c r="J880">
        <v>2</v>
      </c>
      <c r="K880" t="s">
        <v>136</v>
      </c>
      <c r="L880" t="s">
        <v>683</v>
      </c>
      <c r="M880" t="s">
        <v>818</v>
      </c>
      <c r="N880" t="s">
        <v>706</v>
      </c>
      <c r="P880" t="s">
        <v>690</v>
      </c>
      <c r="Q880" t="s">
        <v>691</v>
      </c>
      <c r="R880">
        <v>73</v>
      </c>
      <c r="T880">
        <v>1360</v>
      </c>
      <c r="U880" t="s">
        <v>1126</v>
      </c>
      <c r="V880" s="7">
        <v>327.75</v>
      </c>
      <c r="W880" s="7">
        <v>297.07027734645828</v>
      </c>
      <c r="X880">
        <v>1</v>
      </c>
      <c r="Y880" s="7">
        <v>0</v>
      </c>
      <c r="Z880" s="7">
        <v>327.75</v>
      </c>
      <c r="AA880" s="7">
        <f t="shared" si="54"/>
        <v>327.75</v>
      </c>
      <c r="AB880" t="s">
        <v>66</v>
      </c>
      <c r="AC880" t="str">
        <f t="shared" si="55"/>
        <v>Non-Cash Payments</v>
      </c>
    </row>
    <row r="881" spans="1:29" x14ac:dyDescent="0.25">
      <c r="A881">
        <v>75871</v>
      </c>
      <c r="B881" s="2">
        <v>43435</v>
      </c>
      <c r="C881">
        <v>1</v>
      </c>
      <c r="D881" s="2">
        <f t="shared" si="52"/>
        <v>43437</v>
      </c>
      <c r="E881">
        <v>1</v>
      </c>
      <c r="F881" t="s">
        <v>187</v>
      </c>
      <c r="G881" t="str">
        <f t="shared" si="53"/>
        <v>Other</v>
      </c>
      <c r="H881">
        <v>73</v>
      </c>
      <c r="I881">
        <v>19424</v>
      </c>
      <c r="J881">
        <v>2</v>
      </c>
      <c r="K881" t="s">
        <v>136</v>
      </c>
      <c r="L881" t="s">
        <v>683</v>
      </c>
      <c r="M881" t="s">
        <v>818</v>
      </c>
      <c r="N881" t="s">
        <v>706</v>
      </c>
      <c r="P881" t="s">
        <v>690</v>
      </c>
      <c r="Q881" t="s">
        <v>691</v>
      </c>
      <c r="R881">
        <v>73</v>
      </c>
      <c r="T881">
        <v>1360</v>
      </c>
      <c r="U881" t="s">
        <v>1126</v>
      </c>
      <c r="V881" s="7">
        <v>327.75</v>
      </c>
      <c r="W881" s="7">
        <v>297.07027734645828</v>
      </c>
      <c r="X881">
        <v>1</v>
      </c>
      <c r="Y881" s="7">
        <v>3.2799999710000001</v>
      </c>
      <c r="Z881" s="7">
        <v>327.75</v>
      </c>
      <c r="AA881" s="7">
        <f t="shared" si="54"/>
        <v>324.470000029</v>
      </c>
      <c r="AB881" t="s">
        <v>45</v>
      </c>
      <c r="AC881" t="str">
        <f t="shared" si="55"/>
        <v>Non-Cash Payments</v>
      </c>
    </row>
    <row r="882" spans="1:29" x14ac:dyDescent="0.25">
      <c r="A882">
        <v>75870</v>
      </c>
      <c r="B882" s="2">
        <v>43435</v>
      </c>
      <c r="C882">
        <v>1</v>
      </c>
      <c r="D882" s="2">
        <f t="shared" si="52"/>
        <v>43437</v>
      </c>
      <c r="E882">
        <v>1</v>
      </c>
      <c r="F882" t="s">
        <v>187</v>
      </c>
      <c r="G882" t="str">
        <f t="shared" si="53"/>
        <v>Other</v>
      </c>
      <c r="H882">
        <v>73</v>
      </c>
      <c r="I882">
        <v>19423</v>
      </c>
      <c r="J882">
        <v>2</v>
      </c>
      <c r="K882" t="s">
        <v>136</v>
      </c>
      <c r="L882" t="s">
        <v>683</v>
      </c>
      <c r="M882" t="s">
        <v>818</v>
      </c>
      <c r="N882" t="s">
        <v>706</v>
      </c>
      <c r="P882" t="s">
        <v>690</v>
      </c>
      <c r="Q882" t="s">
        <v>691</v>
      </c>
      <c r="R882">
        <v>73</v>
      </c>
      <c r="T882">
        <v>1360</v>
      </c>
      <c r="U882" t="s">
        <v>1126</v>
      </c>
      <c r="V882" s="7">
        <v>327.75</v>
      </c>
      <c r="W882" s="7">
        <v>297.07027734645828</v>
      </c>
      <c r="X882">
        <v>1</v>
      </c>
      <c r="Y882" s="7">
        <v>6.5599999430000002</v>
      </c>
      <c r="Z882" s="7">
        <v>327.75</v>
      </c>
      <c r="AA882" s="7">
        <f t="shared" si="54"/>
        <v>321.19000005700002</v>
      </c>
      <c r="AB882" t="s">
        <v>45</v>
      </c>
      <c r="AC882" t="str">
        <f t="shared" si="55"/>
        <v>Non-Cash Payments</v>
      </c>
    </row>
    <row r="883" spans="1:29" x14ac:dyDescent="0.25">
      <c r="A883">
        <v>75869</v>
      </c>
      <c r="B883" s="2">
        <v>43435</v>
      </c>
      <c r="C883">
        <v>1</v>
      </c>
      <c r="D883" s="2">
        <f t="shared" si="52"/>
        <v>43437</v>
      </c>
      <c r="E883">
        <v>1</v>
      </c>
      <c r="F883" t="s">
        <v>187</v>
      </c>
      <c r="G883" t="str">
        <f t="shared" si="53"/>
        <v>Other</v>
      </c>
      <c r="H883">
        <v>73</v>
      </c>
      <c r="I883">
        <v>19422</v>
      </c>
      <c r="J883">
        <v>2</v>
      </c>
      <c r="K883" t="s">
        <v>136</v>
      </c>
      <c r="L883" t="s">
        <v>683</v>
      </c>
      <c r="M883" t="s">
        <v>818</v>
      </c>
      <c r="N883" t="s">
        <v>706</v>
      </c>
      <c r="P883" t="s">
        <v>690</v>
      </c>
      <c r="Q883" t="s">
        <v>691</v>
      </c>
      <c r="R883">
        <v>73</v>
      </c>
      <c r="T883">
        <v>1360</v>
      </c>
      <c r="U883" t="s">
        <v>1126</v>
      </c>
      <c r="V883" s="7">
        <v>327.75</v>
      </c>
      <c r="W883" s="7">
        <v>297.07027734645828</v>
      </c>
      <c r="X883">
        <v>1</v>
      </c>
      <c r="Y883" s="7">
        <v>9.8299999239999991</v>
      </c>
      <c r="Z883" s="7">
        <v>327.75</v>
      </c>
      <c r="AA883" s="7">
        <f t="shared" si="54"/>
        <v>317.92000007600001</v>
      </c>
      <c r="AB883" t="s">
        <v>45</v>
      </c>
      <c r="AC883" t="str">
        <f t="shared" si="55"/>
        <v>Non-Cash Payments</v>
      </c>
    </row>
    <row r="884" spans="1:29" x14ac:dyDescent="0.25">
      <c r="A884">
        <v>75868</v>
      </c>
      <c r="B884" s="2">
        <v>43435</v>
      </c>
      <c r="C884">
        <v>1</v>
      </c>
      <c r="D884" s="2">
        <f t="shared" si="52"/>
        <v>43437</v>
      </c>
      <c r="E884">
        <v>1</v>
      </c>
      <c r="F884" t="s">
        <v>187</v>
      </c>
      <c r="G884" t="str">
        <f t="shared" si="53"/>
        <v>Other</v>
      </c>
      <c r="H884">
        <v>73</v>
      </c>
      <c r="I884">
        <v>19421</v>
      </c>
      <c r="J884">
        <v>2</v>
      </c>
      <c r="K884" t="s">
        <v>136</v>
      </c>
      <c r="L884" t="s">
        <v>683</v>
      </c>
      <c r="M884" t="s">
        <v>819</v>
      </c>
      <c r="N884" t="s">
        <v>779</v>
      </c>
      <c r="P884" t="s">
        <v>699</v>
      </c>
      <c r="Q884" t="s">
        <v>700</v>
      </c>
      <c r="R884">
        <v>73</v>
      </c>
      <c r="T884">
        <v>1360</v>
      </c>
      <c r="U884" t="s">
        <v>1126</v>
      </c>
      <c r="V884" s="7">
        <v>327.75</v>
      </c>
      <c r="W884" s="7">
        <v>297.07027734645828</v>
      </c>
      <c r="X884">
        <v>1</v>
      </c>
      <c r="Y884" s="7">
        <v>13.10999966</v>
      </c>
      <c r="Z884" s="7">
        <v>327.75</v>
      </c>
      <c r="AA884" s="7">
        <f t="shared" si="54"/>
        <v>314.64000034000003</v>
      </c>
      <c r="AB884" t="s">
        <v>66</v>
      </c>
      <c r="AC884" t="str">
        <f t="shared" si="55"/>
        <v>Non-Cash Payments</v>
      </c>
    </row>
    <row r="885" spans="1:29" x14ac:dyDescent="0.25">
      <c r="A885">
        <v>75867</v>
      </c>
      <c r="B885" s="2">
        <v>43435</v>
      </c>
      <c r="C885">
        <v>0</v>
      </c>
      <c r="D885" s="2">
        <f t="shared" si="52"/>
        <v>43435</v>
      </c>
      <c r="E885">
        <v>0</v>
      </c>
      <c r="F885" t="s">
        <v>214</v>
      </c>
      <c r="G885" t="str">
        <f t="shared" si="53"/>
        <v>Same Day - On Time</v>
      </c>
      <c r="H885">
        <v>73</v>
      </c>
      <c r="I885">
        <v>19420</v>
      </c>
      <c r="J885">
        <v>2</v>
      </c>
      <c r="K885" t="s">
        <v>136</v>
      </c>
      <c r="L885" t="s">
        <v>683</v>
      </c>
      <c r="M885" t="s">
        <v>820</v>
      </c>
      <c r="N885" t="s">
        <v>820</v>
      </c>
      <c r="P885" t="s">
        <v>686</v>
      </c>
      <c r="Q885" t="s">
        <v>687</v>
      </c>
      <c r="R885">
        <v>73</v>
      </c>
      <c r="T885">
        <v>1360</v>
      </c>
      <c r="U885" t="s">
        <v>1126</v>
      </c>
      <c r="V885" s="7">
        <v>327.75</v>
      </c>
      <c r="W885" s="7">
        <v>297.07027734645828</v>
      </c>
      <c r="X885">
        <v>1</v>
      </c>
      <c r="Y885" s="7">
        <v>16.38999939</v>
      </c>
      <c r="Z885" s="7">
        <v>327.75</v>
      </c>
      <c r="AA885" s="7">
        <f t="shared" si="54"/>
        <v>311.36000060999999</v>
      </c>
      <c r="AB885" t="s">
        <v>66</v>
      </c>
      <c r="AC885" t="str">
        <f t="shared" si="55"/>
        <v>Non-Cash Payments</v>
      </c>
    </row>
    <row r="886" spans="1:29" x14ac:dyDescent="0.25">
      <c r="A886">
        <v>75866</v>
      </c>
      <c r="B886" s="2">
        <v>43435</v>
      </c>
      <c r="C886">
        <v>0</v>
      </c>
      <c r="D886" s="2">
        <f t="shared" si="52"/>
        <v>43435</v>
      </c>
      <c r="E886">
        <v>0</v>
      </c>
      <c r="F886" t="s">
        <v>214</v>
      </c>
      <c r="G886" t="str">
        <f t="shared" si="53"/>
        <v>Same Day - On Time</v>
      </c>
      <c r="H886">
        <v>73</v>
      </c>
      <c r="I886">
        <v>19419</v>
      </c>
      <c r="J886">
        <v>2</v>
      </c>
      <c r="K886" t="s">
        <v>136</v>
      </c>
      <c r="L886" t="s">
        <v>683</v>
      </c>
      <c r="M886" t="s">
        <v>820</v>
      </c>
      <c r="N886" t="s">
        <v>820</v>
      </c>
      <c r="P886" t="s">
        <v>686</v>
      </c>
      <c r="Q886" t="s">
        <v>687</v>
      </c>
      <c r="R886">
        <v>73</v>
      </c>
      <c r="T886">
        <v>1360</v>
      </c>
      <c r="U886" t="s">
        <v>1126</v>
      </c>
      <c r="V886" s="7">
        <v>327.75</v>
      </c>
      <c r="W886" s="7">
        <v>297.07027734645828</v>
      </c>
      <c r="X886">
        <v>1</v>
      </c>
      <c r="Y886" s="7">
        <v>18.030000690000001</v>
      </c>
      <c r="Z886" s="7">
        <v>327.75</v>
      </c>
      <c r="AA886" s="7">
        <f t="shared" si="54"/>
        <v>309.71999930999999</v>
      </c>
      <c r="AB886" t="s">
        <v>30</v>
      </c>
      <c r="AC886" t="str">
        <f t="shared" si="55"/>
        <v>Cash Over 200</v>
      </c>
    </row>
    <row r="887" spans="1:29" x14ac:dyDescent="0.25">
      <c r="A887">
        <v>75865</v>
      </c>
      <c r="B887" s="2">
        <v>43435</v>
      </c>
      <c r="C887">
        <v>0</v>
      </c>
      <c r="D887" s="2">
        <f t="shared" si="52"/>
        <v>43435</v>
      </c>
      <c r="E887">
        <v>0</v>
      </c>
      <c r="F887" t="s">
        <v>214</v>
      </c>
      <c r="G887" t="str">
        <f t="shared" si="53"/>
        <v>Same Day - On Time</v>
      </c>
      <c r="H887">
        <v>73</v>
      </c>
      <c r="I887">
        <v>19418</v>
      </c>
      <c r="J887">
        <v>2</v>
      </c>
      <c r="K887" t="s">
        <v>136</v>
      </c>
      <c r="L887" t="s">
        <v>683</v>
      </c>
      <c r="M887" t="s">
        <v>696</v>
      </c>
      <c r="N887" t="s">
        <v>693</v>
      </c>
      <c r="P887" t="s">
        <v>694</v>
      </c>
      <c r="Q887" t="s">
        <v>695</v>
      </c>
      <c r="R887">
        <v>73</v>
      </c>
      <c r="T887">
        <v>1360</v>
      </c>
      <c r="U887" t="s">
        <v>1126</v>
      </c>
      <c r="V887" s="7">
        <v>327.75</v>
      </c>
      <c r="W887" s="7">
        <v>297.07027734645828</v>
      </c>
      <c r="X887">
        <v>1</v>
      </c>
      <c r="Y887" s="7">
        <v>22.940000529999999</v>
      </c>
      <c r="Z887" s="7">
        <v>327.75</v>
      </c>
      <c r="AA887" s="7">
        <f t="shared" si="54"/>
        <v>304.80999946999998</v>
      </c>
      <c r="AB887" t="s">
        <v>30</v>
      </c>
      <c r="AC887" t="str">
        <f t="shared" si="55"/>
        <v>Cash Over 200</v>
      </c>
    </row>
    <row r="888" spans="1:29" x14ac:dyDescent="0.25">
      <c r="A888">
        <v>75864</v>
      </c>
      <c r="B888" s="2">
        <v>43435</v>
      </c>
      <c r="C888">
        <v>4</v>
      </c>
      <c r="D888" s="2">
        <f t="shared" si="52"/>
        <v>43440</v>
      </c>
      <c r="E888">
        <v>1</v>
      </c>
      <c r="F888" t="s">
        <v>62</v>
      </c>
      <c r="G888" t="str">
        <f t="shared" si="53"/>
        <v>Other</v>
      </c>
      <c r="H888">
        <v>73</v>
      </c>
      <c r="I888">
        <v>19417</v>
      </c>
      <c r="J888">
        <v>2</v>
      </c>
      <c r="K888" t="s">
        <v>136</v>
      </c>
      <c r="L888" t="s">
        <v>683</v>
      </c>
      <c r="M888" t="s">
        <v>696</v>
      </c>
      <c r="N888" t="s">
        <v>693</v>
      </c>
      <c r="P888" t="s">
        <v>694</v>
      </c>
      <c r="Q888" t="s">
        <v>695</v>
      </c>
      <c r="R888">
        <v>73</v>
      </c>
      <c r="T888">
        <v>1360</v>
      </c>
      <c r="U888" t="s">
        <v>1126</v>
      </c>
      <c r="V888" s="7">
        <v>327.75</v>
      </c>
      <c r="W888" s="7">
        <v>297.07027734645828</v>
      </c>
      <c r="X888">
        <v>1</v>
      </c>
      <c r="Y888" s="7">
        <v>29.5</v>
      </c>
      <c r="Z888" s="7">
        <v>327.75</v>
      </c>
      <c r="AA888" s="7">
        <f t="shared" si="54"/>
        <v>298.25</v>
      </c>
      <c r="AB888" t="s">
        <v>66</v>
      </c>
      <c r="AC888" t="str">
        <f t="shared" si="55"/>
        <v>Non-Cash Payments</v>
      </c>
    </row>
    <row r="889" spans="1:29" x14ac:dyDescent="0.25">
      <c r="A889">
        <v>75863</v>
      </c>
      <c r="B889" s="2">
        <v>43435</v>
      </c>
      <c r="C889">
        <v>4</v>
      </c>
      <c r="D889" s="2">
        <f t="shared" si="52"/>
        <v>43440</v>
      </c>
      <c r="E889">
        <v>0</v>
      </c>
      <c r="F889" t="s">
        <v>62</v>
      </c>
      <c r="G889" t="str">
        <f t="shared" si="53"/>
        <v>Other</v>
      </c>
      <c r="H889">
        <v>73</v>
      </c>
      <c r="I889">
        <v>19416</v>
      </c>
      <c r="J889">
        <v>2</v>
      </c>
      <c r="K889" t="s">
        <v>136</v>
      </c>
      <c r="L889" t="s">
        <v>683</v>
      </c>
      <c r="M889" t="s">
        <v>696</v>
      </c>
      <c r="N889" t="s">
        <v>693</v>
      </c>
      <c r="P889" t="s">
        <v>694</v>
      </c>
      <c r="Q889" t="s">
        <v>695</v>
      </c>
      <c r="R889">
        <v>73</v>
      </c>
      <c r="T889">
        <v>1360</v>
      </c>
      <c r="U889" t="s">
        <v>1126</v>
      </c>
      <c r="V889" s="7">
        <v>327.75</v>
      </c>
      <c r="W889" s="7">
        <v>297.07027734645828</v>
      </c>
      <c r="X889">
        <v>1</v>
      </c>
      <c r="Y889" s="7">
        <v>32.77999878</v>
      </c>
      <c r="Z889" s="7">
        <v>327.75</v>
      </c>
      <c r="AA889" s="7">
        <f t="shared" si="54"/>
        <v>294.97000121999997</v>
      </c>
      <c r="AB889" t="s">
        <v>30</v>
      </c>
      <c r="AC889" t="str">
        <f t="shared" si="55"/>
        <v>Cash Over 200</v>
      </c>
    </row>
    <row r="890" spans="1:29" x14ac:dyDescent="0.25">
      <c r="A890">
        <v>75862</v>
      </c>
      <c r="B890" s="2">
        <v>43435</v>
      </c>
      <c r="C890">
        <v>4</v>
      </c>
      <c r="D890" s="2">
        <f t="shared" si="52"/>
        <v>43440</v>
      </c>
      <c r="E890">
        <v>0</v>
      </c>
      <c r="F890" t="s">
        <v>62</v>
      </c>
      <c r="G890" t="str">
        <f t="shared" si="53"/>
        <v>Other</v>
      </c>
      <c r="H890">
        <v>73</v>
      </c>
      <c r="I890">
        <v>19415</v>
      </c>
      <c r="J890">
        <v>2</v>
      </c>
      <c r="K890" t="s">
        <v>136</v>
      </c>
      <c r="L890" t="s">
        <v>683</v>
      </c>
      <c r="M890" t="s">
        <v>821</v>
      </c>
      <c r="N890" t="s">
        <v>693</v>
      </c>
      <c r="P890" t="s">
        <v>694</v>
      </c>
      <c r="Q890" t="s">
        <v>695</v>
      </c>
      <c r="R890">
        <v>73</v>
      </c>
      <c r="T890">
        <v>1360</v>
      </c>
      <c r="U890" t="s">
        <v>1126</v>
      </c>
      <c r="V890" s="7">
        <v>327.75</v>
      </c>
      <c r="W890" s="7">
        <v>297.07027734645828</v>
      </c>
      <c r="X890">
        <v>1</v>
      </c>
      <c r="Y890" s="7">
        <v>39.33000183</v>
      </c>
      <c r="Z890" s="7">
        <v>327.75</v>
      </c>
      <c r="AA890" s="7">
        <f t="shared" si="54"/>
        <v>288.41999816999999</v>
      </c>
      <c r="AB890" t="s">
        <v>66</v>
      </c>
      <c r="AC890" t="str">
        <f t="shared" si="55"/>
        <v>Non-Cash Payments</v>
      </c>
    </row>
    <row r="891" spans="1:29" x14ac:dyDescent="0.25">
      <c r="A891">
        <v>75861</v>
      </c>
      <c r="B891" s="2">
        <v>43435</v>
      </c>
      <c r="C891">
        <v>4</v>
      </c>
      <c r="D891" s="2">
        <f t="shared" si="52"/>
        <v>43440</v>
      </c>
      <c r="E891">
        <v>0</v>
      </c>
      <c r="F891" t="s">
        <v>62</v>
      </c>
      <c r="G891" t="str">
        <f t="shared" si="53"/>
        <v>Other</v>
      </c>
      <c r="H891">
        <v>73</v>
      </c>
      <c r="I891">
        <v>19414</v>
      </c>
      <c r="J891">
        <v>2</v>
      </c>
      <c r="K891" t="s">
        <v>136</v>
      </c>
      <c r="L891" t="s">
        <v>683</v>
      </c>
      <c r="M891" t="s">
        <v>821</v>
      </c>
      <c r="N891" t="s">
        <v>693</v>
      </c>
      <c r="P891" t="s">
        <v>694</v>
      </c>
      <c r="Q891" t="s">
        <v>695</v>
      </c>
      <c r="R891">
        <v>73</v>
      </c>
      <c r="T891">
        <v>1360</v>
      </c>
      <c r="U891" t="s">
        <v>1126</v>
      </c>
      <c r="V891" s="7">
        <v>327.75</v>
      </c>
      <c r="W891" s="7">
        <v>297.07027734645828</v>
      </c>
      <c r="X891">
        <v>1</v>
      </c>
      <c r="Y891" s="7">
        <v>42.61000061</v>
      </c>
      <c r="Z891" s="7">
        <v>327.75</v>
      </c>
      <c r="AA891" s="7">
        <f t="shared" si="54"/>
        <v>285.13999939000001</v>
      </c>
      <c r="AB891" t="s">
        <v>45</v>
      </c>
      <c r="AC891" t="str">
        <f t="shared" si="55"/>
        <v>Non-Cash Payments</v>
      </c>
    </row>
    <row r="892" spans="1:29" x14ac:dyDescent="0.25">
      <c r="A892">
        <v>75860</v>
      </c>
      <c r="B892" s="2">
        <v>43435</v>
      </c>
      <c r="C892">
        <v>4</v>
      </c>
      <c r="D892" s="2">
        <f t="shared" si="52"/>
        <v>43440</v>
      </c>
      <c r="E892">
        <v>1</v>
      </c>
      <c r="F892" t="s">
        <v>62</v>
      </c>
      <c r="G892" t="str">
        <f t="shared" si="53"/>
        <v>Other</v>
      </c>
      <c r="H892">
        <v>73</v>
      </c>
      <c r="I892">
        <v>19413</v>
      </c>
      <c r="J892">
        <v>2</v>
      </c>
      <c r="K892" t="s">
        <v>136</v>
      </c>
      <c r="L892" t="s">
        <v>683</v>
      </c>
      <c r="M892" t="s">
        <v>821</v>
      </c>
      <c r="N892" t="s">
        <v>693</v>
      </c>
      <c r="P892" t="s">
        <v>694</v>
      </c>
      <c r="Q892" t="s">
        <v>695</v>
      </c>
      <c r="R892">
        <v>73</v>
      </c>
      <c r="T892">
        <v>1360</v>
      </c>
      <c r="U892" t="s">
        <v>1126</v>
      </c>
      <c r="V892" s="7">
        <v>327.75</v>
      </c>
      <c r="W892" s="7">
        <v>297.07027734645828</v>
      </c>
      <c r="X892">
        <v>1</v>
      </c>
      <c r="Y892" s="7">
        <v>49.159999849999998</v>
      </c>
      <c r="Z892" s="7">
        <v>327.75</v>
      </c>
      <c r="AA892" s="7">
        <f t="shared" si="54"/>
        <v>278.59000014999998</v>
      </c>
      <c r="AB892" t="s">
        <v>45</v>
      </c>
      <c r="AC892" t="str">
        <f t="shared" si="55"/>
        <v>Non-Cash Payments</v>
      </c>
    </row>
    <row r="893" spans="1:29" x14ac:dyDescent="0.25">
      <c r="A893">
        <v>75859</v>
      </c>
      <c r="B893" s="2">
        <v>43435</v>
      </c>
      <c r="C893">
        <v>4</v>
      </c>
      <c r="D893" s="2">
        <f t="shared" si="52"/>
        <v>43440</v>
      </c>
      <c r="E893">
        <v>0</v>
      </c>
      <c r="F893" t="s">
        <v>62</v>
      </c>
      <c r="G893" t="str">
        <f t="shared" si="53"/>
        <v>Other</v>
      </c>
      <c r="H893">
        <v>73</v>
      </c>
      <c r="I893">
        <v>19412</v>
      </c>
      <c r="J893">
        <v>2</v>
      </c>
      <c r="K893" t="s">
        <v>136</v>
      </c>
      <c r="L893" t="s">
        <v>683</v>
      </c>
      <c r="M893" t="s">
        <v>822</v>
      </c>
      <c r="N893" t="s">
        <v>823</v>
      </c>
      <c r="P893" t="s">
        <v>699</v>
      </c>
      <c r="Q893" t="s">
        <v>700</v>
      </c>
      <c r="R893">
        <v>73</v>
      </c>
      <c r="T893">
        <v>1360</v>
      </c>
      <c r="U893" t="s">
        <v>1126</v>
      </c>
      <c r="V893" s="7">
        <v>327.75</v>
      </c>
      <c r="W893" s="7">
        <v>297.07027734645828</v>
      </c>
      <c r="X893">
        <v>1</v>
      </c>
      <c r="Y893" s="7">
        <v>52.439998629999998</v>
      </c>
      <c r="Z893" s="7">
        <v>327.75</v>
      </c>
      <c r="AA893" s="7">
        <f t="shared" si="54"/>
        <v>275.31000137000001</v>
      </c>
      <c r="AB893" t="s">
        <v>66</v>
      </c>
      <c r="AC893" t="str">
        <f t="shared" si="55"/>
        <v>Non-Cash Payments</v>
      </c>
    </row>
    <row r="894" spans="1:29" x14ac:dyDescent="0.25">
      <c r="A894">
        <v>75858</v>
      </c>
      <c r="B894" s="2">
        <v>43435</v>
      </c>
      <c r="C894">
        <v>2</v>
      </c>
      <c r="D894" s="2">
        <f t="shared" si="52"/>
        <v>43438</v>
      </c>
      <c r="E894">
        <v>1</v>
      </c>
      <c r="F894" t="s">
        <v>23</v>
      </c>
      <c r="G894" t="str">
        <f t="shared" si="53"/>
        <v>Other</v>
      </c>
      <c r="H894">
        <v>73</v>
      </c>
      <c r="I894">
        <v>19411</v>
      </c>
      <c r="J894">
        <v>2</v>
      </c>
      <c r="K894" t="s">
        <v>136</v>
      </c>
      <c r="L894" t="s">
        <v>683</v>
      </c>
      <c r="M894" t="s">
        <v>765</v>
      </c>
      <c r="N894" t="s">
        <v>715</v>
      </c>
      <c r="P894" t="s">
        <v>694</v>
      </c>
      <c r="Q894" t="s">
        <v>695</v>
      </c>
      <c r="R894">
        <v>73</v>
      </c>
      <c r="T894">
        <v>1360</v>
      </c>
      <c r="U894" t="s">
        <v>1126</v>
      </c>
      <c r="V894" s="7">
        <v>327.75</v>
      </c>
      <c r="W894" s="7">
        <v>297.07027734645828</v>
      </c>
      <c r="X894">
        <v>1</v>
      </c>
      <c r="Y894" s="7">
        <v>55.72000122</v>
      </c>
      <c r="Z894" s="7">
        <v>327.75</v>
      </c>
      <c r="AA894" s="7">
        <f t="shared" si="54"/>
        <v>272.02999878000003</v>
      </c>
      <c r="AB894" t="s">
        <v>45</v>
      </c>
      <c r="AC894" t="str">
        <f t="shared" si="55"/>
        <v>Non-Cash Payments</v>
      </c>
    </row>
    <row r="895" spans="1:29" x14ac:dyDescent="0.25">
      <c r="A895">
        <v>75857</v>
      </c>
      <c r="B895" s="2">
        <v>43435</v>
      </c>
      <c r="C895">
        <v>4</v>
      </c>
      <c r="D895" s="2">
        <f t="shared" si="52"/>
        <v>43440</v>
      </c>
      <c r="E895">
        <v>0</v>
      </c>
      <c r="F895" t="s">
        <v>62</v>
      </c>
      <c r="G895" t="str">
        <f t="shared" si="53"/>
        <v>Other</v>
      </c>
      <c r="H895">
        <v>73</v>
      </c>
      <c r="I895">
        <v>19410</v>
      </c>
      <c r="J895">
        <v>2</v>
      </c>
      <c r="K895" t="s">
        <v>136</v>
      </c>
      <c r="L895" t="s">
        <v>683</v>
      </c>
      <c r="M895" t="s">
        <v>765</v>
      </c>
      <c r="N895" t="s">
        <v>715</v>
      </c>
      <c r="P895" t="s">
        <v>694</v>
      </c>
      <c r="Q895" t="s">
        <v>695</v>
      </c>
      <c r="R895">
        <v>73</v>
      </c>
      <c r="T895">
        <v>1360</v>
      </c>
      <c r="U895" t="s">
        <v>1126</v>
      </c>
      <c r="V895" s="7">
        <v>327.75</v>
      </c>
      <c r="W895" s="7">
        <v>297.07027734645828</v>
      </c>
      <c r="X895">
        <v>1</v>
      </c>
      <c r="Y895" s="7">
        <v>59</v>
      </c>
      <c r="Z895" s="7">
        <v>327.75</v>
      </c>
      <c r="AA895" s="7">
        <f t="shared" si="54"/>
        <v>268.75</v>
      </c>
      <c r="AB895" t="s">
        <v>45</v>
      </c>
      <c r="AC895" t="str">
        <f t="shared" si="55"/>
        <v>Non-Cash Payments</v>
      </c>
    </row>
    <row r="896" spans="1:29" x14ac:dyDescent="0.25">
      <c r="A896">
        <v>75856</v>
      </c>
      <c r="B896" s="2">
        <v>43435</v>
      </c>
      <c r="C896">
        <v>2</v>
      </c>
      <c r="D896" s="2">
        <f t="shared" si="52"/>
        <v>43438</v>
      </c>
      <c r="E896">
        <v>0</v>
      </c>
      <c r="F896" t="s">
        <v>23</v>
      </c>
      <c r="G896" t="str">
        <f t="shared" si="53"/>
        <v>Other</v>
      </c>
      <c r="H896">
        <v>73</v>
      </c>
      <c r="I896">
        <v>19409</v>
      </c>
      <c r="J896">
        <v>2</v>
      </c>
      <c r="K896" t="s">
        <v>136</v>
      </c>
      <c r="L896" t="s">
        <v>683</v>
      </c>
      <c r="M896" t="s">
        <v>824</v>
      </c>
      <c r="N896" t="s">
        <v>824</v>
      </c>
      <c r="P896" t="s">
        <v>699</v>
      </c>
      <c r="Q896" t="s">
        <v>700</v>
      </c>
      <c r="R896">
        <v>73</v>
      </c>
      <c r="T896">
        <v>1360</v>
      </c>
      <c r="U896" t="s">
        <v>1126</v>
      </c>
      <c r="V896" s="7">
        <v>327.75</v>
      </c>
      <c r="W896" s="7">
        <v>297.07027734645828</v>
      </c>
      <c r="X896">
        <v>1</v>
      </c>
      <c r="Y896" s="7">
        <v>65.550003050000001</v>
      </c>
      <c r="Z896" s="7">
        <v>327.75</v>
      </c>
      <c r="AA896" s="7">
        <f t="shared" si="54"/>
        <v>262.19999695000001</v>
      </c>
      <c r="AB896" t="s">
        <v>45</v>
      </c>
      <c r="AC896" t="str">
        <f t="shared" si="55"/>
        <v>Non-Cash Payments</v>
      </c>
    </row>
    <row r="897" spans="1:29" x14ac:dyDescent="0.25">
      <c r="A897">
        <v>75855</v>
      </c>
      <c r="B897" s="2">
        <v>43435</v>
      </c>
      <c r="C897">
        <v>1</v>
      </c>
      <c r="D897" s="2">
        <f t="shared" si="52"/>
        <v>43437</v>
      </c>
      <c r="E897">
        <v>1</v>
      </c>
      <c r="F897" t="s">
        <v>187</v>
      </c>
      <c r="G897" t="str">
        <f t="shared" si="53"/>
        <v>Other</v>
      </c>
      <c r="H897">
        <v>73</v>
      </c>
      <c r="I897">
        <v>19408</v>
      </c>
      <c r="J897">
        <v>2</v>
      </c>
      <c r="K897" t="s">
        <v>136</v>
      </c>
      <c r="L897" t="s">
        <v>683</v>
      </c>
      <c r="M897" t="s">
        <v>825</v>
      </c>
      <c r="N897" t="s">
        <v>820</v>
      </c>
      <c r="P897" t="s">
        <v>686</v>
      </c>
      <c r="Q897" t="s">
        <v>687</v>
      </c>
      <c r="R897">
        <v>73</v>
      </c>
      <c r="T897">
        <v>1360</v>
      </c>
      <c r="U897" t="s">
        <v>1126</v>
      </c>
      <c r="V897" s="7">
        <v>327.75</v>
      </c>
      <c r="W897" s="7">
        <v>297.07027734645828</v>
      </c>
      <c r="X897">
        <v>1</v>
      </c>
      <c r="Y897" s="7">
        <v>81.940002440000001</v>
      </c>
      <c r="Z897" s="7">
        <v>327.75</v>
      </c>
      <c r="AA897" s="7">
        <f t="shared" si="54"/>
        <v>245.80999756</v>
      </c>
      <c r="AB897" t="s">
        <v>30</v>
      </c>
      <c r="AC897" t="str">
        <f t="shared" si="55"/>
        <v>Cash Over 200</v>
      </c>
    </row>
    <row r="898" spans="1:29" x14ac:dyDescent="0.25">
      <c r="A898">
        <v>75854</v>
      </c>
      <c r="B898" s="2">
        <v>43435</v>
      </c>
      <c r="C898">
        <v>2</v>
      </c>
      <c r="D898" s="2">
        <f t="shared" si="52"/>
        <v>43438</v>
      </c>
      <c r="E898">
        <v>1</v>
      </c>
      <c r="F898" t="s">
        <v>23</v>
      </c>
      <c r="G898" t="str">
        <f t="shared" si="53"/>
        <v>Other</v>
      </c>
      <c r="H898">
        <v>73</v>
      </c>
      <c r="I898">
        <v>19407</v>
      </c>
      <c r="J898">
        <v>2</v>
      </c>
      <c r="K898" t="s">
        <v>136</v>
      </c>
      <c r="L898" t="s">
        <v>683</v>
      </c>
      <c r="M898" t="s">
        <v>825</v>
      </c>
      <c r="N898" t="s">
        <v>820</v>
      </c>
      <c r="P898" t="s">
        <v>686</v>
      </c>
      <c r="Q898" t="s">
        <v>687</v>
      </c>
      <c r="R898">
        <v>73</v>
      </c>
      <c r="T898">
        <v>1360</v>
      </c>
      <c r="U898" t="s">
        <v>1126</v>
      </c>
      <c r="V898" s="7">
        <v>327.75</v>
      </c>
      <c r="W898" s="7">
        <v>297.07027734645828</v>
      </c>
      <c r="X898">
        <v>1</v>
      </c>
      <c r="Y898" s="7">
        <v>0</v>
      </c>
      <c r="Z898" s="7">
        <v>327.75</v>
      </c>
      <c r="AA898" s="7">
        <f t="shared" si="54"/>
        <v>327.75</v>
      </c>
      <c r="AB898" t="s">
        <v>45</v>
      </c>
      <c r="AC898" t="str">
        <f t="shared" si="55"/>
        <v>Non-Cash Payments</v>
      </c>
    </row>
    <row r="899" spans="1:29" x14ac:dyDescent="0.25">
      <c r="A899">
        <v>75853</v>
      </c>
      <c r="B899" s="2">
        <v>43435</v>
      </c>
      <c r="C899">
        <v>2</v>
      </c>
      <c r="D899" s="2">
        <f t="shared" ref="D899:D962" si="56">WORKDAY(B899,C899)</f>
        <v>43438</v>
      </c>
      <c r="E899">
        <v>1</v>
      </c>
      <c r="F899" t="s">
        <v>23</v>
      </c>
      <c r="G899" t="str">
        <f t="shared" ref="G899:G962" si="57">IF(AND(E899=0,F899="Same Day"),"Same Day - On Time","Other")</f>
        <v>Other</v>
      </c>
      <c r="H899">
        <v>73</v>
      </c>
      <c r="I899">
        <v>19406</v>
      </c>
      <c r="J899">
        <v>2</v>
      </c>
      <c r="K899" t="s">
        <v>136</v>
      </c>
      <c r="L899" t="s">
        <v>683</v>
      </c>
      <c r="M899" t="s">
        <v>826</v>
      </c>
      <c r="N899" t="s">
        <v>827</v>
      </c>
      <c r="P899" t="s">
        <v>702</v>
      </c>
      <c r="Q899" t="s">
        <v>700</v>
      </c>
      <c r="R899">
        <v>73</v>
      </c>
      <c r="T899">
        <v>1360</v>
      </c>
      <c r="U899" t="s">
        <v>1126</v>
      </c>
      <c r="V899" s="7">
        <v>327.75</v>
      </c>
      <c r="W899" s="7">
        <v>297.07027734645828</v>
      </c>
      <c r="X899">
        <v>1</v>
      </c>
      <c r="Y899" s="7">
        <v>3.2799999710000001</v>
      </c>
      <c r="Z899" s="7">
        <v>327.75</v>
      </c>
      <c r="AA899" s="7">
        <f t="shared" ref="AA899:AA962" si="58">Z899-Y899</f>
        <v>324.470000029</v>
      </c>
      <c r="AB899" t="s">
        <v>30</v>
      </c>
      <c r="AC899" t="str">
        <f t="shared" ref="AC899:AC962" si="59">IF(AND(AA899&gt;200,AB899="CASH"),"Cash Over 200",IF(AB899="CASH","Cash Not Over 200","Non-Cash Payments"))</f>
        <v>Cash Over 200</v>
      </c>
    </row>
    <row r="900" spans="1:29" x14ac:dyDescent="0.25">
      <c r="A900">
        <v>75852</v>
      </c>
      <c r="B900" s="2">
        <v>43435</v>
      </c>
      <c r="C900">
        <v>4</v>
      </c>
      <c r="D900" s="2">
        <f t="shared" si="56"/>
        <v>43440</v>
      </c>
      <c r="E900">
        <v>0</v>
      </c>
      <c r="F900" t="s">
        <v>62</v>
      </c>
      <c r="G900" t="str">
        <f t="shared" si="57"/>
        <v>Other</v>
      </c>
      <c r="H900">
        <v>73</v>
      </c>
      <c r="I900">
        <v>19405</v>
      </c>
      <c r="J900">
        <v>2</v>
      </c>
      <c r="K900" t="s">
        <v>136</v>
      </c>
      <c r="L900" t="s">
        <v>683</v>
      </c>
      <c r="M900" t="s">
        <v>828</v>
      </c>
      <c r="N900" t="s">
        <v>829</v>
      </c>
      <c r="P900" t="s">
        <v>830</v>
      </c>
      <c r="Q900" t="s">
        <v>691</v>
      </c>
      <c r="R900">
        <v>73</v>
      </c>
      <c r="T900">
        <v>1360</v>
      </c>
      <c r="U900" t="s">
        <v>1126</v>
      </c>
      <c r="V900" s="7">
        <v>327.75</v>
      </c>
      <c r="W900" s="7">
        <v>297.07027734645828</v>
      </c>
      <c r="X900">
        <v>1</v>
      </c>
      <c r="Y900" s="7">
        <v>6.5599999430000002</v>
      </c>
      <c r="Z900" s="7">
        <v>327.75</v>
      </c>
      <c r="AA900" s="7">
        <f t="shared" si="58"/>
        <v>321.19000005700002</v>
      </c>
      <c r="AB900" t="s">
        <v>45</v>
      </c>
      <c r="AC900" t="str">
        <f t="shared" si="59"/>
        <v>Non-Cash Payments</v>
      </c>
    </row>
    <row r="901" spans="1:29" x14ac:dyDescent="0.25">
      <c r="A901">
        <v>75851</v>
      </c>
      <c r="B901" s="2">
        <v>43435</v>
      </c>
      <c r="C901">
        <v>4</v>
      </c>
      <c r="D901" s="2">
        <f t="shared" si="56"/>
        <v>43440</v>
      </c>
      <c r="E901">
        <v>0</v>
      </c>
      <c r="F901" t="s">
        <v>62</v>
      </c>
      <c r="G901" t="str">
        <f t="shared" si="57"/>
        <v>Other</v>
      </c>
      <c r="H901">
        <v>73</v>
      </c>
      <c r="I901">
        <v>19404</v>
      </c>
      <c r="J901">
        <v>2</v>
      </c>
      <c r="K901" t="s">
        <v>136</v>
      </c>
      <c r="L901" t="s">
        <v>683</v>
      </c>
      <c r="M901" t="s">
        <v>824</v>
      </c>
      <c r="N901" t="s">
        <v>824</v>
      </c>
      <c r="P901" t="s">
        <v>699</v>
      </c>
      <c r="Q901" t="s">
        <v>700</v>
      </c>
      <c r="R901">
        <v>73</v>
      </c>
      <c r="T901">
        <v>1360</v>
      </c>
      <c r="U901" t="s">
        <v>1126</v>
      </c>
      <c r="V901" s="7">
        <v>327.75</v>
      </c>
      <c r="W901" s="7">
        <v>297.07027734645828</v>
      </c>
      <c r="X901">
        <v>1</v>
      </c>
      <c r="Y901" s="7">
        <v>9.8299999239999991</v>
      </c>
      <c r="Z901" s="7">
        <v>327.75</v>
      </c>
      <c r="AA901" s="7">
        <f t="shared" si="58"/>
        <v>317.92000007600001</v>
      </c>
      <c r="AB901" t="s">
        <v>66</v>
      </c>
      <c r="AC901" t="str">
        <f t="shared" si="59"/>
        <v>Non-Cash Payments</v>
      </c>
    </row>
    <row r="902" spans="1:29" x14ac:dyDescent="0.25">
      <c r="A902">
        <v>75850</v>
      </c>
      <c r="B902" s="2">
        <v>43435</v>
      </c>
      <c r="C902">
        <v>4</v>
      </c>
      <c r="D902" s="2">
        <f t="shared" si="56"/>
        <v>43440</v>
      </c>
      <c r="E902">
        <v>1</v>
      </c>
      <c r="F902" t="s">
        <v>62</v>
      </c>
      <c r="G902" t="str">
        <f t="shared" si="57"/>
        <v>Other</v>
      </c>
      <c r="H902">
        <v>73</v>
      </c>
      <c r="I902">
        <v>19403</v>
      </c>
      <c r="J902">
        <v>2</v>
      </c>
      <c r="K902" t="s">
        <v>136</v>
      </c>
      <c r="L902" t="s">
        <v>683</v>
      </c>
      <c r="M902" t="s">
        <v>730</v>
      </c>
      <c r="N902" t="s">
        <v>723</v>
      </c>
      <c r="P902" t="s">
        <v>690</v>
      </c>
      <c r="Q902" t="s">
        <v>691</v>
      </c>
      <c r="R902">
        <v>73</v>
      </c>
      <c r="T902">
        <v>1360</v>
      </c>
      <c r="U902" t="s">
        <v>1126</v>
      </c>
      <c r="V902" s="7">
        <v>327.75</v>
      </c>
      <c r="W902" s="7">
        <v>297.07027734645828</v>
      </c>
      <c r="X902">
        <v>1</v>
      </c>
      <c r="Y902" s="7">
        <v>13.10999966</v>
      </c>
      <c r="Z902" s="7">
        <v>327.75</v>
      </c>
      <c r="AA902" s="7">
        <f t="shared" si="58"/>
        <v>314.64000034000003</v>
      </c>
      <c r="AB902" t="s">
        <v>45</v>
      </c>
      <c r="AC902" t="str">
        <f t="shared" si="59"/>
        <v>Non-Cash Payments</v>
      </c>
    </row>
    <row r="903" spans="1:29" x14ac:dyDescent="0.25">
      <c r="A903">
        <v>75849</v>
      </c>
      <c r="B903" s="2">
        <v>43435</v>
      </c>
      <c r="C903">
        <v>4</v>
      </c>
      <c r="D903" s="2">
        <f t="shared" si="56"/>
        <v>43440</v>
      </c>
      <c r="E903">
        <v>1</v>
      </c>
      <c r="F903" t="s">
        <v>62</v>
      </c>
      <c r="G903" t="str">
        <f t="shared" si="57"/>
        <v>Other</v>
      </c>
      <c r="H903">
        <v>73</v>
      </c>
      <c r="I903">
        <v>19402</v>
      </c>
      <c r="J903">
        <v>2</v>
      </c>
      <c r="K903" t="s">
        <v>136</v>
      </c>
      <c r="L903" t="s">
        <v>683</v>
      </c>
      <c r="M903" t="s">
        <v>730</v>
      </c>
      <c r="N903" t="s">
        <v>723</v>
      </c>
      <c r="P903" t="s">
        <v>690</v>
      </c>
      <c r="Q903" t="s">
        <v>691</v>
      </c>
      <c r="R903">
        <v>73</v>
      </c>
      <c r="T903">
        <v>1360</v>
      </c>
      <c r="U903" t="s">
        <v>1126</v>
      </c>
      <c r="V903" s="7">
        <v>327.75</v>
      </c>
      <c r="W903" s="7">
        <v>297.07027734645828</v>
      </c>
      <c r="X903">
        <v>1</v>
      </c>
      <c r="Y903" s="7">
        <v>16.38999939</v>
      </c>
      <c r="Z903" s="7">
        <v>327.75</v>
      </c>
      <c r="AA903" s="7">
        <f t="shared" si="58"/>
        <v>311.36000060999999</v>
      </c>
      <c r="AB903" t="s">
        <v>30</v>
      </c>
      <c r="AC903" t="str">
        <f t="shared" si="59"/>
        <v>Cash Over 200</v>
      </c>
    </row>
    <row r="904" spans="1:29" x14ac:dyDescent="0.25">
      <c r="A904">
        <v>75848</v>
      </c>
      <c r="B904" s="2">
        <v>43435</v>
      </c>
      <c r="C904">
        <v>2</v>
      </c>
      <c r="D904" s="2">
        <f t="shared" si="56"/>
        <v>43438</v>
      </c>
      <c r="E904">
        <v>1</v>
      </c>
      <c r="F904" t="s">
        <v>23</v>
      </c>
      <c r="G904" t="str">
        <f t="shared" si="57"/>
        <v>Other</v>
      </c>
      <c r="H904">
        <v>73</v>
      </c>
      <c r="I904">
        <v>19401</v>
      </c>
      <c r="J904">
        <v>2</v>
      </c>
      <c r="K904" t="s">
        <v>136</v>
      </c>
      <c r="L904" t="s">
        <v>683</v>
      </c>
      <c r="M904" t="s">
        <v>730</v>
      </c>
      <c r="N904" t="s">
        <v>723</v>
      </c>
      <c r="P904" t="s">
        <v>690</v>
      </c>
      <c r="Q904" t="s">
        <v>691</v>
      </c>
      <c r="R904">
        <v>73</v>
      </c>
      <c r="T904">
        <v>1360</v>
      </c>
      <c r="U904" t="s">
        <v>1126</v>
      </c>
      <c r="V904" s="7">
        <v>327.75</v>
      </c>
      <c r="W904" s="7">
        <v>297.07027734645828</v>
      </c>
      <c r="X904">
        <v>1</v>
      </c>
      <c r="Y904" s="7">
        <v>18.030000690000001</v>
      </c>
      <c r="Z904" s="7">
        <v>327.75</v>
      </c>
      <c r="AA904" s="7">
        <f t="shared" si="58"/>
        <v>309.71999930999999</v>
      </c>
      <c r="AB904" t="s">
        <v>30</v>
      </c>
      <c r="AC904" t="str">
        <f t="shared" si="59"/>
        <v>Cash Over 200</v>
      </c>
    </row>
    <row r="905" spans="1:29" x14ac:dyDescent="0.25">
      <c r="A905">
        <v>75847</v>
      </c>
      <c r="B905" s="2">
        <v>43435</v>
      </c>
      <c r="C905">
        <v>2</v>
      </c>
      <c r="D905" s="2">
        <f t="shared" si="56"/>
        <v>43438</v>
      </c>
      <c r="E905">
        <v>0</v>
      </c>
      <c r="F905" t="s">
        <v>23</v>
      </c>
      <c r="G905" t="str">
        <f t="shared" si="57"/>
        <v>Other</v>
      </c>
      <c r="H905">
        <v>73</v>
      </c>
      <c r="I905">
        <v>19400</v>
      </c>
      <c r="J905">
        <v>2</v>
      </c>
      <c r="K905" t="s">
        <v>136</v>
      </c>
      <c r="L905" t="s">
        <v>683</v>
      </c>
      <c r="M905" t="s">
        <v>730</v>
      </c>
      <c r="N905" t="s">
        <v>723</v>
      </c>
      <c r="P905" t="s">
        <v>690</v>
      </c>
      <c r="Q905" t="s">
        <v>691</v>
      </c>
      <c r="R905">
        <v>73</v>
      </c>
      <c r="T905">
        <v>1360</v>
      </c>
      <c r="U905" t="s">
        <v>1126</v>
      </c>
      <c r="V905" s="7">
        <v>327.75</v>
      </c>
      <c r="W905" s="7">
        <v>297.07027734645828</v>
      </c>
      <c r="X905">
        <v>1</v>
      </c>
      <c r="Y905" s="7">
        <v>22.940000529999999</v>
      </c>
      <c r="Z905" s="7">
        <v>327.75</v>
      </c>
      <c r="AA905" s="7">
        <f t="shared" si="58"/>
        <v>304.80999946999998</v>
      </c>
      <c r="AB905" t="s">
        <v>66</v>
      </c>
      <c r="AC905" t="str">
        <f t="shared" si="59"/>
        <v>Non-Cash Payments</v>
      </c>
    </row>
    <row r="906" spans="1:29" x14ac:dyDescent="0.25">
      <c r="A906">
        <v>75846</v>
      </c>
      <c r="B906" s="2">
        <v>43435</v>
      </c>
      <c r="C906">
        <v>4</v>
      </c>
      <c r="D906" s="2">
        <f t="shared" si="56"/>
        <v>43440</v>
      </c>
      <c r="E906">
        <v>0</v>
      </c>
      <c r="F906" t="s">
        <v>62</v>
      </c>
      <c r="G906" t="str">
        <f t="shared" si="57"/>
        <v>Other</v>
      </c>
      <c r="H906">
        <v>73</v>
      </c>
      <c r="I906">
        <v>19399</v>
      </c>
      <c r="J906">
        <v>2</v>
      </c>
      <c r="K906" t="s">
        <v>136</v>
      </c>
      <c r="L906" t="s">
        <v>683</v>
      </c>
      <c r="M906" t="s">
        <v>730</v>
      </c>
      <c r="N906" t="s">
        <v>723</v>
      </c>
      <c r="P906" t="s">
        <v>690</v>
      </c>
      <c r="Q906" t="s">
        <v>691</v>
      </c>
      <c r="R906">
        <v>73</v>
      </c>
      <c r="T906">
        <v>1360</v>
      </c>
      <c r="U906" t="s">
        <v>1126</v>
      </c>
      <c r="V906" s="7">
        <v>327.75</v>
      </c>
      <c r="W906" s="7">
        <v>297.07027734645828</v>
      </c>
      <c r="X906">
        <v>1</v>
      </c>
      <c r="Y906" s="7">
        <v>29.5</v>
      </c>
      <c r="Z906" s="7">
        <v>327.75</v>
      </c>
      <c r="AA906" s="7">
        <f t="shared" si="58"/>
        <v>298.25</v>
      </c>
      <c r="AB906" t="s">
        <v>66</v>
      </c>
      <c r="AC906" t="str">
        <f t="shared" si="59"/>
        <v>Non-Cash Payments</v>
      </c>
    </row>
    <row r="907" spans="1:29" x14ac:dyDescent="0.25">
      <c r="A907">
        <v>75845</v>
      </c>
      <c r="B907" s="2">
        <v>43435</v>
      </c>
      <c r="C907">
        <v>4</v>
      </c>
      <c r="D907" s="2">
        <f t="shared" si="56"/>
        <v>43440</v>
      </c>
      <c r="E907">
        <v>1</v>
      </c>
      <c r="F907" t="s">
        <v>62</v>
      </c>
      <c r="G907" t="str">
        <f t="shared" si="57"/>
        <v>Other</v>
      </c>
      <c r="H907">
        <v>73</v>
      </c>
      <c r="I907">
        <v>19398</v>
      </c>
      <c r="J907">
        <v>2</v>
      </c>
      <c r="K907" t="s">
        <v>136</v>
      </c>
      <c r="L907" t="s">
        <v>683</v>
      </c>
      <c r="M907" t="s">
        <v>831</v>
      </c>
      <c r="N907" t="s">
        <v>832</v>
      </c>
      <c r="P907" t="s">
        <v>686</v>
      </c>
      <c r="Q907" t="s">
        <v>687</v>
      </c>
      <c r="R907">
        <v>73</v>
      </c>
      <c r="T907">
        <v>1360</v>
      </c>
      <c r="U907" t="s">
        <v>1126</v>
      </c>
      <c r="V907" s="7">
        <v>327.75</v>
      </c>
      <c r="W907" s="7">
        <v>297.07027734645828</v>
      </c>
      <c r="X907">
        <v>1</v>
      </c>
      <c r="Y907" s="7">
        <v>32.77999878</v>
      </c>
      <c r="Z907" s="7">
        <v>327.75</v>
      </c>
      <c r="AA907" s="7">
        <f t="shared" si="58"/>
        <v>294.97000121999997</v>
      </c>
      <c r="AB907" t="s">
        <v>30</v>
      </c>
      <c r="AC907" t="str">
        <f t="shared" si="59"/>
        <v>Cash Over 200</v>
      </c>
    </row>
    <row r="908" spans="1:29" x14ac:dyDescent="0.25">
      <c r="A908">
        <v>75844</v>
      </c>
      <c r="B908" s="2">
        <v>43435</v>
      </c>
      <c r="C908">
        <v>4</v>
      </c>
      <c r="D908" s="2">
        <f t="shared" si="56"/>
        <v>43440</v>
      </c>
      <c r="E908">
        <v>1</v>
      </c>
      <c r="F908" t="s">
        <v>62</v>
      </c>
      <c r="G908" t="str">
        <f t="shared" si="57"/>
        <v>Other</v>
      </c>
      <c r="H908">
        <v>73</v>
      </c>
      <c r="I908">
        <v>19397</v>
      </c>
      <c r="J908">
        <v>2</v>
      </c>
      <c r="K908" t="s">
        <v>136</v>
      </c>
      <c r="L908" t="s">
        <v>683</v>
      </c>
      <c r="M908" t="s">
        <v>833</v>
      </c>
      <c r="N908" t="s">
        <v>833</v>
      </c>
      <c r="P908" t="s">
        <v>834</v>
      </c>
      <c r="Q908" t="s">
        <v>687</v>
      </c>
      <c r="R908">
        <v>73</v>
      </c>
      <c r="T908">
        <v>1360</v>
      </c>
      <c r="U908" t="s">
        <v>1126</v>
      </c>
      <c r="V908" s="7">
        <v>327.75</v>
      </c>
      <c r="W908" s="7">
        <v>297.07027734645828</v>
      </c>
      <c r="X908">
        <v>1</v>
      </c>
      <c r="Y908" s="7">
        <v>39.33000183</v>
      </c>
      <c r="Z908" s="7">
        <v>327.75</v>
      </c>
      <c r="AA908" s="7">
        <f t="shared" si="58"/>
        <v>288.41999816999999</v>
      </c>
      <c r="AB908" t="s">
        <v>66</v>
      </c>
      <c r="AC908" t="str">
        <f t="shared" si="59"/>
        <v>Non-Cash Payments</v>
      </c>
    </row>
    <row r="909" spans="1:29" x14ac:dyDescent="0.25">
      <c r="A909">
        <v>75843</v>
      </c>
      <c r="B909" s="2">
        <v>43435</v>
      </c>
      <c r="C909">
        <v>2</v>
      </c>
      <c r="D909" s="2">
        <f t="shared" si="56"/>
        <v>43438</v>
      </c>
      <c r="E909">
        <v>1</v>
      </c>
      <c r="F909" t="s">
        <v>23</v>
      </c>
      <c r="G909" t="str">
        <f t="shared" si="57"/>
        <v>Other</v>
      </c>
      <c r="H909">
        <v>73</v>
      </c>
      <c r="I909">
        <v>19396</v>
      </c>
      <c r="J909">
        <v>2</v>
      </c>
      <c r="K909" t="s">
        <v>136</v>
      </c>
      <c r="L909" t="s">
        <v>683</v>
      </c>
      <c r="M909" t="s">
        <v>833</v>
      </c>
      <c r="N909" t="s">
        <v>833</v>
      </c>
      <c r="P909" t="s">
        <v>834</v>
      </c>
      <c r="Q909" t="s">
        <v>687</v>
      </c>
      <c r="R909">
        <v>73</v>
      </c>
      <c r="T909">
        <v>1360</v>
      </c>
      <c r="U909" t="s">
        <v>1126</v>
      </c>
      <c r="V909" s="7">
        <v>327.75</v>
      </c>
      <c r="W909" s="7">
        <v>297.07027734645828</v>
      </c>
      <c r="X909">
        <v>1</v>
      </c>
      <c r="Y909" s="7">
        <v>42.61000061</v>
      </c>
      <c r="Z909" s="7">
        <v>327.75</v>
      </c>
      <c r="AA909" s="7">
        <f t="shared" si="58"/>
        <v>285.13999939000001</v>
      </c>
      <c r="AB909" t="s">
        <v>30</v>
      </c>
      <c r="AC909" t="str">
        <f t="shared" si="59"/>
        <v>Cash Over 200</v>
      </c>
    </row>
    <row r="910" spans="1:29" x14ac:dyDescent="0.25">
      <c r="A910">
        <v>75842</v>
      </c>
      <c r="B910" s="2">
        <v>43435</v>
      </c>
      <c r="C910">
        <v>4</v>
      </c>
      <c r="D910" s="2">
        <f t="shared" si="56"/>
        <v>43440</v>
      </c>
      <c r="E910">
        <v>0</v>
      </c>
      <c r="F910" t="s">
        <v>62</v>
      </c>
      <c r="G910" t="str">
        <f t="shared" si="57"/>
        <v>Other</v>
      </c>
      <c r="H910">
        <v>73</v>
      </c>
      <c r="I910">
        <v>19395</v>
      </c>
      <c r="J910">
        <v>2</v>
      </c>
      <c r="K910" t="s">
        <v>136</v>
      </c>
      <c r="L910" t="s">
        <v>683</v>
      </c>
      <c r="M910" t="s">
        <v>833</v>
      </c>
      <c r="N910" t="s">
        <v>833</v>
      </c>
      <c r="P910" t="s">
        <v>834</v>
      </c>
      <c r="Q910" t="s">
        <v>687</v>
      </c>
      <c r="R910">
        <v>73</v>
      </c>
      <c r="T910">
        <v>1360</v>
      </c>
      <c r="U910" t="s">
        <v>1126</v>
      </c>
      <c r="V910" s="7">
        <v>327.75</v>
      </c>
      <c r="W910" s="7">
        <v>297.07027734645828</v>
      </c>
      <c r="X910">
        <v>1</v>
      </c>
      <c r="Y910" s="7">
        <v>49.159999849999998</v>
      </c>
      <c r="Z910" s="7">
        <v>327.75</v>
      </c>
      <c r="AA910" s="7">
        <f t="shared" si="58"/>
        <v>278.59000014999998</v>
      </c>
      <c r="AB910" t="s">
        <v>66</v>
      </c>
      <c r="AC910" t="str">
        <f t="shared" si="59"/>
        <v>Non-Cash Payments</v>
      </c>
    </row>
    <row r="911" spans="1:29" x14ac:dyDescent="0.25">
      <c r="A911">
        <v>75841</v>
      </c>
      <c r="B911" s="2">
        <v>43435</v>
      </c>
      <c r="C911">
        <v>4</v>
      </c>
      <c r="D911" s="2">
        <f t="shared" si="56"/>
        <v>43440</v>
      </c>
      <c r="E911">
        <v>0</v>
      </c>
      <c r="F911" t="s">
        <v>62</v>
      </c>
      <c r="G911" t="str">
        <f t="shared" si="57"/>
        <v>Other</v>
      </c>
      <c r="H911">
        <v>73</v>
      </c>
      <c r="I911">
        <v>19394</v>
      </c>
      <c r="J911">
        <v>2</v>
      </c>
      <c r="K911" t="s">
        <v>136</v>
      </c>
      <c r="L911" t="s">
        <v>683</v>
      </c>
      <c r="M911" t="s">
        <v>833</v>
      </c>
      <c r="N911" t="s">
        <v>833</v>
      </c>
      <c r="P911" t="s">
        <v>834</v>
      </c>
      <c r="Q911" t="s">
        <v>687</v>
      </c>
      <c r="R911">
        <v>73</v>
      </c>
      <c r="T911">
        <v>1360</v>
      </c>
      <c r="U911" t="s">
        <v>1126</v>
      </c>
      <c r="V911" s="7">
        <v>327.75</v>
      </c>
      <c r="W911" s="7">
        <v>297.07027734645828</v>
      </c>
      <c r="X911">
        <v>1</v>
      </c>
      <c r="Y911" s="7">
        <v>52.439998629999998</v>
      </c>
      <c r="Z911" s="7">
        <v>327.75</v>
      </c>
      <c r="AA911" s="7">
        <f t="shared" si="58"/>
        <v>275.31000137000001</v>
      </c>
      <c r="AB911" t="s">
        <v>45</v>
      </c>
      <c r="AC911" t="str">
        <f t="shared" si="59"/>
        <v>Non-Cash Payments</v>
      </c>
    </row>
    <row r="912" spans="1:29" x14ac:dyDescent="0.25">
      <c r="A912">
        <v>75840</v>
      </c>
      <c r="B912" s="2">
        <v>43435</v>
      </c>
      <c r="C912">
        <v>2</v>
      </c>
      <c r="D912" s="2">
        <f t="shared" si="56"/>
        <v>43438</v>
      </c>
      <c r="E912">
        <v>1</v>
      </c>
      <c r="F912" t="s">
        <v>23</v>
      </c>
      <c r="G912" t="str">
        <f t="shared" si="57"/>
        <v>Other</v>
      </c>
      <c r="H912">
        <v>73</v>
      </c>
      <c r="I912">
        <v>19393</v>
      </c>
      <c r="J912">
        <v>2</v>
      </c>
      <c r="K912" t="s">
        <v>136</v>
      </c>
      <c r="L912" t="s">
        <v>683</v>
      </c>
      <c r="M912" t="s">
        <v>835</v>
      </c>
      <c r="N912" t="s">
        <v>783</v>
      </c>
      <c r="P912" t="s">
        <v>699</v>
      </c>
      <c r="Q912" t="s">
        <v>700</v>
      </c>
      <c r="R912">
        <v>73</v>
      </c>
      <c r="T912">
        <v>1360</v>
      </c>
      <c r="U912" t="s">
        <v>1126</v>
      </c>
      <c r="V912" s="7">
        <v>327.75</v>
      </c>
      <c r="W912" s="7">
        <v>297.07027734645828</v>
      </c>
      <c r="X912">
        <v>1</v>
      </c>
      <c r="Y912" s="7">
        <v>55.72000122</v>
      </c>
      <c r="Z912" s="7">
        <v>327.75</v>
      </c>
      <c r="AA912" s="7">
        <f t="shared" si="58"/>
        <v>272.02999878000003</v>
      </c>
      <c r="AB912" t="s">
        <v>30</v>
      </c>
      <c r="AC912" t="str">
        <f t="shared" si="59"/>
        <v>Cash Over 200</v>
      </c>
    </row>
    <row r="913" spans="1:29" x14ac:dyDescent="0.25">
      <c r="A913">
        <v>75839</v>
      </c>
      <c r="B913" s="2">
        <v>43435</v>
      </c>
      <c r="C913">
        <v>2</v>
      </c>
      <c r="D913" s="2">
        <f t="shared" si="56"/>
        <v>43438</v>
      </c>
      <c r="E913">
        <v>1</v>
      </c>
      <c r="F913" t="s">
        <v>23</v>
      </c>
      <c r="G913" t="str">
        <f t="shared" si="57"/>
        <v>Other</v>
      </c>
      <c r="H913">
        <v>73</v>
      </c>
      <c r="I913">
        <v>19392</v>
      </c>
      <c r="J913">
        <v>2</v>
      </c>
      <c r="K913" t="s">
        <v>136</v>
      </c>
      <c r="L913" t="s">
        <v>683</v>
      </c>
      <c r="M913" t="s">
        <v>835</v>
      </c>
      <c r="N913" t="s">
        <v>783</v>
      </c>
      <c r="P913" t="s">
        <v>699</v>
      </c>
      <c r="Q913" t="s">
        <v>700</v>
      </c>
      <c r="R913">
        <v>73</v>
      </c>
      <c r="T913">
        <v>1360</v>
      </c>
      <c r="U913" t="s">
        <v>1126</v>
      </c>
      <c r="V913" s="7">
        <v>327.75</v>
      </c>
      <c r="W913" s="7">
        <v>297.07027734645828</v>
      </c>
      <c r="X913">
        <v>1</v>
      </c>
      <c r="Y913" s="7">
        <v>59</v>
      </c>
      <c r="Z913" s="7">
        <v>327.75</v>
      </c>
      <c r="AA913" s="7">
        <f t="shared" si="58"/>
        <v>268.75</v>
      </c>
      <c r="AB913" t="s">
        <v>66</v>
      </c>
      <c r="AC913" t="str">
        <f t="shared" si="59"/>
        <v>Non-Cash Payments</v>
      </c>
    </row>
    <row r="914" spans="1:29" x14ac:dyDescent="0.25">
      <c r="A914">
        <v>75838</v>
      </c>
      <c r="B914" s="2">
        <v>43435</v>
      </c>
      <c r="C914">
        <v>1</v>
      </c>
      <c r="D914" s="2">
        <f t="shared" si="56"/>
        <v>43437</v>
      </c>
      <c r="E914">
        <v>1</v>
      </c>
      <c r="F914" t="s">
        <v>187</v>
      </c>
      <c r="G914" t="str">
        <f t="shared" si="57"/>
        <v>Other</v>
      </c>
      <c r="H914">
        <v>73</v>
      </c>
      <c r="I914">
        <v>19391</v>
      </c>
      <c r="J914">
        <v>2</v>
      </c>
      <c r="K914" t="s">
        <v>136</v>
      </c>
      <c r="L914" t="s">
        <v>683</v>
      </c>
      <c r="M914" t="s">
        <v>836</v>
      </c>
      <c r="N914" t="s">
        <v>836</v>
      </c>
      <c r="P914" t="s">
        <v>708</v>
      </c>
      <c r="Q914" t="s">
        <v>700</v>
      </c>
      <c r="R914">
        <v>73</v>
      </c>
      <c r="T914">
        <v>1360</v>
      </c>
      <c r="U914" t="s">
        <v>1126</v>
      </c>
      <c r="V914" s="7">
        <v>327.75</v>
      </c>
      <c r="W914" s="7">
        <v>297.07027734645828</v>
      </c>
      <c r="X914">
        <v>1</v>
      </c>
      <c r="Y914" s="7">
        <v>65.550003050000001</v>
      </c>
      <c r="Z914" s="7">
        <v>327.75</v>
      </c>
      <c r="AA914" s="7">
        <f t="shared" si="58"/>
        <v>262.19999695000001</v>
      </c>
      <c r="AB914" t="s">
        <v>30</v>
      </c>
      <c r="AC914" t="str">
        <f t="shared" si="59"/>
        <v>Cash Over 200</v>
      </c>
    </row>
    <row r="915" spans="1:29" x14ac:dyDescent="0.25">
      <c r="A915">
        <v>75837</v>
      </c>
      <c r="B915" s="2">
        <v>43435</v>
      </c>
      <c r="C915">
        <v>1</v>
      </c>
      <c r="D915" s="2">
        <f t="shared" si="56"/>
        <v>43437</v>
      </c>
      <c r="E915">
        <v>1</v>
      </c>
      <c r="F915" t="s">
        <v>187</v>
      </c>
      <c r="G915" t="str">
        <f t="shared" si="57"/>
        <v>Other</v>
      </c>
      <c r="H915">
        <v>73</v>
      </c>
      <c r="I915">
        <v>19390</v>
      </c>
      <c r="J915">
        <v>2</v>
      </c>
      <c r="K915" t="s">
        <v>136</v>
      </c>
      <c r="L915" t="s">
        <v>683</v>
      </c>
      <c r="M915" t="s">
        <v>770</v>
      </c>
      <c r="N915" t="s">
        <v>771</v>
      </c>
      <c r="P915" t="s">
        <v>772</v>
      </c>
      <c r="Q915" t="s">
        <v>687</v>
      </c>
      <c r="R915">
        <v>73</v>
      </c>
      <c r="T915">
        <v>1360</v>
      </c>
      <c r="U915" t="s">
        <v>1126</v>
      </c>
      <c r="V915" s="7">
        <v>327.75</v>
      </c>
      <c r="W915" s="7">
        <v>297.07027734645828</v>
      </c>
      <c r="X915">
        <v>1</v>
      </c>
      <c r="Y915" s="7">
        <v>81.940002440000001</v>
      </c>
      <c r="Z915" s="7">
        <v>327.75</v>
      </c>
      <c r="AA915" s="7">
        <f t="shared" si="58"/>
        <v>245.80999756</v>
      </c>
      <c r="AB915" t="s">
        <v>30</v>
      </c>
      <c r="AC915" t="str">
        <f t="shared" si="59"/>
        <v>Cash Over 200</v>
      </c>
    </row>
    <row r="916" spans="1:29" x14ac:dyDescent="0.25">
      <c r="A916">
        <v>75836</v>
      </c>
      <c r="B916" s="2">
        <v>43435</v>
      </c>
      <c r="C916">
        <v>2</v>
      </c>
      <c r="D916" s="2">
        <f t="shared" si="56"/>
        <v>43438</v>
      </c>
      <c r="E916">
        <v>0</v>
      </c>
      <c r="F916" t="s">
        <v>23</v>
      </c>
      <c r="G916" t="str">
        <f t="shared" si="57"/>
        <v>Other</v>
      </c>
      <c r="H916">
        <v>73</v>
      </c>
      <c r="I916">
        <v>19389</v>
      </c>
      <c r="J916">
        <v>2</v>
      </c>
      <c r="K916" t="s">
        <v>136</v>
      </c>
      <c r="L916" t="s">
        <v>683</v>
      </c>
      <c r="M916" t="s">
        <v>770</v>
      </c>
      <c r="N916" t="s">
        <v>771</v>
      </c>
      <c r="P916" t="s">
        <v>772</v>
      </c>
      <c r="Q916" t="s">
        <v>687</v>
      </c>
      <c r="R916">
        <v>73</v>
      </c>
      <c r="T916">
        <v>1360</v>
      </c>
      <c r="U916" t="s">
        <v>1126</v>
      </c>
      <c r="V916" s="7">
        <v>327.75</v>
      </c>
      <c r="W916" s="7">
        <v>297.07027734645828</v>
      </c>
      <c r="X916">
        <v>1</v>
      </c>
      <c r="Y916" s="7">
        <v>0</v>
      </c>
      <c r="Z916" s="7">
        <v>327.75</v>
      </c>
      <c r="AA916" s="7">
        <f t="shared" si="58"/>
        <v>327.75</v>
      </c>
      <c r="AB916" t="s">
        <v>30</v>
      </c>
      <c r="AC916" t="str">
        <f t="shared" si="59"/>
        <v>Cash Over 200</v>
      </c>
    </row>
    <row r="917" spans="1:29" x14ac:dyDescent="0.25">
      <c r="A917">
        <v>75835</v>
      </c>
      <c r="B917" s="2">
        <v>43435</v>
      </c>
      <c r="C917">
        <v>2</v>
      </c>
      <c r="D917" s="2">
        <f t="shared" si="56"/>
        <v>43438</v>
      </c>
      <c r="E917">
        <v>1</v>
      </c>
      <c r="F917" t="s">
        <v>23</v>
      </c>
      <c r="G917" t="str">
        <f t="shared" si="57"/>
        <v>Other</v>
      </c>
      <c r="H917">
        <v>73</v>
      </c>
      <c r="I917">
        <v>19388</v>
      </c>
      <c r="J917">
        <v>2</v>
      </c>
      <c r="K917" t="s">
        <v>136</v>
      </c>
      <c r="L917" t="s">
        <v>683</v>
      </c>
      <c r="M917" t="s">
        <v>837</v>
      </c>
      <c r="N917" t="s">
        <v>793</v>
      </c>
      <c r="P917" t="s">
        <v>690</v>
      </c>
      <c r="Q917" t="s">
        <v>691</v>
      </c>
      <c r="R917">
        <v>73</v>
      </c>
      <c r="T917">
        <v>1360</v>
      </c>
      <c r="U917" t="s">
        <v>1126</v>
      </c>
      <c r="V917" s="7">
        <v>327.75</v>
      </c>
      <c r="W917" s="7">
        <v>297.07027734645828</v>
      </c>
      <c r="X917">
        <v>1</v>
      </c>
      <c r="Y917" s="7">
        <v>3.2799999710000001</v>
      </c>
      <c r="Z917" s="7">
        <v>327.75</v>
      </c>
      <c r="AA917" s="7">
        <f t="shared" si="58"/>
        <v>324.470000029</v>
      </c>
      <c r="AB917" t="s">
        <v>45</v>
      </c>
      <c r="AC917" t="str">
        <f t="shared" si="59"/>
        <v>Non-Cash Payments</v>
      </c>
    </row>
    <row r="918" spans="1:29" x14ac:dyDescent="0.25">
      <c r="A918">
        <v>75834</v>
      </c>
      <c r="B918" s="2">
        <v>43405</v>
      </c>
      <c r="C918">
        <v>2</v>
      </c>
      <c r="D918" s="2">
        <f t="shared" si="56"/>
        <v>43409</v>
      </c>
      <c r="E918">
        <v>1</v>
      </c>
      <c r="F918" t="s">
        <v>23</v>
      </c>
      <c r="G918" t="str">
        <f t="shared" si="57"/>
        <v>Other</v>
      </c>
      <c r="H918">
        <v>73</v>
      </c>
      <c r="I918">
        <v>19387</v>
      </c>
      <c r="J918">
        <v>2</v>
      </c>
      <c r="K918" t="s">
        <v>136</v>
      </c>
      <c r="L918" t="s">
        <v>683</v>
      </c>
      <c r="M918" t="s">
        <v>837</v>
      </c>
      <c r="N918" t="s">
        <v>793</v>
      </c>
      <c r="P918" t="s">
        <v>690</v>
      </c>
      <c r="Q918" t="s">
        <v>691</v>
      </c>
      <c r="R918">
        <v>73</v>
      </c>
      <c r="T918">
        <v>1360</v>
      </c>
      <c r="U918" t="s">
        <v>1126</v>
      </c>
      <c r="V918" s="7">
        <v>327.75</v>
      </c>
      <c r="W918" s="7">
        <v>297.07027734645828</v>
      </c>
      <c r="X918">
        <v>1</v>
      </c>
      <c r="Y918" s="7">
        <v>6.5599999430000002</v>
      </c>
      <c r="Z918" s="7">
        <v>327.75</v>
      </c>
      <c r="AA918" s="7">
        <f t="shared" si="58"/>
        <v>321.19000005700002</v>
      </c>
      <c r="AB918" t="s">
        <v>30</v>
      </c>
      <c r="AC918" t="str">
        <f t="shared" si="59"/>
        <v>Cash Over 200</v>
      </c>
    </row>
    <row r="919" spans="1:29" x14ac:dyDescent="0.25">
      <c r="A919">
        <v>75833</v>
      </c>
      <c r="B919" s="2">
        <v>43405</v>
      </c>
      <c r="C919">
        <v>1</v>
      </c>
      <c r="D919" s="2">
        <f t="shared" si="56"/>
        <v>43406</v>
      </c>
      <c r="E919">
        <v>1</v>
      </c>
      <c r="F919" t="s">
        <v>187</v>
      </c>
      <c r="G919" t="str">
        <f t="shared" si="57"/>
        <v>Other</v>
      </c>
      <c r="H919">
        <v>73</v>
      </c>
      <c r="I919">
        <v>19386</v>
      </c>
      <c r="J919">
        <v>2</v>
      </c>
      <c r="K919" t="s">
        <v>136</v>
      </c>
      <c r="L919" t="s">
        <v>683</v>
      </c>
      <c r="M919" t="s">
        <v>837</v>
      </c>
      <c r="N919" t="s">
        <v>793</v>
      </c>
      <c r="P919" t="s">
        <v>690</v>
      </c>
      <c r="Q919" t="s">
        <v>691</v>
      </c>
      <c r="R919">
        <v>73</v>
      </c>
      <c r="T919">
        <v>1360</v>
      </c>
      <c r="U919" t="s">
        <v>1126</v>
      </c>
      <c r="V919" s="7">
        <v>327.75</v>
      </c>
      <c r="W919" s="7">
        <v>297.07027734645828</v>
      </c>
      <c r="X919">
        <v>1</v>
      </c>
      <c r="Y919" s="7">
        <v>9.8299999239999991</v>
      </c>
      <c r="Z919" s="7">
        <v>327.75</v>
      </c>
      <c r="AA919" s="7">
        <f t="shared" si="58"/>
        <v>317.92000007600001</v>
      </c>
      <c r="AB919" t="s">
        <v>45</v>
      </c>
      <c r="AC919" t="str">
        <f t="shared" si="59"/>
        <v>Non-Cash Payments</v>
      </c>
    </row>
    <row r="920" spans="1:29" x14ac:dyDescent="0.25">
      <c r="A920">
        <v>75832</v>
      </c>
      <c r="B920" s="2">
        <v>43405</v>
      </c>
      <c r="C920">
        <v>1</v>
      </c>
      <c r="D920" s="2">
        <f t="shared" si="56"/>
        <v>43406</v>
      </c>
      <c r="E920">
        <v>1</v>
      </c>
      <c r="F920" t="s">
        <v>187</v>
      </c>
      <c r="G920" t="str">
        <f t="shared" si="57"/>
        <v>Other</v>
      </c>
      <c r="H920">
        <v>73</v>
      </c>
      <c r="I920">
        <v>19385</v>
      </c>
      <c r="J920">
        <v>2</v>
      </c>
      <c r="K920" t="s">
        <v>136</v>
      </c>
      <c r="L920" t="s">
        <v>683</v>
      </c>
      <c r="M920" t="s">
        <v>837</v>
      </c>
      <c r="N920" t="s">
        <v>793</v>
      </c>
      <c r="P920" t="s">
        <v>690</v>
      </c>
      <c r="Q920" t="s">
        <v>691</v>
      </c>
      <c r="R920">
        <v>73</v>
      </c>
      <c r="T920">
        <v>1360</v>
      </c>
      <c r="U920" t="s">
        <v>1126</v>
      </c>
      <c r="V920" s="7">
        <v>327.75</v>
      </c>
      <c r="W920" s="7">
        <v>297.07027734645828</v>
      </c>
      <c r="X920">
        <v>1</v>
      </c>
      <c r="Y920" s="7">
        <v>13.10999966</v>
      </c>
      <c r="Z920" s="7">
        <v>327.75</v>
      </c>
      <c r="AA920" s="7">
        <f t="shared" si="58"/>
        <v>314.64000034000003</v>
      </c>
      <c r="AB920" t="s">
        <v>30</v>
      </c>
      <c r="AC920" t="str">
        <f t="shared" si="59"/>
        <v>Cash Over 200</v>
      </c>
    </row>
    <row r="921" spans="1:29" x14ac:dyDescent="0.25">
      <c r="A921">
        <v>75831</v>
      </c>
      <c r="B921" s="2">
        <v>43405</v>
      </c>
      <c r="C921">
        <v>1</v>
      </c>
      <c r="D921" s="2">
        <f t="shared" si="56"/>
        <v>43406</v>
      </c>
      <c r="E921">
        <v>1</v>
      </c>
      <c r="F921" t="s">
        <v>187</v>
      </c>
      <c r="G921" t="str">
        <f t="shared" si="57"/>
        <v>Other</v>
      </c>
      <c r="H921">
        <v>73</v>
      </c>
      <c r="I921">
        <v>19384</v>
      </c>
      <c r="J921">
        <v>2</v>
      </c>
      <c r="K921" t="s">
        <v>136</v>
      </c>
      <c r="L921" t="s">
        <v>683</v>
      </c>
      <c r="M921" t="s">
        <v>838</v>
      </c>
      <c r="N921" t="s">
        <v>839</v>
      </c>
      <c r="P921" t="s">
        <v>690</v>
      </c>
      <c r="Q921" t="s">
        <v>691</v>
      </c>
      <c r="R921">
        <v>73</v>
      </c>
      <c r="T921">
        <v>1360</v>
      </c>
      <c r="U921" t="s">
        <v>1126</v>
      </c>
      <c r="V921" s="7">
        <v>327.75</v>
      </c>
      <c r="W921" s="7">
        <v>297.07027734645828</v>
      </c>
      <c r="X921">
        <v>1</v>
      </c>
      <c r="Y921" s="7">
        <v>16.38999939</v>
      </c>
      <c r="Z921" s="7">
        <v>327.75</v>
      </c>
      <c r="AA921" s="7">
        <f t="shared" si="58"/>
        <v>311.36000060999999</v>
      </c>
      <c r="AB921" t="s">
        <v>30</v>
      </c>
      <c r="AC921" t="str">
        <f t="shared" si="59"/>
        <v>Cash Over 200</v>
      </c>
    </row>
    <row r="922" spans="1:29" x14ac:dyDescent="0.25">
      <c r="A922">
        <v>75830</v>
      </c>
      <c r="B922" s="2">
        <v>43405</v>
      </c>
      <c r="C922">
        <v>4</v>
      </c>
      <c r="D922" s="2">
        <f t="shared" si="56"/>
        <v>43411</v>
      </c>
      <c r="E922">
        <v>1</v>
      </c>
      <c r="F922" t="s">
        <v>62</v>
      </c>
      <c r="G922" t="str">
        <f t="shared" si="57"/>
        <v>Other</v>
      </c>
      <c r="H922">
        <v>73</v>
      </c>
      <c r="I922">
        <v>19383</v>
      </c>
      <c r="J922">
        <v>2</v>
      </c>
      <c r="K922" t="s">
        <v>136</v>
      </c>
      <c r="L922" t="s">
        <v>683</v>
      </c>
      <c r="M922" t="s">
        <v>840</v>
      </c>
      <c r="N922" t="s">
        <v>832</v>
      </c>
      <c r="P922" t="s">
        <v>686</v>
      </c>
      <c r="Q922" t="s">
        <v>687</v>
      </c>
      <c r="R922">
        <v>73</v>
      </c>
      <c r="T922">
        <v>1360</v>
      </c>
      <c r="U922" t="s">
        <v>1126</v>
      </c>
      <c r="V922" s="7">
        <v>327.75</v>
      </c>
      <c r="W922" s="7">
        <v>297.07027734645828</v>
      </c>
      <c r="X922">
        <v>1</v>
      </c>
      <c r="Y922" s="7">
        <v>18.030000690000001</v>
      </c>
      <c r="Z922" s="7">
        <v>327.75</v>
      </c>
      <c r="AA922" s="7">
        <f t="shared" si="58"/>
        <v>309.71999930999999</v>
      </c>
      <c r="AB922" t="s">
        <v>30</v>
      </c>
      <c r="AC922" t="str">
        <f t="shared" si="59"/>
        <v>Cash Over 200</v>
      </c>
    </row>
    <row r="923" spans="1:29" x14ac:dyDescent="0.25">
      <c r="A923">
        <v>75829</v>
      </c>
      <c r="B923" s="2">
        <v>43405</v>
      </c>
      <c r="C923">
        <v>4</v>
      </c>
      <c r="D923" s="2">
        <f t="shared" si="56"/>
        <v>43411</v>
      </c>
      <c r="E923">
        <v>1</v>
      </c>
      <c r="F923" t="s">
        <v>62</v>
      </c>
      <c r="G923" t="str">
        <f t="shared" si="57"/>
        <v>Other</v>
      </c>
      <c r="H923">
        <v>73</v>
      </c>
      <c r="I923">
        <v>19382</v>
      </c>
      <c r="J923">
        <v>2</v>
      </c>
      <c r="K923" t="s">
        <v>136</v>
      </c>
      <c r="L923" t="s">
        <v>683</v>
      </c>
      <c r="M923" t="s">
        <v>840</v>
      </c>
      <c r="N923" t="s">
        <v>832</v>
      </c>
      <c r="P923" t="s">
        <v>686</v>
      </c>
      <c r="Q923" t="s">
        <v>687</v>
      </c>
      <c r="R923">
        <v>73</v>
      </c>
      <c r="T923">
        <v>1360</v>
      </c>
      <c r="U923" t="s">
        <v>1126</v>
      </c>
      <c r="V923" s="7">
        <v>327.75</v>
      </c>
      <c r="W923" s="7">
        <v>297.07027734645828</v>
      </c>
      <c r="X923">
        <v>1</v>
      </c>
      <c r="Y923" s="7">
        <v>22.940000529999999</v>
      </c>
      <c r="Z923" s="7">
        <v>327.75</v>
      </c>
      <c r="AA923" s="7">
        <f t="shared" si="58"/>
        <v>304.80999946999998</v>
      </c>
      <c r="AB923" t="s">
        <v>30</v>
      </c>
      <c r="AC923" t="str">
        <f t="shared" si="59"/>
        <v>Cash Over 200</v>
      </c>
    </row>
    <row r="924" spans="1:29" x14ac:dyDescent="0.25">
      <c r="A924">
        <v>75828</v>
      </c>
      <c r="B924" s="2">
        <v>43405</v>
      </c>
      <c r="C924">
        <v>4</v>
      </c>
      <c r="D924" s="2">
        <f t="shared" si="56"/>
        <v>43411</v>
      </c>
      <c r="E924">
        <v>0</v>
      </c>
      <c r="F924" t="s">
        <v>62</v>
      </c>
      <c r="G924" t="str">
        <f t="shared" si="57"/>
        <v>Other</v>
      </c>
      <c r="H924">
        <v>73</v>
      </c>
      <c r="I924">
        <v>19381</v>
      </c>
      <c r="J924">
        <v>2</v>
      </c>
      <c r="K924" t="s">
        <v>136</v>
      </c>
      <c r="L924" t="s">
        <v>683</v>
      </c>
      <c r="M924" t="s">
        <v>840</v>
      </c>
      <c r="N924" t="s">
        <v>832</v>
      </c>
      <c r="P924" t="s">
        <v>686</v>
      </c>
      <c r="Q924" t="s">
        <v>687</v>
      </c>
      <c r="R924">
        <v>73</v>
      </c>
      <c r="T924">
        <v>1360</v>
      </c>
      <c r="U924" t="s">
        <v>1126</v>
      </c>
      <c r="V924" s="7">
        <v>327.75</v>
      </c>
      <c r="W924" s="7">
        <v>297.07027734645828</v>
      </c>
      <c r="X924">
        <v>1</v>
      </c>
      <c r="Y924" s="7">
        <v>29.5</v>
      </c>
      <c r="Z924" s="7">
        <v>327.75</v>
      </c>
      <c r="AA924" s="7">
        <f t="shared" si="58"/>
        <v>298.25</v>
      </c>
      <c r="AB924" t="s">
        <v>45</v>
      </c>
      <c r="AC924" t="str">
        <f t="shared" si="59"/>
        <v>Non-Cash Payments</v>
      </c>
    </row>
    <row r="925" spans="1:29" x14ac:dyDescent="0.25">
      <c r="A925">
        <v>75827</v>
      </c>
      <c r="B925" s="2">
        <v>43405</v>
      </c>
      <c r="C925">
        <v>4</v>
      </c>
      <c r="D925" s="2">
        <f t="shared" si="56"/>
        <v>43411</v>
      </c>
      <c r="E925">
        <v>0</v>
      </c>
      <c r="F925" t="s">
        <v>62</v>
      </c>
      <c r="G925" t="str">
        <f t="shared" si="57"/>
        <v>Other</v>
      </c>
      <c r="H925">
        <v>73</v>
      </c>
      <c r="I925">
        <v>19380</v>
      </c>
      <c r="J925">
        <v>2</v>
      </c>
      <c r="K925" t="s">
        <v>136</v>
      </c>
      <c r="L925" t="s">
        <v>683</v>
      </c>
      <c r="M925" t="s">
        <v>713</v>
      </c>
      <c r="N925" t="s">
        <v>693</v>
      </c>
      <c r="P925" t="s">
        <v>694</v>
      </c>
      <c r="Q925" t="s">
        <v>695</v>
      </c>
      <c r="R925">
        <v>73</v>
      </c>
      <c r="T925">
        <v>1360</v>
      </c>
      <c r="U925" t="s">
        <v>1126</v>
      </c>
      <c r="V925" s="7">
        <v>327.75</v>
      </c>
      <c r="W925" s="7">
        <v>297.07027734645828</v>
      </c>
      <c r="X925">
        <v>1</v>
      </c>
      <c r="Y925" s="7">
        <v>32.77999878</v>
      </c>
      <c r="Z925" s="7">
        <v>327.75</v>
      </c>
      <c r="AA925" s="7">
        <f t="shared" si="58"/>
        <v>294.97000121999997</v>
      </c>
      <c r="AB925" t="s">
        <v>45</v>
      </c>
      <c r="AC925" t="str">
        <f t="shared" si="59"/>
        <v>Non-Cash Payments</v>
      </c>
    </row>
    <row r="926" spans="1:29" x14ac:dyDescent="0.25">
      <c r="A926">
        <v>75826</v>
      </c>
      <c r="B926" s="2">
        <v>43405</v>
      </c>
      <c r="C926">
        <v>4</v>
      </c>
      <c r="D926" s="2">
        <f t="shared" si="56"/>
        <v>43411</v>
      </c>
      <c r="E926">
        <v>0</v>
      </c>
      <c r="F926" t="s">
        <v>62</v>
      </c>
      <c r="G926" t="str">
        <f t="shared" si="57"/>
        <v>Other</v>
      </c>
      <c r="H926">
        <v>73</v>
      </c>
      <c r="I926">
        <v>19379</v>
      </c>
      <c r="J926">
        <v>2</v>
      </c>
      <c r="K926" t="s">
        <v>136</v>
      </c>
      <c r="L926" t="s">
        <v>683</v>
      </c>
      <c r="M926" t="s">
        <v>756</v>
      </c>
      <c r="N926" t="s">
        <v>756</v>
      </c>
      <c r="P926" t="s">
        <v>757</v>
      </c>
      <c r="Q926" t="s">
        <v>687</v>
      </c>
      <c r="R926">
        <v>73</v>
      </c>
      <c r="T926">
        <v>1360</v>
      </c>
      <c r="U926" t="s">
        <v>1126</v>
      </c>
      <c r="V926" s="7">
        <v>327.75</v>
      </c>
      <c r="W926" s="7">
        <v>297.07027734645828</v>
      </c>
      <c r="X926">
        <v>1</v>
      </c>
      <c r="Y926" s="7">
        <v>39.33000183</v>
      </c>
      <c r="Z926" s="7">
        <v>327.75</v>
      </c>
      <c r="AA926" s="7">
        <f t="shared" si="58"/>
        <v>288.41999816999999</v>
      </c>
      <c r="AB926" t="s">
        <v>30</v>
      </c>
      <c r="AC926" t="str">
        <f t="shared" si="59"/>
        <v>Cash Over 200</v>
      </c>
    </row>
    <row r="927" spans="1:29" x14ac:dyDescent="0.25">
      <c r="A927">
        <v>75825</v>
      </c>
      <c r="B927" s="2">
        <v>43405</v>
      </c>
      <c r="C927">
        <v>4</v>
      </c>
      <c r="D927" s="2">
        <f t="shared" si="56"/>
        <v>43411</v>
      </c>
      <c r="E927">
        <v>1</v>
      </c>
      <c r="F927" t="s">
        <v>62</v>
      </c>
      <c r="G927" t="str">
        <f t="shared" si="57"/>
        <v>Other</v>
      </c>
      <c r="H927">
        <v>73</v>
      </c>
      <c r="I927">
        <v>19378</v>
      </c>
      <c r="J927">
        <v>2</v>
      </c>
      <c r="K927" t="s">
        <v>136</v>
      </c>
      <c r="L927" t="s">
        <v>683</v>
      </c>
      <c r="M927" t="s">
        <v>756</v>
      </c>
      <c r="N927" t="s">
        <v>756</v>
      </c>
      <c r="P927" t="s">
        <v>757</v>
      </c>
      <c r="Q927" t="s">
        <v>687</v>
      </c>
      <c r="R927">
        <v>73</v>
      </c>
      <c r="T927">
        <v>1360</v>
      </c>
      <c r="U927" t="s">
        <v>1126</v>
      </c>
      <c r="V927" s="7">
        <v>327.75</v>
      </c>
      <c r="W927" s="7">
        <v>297.07027734645828</v>
      </c>
      <c r="X927">
        <v>1</v>
      </c>
      <c r="Y927" s="7">
        <v>42.61000061</v>
      </c>
      <c r="Z927" s="7">
        <v>327.75</v>
      </c>
      <c r="AA927" s="7">
        <f t="shared" si="58"/>
        <v>285.13999939000001</v>
      </c>
      <c r="AB927" t="s">
        <v>45</v>
      </c>
      <c r="AC927" t="str">
        <f t="shared" si="59"/>
        <v>Non-Cash Payments</v>
      </c>
    </row>
    <row r="928" spans="1:29" x14ac:dyDescent="0.25">
      <c r="A928">
        <v>75824</v>
      </c>
      <c r="B928" s="2">
        <v>43405</v>
      </c>
      <c r="C928">
        <v>4</v>
      </c>
      <c r="D928" s="2">
        <f t="shared" si="56"/>
        <v>43411</v>
      </c>
      <c r="E928">
        <v>1</v>
      </c>
      <c r="F928" t="s">
        <v>62</v>
      </c>
      <c r="G928" t="str">
        <f t="shared" si="57"/>
        <v>Other</v>
      </c>
      <c r="H928">
        <v>73</v>
      </c>
      <c r="I928">
        <v>19377</v>
      </c>
      <c r="J928">
        <v>2</v>
      </c>
      <c r="K928" t="s">
        <v>136</v>
      </c>
      <c r="L928" t="s">
        <v>683</v>
      </c>
      <c r="M928" t="s">
        <v>753</v>
      </c>
      <c r="N928" t="s">
        <v>753</v>
      </c>
      <c r="P928" t="s">
        <v>754</v>
      </c>
      <c r="Q928" t="s">
        <v>691</v>
      </c>
      <c r="R928">
        <v>73</v>
      </c>
      <c r="T928">
        <v>1360</v>
      </c>
      <c r="U928" t="s">
        <v>1126</v>
      </c>
      <c r="V928" s="7">
        <v>327.75</v>
      </c>
      <c r="W928" s="7">
        <v>297.07027734645828</v>
      </c>
      <c r="X928">
        <v>1</v>
      </c>
      <c r="Y928" s="7">
        <v>49.159999849999998</v>
      </c>
      <c r="Z928" s="7">
        <v>327.75</v>
      </c>
      <c r="AA928" s="7">
        <f t="shared" si="58"/>
        <v>278.59000014999998</v>
      </c>
      <c r="AB928" t="s">
        <v>30</v>
      </c>
      <c r="AC928" t="str">
        <f t="shared" si="59"/>
        <v>Cash Over 200</v>
      </c>
    </row>
    <row r="929" spans="1:29" x14ac:dyDescent="0.25">
      <c r="A929">
        <v>75823</v>
      </c>
      <c r="B929" s="2">
        <v>43405</v>
      </c>
      <c r="C929">
        <v>4</v>
      </c>
      <c r="D929" s="2">
        <f t="shared" si="56"/>
        <v>43411</v>
      </c>
      <c r="E929">
        <v>0</v>
      </c>
      <c r="F929" t="s">
        <v>62</v>
      </c>
      <c r="G929" t="str">
        <f t="shared" si="57"/>
        <v>Other</v>
      </c>
      <c r="H929">
        <v>73</v>
      </c>
      <c r="I929">
        <v>19376</v>
      </c>
      <c r="J929">
        <v>2</v>
      </c>
      <c r="K929" t="s">
        <v>136</v>
      </c>
      <c r="L929" t="s">
        <v>683</v>
      </c>
      <c r="M929" t="s">
        <v>753</v>
      </c>
      <c r="N929" t="s">
        <v>753</v>
      </c>
      <c r="P929" t="s">
        <v>754</v>
      </c>
      <c r="Q929" t="s">
        <v>691</v>
      </c>
      <c r="R929">
        <v>73</v>
      </c>
      <c r="T929">
        <v>1360</v>
      </c>
      <c r="U929" t="s">
        <v>1126</v>
      </c>
      <c r="V929" s="7">
        <v>327.75</v>
      </c>
      <c r="W929" s="7">
        <v>297.07027734645828</v>
      </c>
      <c r="X929">
        <v>1</v>
      </c>
      <c r="Y929" s="7">
        <v>52.439998629999998</v>
      </c>
      <c r="Z929" s="7">
        <v>327.75</v>
      </c>
      <c r="AA929" s="7">
        <f t="shared" si="58"/>
        <v>275.31000137000001</v>
      </c>
      <c r="AB929" t="s">
        <v>66</v>
      </c>
      <c r="AC929" t="str">
        <f t="shared" si="59"/>
        <v>Non-Cash Payments</v>
      </c>
    </row>
    <row r="930" spans="1:29" x14ac:dyDescent="0.25">
      <c r="A930">
        <v>75822</v>
      </c>
      <c r="B930" s="2">
        <v>43405</v>
      </c>
      <c r="C930">
        <v>4</v>
      </c>
      <c r="D930" s="2">
        <f t="shared" si="56"/>
        <v>43411</v>
      </c>
      <c r="E930">
        <v>0</v>
      </c>
      <c r="F930" t="s">
        <v>62</v>
      </c>
      <c r="G930" t="str">
        <f t="shared" si="57"/>
        <v>Other</v>
      </c>
      <c r="H930">
        <v>73</v>
      </c>
      <c r="I930">
        <v>19375</v>
      </c>
      <c r="J930">
        <v>2</v>
      </c>
      <c r="K930" t="s">
        <v>136</v>
      </c>
      <c r="L930" t="s">
        <v>683</v>
      </c>
      <c r="M930" t="s">
        <v>841</v>
      </c>
      <c r="N930" t="s">
        <v>706</v>
      </c>
      <c r="P930" t="s">
        <v>690</v>
      </c>
      <c r="Q930" t="s">
        <v>691</v>
      </c>
      <c r="R930">
        <v>73</v>
      </c>
      <c r="T930">
        <v>1360</v>
      </c>
      <c r="U930" t="s">
        <v>1126</v>
      </c>
      <c r="V930" s="7">
        <v>327.75</v>
      </c>
      <c r="W930" s="7">
        <v>297.07027734645828</v>
      </c>
      <c r="X930">
        <v>1</v>
      </c>
      <c r="Y930" s="7">
        <v>55.72000122</v>
      </c>
      <c r="Z930" s="7">
        <v>327.75</v>
      </c>
      <c r="AA930" s="7">
        <f t="shared" si="58"/>
        <v>272.02999878000003</v>
      </c>
      <c r="AB930" t="s">
        <v>45</v>
      </c>
      <c r="AC930" t="str">
        <f t="shared" si="59"/>
        <v>Non-Cash Payments</v>
      </c>
    </row>
    <row r="931" spans="1:29" x14ac:dyDescent="0.25">
      <c r="A931">
        <v>75821</v>
      </c>
      <c r="B931" s="2">
        <v>43405</v>
      </c>
      <c r="C931">
        <v>4</v>
      </c>
      <c r="D931" s="2">
        <f t="shared" si="56"/>
        <v>43411</v>
      </c>
      <c r="E931">
        <v>0</v>
      </c>
      <c r="F931" t="s">
        <v>62</v>
      </c>
      <c r="G931" t="str">
        <f t="shared" si="57"/>
        <v>Other</v>
      </c>
      <c r="H931">
        <v>73</v>
      </c>
      <c r="I931">
        <v>19374</v>
      </c>
      <c r="J931">
        <v>2</v>
      </c>
      <c r="K931" t="s">
        <v>136</v>
      </c>
      <c r="L931" t="s">
        <v>683</v>
      </c>
      <c r="M931" t="s">
        <v>841</v>
      </c>
      <c r="N931" t="s">
        <v>706</v>
      </c>
      <c r="P931" t="s">
        <v>690</v>
      </c>
      <c r="Q931" t="s">
        <v>691</v>
      </c>
      <c r="R931">
        <v>73</v>
      </c>
      <c r="T931">
        <v>1360</v>
      </c>
      <c r="U931" t="s">
        <v>1126</v>
      </c>
      <c r="V931" s="7">
        <v>327.75</v>
      </c>
      <c r="W931" s="7">
        <v>297.07027734645828</v>
      </c>
      <c r="X931">
        <v>1</v>
      </c>
      <c r="Y931" s="7">
        <v>59</v>
      </c>
      <c r="Z931" s="7">
        <v>327.75</v>
      </c>
      <c r="AA931" s="7">
        <f t="shared" si="58"/>
        <v>268.75</v>
      </c>
      <c r="AB931" t="s">
        <v>45</v>
      </c>
      <c r="AC931" t="str">
        <f t="shared" si="59"/>
        <v>Non-Cash Payments</v>
      </c>
    </row>
    <row r="932" spans="1:29" x14ac:dyDescent="0.25">
      <c r="A932">
        <v>75820</v>
      </c>
      <c r="B932" s="2">
        <v>43405</v>
      </c>
      <c r="C932">
        <v>4</v>
      </c>
      <c r="D932" s="2">
        <f t="shared" si="56"/>
        <v>43411</v>
      </c>
      <c r="E932">
        <v>1</v>
      </c>
      <c r="F932" t="s">
        <v>62</v>
      </c>
      <c r="G932" t="str">
        <f t="shared" si="57"/>
        <v>Other</v>
      </c>
      <c r="H932">
        <v>73</v>
      </c>
      <c r="I932">
        <v>19373</v>
      </c>
      <c r="J932">
        <v>2</v>
      </c>
      <c r="K932" t="s">
        <v>136</v>
      </c>
      <c r="L932" t="s">
        <v>683</v>
      </c>
      <c r="M932" t="s">
        <v>756</v>
      </c>
      <c r="N932" t="s">
        <v>756</v>
      </c>
      <c r="P932" t="s">
        <v>757</v>
      </c>
      <c r="Q932" t="s">
        <v>687</v>
      </c>
      <c r="R932">
        <v>73</v>
      </c>
      <c r="T932">
        <v>1360</v>
      </c>
      <c r="U932" t="s">
        <v>1126</v>
      </c>
      <c r="V932" s="7">
        <v>327.75</v>
      </c>
      <c r="W932" s="7">
        <v>297.07027734645828</v>
      </c>
      <c r="X932">
        <v>1</v>
      </c>
      <c r="Y932" s="7">
        <v>65.550003050000001</v>
      </c>
      <c r="Z932" s="7">
        <v>327.75</v>
      </c>
      <c r="AA932" s="7">
        <f t="shared" si="58"/>
        <v>262.19999695000001</v>
      </c>
      <c r="AB932" t="s">
        <v>45</v>
      </c>
      <c r="AC932" t="str">
        <f t="shared" si="59"/>
        <v>Non-Cash Payments</v>
      </c>
    </row>
    <row r="933" spans="1:29" x14ac:dyDescent="0.25">
      <c r="A933">
        <v>75819</v>
      </c>
      <c r="B933" s="2">
        <v>43405</v>
      </c>
      <c r="C933">
        <v>4</v>
      </c>
      <c r="D933" s="2">
        <f t="shared" si="56"/>
        <v>43411</v>
      </c>
      <c r="E933">
        <v>1</v>
      </c>
      <c r="F933" t="s">
        <v>62</v>
      </c>
      <c r="G933" t="str">
        <f t="shared" si="57"/>
        <v>Other</v>
      </c>
      <c r="H933">
        <v>73</v>
      </c>
      <c r="I933">
        <v>19372</v>
      </c>
      <c r="J933">
        <v>2</v>
      </c>
      <c r="K933" t="s">
        <v>136</v>
      </c>
      <c r="L933" t="s">
        <v>683</v>
      </c>
      <c r="M933" t="s">
        <v>842</v>
      </c>
      <c r="N933" t="s">
        <v>842</v>
      </c>
      <c r="P933" t="s">
        <v>757</v>
      </c>
      <c r="Q933" t="s">
        <v>687</v>
      </c>
      <c r="R933">
        <v>73</v>
      </c>
      <c r="T933">
        <v>1360</v>
      </c>
      <c r="U933" t="s">
        <v>1126</v>
      </c>
      <c r="V933" s="7">
        <v>327.75</v>
      </c>
      <c r="W933" s="7">
        <v>297.07027734645828</v>
      </c>
      <c r="X933">
        <v>1</v>
      </c>
      <c r="Y933" s="7">
        <v>81.940002440000001</v>
      </c>
      <c r="Z933" s="7">
        <v>327.75</v>
      </c>
      <c r="AA933" s="7">
        <f t="shared" si="58"/>
        <v>245.80999756</v>
      </c>
      <c r="AB933" t="s">
        <v>45</v>
      </c>
      <c r="AC933" t="str">
        <f t="shared" si="59"/>
        <v>Non-Cash Payments</v>
      </c>
    </row>
    <row r="934" spans="1:29" x14ac:dyDescent="0.25">
      <c r="A934">
        <v>75818</v>
      </c>
      <c r="B934" s="2">
        <v>43405</v>
      </c>
      <c r="C934">
        <v>4</v>
      </c>
      <c r="D934" s="2">
        <f t="shared" si="56"/>
        <v>43411</v>
      </c>
      <c r="E934">
        <v>0</v>
      </c>
      <c r="F934" t="s">
        <v>62</v>
      </c>
      <c r="G934" t="str">
        <f t="shared" si="57"/>
        <v>Other</v>
      </c>
      <c r="H934">
        <v>73</v>
      </c>
      <c r="I934">
        <v>19371</v>
      </c>
      <c r="J934">
        <v>2</v>
      </c>
      <c r="K934" t="s">
        <v>136</v>
      </c>
      <c r="L934" t="s">
        <v>683</v>
      </c>
      <c r="M934" t="s">
        <v>811</v>
      </c>
      <c r="N934" t="s">
        <v>725</v>
      </c>
      <c r="P934" t="s">
        <v>694</v>
      </c>
      <c r="Q934" t="s">
        <v>695</v>
      </c>
      <c r="R934">
        <v>73</v>
      </c>
      <c r="T934">
        <v>1360</v>
      </c>
      <c r="U934" t="s">
        <v>1126</v>
      </c>
      <c r="V934" s="7">
        <v>327.75</v>
      </c>
      <c r="W934" s="7">
        <v>297.07027734645828</v>
      </c>
      <c r="X934">
        <v>1</v>
      </c>
      <c r="Y934" s="7">
        <v>0</v>
      </c>
      <c r="Z934" s="7">
        <v>327.75</v>
      </c>
      <c r="AA934" s="7">
        <f t="shared" si="58"/>
        <v>327.75</v>
      </c>
      <c r="AB934" t="s">
        <v>66</v>
      </c>
      <c r="AC934" t="str">
        <f t="shared" si="59"/>
        <v>Non-Cash Payments</v>
      </c>
    </row>
    <row r="935" spans="1:29" x14ac:dyDescent="0.25">
      <c r="A935">
        <v>75817</v>
      </c>
      <c r="B935" s="2">
        <v>43405</v>
      </c>
      <c r="C935">
        <v>4</v>
      </c>
      <c r="D935" s="2">
        <f t="shared" si="56"/>
        <v>43411</v>
      </c>
      <c r="E935">
        <v>0</v>
      </c>
      <c r="F935" t="s">
        <v>62</v>
      </c>
      <c r="G935" t="str">
        <f t="shared" si="57"/>
        <v>Other</v>
      </c>
      <c r="H935">
        <v>73</v>
      </c>
      <c r="I935">
        <v>19370</v>
      </c>
      <c r="J935">
        <v>2</v>
      </c>
      <c r="K935" t="s">
        <v>136</v>
      </c>
      <c r="L935" t="s">
        <v>683</v>
      </c>
      <c r="M935" t="s">
        <v>811</v>
      </c>
      <c r="N935" t="s">
        <v>725</v>
      </c>
      <c r="P935" t="s">
        <v>694</v>
      </c>
      <c r="Q935" t="s">
        <v>695</v>
      </c>
      <c r="R935">
        <v>73</v>
      </c>
      <c r="T935">
        <v>1360</v>
      </c>
      <c r="U935" t="s">
        <v>1126</v>
      </c>
      <c r="V935" s="7">
        <v>327.75</v>
      </c>
      <c r="W935" s="7">
        <v>297.07027734645828</v>
      </c>
      <c r="X935">
        <v>1</v>
      </c>
      <c r="Y935" s="7">
        <v>3.2799999710000001</v>
      </c>
      <c r="Z935" s="7">
        <v>327.75</v>
      </c>
      <c r="AA935" s="7">
        <f t="shared" si="58"/>
        <v>324.470000029</v>
      </c>
      <c r="AB935" t="s">
        <v>30</v>
      </c>
      <c r="AC935" t="str">
        <f t="shared" si="59"/>
        <v>Cash Over 200</v>
      </c>
    </row>
    <row r="936" spans="1:29" x14ac:dyDescent="0.25">
      <c r="A936">
        <v>75816</v>
      </c>
      <c r="B936" s="2">
        <v>43405</v>
      </c>
      <c r="C936">
        <v>4</v>
      </c>
      <c r="D936" s="2">
        <f t="shared" si="56"/>
        <v>43411</v>
      </c>
      <c r="E936">
        <v>0</v>
      </c>
      <c r="F936" t="s">
        <v>62</v>
      </c>
      <c r="G936" t="str">
        <f t="shared" si="57"/>
        <v>Other</v>
      </c>
      <c r="H936">
        <v>73</v>
      </c>
      <c r="I936">
        <v>19369</v>
      </c>
      <c r="J936">
        <v>2</v>
      </c>
      <c r="K936" t="s">
        <v>136</v>
      </c>
      <c r="L936" t="s">
        <v>683</v>
      </c>
      <c r="M936" t="s">
        <v>843</v>
      </c>
      <c r="N936" t="s">
        <v>844</v>
      </c>
      <c r="P936" t="s">
        <v>845</v>
      </c>
      <c r="Q936" t="s">
        <v>687</v>
      </c>
      <c r="R936">
        <v>73</v>
      </c>
      <c r="T936">
        <v>1360</v>
      </c>
      <c r="U936" t="s">
        <v>1126</v>
      </c>
      <c r="V936" s="7">
        <v>327.75</v>
      </c>
      <c r="W936" s="7">
        <v>297.07027734645828</v>
      </c>
      <c r="X936">
        <v>1</v>
      </c>
      <c r="Y936" s="7">
        <v>6.5599999430000002</v>
      </c>
      <c r="Z936" s="7">
        <v>327.75</v>
      </c>
      <c r="AA936" s="7">
        <f t="shared" si="58"/>
        <v>321.19000005700002</v>
      </c>
      <c r="AB936" t="s">
        <v>66</v>
      </c>
      <c r="AC936" t="str">
        <f t="shared" si="59"/>
        <v>Non-Cash Payments</v>
      </c>
    </row>
    <row r="937" spans="1:29" x14ac:dyDescent="0.25">
      <c r="A937">
        <v>75815</v>
      </c>
      <c r="B937" s="2">
        <v>43405</v>
      </c>
      <c r="C937">
        <v>4</v>
      </c>
      <c r="D937" s="2">
        <f t="shared" si="56"/>
        <v>43411</v>
      </c>
      <c r="E937">
        <v>1</v>
      </c>
      <c r="F937" t="s">
        <v>62</v>
      </c>
      <c r="G937" t="str">
        <f t="shared" si="57"/>
        <v>Other</v>
      </c>
      <c r="H937">
        <v>73</v>
      </c>
      <c r="I937">
        <v>19368</v>
      </c>
      <c r="J937">
        <v>2</v>
      </c>
      <c r="K937" t="s">
        <v>136</v>
      </c>
      <c r="L937" t="s">
        <v>683</v>
      </c>
      <c r="M937" t="s">
        <v>846</v>
      </c>
      <c r="N937" t="s">
        <v>823</v>
      </c>
      <c r="P937" t="s">
        <v>699</v>
      </c>
      <c r="Q937" t="s">
        <v>700</v>
      </c>
      <c r="R937">
        <v>73</v>
      </c>
      <c r="T937">
        <v>1360</v>
      </c>
      <c r="U937" t="s">
        <v>1126</v>
      </c>
      <c r="V937" s="7">
        <v>327.75</v>
      </c>
      <c r="W937" s="7">
        <v>297.07027734645828</v>
      </c>
      <c r="X937">
        <v>1</v>
      </c>
      <c r="Y937" s="7">
        <v>9.8299999239999991</v>
      </c>
      <c r="Z937" s="7">
        <v>327.75</v>
      </c>
      <c r="AA937" s="7">
        <f t="shared" si="58"/>
        <v>317.92000007600001</v>
      </c>
      <c r="AB937" t="s">
        <v>45</v>
      </c>
      <c r="AC937" t="str">
        <f t="shared" si="59"/>
        <v>Non-Cash Payments</v>
      </c>
    </row>
    <row r="938" spans="1:29" x14ac:dyDescent="0.25">
      <c r="A938">
        <v>75814</v>
      </c>
      <c r="B938" s="2">
        <v>43405</v>
      </c>
      <c r="C938">
        <v>4</v>
      </c>
      <c r="D938" s="2">
        <f t="shared" si="56"/>
        <v>43411</v>
      </c>
      <c r="E938">
        <v>1</v>
      </c>
      <c r="F938" t="s">
        <v>62</v>
      </c>
      <c r="G938" t="str">
        <f t="shared" si="57"/>
        <v>Other</v>
      </c>
      <c r="H938">
        <v>73</v>
      </c>
      <c r="I938">
        <v>19367</v>
      </c>
      <c r="J938">
        <v>2</v>
      </c>
      <c r="K938" t="s">
        <v>136</v>
      </c>
      <c r="L938" t="s">
        <v>683</v>
      </c>
      <c r="M938" t="s">
        <v>846</v>
      </c>
      <c r="N938" t="s">
        <v>823</v>
      </c>
      <c r="P938" t="s">
        <v>699</v>
      </c>
      <c r="Q938" t="s">
        <v>700</v>
      </c>
      <c r="R938">
        <v>73</v>
      </c>
      <c r="T938">
        <v>1360</v>
      </c>
      <c r="U938" t="s">
        <v>1126</v>
      </c>
      <c r="V938" s="7">
        <v>327.75</v>
      </c>
      <c r="W938" s="7">
        <v>297.07027734645828</v>
      </c>
      <c r="X938">
        <v>1</v>
      </c>
      <c r="Y938" s="7">
        <v>13.10999966</v>
      </c>
      <c r="Z938" s="7">
        <v>327.75</v>
      </c>
      <c r="AA938" s="7">
        <f t="shared" si="58"/>
        <v>314.64000034000003</v>
      </c>
      <c r="AB938" t="s">
        <v>30</v>
      </c>
      <c r="AC938" t="str">
        <f t="shared" si="59"/>
        <v>Cash Over 200</v>
      </c>
    </row>
    <row r="939" spans="1:29" x14ac:dyDescent="0.25">
      <c r="A939">
        <v>75813</v>
      </c>
      <c r="B939" s="2">
        <v>43405</v>
      </c>
      <c r="C939">
        <v>2</v>
      </c>
      <c r="D939" s="2">
        <f t="shared" si="56"/>
        <v>43409</v>
      </c>
      <c r="E939">
        <v>1</v>
      </c>
      <c r="F939" t="s">
        <v>23</v>
      </c>
      <c r="G939" t="str">
        <f t="shared" si="57"/>
        <v>Other</v>
      </c>
      <c r="H939">
        <v>73</v>
      </c>
      <c r="I939">
        <v>19366</v>
      </c>
      <c r="J939">
        <v>2</v>
      </c>
      <c r="K939" t="s">
        <v>136</v>
      </c>
      <c r="L939" t="s">
        <v>683</v>
      </c>
      <c r="M939" t="s">
        <v>721</v>
      </c>
      <c r="N939" t="s">
        <v>721</v>
      </c>
      <c r="P939" t="s">
        <v>721</v>
      </c>
      <c r="Q939" t="s">
        <v>687</v>
      </c>
      <c r="R939">
        <v>73</v>
      </c>
      <c r="T939">
        <v>1360</v>
      </c>
      <c r="U939" t="s">
        <v>1126</v>
      </c>
      <c r="V939" s="7">
        <v>327.75</v>
      </c>
      <c r="W939" s="7">
        <v>297.07027734645828</v>
      </c>
      <c r="X939">
        <v>1</v>
      </c>
      <c r="Y939" s="7">
        <v>16.38999939</v>
      </c>
      <c r="Z939" s="7">
        <v>327.75</v>
      </c>
      <c r="AA939" s="7">
        <f t="shared" si="58"/>
        <v>311.36000060999999</v>
      </c>
      <c r="AB939" t="s">
        <v>30</v>
      </c>
      <c r="AC939" t="str">
        <f t="shared" si="59"/>
        <v>Cash Over 200</v>
      </c>
    </row>
    <row r="940" spans="1:29" x14ac:dyDescent="0.25">
      <c r="A940">
        <v>75812</v>
      </c>
      <c r="B940" s="2">
        <v>43405</v>
      </c>
      <c r="C940">
        <v>2</v>
      </c>
      <c r="D940" s="2">
        <f t="shared" si="56"/>
        <v>43409</v>
      </c>
      <c r="E940">
        <v>1</v>
      </c>
      <c r="F940" t="s">
        <v>23</v>
      </c>
      <c r="G940" t="str">
        <f t="shared" si="57"/>
        <v>Other</v>
      </c>
      <c r="H940">
        <v>73</v>
      </c>
      <c r="I940">
        <v>19365</v>
      </c>
      <c r="J940">
        <v>2</v>
      </c>
      <c r="K940" t="s">
        <v>136</v>
      </c>
      <c r="L940" t="s">
        <v>683</v>
      </c>
      <c r="M940" t="s">
        <v>713</v>
      </c>
      <c r="N940" t="s">
        <v>693</v>
      </c>
      <c r="P940" t="s">
        <v>694</v>
      </c>
      <c r="Q940" t="s">
        <v>695</v>
      </c>
      <c r="R940">
        <v>73</v>
      </c>
      <c r="T940">
        <v>1360</v>
      </c>
      <c r="U940" t="s">
        <v>1126</v>
      </c>
      <c r="V940" s="7">
        <v>327.75</v>
      </c>
      <c r="W940" s="7">
        <v>297.07027734645828</v>
      </c>
      <c r="X940">
        <v>1</v>
      </c>
      <c r="Y940" s="7">
        <v>18.030000690000001</v>
      </c>
      <c r="Z940" s="7">
        <v>327.75</v>
      </c>
      <c r="AA940" s="7">
        <f t="shared" si="58"/>
        <v>309.71999930999999</v>
      </c>
      <c r="AB940" t="s">
        <v>30</v>
      </c>
      <c r="AC940" t="str">
        <f t="shared" si="59"/>
        <v>Cash Over 200</v>
      </c>
    </row>
    <row r="941" spans="1:29" x14ac:dyDescent="0.25">
      <c r="A941">
        <v>75811</v>
      </c>
      <c r="B941" s="2">
        <v>43405</v>
      </c>
      <c r="C941">
        <v>1</v>
      </c>
      <c r="D941" s="2">
        <f t="shared" si="56"/>
        <v>43406</v>
      </c>
      <c r="E941">
        <v>1</v>
      </c>
      <c r="F941" t="s">
        <v>187</v>
      </c>
      <c r="G941" t="str">
        <f t="shared" si="57"/>
        <v>Other</v>
      </c>
      <c r="H941">
        <v>73</v>
      </c>
      <c r="I941">
        <v>19364</v>
      </c>
      <c r="J941">
        <v>2</v>
      </c>
      <c r="K941" t="s">
        <v>136</v>
      </c>
      <c r="L941" t="s">
        <v>683</v>
      </c>
      <c r="M941" t="s">
        <v>847</v>
      </c>
      <c r="N941" t="s">
        <v>698</v>
      </c>
      <c r="P941" t="s">
        <v>699</v>
      </c>
      <c r="Q941" t="s">
        <v>700</v>
      </c>
      <c r="R941">
        <v>73</v>
      </c>
      <c r="T941">
        <v>1360</v>
      </c>
      <c r="U941" t="s">
        <v>1126</v>
      </c>
      <c r="V941" s="7">
        <v>327.75</v>
      </c>
      <c r="W941" s="7">
        <v>297.07027734645828</v>
      </c>
      <c r="X941">
        <v>1</v>
      </c>
      <c r="Y941" s="7">
        <v>22.940000529999999</v>
      </c>
      <c r="Z941" s="7">
        <v>327.75</v>
      </c>
      <c r="AA941" s="7">
        <f t="shared" si="58"/>
        <v>304.80999946999998</v>
      </c>
      <c r="AB941" t="s">
        <v>30</v>
      </c>
      <c r="AC941" t="str">
        <f t="shared" si="59"/>
        <v>Cash Over 200</v>
      </c>
    </row>
    <row r="942" spans="1:29" x14ac:dyDescent="0.25">
      <c r="A942">
        <v>75810</v>
      </c>
      <c r="B942" s="2">
        <v>43405</v>
      </c>
      <c r="C942">
        <v>2</v>
      </c>
      <c r="D942" s="2">
        <f t="shared" si="56"/>
        <v>43409</v>
      </c>
      <c r="E942">
        <v>1</v>
      </c>
      <c r="F942" t="s">
        <v>23</v>
      </c>
      <c r="G942" t="str">
        <f t="shared" si="57"/>
        <v>Other</v>
      </c>
      <c r="H942">
        <v>73</v>
      </c>
      <c r="I942">
        <v>19363</v>
      </c>
      <c r="J942">
        <v>2</v>
      </c>
      <c r="K942" t="s">
        <v>136</v>
      </c>
      <c r="L942" t="s">
        <v>683</v>
      </c>
      <c r="M942" t="s">
        <v>847</v>
      </c>
      <c r="N942" t="s">
        <v>698</v>
      </c>
      <c r="P942" t="s">
        <v>699</v>
      </c>
      <c r="Q942" t="s">
        <v>700</v>
      </c>
      <c r="R942">
        <v>73</v>
      </c>
      <c r="T942">
        <v>1360</v>
      </c>
      <c r="U942" t="s">
        <v>1126</v>
      </c>
      <c r="V942" s="7">
        <v>327.75</v>
      </c>
      <c r="W942" s="7">
        <v>297.07027734645828</v>
      </c>
      <c r="X942">
        <v>1</v>
      </c>
      <c r="Y942" s="7">
        <v>29.5</v>
      </c>
      <c r="Z942" s="7">
        <v>327.75</v>
      </c>
      <c r="AA942" s="7">
        <f t="shared" si="58"/>
        <v>298.25</v>
      </c>
      <c r="AB942" t="s">
        <v>45</v>
      </c>
      <c r="AC942" t="str">
        <f t="shared" si="59"/>
        <v>Non-Cash Payments</v>
      </c>
    </row>
    <row r="943" spans="1:29" x14ac:dyDescent="0.25">
      <c r="A943">
        <v>75809</v>
      </c>
      <c r="B943" s="2">
        <v>43405</v>
      </c>
      <c r="C943">
        <v>2</v>
      </c>
      <c r="D943" s="2">
        <f t="shared" si="56"/>
        <v>43409</v>
      </c>
      <c r="E943">
        <v>1</v>
      </c>
      <c r="F943" t="s">
        <v>23</v>
      </c>
      <c r="G943" t="str">
        <f t="shared" si="57"/>
        <v>Other</v>
      </c>
      <c r="H943">
        <v>73</v>
      </c>
      <c r="I943">
        <v>19362</v>
      </c>
      <c r="J943">
        <v>2</v>
      </c>
      <c r="K943" t="s">
        <v>136</v>
      </c>
      <c r="L943" t="s">
        <v>683</v>
      </c>
      <c r="M943" t="s">
        <v>847</v>
      </c>
      <c r="N943" t="s">
        <v>698</v>
      </c>
      <c r="P943" t="s">
        <v>699</v>
      </c>
      <c r="Q943" t="s">
        <v>700</v>
      </c>
      <c r="R943">
        <v>73</v>
      </c>
      <c r="T943">
        <v>1360</v>
      </c>
      <c r="U943" t="s">
        <v>1126</v>
      </c>
      <c r="V943" s="7">
        <v>327.75</v>
      </c>
      <c r="W943" s="7">
        <v>297.07027734645828</v>
      </c>
      <c r="X943">
        <v>1</v>
      </c>
      <c r="Y943" s="7">
        <v>32.77999878</v>
      </c>
      <c r="Z943" s="7">
        <v>327.75</v>
      </c>
      <c r="AA943" s="7">
        <f t="shared" si="58"/>
        <v>294.97000121999997</v>
      </c>
      <c r="AB943" t="s">
        <v>45</v>
      </c>
      <c r="AC943" t="str">
        <f t="shared" si="59"/>
        <v>Non-Cash Payments</v>
      </c>
    </row>
    <row r="944" spans="1:29" x14ac:dyDescent="0.25">
      <c r="A944">
        <v>75808</v>
      </c>
      <c r="B944" s="2">
        <v>43405</v>
      </c>
      <c r="C944">
        <v>2</v>
      </c>
      <c r="D944" s="2">
        <f t="shared" si="56"/>
        <v>43409</v>
      </c>
      <c r="E944">
        <v>1</v>
      </c>
      <c r="F944" t="s">
        <v>23</v>
      </c>
      <c r="G944" t="str">
        <f t="shared" si="57"/>
        <v>Other</v>
      </c>
      <c r="H944">
        <v>73</v>
      </c>
      <c r="I944">
        <v>19361</v>
      </c>
      <c r="J944">
        <v>2</v>
      </c>
      <c r="K944" t="s">
        <v>136</v>
      </c>
      <c r="L944" t="s">
        <v>683</v>
      </c>
      <c r="M944" t="s">
        <v>847</v>
      </c>
      <c r="N944" t="s">
        <v>698</v>
      </c>
      <c r="P944" t="s">
        <v>699</v>
      </c>
      <c r="Q944" t="s">
        <v>700</v>
      </c>
      <c r="R944">
        <v>73</v>
      </c>
      <c r="T944">
        <v>1360</v>
      </c>
      <c r="U944" t="s">
        <v>1126</v>
      </c>
      <c r="V944" s="7">
        <v>327.75</v>
      </c>
      <c r="W944" s="7">
        <v>297.07027734645828</v>
      </c>
      <c r="X944">
        <v>1</v>
      </c>
      <c r="Y944" s="7">
        <v>39.33000183</v>
      </c>
      <c r="Z944" s="7">
        <v>327.75</v>
      </c>
      <c r="AA944" s="7">
        <f t="shared" si="58"/>
        <v>288.41999816999999</v>
      </c>
      <c r="AB944" t="s">
        <v>45</v>
      </c>
      <c r="AC944" t="str">
        <f t="shared" si="59"/>
        <v>Non-Cash Payments</v>
      </c>
    </row>
    <row r="945" spans="1:29" x14ac:dyDescent="0.25">
      <c r="A945">
        <v>75807</v>
      </c>
      <c r="B945" s="2">
        <v>43405</v>
      </c>
      <c r="C945">
        <v>0</v>
      </c>
      <c r="D945" s="2">
        <f t="shared" si="56"/>
        <v>43405</v>
      </c>
      <c r="E945">
        <v>1</v>
      </c>
      <c r="F945" t="s">
        <v>214</v>
      </c>
      <c r="G945" t="str">
        <f t="shared" si="57"/>
        <v>Other</v>
      </c>
      <c r="H945">
        <v>73</v>
      </c>
      <c r="I945">
        <v>19360</v>
      </c>
      <c r="J945">
        <v>2</v>
      </c>
      <c r="K945" t="s">
        <v>136</v>
      </c>
      <c r="L945" t="s">
        <v>683</v>
      </c>
      <c r="M945" t="s">
        <v>847</v>
      </c>
      <c r="N945" t="s">
        <v>698</v>
      </c>
      <c r="P945" t="s">
        <v>699</v>
      </c>
      <c r="Q945" t="s">
        <v>700</v>
      </c>
      <c r="R945">
        <v>73</v>
      </c>
      <c r="T945">
        <v>1360</v>
      </c>
      <c r="U945" t="s">
        <v>1126</v>
      </c>
      <c r="V945" s="7">
        <v>327.75</v>
      </c>
      <c r="W945" s="7">
        <v>297.07027734645828</v>
      </c>
      <c r="X945">
        <v>1</v>
      </c>
      <c r="Y945" s="7">
        <v>42.61000061</v>
      </c>
      <c r="Z945" s="7">
        <v>327.75</v>
      </c>
      <c r="AA945" s="7">
        <f t="shared" si="58"/>
        <v>285.13999939000001</v>
      </c>
      <c r="AB945" t="s">
        <v>30</v>
      </c>
      <c r="AC945" t="str">
        <f t="shared" si="59"/>
        <v>Cash Over 200</v>
      </c>
    </row>
    <row r="946" spans="1:29" x14ac:dyDescent="0.25">
      <c r="A946">
        <v>75806</v>
      </c>
      <c r="B946" s="2">
        <v>43405</v>
      </c>
      <c r="C946">
        <v>0</v>
      </c>
      <c r="D946" s="2">
        <f t="shared" si="56"/>
        <v>43405</v>
      </c>
      <c r="E946">
        <v>1</v>
      </c>
      <c r="F946" t="s">
        <v>214</v>
      </c>
      <c r="G946" t="str">
        <f t="shared" si="57"/>
        <v>Other</v>
      </c>
      <c r="H946">
        <v>73</v>
      </c>
      <c r="I946">
        <v>19359</v>
      </c>
      <c r="J946">
        <v>2</v>
      </c>
      <c r="K946" t="s">
        <v>136</v>
      </c>
      <c r="L946" t="s">
        <v>683</v>
      </c>
      <c r="M946" t="s">
        <v>847</v>
      </c>
      <c r="N946" t="s">
        <v>698</v>
      </c>
      <c r="P946" t="s">
        <v>699</v>
      </c>
      <c r="Q946" t="s">
        <v>700</v>
      </c>
      <c r="R946">
        <v>73</v>
      </c>
      <c r="T946">
        <v>1360</v>
      </c>
      <c r="U946" t="s">
        <v>1126</v>
      </c>
      <c r="V946" s="7">
        <v>327.75</v>
      </c>
      <c r="W946" s="7">
        <v>297.07027734645828</v>
      </c>
      <c r="X946">
        <v>1</v>
      </c>
      <c r="Y946" s="7">
        <v>49.159999849999998</v>
      </c>
      <c r="Z946" s="7">
        <v>327.75</v>
      </c>
      <c r="AA946" s="7">
        <f t="shared" si="58"/>
        <v>278.59000014999998</v>
      </c>
      <c r="AB946" t="s">
        <v>45</v>
      </c>
      <c r="AC946" t="str">
        <f t="shared" si="59"/>
        <v>Non-Cash Payments</v>
      </c>
    </row>
    <row r="947" spans="1:29" x14ac:dyDescent="0.25">
      <c r="A947">
        <v>75805</v>
      </c>
      <c r="B947" s="2">
        <v>43405</v>
      </c>
      <c r="C947">
        <v>0</v>
      </c>
      <c r="D947" s="2">
        <f t="shared" si="56"/>
        <v>43405</v>
      </c>
      <c r="E947">
        <v>1</v>
      </c>
      <c r="F947" t="s">
        <v>214</v>
      </c>
      <c r="G947" t="str">
        <f t="shared" si="57"/>
        <v>Other</v>
      </c>
      <c r="H947">
        <v>73</v>
      </c>
      <c r="I947">
        <v>19358</v>
      </c>
      <c r="J947">
        <v>2</v>
      </c>
      <c r="K947" t="s">
        <v>136</v>
      </c>
      <c r="L947" t="s">
        <v>683</v>
      </c>
      <c r="M947" t="s">
        <v>848</v>
      </c>
      <c r="N947" t="s">
        <v>693</v>
      </c>
      <c r="P947" t="s">
        <v>694</v>
      </c>
      <c r="Q947" t="s">
        <v>695</v>
      </c>
      <c r="R947">
        <v>73</v>
      </c>
      <c r="T947">
        <v>1360</v>
      </c>
      <c r="U947" t="s">
        <v>1126</v>
      </c>
      <c r="V947" s="7">
        <v>327.75</v>
      </c>
      <c r="W947" s="7">
        <v>297.07027734645828</v>
      </c>
      <c r="X947">
        <v>1</v>
      </c>
      <c r="Y947" s="7">
        <v>52.439998629999998</v>
      </c>
      <c r="Z947" s="7">
        <v>327.75</v>
      </c>
      <c r="AA947" s="7">
        <f t="shared" si="58"/>
        <v>275.31000137000001</v>
      </c>
      <c r="AB947" t="s">
        <v>45</v>
      </c>
      <c r="AC947" t="str">
        <f t="shared" si="59"/>
        <v>Non-Cash Payments</v>
      </c>
    </row>
    <row r="948" spans="1:29" x14ac:dyDescent="0.25">
      <c r="A948">
        <v>75804</v>
      </c>
      <c r="B948" s="2">
        <v>43405</v>
      </c>
      <c r="C948">
        <v>0</v>
      </c>
      <c r="D948" s="2">
        <f t="shared" si="56"/>
        <v>43405</v>
      </c>
      <c r="E948">
        <v>1</v>
      </c>
      <c r="F948" t="s">
        <v>214</v>
      </c>
      <c r="G948" t="str">
        <f t="shared" si="57"/>
        <v>Other</v>
      </c>
      <c r="H948">
        <v>73</v>
      </c>
      <c r="I948">
        <v>19357</v>
      </c>
      <c r="J948">
        <v>2</v>
      </c>
      <c r="K948" t="s">
        <v>136</v>
      </c>
      <c r="L948" t="s">
        <v>683</v>
      </c>
      <c r="M948" t="s">
        <v>848</v>
      </c>
      <c r="N948" t="s">
        <v>693</v>
      </c>
      <c r="P948" t="s">
        <v>694</v>
      </c>
      <c r="Q948" t="s">
        <v>695</v>
      </c>
      <c r="R948">
        <v>73</v>
      </c>
      <c r="T948">
        <v>1360</v>
      </c>
      <c r="U948" t="s">
        <v>1126</v>
      </c>
      <c r="V948" s="7">
        <v>327.75</v>
      </c>
      <c r="W948" s="7">
        <v>297.07027734645828</v>
      </c>
      <c r="X948">
        <v>1</v>
      </c>
      <c r="Y948" s="7">
        <v>55.72000122</v>
      </c>
      <c r="Z948" s="7">
        <v>327.75</v>
      </c>
      <c r="AA948" s="7">
        <f t="shared" si="58"/>
        <v>272.02999878000003</v>
      </c>
      <c r="AB948" t="s">
        <v>45</v>
      </c>
      <c r="AC948" t="str">
        <f t="shared" si="59"/>
        <v>Non-Cash Payments</v>
      </c>
    </row>
    <row r="949" spans="1:29" x14ac:dyDescent="0.25">
      <c r="A949">
        <v>75803</v>
      </c>
      <c r="B949" s="2">
        <v>43405</v>
      </c>
      <c r="C949">
        <v>0</v>
      </c>
      <c r="D949" s="2">
        <f t="shared" si="56"/>
        <v>43405</v>
      </c>
      <c r="E949">
        <v>1</v>
      </c>
      <c r="F949" t="s">
        <v>214</v>
      </c>
      <c r="G949" t="str">
        <f t="shared" si="57"/>
        <v>Other</v>
      </c>
      <c r="H949">
        <v>73</v>
      </c>
      <c r="I949">
        <v>19356</v>
      </c>
      <c r="J949">
        <v>2</v>
      </c>
      <c r="K949" t="s">
        <v>136</v>
      </c>
      <c r="L949" t="s">
        <v>683</v>
      </c>
      <c r="M949" t="s">
        <v>713</v>
      </c>
      <c r="N949" t="s">
        <v>693</v>
      </c>
      <c r="P949" t="s">
        <v>694</v>
      </c>
      <c r="Q949" t="s">
        <v>695</v>
      </c>
      <c r="R949">
        <v>73</v>
      </c>
      <c r="T949">
        <v>1360</v>
      </c>
      <c r="U949" t="s">
        <v>1126</v>
      </c>
      <c r="V949" s="7">
        <v>327.75</v>
      </c>
      <c r="W949" s="7">
        <v>297.07027734645828</v>
      </c>
      <c r="X949">
        <v>1</v>
      </c>
      <c r="Y949" s="7">
        <v>59</v>
      </c>
      <c r="Z949" s="7">
        <v>327.75</v>
      </c>
      <c r="AA949" s="7">
        <f t="shared" si="58"/>
        <v>268.75</v>
      </c>
      <c r="AB949" t="s">
        <v>30</v>
      </c>
      <c r="AC949" t="str">
        <f t="shared" si="59"/>
        <v>Cash Over 200</v>
      </c>
    </row>
    <row r="950" spans="1:29" x14ac:dyDescent="0.25">
      <c r="A950">
        <v>75802</v>
      </c>
      <c r="B950" s="2">
        <v>43405</v>
      </c>
      <c r="C950">
        <v>0</v>
      </c>
      <c r="D950" s="2">
        <f t="shared" si="56"/>
        <v>43405</v>
      </c>
      <c r="E950">
        <v>0</v>
      </c>
      <c r="F950" t="s">
        <v>214</v>
      </c>
      <c r="G950" t="str">
        <f t="shared" si="57"/>
        <v>Same Day - On Time</v>
      </c>
      <c r="H950">
        <v>73</v>
      </c>
      <c r="I950">
        <v>19355</v>
      </c>
      <c r="J950">
        <v>2</v>
      </c>
      <c r="K950" t="s">
        <v>136</v>
      </c>
      <c r="L950" t="s">
        <v>683</v>
      </c>
      <c r="M950" t="s">
        <v>713</v>
      </c>
      <c r="N950" t="s">
        <v>693</v>
      </c>
      <c r="P950" t="s">
        <v>694</v>
      </c>
      <c r="Q950" t="s">
        <v>695</v>
      </c>
      <c r="R950">
        <v>73</v>
      </c>
      <c r="T950">
        <v>1360</v>
      </c>
      <c r="U950" t="s">
        <v>1126</v>
      </c>
      <c r="V950" s="7">
        <v>327.75</v>
      </c>
      <c r="W950" s="7">
        <v>297.07027734645828</v>
      </c>
      <c r="X950">
        <v>1</v>
      </c>
      <c r="Y950" s="7">
        <v>65.550003050000001</v>
      </c>
      <c r="Z950" s="7">
        <v>327.75</v>
      </c>
      <c r="AA950" s="7">
        <f t="shared" si="58"/>
        <v>262.19999695000001</v>
      </c>
      <c r="AB950" t="s">
        <v>66</v>
      </c>
      <c r="AC950" t="str">
        <f t="shared" si="59"/>
        <v>Non-Cash Payments</v>
      </c>
    </row>
    <row r="951" spans="1:29" x14ac:dyDescent="0.25">
      <c r="A951">
        <v>75801</v>
      </c>
      <c r="B951" s="2">
        <v>43405</v>
      </c>
      <c r="C951">
        <v>0</v>
      </c>
      <c r="D951" s="2">
        <f t="shared" si="56"/>
        <v>43405</v>
      </c>
      <c r="E951">
        <v>1</v>
      </c>
      <c r="F951" t="s">
        <v>214</v>
      </c>
      <c r="G951" t="str">
        <f t="shared" si="57"/>
        <v>Other</v>
      </c>
      <c r="H951">
        <v>73</v>
      </c>
      <c r="I951">
        <v>19354</v>
      </c>
      <c r="J951">
        <v>2</v>
      </c>
      <c r="K951" t="s">
        <v>136</v>
      </c>
      <c r="L951" t="s">
        <v>683</v>
      </c>
      <c r="M951" t="s">
        <v>849</v>
      </c>
      <c r="N951" t="s">
        <v>689</v>
      </c>
      <c r="P951" t="s">
        <v>690</v>
      </c>
      <c r="Q951" t="s">
        <v>691</v>
      </c>
      <c r="R951">
        <v>73</v>
      </c>
      <c r="T951">
        <v>1360</v>
      </c>
      <c r="U951" t="s">
        <v>1126</v>
      </c>
      <c r="V951" s="7">
        <v>327.75</v>
      </c>
      <c r="W951" s="7">
        <v>297.07027734645828</v>
      </c>
      <c r="X951">
        <v>1</v>
      </c>
      <c r="Y951" s="7">
        <v>81.940002440000001</v>
      </c>
      <c r="Z951" s="7">
        <v>327.75</v>
      </c>
      <c r="AA951" s="7">
        <f t="shared" si="58"/>
        <v>245.80999756</v>
      </c>
      <c r="AB951" t="s">
        <v>45</v>
      </c>
      <c r="AC951" t="str">
        <f t="shared" si="59"/>
        <v>Non-Cash Payments</v>
      </c>
    </row>
    <row r="952" spans="1:29" x14ac:dyDescent="0.25">
      <c r="A952">
        <v>75800</v>
      </c>
      <c r="B952" s="2">
        <v>43405</v>
      </c>
      <c r="C952">
        <v>4</v>
      </c>
      <c r="D952" s="2">
        <f t="shared" si="56"/>
        <v>43411</v>
      </c>
      <c r="E952">
        <v>1</v>
      </c>
      <c r="F952" t="s">
        <v>62</v>
      </c>
      <c r="G952" t="str">
        <f t="shared" si="57"/>
        <v>Other</v>
      </c>
      <c r="H952">
        <v>73</v>
      </c>
      <c r="I952">
        <v>19353</v>
      </c>
      <c r="J952">
        <v>2</v>
      </c>
      <c r="K952" t="s">
        <v>136</v>
      </c>
      <c r="L952" t="s">
        <v>683</v>
      </c>
      <c r="M952" t="s">
        <v>849</v>
      </c>
      <c r="N952" t="s">
        <v>689</v>
      </c>
      <c r="P952" t="s">
        <v>690</v>
      </c>
      <c r="Q952" t="s">
        <v>691</v>
      </c>
      <c r="R952">
        <v>73</v>
      </c>
      <c r="T952">
        <v>1360</v>
      </c>
      <c r="U952" t="s">
        <v>1126</v>
      </c>
      <c r="V952" s="7">
        <v>327.75</v>
      </c>
      <c r="W952" s="7">
        <v>297.07027734645828</v>
      </c>
      <c r="X952">
        <v>1</v>
      </c>
      <c r="Y952" s="7">
        <v>0</v>
      </c>
      <c r="Z952" s="7">
        <v>327.75</v>
      </c>
      <c r="AA952" s="7">
        <f t="shared" si="58"/>
        <v>327.75</v>
      </c>
      <c r="AB952" t="s">
        <v>45</v>
      </c>
      <c r="AC952" t="str">
        <f t="shared" si="59"/>
        <v>Non-Cash Payments</v>
      </c>
    </row>
    <row r="953" spans="1:29" x14ac:dyDescent="0.25">
      <c r="A953">
        <v>75799</v>
      </c>
      <c r="B953" s="2">
        <v>43405</v>
      </c>
      <c r="C953">
        <v>4</v>
      </c>
      <c r="D953" s="2">
        <f t="shared" si="56"/>
        <v>43411</v>
      </c>
      <c r="E953">
        <v>1</v>
      </c>
      <c r="F953" t="s">
        <v>62</v>
      </c>
      <c r="G953" t="str">
        <f t="shared" si="57"/>
        <v>Other</v>
      </c>
      <c r="H953">
        <v>73</v>
      </c>
      <c r="I953">
        <v>19352</v>
      </c>
      <c r="J953">
        <v>2</v>
      </c>
      <c r="K953" t="s">
        <v>136</v>
      </c>
      <c r="L953" t="s">
        <v>683</v>
      </c>
      <c r="M953" t="s">
        <v>833</v>
      </c>
      <c r="N953" t="s">
        <v>833</v>
      </c>
      <c r="P953" t="s">
        <v>834</v>
      </c>
      <c r="Q953" t="s">
        <v>687</v>
      </c>
      <c r="R953">
        <v>73</v>
      </c>
      <c r="T953">
        <v>1360</v>
      </c>
      <c r="U953" t="s">
        <v>1126</v>
      </c>
      <c r="V953" s="7">
        <v>327.75</v>
      </c>
      <c r="W953" s="7">
        <v>297.07027734645828</v>
      </c>
      <c r="X953">
        <v>1</v>
      </c>
      <c r="Y953" s="7">
        <v>3.2799999710000001</v>
      </c>
      <c r="Z953" s="7">
        <v>327.75</v>
      </c>
      <c r="AA953" s="7">
        <f t="shared" si="58"/>
        <v>324.470000029</v>
      </c>
      <c r="AB953" t="s">
        <v>45</v>
      </c>
      <c r="AC953" t="str">
        <f t="shared" si="59"/>
        <v>Non-Cash Payments</v>
      </c>
    </row>
    <row r="954" spans="1:29" x14ac:dyDescent="0.25">
      <c r="A954">
        <v>75798</v>
      </c>
      <c r="B954" s="2">
        <v>43405</v>
      </c>
      <c r="C954">
        <v>4</v>
      </c>
      <c r="D954" s="2">
        <f t="shared" si="56"/>
        <v>43411</v>
      </c>
      <c r="E954">
        <v>0</v>
      </c>
      <c r="F954" t="s">
        <v>62</v>
      </c>
      <c r="G954" t="str">
        <f t="shared" si="57"/>
        <v>Other</v>
      </c>
      <c r="H954">
        <v>73</v>
      </c>
      <c r="I954">
        <v>19351</v>
      </c>
      <c r="J954">
        <v>2</v>
      </c>
      <c r="K954" t="s">
        <v>136</v>
      </c>
      <c r="L954" t="s">
        <v>683</v>
      </c>
      <c r="M954" t="s">
        <v>745</v>
      </c>
      <c r="N954" t="s">
        <v>807</v>
      </c>
      <c r="P954" t="s">
        <v>690</v>
      </c>
      <c r="Q954" t="s">
        <v>691</v>
      </c>
      <c r="R954">
        <v>73</v>
      </c>
      <c r="T954">
        <v>1360</v>
      </c>
      <c r="U954" t="s">
        <v>1126</v>
      </c>
      <c r="V954" s="7">
        <v>327.75</v>
      </c>
      <c r="W954" s="7">
        <v>297.07027734645828</v>
      </c>
      <c r="X954">
        <v>1</v>
      </c>
      <c r="Y954" s="7">
        <v>6.5599999430000002</v>
      </c>
      <c r="Z954" s="7">
        <v>327.75</v>
      </c>
      <c r="AA954" s="7">
        <f t="shared" si="58"/>
        <v>321.19000005700002</v>
      </c>
      <c r="AB954" t="s">
        <v>66</v>
      </c>
      <c r="AC954" t="str">
        <f t="shared" si="59"/>
        <v>Non-Cash Payments</v>
      </c>
    </row>
    <row r="955" spans="1:29" x14ac:dyDescent="0.25">
      <c r="A955">
        <v>75797</v>
      </c>
      <c r="B955" s="2">
        <v>43405</v>
      </c>
      <c r="C955">
        <v>4</v>
      </c>
      <c r="D955" s="2">
        <f t="shared" si="56"/>
        <v>43411</v>
      </c>
      <c r="E955">
        <v>0</v>
      </c>
      <c r="F955" t="s">
        <v>62</v>
      </c>
      <c r="G955" t="str">
        <f t="shared" si="57"/>
        <v>Other</v>
      </c>
      <c r="H955">
        <v>73</v>
      </c>
      <c r="I955">
        <v>19350</v>
      </c>
      <c r="J955">
        <v>2</v>
      </c>
      <c r="K955" t="s">
        <v>136</v>
      </c>
      <c r="L955" t="s">
        <v>683</v>
      </c>
      <c r="M955" t="s">
        <v>850</v>
      </c>
      <c r="N955" t="s">
        <v>785</v>
      </c>
      <c r="P955" t="s">
        <v>699</v>
      </c>
      <c r="Q955" t="s">
        <v>700</v>
      </c>
      <c r="R955">
        <v>73</v>
      </c>
      <c r="T955">
        <v>1360</v>
      </c>
      <c r="U955" t="s">
        <v>1126</v>
      </c>
      <c r="V955" s="7">
        <v>327.75</v>
      </c>
      <c r="W955" s="7">
        <v>297.07027734645828</v>
      </c>
      <c r="X955">
        <v>1</v>
      </c>
      <c r="Y955" s="7">
        <v>9.8299999239999991</v>
      </c>
      <c r="Z955" s="7">
        <v>327.75</v>
      </c>
      <c r="AA955" s="7">
        <f t="shared" si="58"/>
        <v>317.92000007600001</v>
      </c>
      <c r="AB955" t="s">
        <v>66</v>
      </c>
      <c r="AC955" t="str">
        <f t="shared" si="59"/>
        <v>Non-Cash Payments</v>
      </c>
    </row>
    <row r="956" spans="1:29" x14ac:dyDescent="0.25">
      <c r="A956">
        <v>49521</v>
      </c>
      <c r="B956" s="2">
        <v>42727</v>
      </c>
      <c r="C956">
        <v>2</v>
      </c>
      <c r="D956" s="2">
        <f t="shared" si="56"/>
        <v>42731</v>
      </c>
      <c r="E956">
        <v>0</v>
      </c>
      <c r="F956" t="s">
        <v>23</v>
      </c>
      <c r="G956" t="str">
        <f t="shared" si="57"/>
        <v>Other</v>
      </c>
      <c r="H956">
        <v>9</v>
      </c>
      <c r="I956">
        <v>9597</v>
      </c>
      <c r="J956">
        <v>3</v>
      </c>
      <c r="K956" t="s">
        <v>24</v>
      </c>
      <c r="L956" t="s">
        <v>683</v>
      </c>
      <c r="M956" t="s">
        <v>851</v>
      </c>
      <c r="N956" t="s">
        <v>851</v>
      </c>
      <c r="P956" t="s">
        <v>762</v>
      </c>
      <c r="Q956" t="s">
        <v>737</v>
      </c>
      <c r="R956">
        <v>9</v>
      </c>
      <c r="T956">
        <v>191</v>
      </c>
      <c r="U956" t="s">
        <v>1044</v>
      </c>
      <c r="V956" s="7">
        <v>99.989997860000003</v>
      </c>
      <c r="W956" s="7">
        <v>95.114003926871064</v>
      </c>
      <c r="X956">
        <v>3</v>
      </c>
      <c r="Y956" s="7">
        <v>45</v>
      </c>
      <c r="Z956" s="7">
        <v>299.96999357999999</v>
      </c>
      <c r="AA956" s="7">
        <f t="shared" si="58"/>
        <v>254.96999357999999</v>
      </c>
      <c r="AB956" t="s">
        <v>30</v>
      </c>
      <c r="AC956" t="str">
        <f t="shared" si="59"/>
        <v>Cash Over 200</v>
      </c>
    </row>
    <row r="957" spans="1:29" x14ac:dyDescent="0.25">
      <c r="A957">
        <v>30305</v>
      </c>
      <c r="B957" s="2">
        <v>42447</v>
      </c>
      <c r="C957">
        <v>2</v>
      </c>
      <c r="D957" s="2">
        <f t="shared" si="56"/>
        <v>42451</v>
      </c>
      <c r="E957">
        <v>1</v>
      </c>
      <c r="F957" t="s">
        <v>23</v>
      </c>
      <c r="G957" t="str">
        <f t="shared" si="57"/>
        <v>Other</v>
      </c>
      <c r="H957">
        <v>29</v>
      </c>
      <c r="I957">
        <v>9702</v>
      </c>
      <c r="J957">
        <v>5</v>
      </c>
      <c r="K957" t="s">
        <v>31</v>
      </c>
      <c r="L957" t="s">
        <v>683</v>
      </c>
      <c r="M957" t="s">
        <v>852</v>
      </c>
      <c r="N957" t="s">
        <v>853</v>
      </c>
      <c r="P957" t="s">
        <v>751</v>
      </c>
      <c r="Q957" t="s">
        <v>695</v>
      </c>
      <c r="R957">
        <v>29</v>
      </c>
      <c r="T957">
        <v>627</v>
      </c>
      <c r="U957" t="s">
        <v>1046</v>
      </c>
      <c r="V957" s="7">
        <v>39.990001679999999</v>
      </c>
      <c r="W957" s="7">
        <v>34.198098313835338</v>
      </c>
      <c r="X957">
        <v>3</v>
      </c>
      <c r="Y957" s="7">
        <v>6</v>
      </c>
      <c r="Z957" s="7">
        <v>119.97000503999999</v>
      </c>
      <c r="AA957" s="7">
        <f t="shared" si="58"/>
        <v>113.97000503999999</v>
      </c>
      <c r="AB957" t="s">
        <v>30</v>
      </c>
      <c r="AC957" t="str">
        <f t="shared" si="59"/>
        <v>Cash Not Over 200</v>
      </c>
    </row>
    <row r="958" spans="1:29" x14ac:dyDescent="0.25">
      <c r="A958">
        <v>50054</v>
      </c>
      <c r="B958" s="2">
        <v>42735</v>
      </c>
      <c r="C958">
        <v>2</v>
      </c>
      <c r="D958" s="2">
        <f t="shared" si="56"/>
        <v>42738</v>
      </c>
      <c r="E958">
        <v>1</v>
      </c>
      <c r="F958" t="s">
        <v>23</v>
      </c>
      <c r="G958" t="str">
        <f t="shared" si="57"/>
        <v>Other</v>
      </c>
      <c r="H958">
        <v>9</v>
      </c>
      <c r="I958">
        <v>1362</v>
      </c>
      <c r="J958">
        <v>3</v>
      </c>
      <c r="K958" t="s">
        <v>24</v>
      </c>
      <c r="L958" t="s">
        <v>683</v>
      </c>
      <c r="M958" t="s">
        <v>741</v>
      </c>
      <c r="N958" t="s">
        <v>741</v>
      </c>
      <c r="P958" t="s">
        <v>736</v>
      </c>
      <c r="Q958" t="s">
        <v>737</v>
      </c>
      <c r="R958">
        <v>9</v>
      </c>
      <c r="T958">
        <v>191</v>
      </c>
      <c r="U958" t="s">
        <v>1044</v>
      </c>
      <c r="V958" s="7">
        <v>99.989997860000003</v>
      </c>
      <c r="W958" s="7">
        <v>95.114003926871064</v>
      </c>
      <c r="X958">
        <v>3</v>
      </c>
      <c r="Y958" s="7">
        <v>45</v>
      </c>
      <c r="Z958" s="7">
        <v>299.96999357999999</v>
      </c>
      <c r="AA958" s="7">
        <f t="shared" si="58"/>
        <v>254.96999357999999</v>
      </c>
      <c r="AB958" t="s">
        <v>30</v>
      </c>
      <c r="AC958" t="str">
        <f t="shared" si="59"/>
        <v>Cash Over 200</v>
      </c>
    </row>
    <row r="959" spans="1:29" x14ac:dyDescent="0.25">
      <c r="A959">
        <v>27772</v>
      </c>
      <c r="B959" s="2">
        <v>42645</v>
      </c>
      <c r="C959">
        <v>2</v>
      </c>
      <c r="D959" s="2">
        <f t="shared" si="56"/>
        <v>42647</v>
      </c>
      <c r="E959">
        <v>1</v>
      </c>
      <c r="F959" t="s">
        <v>23</v>
      </c>
      <c r="G959" t="str">
        <f t="shared" si="57"/>
        <v>Other</v>
      </c>
      <c r="H959">
        <v>17</v>
      </c>
      <c r="I959">
        <v>9467</v>
      </c>
      <c r="J959">
        <v>4</v>
      </c>
      <c r="K959" t="s">
        <v>46</v>
      </c>
      <c r="L959" t="s">
        <v>683</v>
      </c>
      <c r="M959" t="s">
        <v>854</v>
      </c>
      <c r="N959" t="s">
        <v>854</v>
      </c>
      <c r="P959" t="s">
        <v>686</v>
      </c>
      <c r="Q959" t="s">
        <v>687</v>
      </c>
      <c r="R959">
        <v>17</v>
      </c>
      <c r="T959">
        <v>365</v>
      </c>
      <c r="U959" t="s">
        <v>1054</v>
      </c>
      <c r="V959" s="7">
        <v>59.990001679999999</v>
      </c>
      <c r="W959" s="7">
        <v>54.488929209402009</v>
      </c>
      <c r="X959">
        <v>3</v>
      </c>
      <c r="Y959" s="7">
        <v>1.7999999520000001</v>
      </c>
      <c r="Z959" s="7">
        <v>179.97000503999999</v>
      </c>
      <c r="AA959" s="7">
        <f t="shared" si="58"/>
        <v>178.17000508799998</v>
      </c>
      <c r="AB959" t="s">
        <v>30</v>
      </c>
      <c r="AC959" t="str">
        <f t="shared" si="59"/>
        <v>Cash Not Over 200</v>
      </c>
    </row>
    <row r="960" spans="1:29" x14ac:dyDescent="0.25">
      <c r="A960">
        <v>47752</v>
      </c>
      <c r="B960" s="2">
        <v>42702</v>
      </c>
      <c r="C960">
        <v>2</v>
      </c>
      <c r="D960" s="2">
        <f t="shared" si="56"/>
        <v>42704</v>
      </c>
      <c r="E960">
        <v>1</v>
      </c>
      <c r="F960" t="s">
        <v>23</v>
      </c>
      <c r="G960" t="str">
        <f t="shared" si="57"/>
        <v>Other</v>
      </c>
      <c r="H960">
        <v>17</v>
      </c>
      <c r="I960">
        <v>9114</v>
      </c>
      <c r="J960">
        <v>4</v>
      </c>
      <c r="K960" t="s">
        <v>46</v>
      </c>
      <c r="L960" t="s">
        <v>683</v>
      </c>
      <c r="M960" t="s">
        <v>742</v>
      </c>
      <c r="N960" t="s">
        <v>743</v>
      </c>
      <c r="P960" t="s">
        <v>744</v>
      </c>
      <c r="Q960" t="s">
        <v>700</v>
      </c>
      <c r="R960">
        <v>17</v>
      </c>
      <c r="T960">
        <v>365</v>
      </c>
      <c r="U960" t="s">
        <v>1054</v>
      </c>
      <c r="V960" s="7">
        <v>59.990001679999999</v>
      </c>
      <c r="W960" s="7">
        <v>54.488929209402009</v>
      </c>
      <c r="X960">
        <v>3</v>
      </c>
      <c r="Y960" s="7">
        <v>7.1999998090000004</v>
      </c>
      <c r="Z960" s="7">
        <v>179.97000503999999</v>
      </c>
      <c r="AA960" s="7">
        <f t="shared" si="58"/>
        <v>172.770005231</v>
      </c>
      <c r="AB960" t="s">
        <v>30</v>
      </c>
      <c r="AC960" t="str">
        <f t="shared" si="59"/>
        <v>Cash Not Over 200</v>
      </c>
    </row>
    <row r="961" spans="1:29" x14ac:dyDescent="0.25">
      <c r="A961">
        <v>31296</v>
      </c>
      <c r="B961" s="2">
        <v>42373</v>
      </c>
      <c r="C961">
        <v>2</v>
      </c>
      <c r="D961" s="2">
        <f t="shared" si="56"/>
        <v>42375</v>
      </c>
      <c r="E961">
        <v>0</v>
      </c>
      <c r="F961" t="s">
        <v>23</v>
      </c>
      <c r="G961" t="str">
        <f t="shared" si="57"/>
        <v>Other</v>
      </c>
      <c r="H961">
        <v>17</v>
      </c>
      <c r="I961">
        <v>2546</v>
      </c>
      <c r="J961">
        <v>4</v>
      </c>
      <c r="K961" t="s">
        <v>46</v>
      </c>
      <c r="L961" t="s">
        <v>683</v>
      </c>
      <c r="M961" t="s">
        <v>855</v>
      </c>
      <c r="N961" t="s">
        <v>685</v>
      </c>
      <c r="P961" t="s">
        <v>686</v>
      </c>
      <c r="Q961" t="s">
        <v>687</v>
      </c>
      <c r="R961">
        <v>17</v>
      </c>
      <c r="T961">
        <v>365</v>
      </c>
      <c r="U961" t="s">
        <v>1054</v>
      </c>
      <c r="V961" s="7">
        <v>59.990001679999999</v>
      </c>
      <c r="W961" s="7">
        <v>54.488929209402009</v>
      </c>
      <c r="X961">
        <v>3</v>
      </c>
      <c r="Y961" s="7">
        <v>9.8999996190000008</v>
      </c>
      <c r="Z961" s="7">
        <v>179.97000503999999</v>
      </c>
      <c r="AA961" s="7">
        <f t="shared" si="58"/>
        <v>170.07000542099999</v>
      </c>
      <c r="AB961" t="s">
        <v>30</v>
      </c>
      <c r="AC961" t="str">
        <f t="shared" si="59"/>
        <v>Cash Not Over 200</v>
      </c>
    </row>
    <row r="962" spans="1:29" x14ac:dyDescent="0.25">
      <c r="A962">
        <v>22076</v>
      </c>
      <c r="B962" s="2">
        <v>42327</v>
      </c>
      <c r="C962">
        <v>2</v>
      </c>
      <c r="D962" s="2">
        <f t="shared" si="56"/>
        <v>42331</v>
      </c>
      <c r="E962">
        <v>0</v>
      </c>
      <c r="F962" t="s">
        <v>23</v>
      </c>
      <c r="G962" t="str">
        <f t="shared" si="57"/>
        <v>Other</v>
      </c>
      <c r="H962">
        <v>17</v>
      </c>
      <c r="I962">
        <v>2240</v>
      </c>
      <c r="J962">
        <v>4</v>
      </c>
      <c r="K962" t="s">
        <v>46</v>
      </c>
      <c r="L962" t="s">
        <v>683</v>
      </c>
      <c r="M962" t="s">
        <v>763</v>
      </c>
      <c r="N962" t="s">
        <v>698</v>
      </c>
      <c r="P962" t="s">
        <v>699</v>
      </c>
      <c r="Q962" t="s">
        <v>700</v>
      </c>
      <c r="R962">
        <v>17</v>
      </c>
      <c r="T962">
        <v>365</v>
      </c>
      <c r="U962" t="s">
        <v>1054</v>
      </c>
      <c r="V962" s="7">
        <v>59.990001679999999</v>
      </c>
      <c r="W962" s="7">
        <v>54.488929209402009</v>
      </c>
      <c r="X962">
        <v>3</v>
      </c>
      <c r="Y962" s="7">
        <v>16.200000760000002</v>
      </c>
      <c r="Z962" s="7">
        <v>179.97000503999999</v>
      </c>
      <c r="AA962" s="7">
        <f t="shared" si="58"/>
        <v>163.77000427999999</v>
      </c>
      <c r="AB962" t="s">
        <v>30</v>
      </c>
      <c r="AC962" t="str">
        <f t="shared" si="59"/>
        <v>Cash Not Over 200</v>
      </c>
    </row>
    <row r="963" spans="1:29" x14ac:dyDescent="0.25">
      <c r="A963">
        <v>25665</v>
      </c>
      <c r="B963" s="2">
        <v>42644</v>
      </c>
      <c r="C963">
        <v>2</v>
      </c>
      <c r="D963" s="2">
        <f t="shared" ref="D963:D1026" si="60">WORKDAY(B963,C963)</f>
        <v>42647</v>
      </c>
      <c r="E963">
        <v>1</v>
      </c>
      <c r="F963" t="s">
        <v>23</v>
      </c>
      <c r="G963" t="str">
        <f t="shared" ref="G963:G1026" si="61">IF(AND(E963=0,F963="Same Day"),"Same Day - On Time","Other")</f>
        <v>Other</v>
      </c>
      <c r="H963">
        <v>17</v>
      </c>
      <c r="I963">
        <v>11650</v>
      </c>
      <c r="J963">
        <v>4</v>
      </c>
      <c r="K963" t="s">
        <v>46</v>
      </c>
      <c r="L963" t="s">
        <v>683</v>
      </c>
      <c r="M963" t="s">
        <v>713</v>
      </c>
      <c r="N963" t="s">
        <v>693</v>
      </c>
      <c r="P963" t="s">
        <v>694</v>
      </c>
      <c r="Q963" t="s">
        <v>695</v>
      </c>
      <c r="R963">
        <v>17</v>
      </c>
      <c r="T963">
        <v>365</v>
      </c>
      <c r="U963" t="s">
        <v>1054</v>
      </c>
      <c r="V963" s="7">
        <v>59.990001679999999</v>
      </c>
      <c r="W963" s="7">
        <v>54.488929209402009</v>
      </c>
      <c r="X963">
        <v>3</v>
      </c>
      <c r="Y963" s="7">
        <v>27</v>
      </c>
      <c r="Z963" s="7">
        <v>179.97000503999999</v>
      </c>
      <c r="AA963" s="7">
        <f t="shared" ref="AA963:AA1026" si="62">Z963-Y963</f>
        <v>152.97000503999999</v>
      </c>
      <c r="AB963" t="s">
        <v>30</v>
      </c>
      <c r="AC963" t="str">
        <f t="shared" ref="AC963:AC1026" si="63">IF(AND(AA963&gt;200,AB963="CASH"),"Cash Over 200",IF(AB963="CASH","Cash Not Over 200","Non-Cash Payments"))</f>
        <v>Cash Not Over 200</v>
      </c>
    </row>
    <row r="964" spans="1:29" x14ac:dyDescent="0.25">
      <c r="A964">
        <v>31296</v>
      </c>
      <c r="B964" s="2">
        <v>42373</v>
      </c>
      <c r="C964">
        <v>2</v>
      </c>
      <c r="D964" s="2">
        <f t="shared" si="60"/>
        <v>42375</v>
      </c>
      <c r="E964">
        <v>0</v>
      </c>
      <c r="F964" t="s">
        <v>23</v>
      </c>
      <c r="G964" t="str">
        <f t="shared" si="61"/>
        <v>Other</v>
      </c>
      <c r="H964">
        <v>24</v>
      </c>
      <c r="I964">
        <v>2546</v>
      </c>
      <c r="J964">
        <v>5</v>
      </c>
      <c r="K964" t="s">
        <v>31</v>
      </c>
      <c r="L964" t="s">
        <v>683</v>
      </c>
      <c r="M964" t="s">
        <v>855</v>
      </c>
      <c r="N964" t="s">
        <v>685</v>
      </c>
      <c r="P964" t="s">
        <v>686</v>
      </c>
      <c r="Q964" t="s">
        <v>687</v>
      </c>
      <c r="R964">
        <v>24</v>
      </c>
      <c r="T964">
        <v>502</v>
      </c>
      <c r="U964" t="s">
        <v>1058</v>
      </c>
      <c r="V964" s="7">
        <v>50</v>
      </c>
      <c r="W964" s="7">
        <v>43.678035218757444</v>
      </c>
      <c r="X964">
        <v>3</v>
      </c>
      <c r="Y964" s="7">
        <v>0</v>
      </c>
      <c r="Z964" s="7">
        <v>150</v>
      </c>
      <c r="AA964" s="7">
        <f t="shared" si="62"/>
        <v>150</v>
      </c>
      <c r="AB964" t="s">
        <v>30</v>
      </c>
      <c r="AC964" t="str">
        <f t="shared" si="63"/>
        <v>Cash Not Over 200</v>
      </c>
    </row>
    <row r="965" spans="1:29" x14ac:dyDescent="0.25">
      <c r="A965">
        <v>22819</v>
      </c>
      <c r="B965" s="2">
        <v>42338</v>
      </c>
      <c r="C965">
        <v>2</v>
      </c>
      <c r="D965" s="2">
        <f t="shared" si="60"/>
        <v>42340</v>
      </c>
      <c r="E965">
        <v>1</v>
      </c>
      <c r="F965" t="s">
        <v>23</v>
      </c>
      <c r="G965" t="str">
        <f t="shared" si="61"/>
        <v>Other</v>
      </c>
      <c r="H965">
        <v>29</v>
      </c>
      <c r="I965">
        <v>10368</v>
      </c>
      <c r="J965">
        <v>5</v>
      </c>
      <c r="K965" t="s">
        <v>31</v>
      </c>
      <c r="L965" t="s">
        <v>683</v>
      </c>
      <c r="M965" t="s">
        <v>811</v>
      </c>
      <c r="N965" t="s">
        <v>725</v>
      </c>
      <c r="P965" t="s">
        <v>694</v>
      </c>
      <c r="Q965" t="s">
        <v>695</v>
      </c>
      <c r="R965">
        <v>29</v>
      </c>
      <c r="T965">
        <v>627</v>
      </c>
      <c r="U965" t="s">
        <v>1046</v>
      </c>
      <c r="V965" s="7">
        <v>39.990001679999999</v>
      </c>
      <c r="W965" s="7">
        <v>34.198098313835338</v>
      </c>
      <c r="X965">
        <v>3</v>
      </c>
      <c r="Y965" s="7">
        <v>23.989999770000001</v>
      </c>
      <c r="Z965" s="7">
        <v>119.97000503999999</v>
      </c>
      <c r="AA965" s="7">
        <f t="shared" si="62"/>
        <v>95.980005269999992</v>
      </c>
      <c r="AB965" t="s">
        <v>30</v>
      </c>
      <c r="AC965" t="str">
        <f t="shared" si="63"/>
        <v>Cash Not Over 200</v>
      </c>
    </row>
    <row r="966" spans="1:29" x14ac:dyDescent="0.25">
      <c r="A966">
        <v>27099</v>
      </c>
      <c r="B966" s="2">
        <v>42400</v>
      </c>
      <c r="C966">
        <v>2</v>
      </c>
      <c r="D966" s="2">
        <f t="shared" si="60"/>
        <v>42402</v>
      </c>
      <c r="E966">
        <v>1</v>
      </c>
      <c r="F966" t="s">
        <v>23</v>
      </c>
      <c r="G966" t="str">
        <f t="shared" si="61"/>
        <v>Other</v>
      </c>
      <c r="H966">
        <v>41</v>
      </c>
      <c r="I966">
        <v>6489</v>
      </c>
      <c r="J966">
        <v>6</v>
      </c>
      <c r="K966" t="s">
        <v>35</v>
      </c>
      <c r="L966" t="s">
        <v>683</v>
      </c>
      <c r="M966" t="s">
        <v>105</v>
      </c>
      <c r="N966" t="s">
        <v>725</v>
      </c>
      <c r="P966" t="s">
        <v>694</v>
      </c>
      <c r="Q966" t="s">
        <v>695</v>
      </c>
      <c r="R966">
        <v>41</v>
      </c>
      <c r="T966">
        <v>917</v>
      </c>
      <c r="U966" t="s">
        <v>1048</v>
      </c>
      <c r="V966" s="7">
        <v>21.989999770000001</v>
      </c>
      <c r="W966" s="7">
        <v>20.391999720066668</v>
      </c>
      <c r="X966">
        <v>3</v>
      </c>
      <c r="Y966" s="7">
        <v>0.66000002599999996</v>
      </c>
      <c r="Z966" s="7">
        <v>65.969999310000006</v>
      </c>
      <c r="AA966" s="7">
        <f t="shared" si="62"/>
        <v>65.309999284</v>
      </c>
      <c r="AB966" t="s">
        <v>30</v>
      </c>
      <c r="AC966" t="str">
        <f t="shared" si="63"/>
        <v>Cash Not Over 200</v>
      </c>
    </row>
    <row r="967" spans="1:29" x14ac:dyDescent="0.25">
      <c r="A967">
        <v>28292</v>
      </c>
      <c r="B967" s="2">
        <v>42417</v>
      </c>
      <c r="C967">
        <v>2</v>
      </c>
      <c r="D967" s="2">
        <f t="shared" si="60"/>
        <v>42419</v>
      </c>
      <c r="E967">
        <v>1</v>
      </c>
      <c r="F967" t="s">
        <v>23</v>
      </c>
      <c r="G967" t="str">
        <f t="shared" si="61"/>
        <v>Other</v>
      </c>
      <c r="H967">
        <v>41</v>
      </c>
      <c r="I967">
        <v>10533</v>
      </c>
      <c r="J967">
        <v>6</v>
      </c>
      <c r="K967" t="s">
        <v>35</v>
      </c>
      <c r="L967" t="s">
        <v>683</v>
      </c>
      <c r="M967" t="s">
        <v>856</v>
      </c>
      <c r="N967" t="s">
        <v>857</v>
      </c>
      <c r="P967" t="s">
        <v>690</v>
      </c>
      <c r="Q967" t="s">
        <v>691</v>
      </c>
      <c r="R967">
        <v>41</v>
      </c>
      <c r="T967">
        <v>924</v>
      </c>
      <c r="U967" t="s">
        <v>1068</v>
      </c>
      <c r="V967" s="7">
        <v>15.989999770000001</v>
      </c>
      <c r="W967" s="7">
        <v>16.143866608000003</v>
      </c>
      <c r="X967">
        <v>3</v>
      </c>
      <c r="Y967" s="7">
        <v>11.989999770000001</v>
      </c>
      <c r="Z967" s="7">
        <v>47.969999310000006</v>
      </c>
      <c r="AA967" s="7">
        <f t="shared" si="62"/>
        <v>35.979999540000009</v>
      </c>
      <c r="AB967" t="s">
        <v>30</v>
      </c>
      <c r="AC967" t="str">
        <f t="shared" si="63"/>
        <v>Cash Not Over 200</v>
      </c>
    </row>
    <row r="968" spans="1:29" x14ac:dyDescent="0.25">
      <c r="A968">
        <v>21244</v>
      </c>
      <c r="B968" s="2">
        <v>42196</v>
      </c>
      <c r="C968">
        <v>2</v>
      </c>
      <c r="D968" s="2">
        <f t="shared" si="60"/>
        <v>42199</v>
      </c>
      <c r="E968">
        <v>1</v>
      </c>
      <c r="F968" t="s">
        <v>23</v>
      </c>
      <c r="G968" t="str">
        <f t="shared" si="61"/>
        <v>Other</v>
      </c>
      <c r="H968">
        <v>40</v>
      </c>
      <c r="I968">
        <v>6491</v>
      </c>
      <c r="J968">
        <v>6</v>
      </c>
      <c r="K968" t="s">
        <v>35</v>
      </c>
      <c r="L968" t="s">
        <v>683</v>
      </c>
      <c r="M968" t="s">
        <v>804</v>
      </c>
      <c r="N968" t="s">
        <v>805</v>
      </c>
      <c r="P968" t="s">
        <v>699</v>
      </c>
      <c r="Q968" t="s">
        <v>700</v>
      </c>
      <c r="R968">
        <v>40</v>
      </c>
      <c r="T968">
        <v>885</v>
      </c>
      <c r="U968" t="s">
        <v>1064</v>
      </c>
      <c r="V968" s="7">
        <v>24.989999770000001</v>
      </c>
      <c r="W968" s="7">
        <v>29.483249567625002</v>
      </c>
      <c r="X968">
        <v>4</v>
      </c>
      <c r="Y968" s="7">
        <v>5.5</v>
      </c>
      <c r="Z968" s="7">
        <v>99.959999080000003</v>
      </c>
      <c r="AA968" s="7">
        <f t="shared" si="62"/>
        <v>94.459999080000003</v>
      </c>
      <c r="AB968" t="s">
        <v>30</v>
      </c>
      <c r="AC968" t="str">
        <f t="shared" si="63"/>
        <v>Cash Not Over 200</v>
      </c>
    </row>
    <row r="969" spans="1:29" x14ac:dyDescent="0.25">
      <c r="A969">
        <v>47752</v>
      </c>
      <c r="B969" s="2">
        <v>42702</v>
      </c>
      <c r="C969">
        <v>2</v>
      </c>
      <c r="D969" s="2">
        <f t="shared" si="60"/>
        <v>42704</v>
      </c>
      <c r="E969">
        <v>1</v>
      </c>
      <c r="F969" t="s">
        <v>23</v>
      </c>
      <c r="G969" t="str">
        <f t="shared" si="61"/>
        <v>Other</v>
      </c>
      <c r="H969">
        <v>17</v>
      </c>
      <c r="I969">
        <v>9114</v>
      </c>
      <c r="J969">
        <v>4</v>
      </c>
      <c r="K969" t="s">
        <v>46</v>
      </c>
      <c r="L969" t="s">
        <v>683</v>
      </c>
      <c r="M969" t="s">
        <v>742</v>
      </c>
      <c r="N969" t="s">
        <v>743</v>
      </c>
      <c r="P969" t="s">
        <v>744</v>
      </c>
      <c r="Q969" t="s">
        <v>700</v>
      </c>
      <c r="R969">
        <v>17</v>
      </c>
      <c r="T969">
        <v>365</v>
      </c>
      <c r="U969" t="s">
        <v>1054</v>
      </c>
      <c r="V969" s="7">
        <v>59.990001679999999</v>
      </c>
      <c r="W969" s="7">
        <v>54.488929209402009</v>
      </c>
      <c r="X969">
        <v>4</v>
      </c>
      <c r="Y969" s="7">
        <v>12</v>
      </c>
      <c r="Z969" s="7">
        <v>239.96000672</v>
      </c>
      <c r="AA969" s="7">
        <f t="shared" si="62"/>
        <v>227.96000672</v>
      </c>
      <c r="AB969" t="s">
        <v>30</v>
      </c>
      <c r="AC969" t="str">
        <f t="shared" si="63"/>
        <v>Cash Over 200</v>
      </c>
    </row>
    <row r="970" spans="1:29" x14ac:dyDescent="0.25">
      <c r="A970">
        <v>31239</v>
      </c>
      <c r="B970" s="2">
        <v>42373</v>
      </c>
      <c r="C970">
        <v>2</v>
      </c>
      <c r="D970" s="2">
        <f t="shared" si="60"/>
        <v>42375</v>
      </c>
      <c r="E970">
        <v>1</v>
      </c>
      <c r="F970" t="s">
        <v>23</v>
      </c>
      <c r="G970" t="str">
        <f t="shared" si="61"/>
        <v>Other</v>
      </c>
      <c r="H970">
        <v>17</v>
      </c>
      <c r="I970">
        <v>5564</v>
      </c>
      <c r="J970">
        <v>4</v>
      </c>
      <c r="K970" t="s">
        <v>46</v>
      </c>
      <c r="L970" t="s">
        <v>683</v>
      </c>
      <c r="M970" t="s">
        <v>852</v>
      </c>
      <c r="N970" t="s">
        <v>853</v>
      </c>
      <c r="P970" t="s">
        <v>751</v>
      </c>
      <c r="Q970" t="s">
        <v>695</v>
      </c>
      <c r="R970">
        <v>17</v>
      </c>
      <c r="T970">
        <v>365</v>
      </c>
      <c r="U970" t="s">
        <v>1054</v>
      </c>
      <c r="V970" s="7">
        <v>59.990001679999999</v>
      </c>
      <c r="W970" s="7">
        <v>54.488929209402009</v>
      </c>
      <c r="X970">
        <v>4</v>
      </c>
      <c r="Y970" s="7">
        <v>24</v>
      </c>
      <c r="Z970" s="7">
        <v>239.96000672</v>
      </c>
      <c r="AA970" s="7">
        <f t="shared" si="62"/>
        <v>215.96000672</v>
      </c>
      <c r="AB970" t="s">
        <v>30</v>
      </c>
      <c r="AC970" t="str">
        <f t="shared" si="63"/>
        <v>Cash Over 200</v>
      </c>
    </row>
    <row r="971" spans="1:29" x14ac:dyDescent="0.25">
      <c r="A971">
        <v>45772</v>
      </c>
      <c r="B971" s="2">
        <v>42673</v>
      </c>
      <c r="C971">
        <v>2</v>
      </c>
      <c r="D971" s="2">
        <f t="shared" si="60"/>
        <v>42675</v>
      </c>
      <c r="E971">
        <v>1</v>
      </c>
      <c r="F971" t="s">
        <v>23</v>
      </c>
      <c r="G971" t="str">
        <f t="shared" si="61"/>
        <v>Other</v>
      </c>
      <c r="H971">
        <v>17</v>
      </c>
      <c r="I971">
        <v>7955</v>
      </c>
      <c r="J971">
        <v>4</v>
      </c>
      <c r="K971" t="s">
        <v>46</v>
      </c>
      <c r="L971" t="s">
        <v>683</v>
      </c>
      <c r="M971" t="s">
        <v>858</v>
      </c>
      <c r="N971" t="s">
        <v>858</v>
      </c>
      <c r="P971" t="s">
        <v>791</v>
      </c>
      <c r="Q971" t="s">
        <v>691</v>
      </c>
      <c r="R971">
        <v>17</v>
      </c>
      <c r="T971">
        <v>365</v>
      </c>
      <c r="U971" t="s">
        <v>1054</v>
      </c>
      <c r="V971" s="7">
        <v>59.990001679999999</v>
      </c>
      <c r="W971" s="7">
        <v>54.488929209402009</v>
      </c>
      <c r="X971">
        <v>4</v>
      </c>
      <c r="Y971" s="7">
        <v>43.189998629999998</v>
      </c>
      <c r="Z971" s="7">
        <v>239.96000672</v>
      </c>
      <c r="AA971" s="7">
        <f t="shared" si="62"/>
        <v>196.77000809</v>
      </c>
      <c r="AB971" t="s">
        <v>30</v>
      </c>
      <c r="AC971" t="str">
        <f t="shared" si="63"/>
        <v>Cash Not Over 200</v>
      </c>
    </row>
    <row r="972" spans="1:29" x14ac:dyDescent="0.25">
      <c r="A972">
        <v>24661</v>
      </c>
      <c r="B972" s="2">
        <v>42364</v>
      </c>
      <c r="C972">
        <v>2</v>
      </c>
      <c r="D972" s="2">
        <f t="shared" si="60"/>
        <v>42367</v>
      </c>
      <c r="E972">
        <v>0</v>
      </c>
      <c r="F972" t="s">
        <v>23</v>
      </c>
      <c r="G972" t="str">
        <f t="shared" si="61"/>
        <v>Other</v>
      </c>
      <c r="H972">
        <v>29</v>
      </c>
      <c r="I972">
        <v>5728</v>
      </c>
      <c r="J972">
        <v>5</v>
      </c>
      <c r="K972" t="s">
        <v>31</v>
      </c>
      <c r="L972" t="s">
        <v>683</v>
      </c>
      <c r="M972" t="s">
        <v>768</v>
      </c>
      <c r="N972" t="s">
        <v>712</v>
      </c>
      <c r="P972" t="s">
        <v>694</v>
      </c>
      <c r="Q972" t="s">
        <v>695</v>
      </c>
      <c r="R972">
        <v>29</v>
      </c>
      <c r="T972">
        <v>627</v>
      </c>
      <c r="U972" t="s">
        <v>1046</v>
      </c>
      <c r="V972" s="7">
        <v>39.990001679999999</v>
      </c>
      <c r="W972" s="7">
        <v>34.198098313835338</v>
      </c>
      <c r="X972">
        <v>4</v>
      </c>
      <c r="Y972" s="7">
        <v>6.4000000950000002</v>
      </c>
      <c r="Z972" s="7">
        <v>159.96000672</v>
      </c>
      <c r="AA972" s="7">
        <f t="shared" si="62"/>
        <v>153.560006625</v>
      </c>
      <c r="AB972" t="s">
        <v>30</v>
      </c>
      <c r="AC972" t="str">
        <f t="shared" si="63"/>
        <v>Cash Not Over 200</v>
      </c>
    </row>
    <row r="973" spans="1:29" x14ac:dyDescent="0.25">
      <c r="A973">
        <v>50054</v>
      </c>
      <c r="B973" s="2">
        <v>42735</v>
      </c>
      <c r="C973">
        <v>2</v>
      </c>
      <c r="D973" s="2">
        <f t="shared" si="60"/>
        <v>42738</v>
      </c>
      <c r="E973">
        <v>1</v>
      </c>
      <c r="F973" t="s">
        <v>23</v>
      </c>
      <c r="G973" t="str">
        <f t="shared" si="61"/>
        <v>Other</v>
      </c>
      <c r="H973">
        <v>24</v>
      </c>
      <c r="I973">
        <v>1362</v>
      </c>
      <c r="J973">
        <v>5</v>
      </c>
      <c r="K973" t="s">
        <v>31</v>
      </c>
      <c r="L973" t="s">
        <v>683</v>
      </c>
      <c r="M973" t="s">
        <v>741</v>
      </c>
      <c r="N973" t="s">
        <v>741</v>
      </c>
      <c r="P973" t="s">
        <v>736</v>
      </c>
      <c r="Q973" t="s">
        <v>737</v>
      </c>
      <c r="R973">
        <v>24</v>
      </c>
      <c r="T973">
        <v>502</v>
      </c>
      <c r="U973" t="s">
        <v>1058</v>
      </c>
      <c r="V973" s="7">
        <v>50</v>
      </c>
      <c r="W973" s="7">
        <v>43.678035218757444</v>
      </c>
      <c r="X973">
        <v>4</v>
      </c>
      <c r="Y973" s="7">
        <v>8</v>
      </c>
      <c r="Z973" s="7">
        <v>200</v>
      </c>
      <c r="AA973" s="7">
        <f t="shared" si="62"/>
        <v>192</v>
      </c>
      <c r="AB973" t="s">
        <v>30</v>
      </c>
      <c r="AC973" t="str">
        <f t="shared" si="63"/>
        <v>Cash Not Over 200</v>
      </c>
    </row>
    <row r="974" spans="1:29" x14ac:dyDescent="0.25">
      <c r="A974">
        <v>22924</v>
      </c>
      <c r="B974" s="2">
        <v>42016</v>
      </c>
      <c r="C974">
        <v>2</v>
      </c>
      <c r="D974" s="2">
        <f t="shared" si="60"/>
        <v>42018</v>
      </c>
      <c r="E974">
        <v>1</v>
      </c>
      <c r="F974" t="s">
        <v>23</v>
      </c>
      <c r="G974" t="str">
        <f t="shared" si="61"/>
        <v>Other</v>
      </c>
      <c r="H974">
        <v>29</v>
      </c>
      <c r="I974">
        <v>9704</v>
      </c>
      <c r="J974">
        <v>5</v>
      </c>
      <c r="K974" t="s">
        <v>31</v>
      </c>
      <c r="L974" t="s">
        <v>683</v>
      </c>
      <c r="M974" t="s">
        <v>833</v>
      </c>
      <c r="N974" t="s">
        <v>833</v>
      </c>
      <c r="P974" t="s">
        <v>834</v>
      </c>
      <c r="Q974" t="s">
        <v>687</v>
      </c>
      <c r="R974">
        <v>29</v>
      </c>
      <c r="T974">
        <v>627</v>
      </c>
      <c r="U974" t="s">
        <v>1046</v>
      </c>
      <c r="V974" s="7">
        <v>39.990001679999999</v>
      </c>
      <c r="W974" s="7">
        <v>34.198098313835338</v>
      </c>
      <c r="X974">
        <v>4</v>
      </c>
      <c r="Y974" s="7">
        <v>8</v>
      </c>
      <c r="Z974" s="7">
        <v>159.96000672</v>
      </c>
      <c r="AA974" s="7">
        <f t="shared" si="62"/>
        <v>151.96000672</v>
      </c>
      <c r="AB974" t="s">
        <v>30</v>
      </c>
      <c r="AC974" t="str">
        <f t="shared" si="63"/>
        <v>Cash Not Over 200</v>
      </c>
    </row>
    <row r="975" spans="1:29" x14ac:dyDescent="0.25">
      <c r="A975">
        <v>21902</v>
      </c>
      <c r="B975" s="2">
        <v>42324</v>
      </c>
      <c r="C975">
        <v>2</v>
      </c>
      <c r="D975" s="2">
        <f t="shared" si="60"/>
        <v>42326</v>
      </c>
      <c r="E975">
        <v>1</v>
      </c>
      <c r="F975" t="s">
        <v>23</v>
      </c>
      <c r="G975" t="str">
        <f t="shared" si="61"/>
        <v>Other</v>
      </c>
      <c r="H975">
        <v>24</v>
      </c>
      <c r="I975">
        <v>8485</v>
      </c>
      <c r="J975">
        <v>5</v>
      </c>
      <c r="K975" t="s">
        <v>31</v>
      </c>
      <c r="L975" t="s">
        <v>683</v>
      </c>
      <c r="M975" t="s">
        <v>797</v>
      </c>
      <c r="N975" t="s">
        <v>797</v>
      </c>
      <c r="P975" t="s">
        <v>798</v>
      </c>
      <c r="Q975" t="s">
        <v>687</v>
      </c>
      <c r="R975">
        <v>24</v>
      </c>
      <c r="T975">
        <v>502</v>
      </c>
      <c r="U975" t="s">
        <v>1058</v>
      </c>
      <c r="V975" s="7">
        <v>50</v>
      </c>
      <c r="W975" s="7">
        <v>43.678035218757444</v>
      </c>
      <c r="X975">
        <v>4</v>
      </c>
      <c r="Y975" s="7">
        <v>11</v>
      </c>
      <c r="Z975" s="7">
        <v>200</v>
      </c>
      <c r="AA975" s="7">
        <f t="shared" si="62"/>
        <v>189</v>
      </c>
      <c r="AB975" t="s">
        <v>30</v>
      </c>
      <c r="AC975" t="str">
        <f t="shared" si="63"/>
        <v>Cash Not Over 200</v>
      </c>
    </row>
    <row r="976" spans="1:29" x14ac:dyDescent="0.25">
      <c r="A976">
        <v>21534</v>
      </c>
      <c r="B976" s="2">
        <v>42319</v>
      </c>
      <c r="C976">
        <v>2</v>
      </c>
      <c r="D976" s="2">
        <f t="shared" si="60"/>
        <v>42321</v>
      </c>
      <c r="E976">
        <v>1</v>
      </c>
      <c r="F976" t="s">
        <v>23</v>
      </c>
      <c r="G976" t="str">
        <f t="shared" si="61"/>
        <v>Other</v>
      </c>
      <c r="H976">
        <v>29</v>
      </c>
      <c r="I976">
        <v>11216</v>
      </c>
      <c r="J976">
        <v>5</v>
      </c>
      <c r="K976" t="s">
        <v>31</v>
      </c>
      <c r="L976" t="s">
        <v>683</v>
      </c>
      <c r="M976" t="s">
        <v>701</v>
      </c>
      <c r="N976" t="s">
        <v>701</v>
      </c>
      <c r="P976" t="s">
        <v>702</v>
      </c>
      <c r="Q976" t="s">
        <v>700</v>
      </c>
      <c r="R976">
        <v>29</v>
      </c>
      <c r="T976">
        <v>627</v>
      </c>
      <c r="U976" t="s">
        <v>1046</v>
      </c>
      <c r="V976" s="7">
        <v>39.990001679999999</v>
      </c>
      <c r="W976" s="7">
        <v>34.198098313835338</v>
      </c>
      <c r="X976">
        <v>4</v>
      </c>
      <c r="Y976" s="7">
        <v>28.790000920000001</v>
      </c>
      <c r="Z976" s="7">
        <v>159.96000672</v>
      </c>
      <c r="AA976" s="7">
        <f t="shared" si="62"/>
        <v>131.17000579999998</v>
      </c>
      <c r="AB976" t="s">
        <v>30</v>
      </c>
      <c r="AC976" t="str">
        <f t="shared" si="63"/>
        <v>Cash Not Over 200</v>
      </c>
    </row>
    <row r="977" spans="1:29" x14ac:dyDescent="0.25">
      <c r="A977">
        <v>45461</v>
      </c>
      <c r="B977" s="2">
        <v>42668</v>
      </c>
      <c r="C977">
        <v>2</v>
      </c>
      <c r="D977" s="2">
        <f t="shared" si="60"/>
        <v>42670</v>
      </c>
      <c r="E977">
        <v>0</v>
      </c>
      <c r="F977" t="s">
        <v>23</v>
      </c>
      <c r="G977" t="str">
        <f t="shared" si="61"/>
        <v>Other</v>
      </c>
      <c r="H977">
        <v>24</v>
      </c>
      <c r="I977">
        <v>4741</v>
      </c>
      <c r="J977">
        <v>5</v>
      </c>
      <c r="K977" t="s">
        <v>31</v>
      </c>
      <c r="L977" t="s">
        <v>683</v>
      </c>
      <c r="M977" t="s">
        <v>735</v>
      </c>
      <c r="N977" t="s">
        <v>735</v>
      </c>
      <c r="P977" t="s">
        <v>736</v>
      </c>
      <c r="Q977" t="s">
        <v>737</v>
      </c>
      <c r="R977">
        <v>24</v>
      </c>
      <c r="T977">
        <v>502</v>
      </c>
      <c r="U977" t="s">
        <v>1058</v>
      </c>
      <c r="V977" s="7">
        <v>50</v>
      </c>
      <c r="W977" s="7">
        <v>43.678035218757444</v>
      </c>
      <c r="X977">
        <v>4</v>
      </c>
      <c r="Y977" s="7">
        <v>36</v>
      </c>
      <c r="Z977" s="7">
        <v>200</v>
      </c>
      <c r="AA977" s="7">
        <f t="shared" si="62"/>
        <v>164</v>
      </c>
      <c r="AB977" t="s">
        <v>30</v>
      </c>
      <c r="AC977" t="str">
        <f t="shared" si="63"/>
        <v>Cash Not Over 200</v>
      </c>
    </row>
    <row r="978" spans="1:29" x14ac:dyDescent="0.25">
      <c r="A978">
        <v>24160</v>
      </c>
      <c r="B978" s="2">
        <v>42357</v>
      </c>
      <c r="C978">
        <v>2</v>
      </c>
      <c r="D978" s="2">
        <f t="shared" si="60"/>
        <v>42360</v>
      </c>
      <c r="E978">
        <v>1</v>
      </c>
      <c r="F978" t="s">
        <v>23</v>
      </c>
      <c r="G978" t="str">
        <f t="shared" si="61"/>
        <v>Other</v>
      </c>
      <c r="H978">
        <v>40</v>
      </c>
      <c r="I978">
        <v>12160</v>
      </c>
      <c r="J978">
        <v>6</v>
      </c>
      <c r="K978" t="s">
        <v>35</v>
      </c>
      <c r="L978" t="s">
        <v>683</v>
      </c>
      <c r="M978" t="s">
        <v>765</v>
      </c>
      <c r="N978" t="s">
        <v>715</v>
      </c>
      <c r="P978" t="s">
        <v>694</v>
      </c>
      <c r="Q978" t="s">
        <v>695</v>
      </c>
      <c r="R978">
        <v>40</v>
      </c>
      <c r="T978">
        <v>885</v>
      </c>
      <c r="U978" t="s">
        <v>1064</v>
      </c>
      <c r="V978" s="7">
        <v>24.989999770000001</v>
      </c>
      <c r="W978" s="7">
        <v>29.483249567625002</v>
      </c>
      <c r="X978">
        <v>4</v>
      </c>
      <c r="Y978" s="7">
        <v>4</v>
      </c>
      <c r="Z978" s="7">
        <v>99.959999080000003</v>
      </c>
      <c r="AA978" s="7">
        <f t="shared" si="62"/>
        <v>95.959999080000003</v>
      </c>
      <c r="AB978" t="s">
        <v>30</v>
      </c>
      <c r="AC978" t="str">
        <f t="shared" si="63"/>
        <v>Cash Not Over 200</v>
      </c>
    </row>
    <row r="979" spans="1:29" x14ac:dyDescent="0.25">
      <c r="A979">
        <v>27742</v>
      </c>
      <c r="B979" s="2">
        <v>42615</v>
      </c>
      <c r="C979">
        <v>4</v>
      </c>
      <c r="D979" s="2">
        <f t="shared" si="60"/>
        <v>42621</v>
      </c>
      <c r="E979">
        <v>0</v>
      </c>
      <c r="F979" t="s">
        <v>62</v>
      </c>
      <c r="G979" t="str">
        <f t="shared" si="61"/>
        <v>Other</v>
      </c>
      <c r="H979">
        <v>9</v>
      </c>
      <c r="I979">
        <v>9495</v>
      </c>
      <c r="J979">
        <v>3</v>
      </c>
      <c r="K979" t="s">
        <v>24</v>
      </c>
      <c r="L979" t="s">
        <v>683</v>
      </c>
      <c r="M979" t="s">
        <v>859</v>
      </c>
      <c r="N979" t="s">
        <v>860</v>
      </c>
      <c r="P979" t="s">
        <v>690</v>
      </c>
      <c r="Q979" t="s">
        <v>691</v>
      </c>
      <c r="R979">
        <v>9</v>
      </c>
      <c r="T979">
        <v>191</v>
      </c>
      <c r="U979" t="s">
        <v>1044</v>
      </c>
      <c r="V979" s="7">
        <v>99.989997860000003</v>
      </c>
      <c r="W979" s="7">
        <v>95.114003926871064</v>
      </c>
      <c r="X979">
        <v>5</v>
      </c>
      <c r="Y979" s="7">
        <v>50</v>
      </c>
      <c r="Z979" s="7">
        <v>499.94998930000003</v>
      </c>
      <c r="AA979" s="7">
        <f t="shared" si="62"/>
        <v>449.94998930000003</v>
      </c>
      <c r="AB979" t="s">
        <v>66</v>
      </c>
      <c r="AC979" t="str">
        <f t="shared" si="63"/>
        <v>Non-Cash Payments</v>
      </c>
    </row>
    <row r="980" spans="1:29" x14ac:dyDescent="0.25">
      <c r="A980">
        <v>24453</v>
      </c>
      <c r="B980" s="2">
        <v>42361</v>
      </c>
      <c r="C980">
        <v>4</v>
      </c>
      <c r="D980" s="2">
        <f t="shared" si="60"/>
        <v>42367</v>
      </c>
      <c r="E980">
        <v>0</v>
      </c>
      <c r="F980" t="s">
        <v>62</v>
      </c>
      <c r="G980" t="str">
        <f t="shared" si="61"/>
        <v>Other</v>
      </c>
      <c r="H980">
        <v>9</v>
      </c>
      <c r="I980">
        <v>4841</v>
      </c>
      <c r="J980">
        <v>3</v>
      </c>
      <c r="K980" t="s">
        <v>24</v>
      </c>
      <c r="L980" t="s">
        <v>683</v>
      </c>
      <c r="M980" t="s">
        <v>861</v>
      </c>
      <c r="N980" t="s">
        <v>781</v>
      </c>
      <c r="P980" t="s">
        <v>699</v>
      </c>
      <c r="Q980" t="s">
        <v>700</v>
      </c>
      <c r="R980">
        <v>9</v>
      </c>
      <c r="T980">
        <v>191</v>
      </c>
      <c r="U980" t="s">
        <v>1044</v>
      </c>
      <c r="V980" s="7">
        <v>99.989997860000003</v>
      </c>
      <c r="W980" s="7">
        <v>95.114003926871064</v>
      </c>
      <c r="X980">
        <v>5</v>
      </c>
      <c r="Y980" s="7">
        <v>74.989997860000003</v>
      </c>
      <c r="Z980" s="7">
        <v>499.94998930000003</v>
      </c>
      <c r="AA980" s="7">
        <f t="shared" si="62"/>
        <v>424.95999144000001</v>
      </c>
      <c r="AB980" t="s">
        <v>66</v>
      </c>
      <c r="AC980" t="str">
        <f t="shared" si="63"/>
        <v>Non-Cash Payments</v>
      </c>
    </row>
    <row r="981" spans="1:29" x14ac:dyDescent="0.25">
      <c r="A981">
        <v>31145</v>
      </c>
      <c r="B981" s="2">
        <v>42459</v>
      </c>
      <c r="C981">
        <v>4</v>
      </c>
      <c r="D981" s="2">
        <f t="shared" si="60"/>
        <v>42465</v>
      </c>
      <c r="E981">
        <v>0</v>
      </c>
      <c r="F981" t="s">
        <v>62</v>
      </c>
      <c r="G981" t="str">
        <f t="shared" si="61"/>
        <v>Other</v>
      </c>
      <c r="H981">
        <v>9</v>
      </c>
      <c r="I981">
        <v>9803</v>
      </c>
      <c r="J981">
        <v>3</v>
      </c>
      <c r="K981" t="s">
        <v>24</v>
      </c>
      <c r="L981" t="s">
        <v>683</v>
      </c>
      <c r="M981" t="s">
        <v>862</v>
      </c>
      <c r="N981" t="s">
        <v>863</v>
      </c>
      <c r="P981" t="s">
        <v>751</v>
      </c>
      <c r="Q981" t="s">
        <v>695</v>
      </c>
      <c r="R981">
        <v>9</v>
      </c>
      <c r="T981">
        <v>191</v>
      </c>
      <c r="U981" t="s">
        <v>1044</v>
      </c>
      <c r="V981" s="7">
        <v>99.989997860000003</v>
      </c>
      <c r="W981" s="7">
        <v>95.114003926871064</v>
      </c>
      <c r="X981">
        <v>5</v>
      </c>
      <c r="Y981" s="7">
        <v>124.98999790000001</v>
      </c>
      <c r="Z981" s="7">
        <v>499.94998930000003</v>
      </c>
      <c r="AA981" s="7">
        <f t="shared" si="62"/>
        <v>374.95999140000004</v>
      </c>
      <c r="AB981" t="s">
        <v>66</v>
      </c>
      <c r="AC981" t="str">
        <f t="shared" si="63"/>
        <v>Non-Cash Payments</v>
      </c>
    </row>
    <row r="982" spans="1:29" x14ac:dyDescent="0.25">
      <c r="A982">
        <v>30802</v>
      </c>
      <c r="B982" s="2">
        <v>42454</v>
      </c>
      <c r="C982">
        <v>4</v>
      </c>
      <c r="D982" s="2">
        <f t="shared" si="60"/>
        <v>42460</v>
      </c>
      <c r="E982">
        <v>0</v>
      </c>
      <c r="F982" t="s">
        <v>62</v>
      </c>
      <c r="G982" t="str">
        <f t="shared" si="61"/>
        <v>Other</v>
      </c>
      <c r="H982">
        <v>3</v>
      </c>
      <c r="I982">
        <v>8422</v>
      </c>
      <c r="J982">
        <v>2</v>
      </c>
      <c r="K982" t="s">
        <v>136</v>
      </c>
      <c r="L982" t="s">
        <v>683</v>
      </c>
      <c r="M982" t="s">
        <v>864</v>
      </c>
      <c r="N982" t="s">
        <v>750</v>
      </c>
      <c r="P982" t="s">
        <v>751</v>
      </c>
      <c r="Q982" t="s">
        <v>695</v>
      </c>
      <c r="R982">
        <v>3</v>
      </c>
      <c r="T982">
        <v>37</v>
      </c>
      <c r="U982" t="s">
        <v>1132</v>
      </c>
      <c r="V982" s="7">
        <v>34.990001679999999</v>
      </c>
      <c r="W982" s="7">
        <v>40.283001997</v>
      </c>
      <c r="X982">
        <v>5</v>
      </c>
      <c r="Y982" s="7">
        <v>20.989999770000001</v>
      </c>
      <c r="Z982" s="7">
        <v>174.9500084</v>
      </c>
      <c r="AA982" s="7">
        <f t="shared" si="62"/>
        <v>153.96000863</v>
      </c>
      <c r="AB982" t="s">
        <v>66</v>
      </c>
      <c r="AC982" t="str">
        <f t="shared" si="63"/>
        <v>Non-Cash Payments</v>
      </c>
    </row>
    <row r="983" spans="1:29" x14ac:dyDescent="0.25">
      <c r="A983">
        <v>25875</v>
      </c>
      <c r="B983" s="2">
        <v>42382</v>
      </c>
      <c r="C983">
        <v>4</v>
      </c>
      <c r="D983" s="2">
        <f t="shared" si="60"/>
        <v>42388</v>
      </c>
      <c r="E983">
        <v>1</v>
      </c>
      <c r="F983" t="s">
        <v>62</v>
      </c>
      <c r="G983" t="str">
        <f t="shared" si="61"/>
        <v>Other</v>
      </c>
      <c r="H983">
        <v>13</v>
      </c>
      <c r="I983">
        <v>7391</v>
      </c>
      <c r="J983">
        <v>3</v>
      </c>
      <c r="K983" t="s">
        <v>24</v>
      </c>
      <c r="L983" t="s">
        <v>683</v>
      </c>
      <c r="M983" t="s">
        <v>865</v>
      </c>
      <c r="N983" t="s">
        <v>805</v>
      </c>
      <c r="P983" t="s">
        <v>699</v>
      </c>
      <c r="Q983" t="s">
        <v>700</v>
      </c>
      <c r="R983">
        <v>13</v>
      </c>
      <c r="T983">
        <v>282</v>
      </c>
      <c r="U983" t="s">
        <v>1085</v>
      </c>
      <c r="V983" s="7">
        <v>31.989999770000001</v>
      </c>
      <c r="W983" s="7">
        <v>27.763856872771434</v>
      </c>
      <c r="X983">
        <v>5</v>
      </c>
      <c r="Y983" s="7">
        <v>0</v>
      </c>
      <c r="Z983" s="7">
        <v>159.94999885000001</v>
      </c>
      <c r="AA983" s="7">
        <f t="shared" si="62"/>
        <v>159.94999885000001</v>
      </c>
      <c r="AB983" t="s">
        <v>66</v>
      </c>
      <c r="AC983" t="str">
        <f t="shared" si="63"/>
        <v>Non-Cash Payments</v>
      </c>
    </row>
    <row r="984" spans="1:29" x14ac:dyDescent="0.25">
      <c r="A984">
        <v>30589</v>
      </c>
      <c r="B984" s="2">
        <v>42451</v>
      </c>
      <c r="C984">
        <v>4</v>
      </c>
      <c r="D984" s="2">
        <f t="shared" si="60"/>
        <v>42457</v>
      </c>
      <c r="E984">
        <v>1</v>
      </c>
      <c r="F984" t="s">
        <v>62</v>
      </c>
      <c r="G984" t="str">
        <f t="shared" si="61"/>
        <v>Other</v>
      </c>
      <c r="H984">
        <v>9</v>
      </c>
      <c r="I984">
        <v>11426</v>
      </c>
      <c r="J984">
        <v>3</v>
      </c>
      <c r="K984" t="s">
        <v>24</v>
      </c>
      <c r="L984" t="s">
        <v>683</v>
      </c>
      <c r="M984" t="s">
        <v>866</v>
      </c>
      <c r="N984" t="s">
        <v>725</v>
      </c>
      <c r="P984" t="s">
        <v>694</v>
      </c>
      <c r="Q984" t="s">
        <v>695</v>
      </c>
      <c r="R984">
        <v>9</v>
      </c>
      <c r="T984">
        <v>172</v>
      </c>
      <c r="U984" t="s">
        <v>1095</v>
      </c>
      <c r="V984" s="7">
        <v>30</v>
      </c>
      <c r="W984" s="7">
        <v>34.094166694333332</v>
      </c>
      <c r="X984">
        <v>5</v>
      </c>
      <c r="Y984" s="7">
        <v>0</v>
      </c>
      <c r="Z984" s="7">
        <v>150</v>
      </c>
      <c r="AA984" s="7">
        <f t="shared" si="62"/>
        <v>150</v>
      </c>
      <c r="AB984" t="s">
        <v>66</v>
      </c>
      <c r="AC984" t="str">
        <f t="shared" si="63"/>
        <v>Non-Cash Payments</v>
      </c>
    </row>
    <row r="985" spans="1:29" x14ac:dyDescent="0.25">
      <c r="A985">
        <v>20931</v>
      </c>
      <c r="B985" s="2">
        <v>42046</v>
      </c>
      <c r="C985">
        <v>4</v>
      </c>
      <c r="D985" s="2">
        <f t="shared" si="60"/>
        <v>42052</v>
      </c>
      <c r="E985">
        <v>0</v>
      </c>
      <c r="F985" t="s">
        <v>62</v>
      </c>
      <c r="G985" t="str">
        <f t="shared" si="61"/>
        <v>Other</v>
      </c>
      <c r="H985">
        <v>9</v>
      </c>
      <c r="I985">
        <v>11664</v>
      </c>
      <c r="J985">
        <v>3</v>
      </c>
      <c r="K985" t="s">
        <v>24</v>
      </c>
      <c r="L985" t="s">
        <v>683</v>
      </c>
      <c r="M985" t="s">
        <v>770</v>
      </c>
      <c r="N985" t="s">
        <v>771</v>
      </c>
      <c r="P985" t="s">
        <v>772</v>
      </c>
      <c r="Q985" t="s">
        <v>687</v>
      </c>
      <c r="R985">
        <v>9</v>
      </c>
      <c r="T985">
        <v>191</v>
      </c>
      <c r="U985" t="s">
        <v>1044</v>
      </c>
      <c r="V985" s="7">
        <v>99.989997860000003</v>
      </c>
      <c r="W985" s="7">
        <v>95.114003926871064</v>
      </c>
      <c r="X985">
        <v>5</v>
      </c>
      <c r="Y985" s="7">
        <v>25</v>
      </c>
      <c r="Z985" s="7">
        <v>499.94998930000003</v>
      </c>
      <c r="AA985" s="7">
        <f t="shared" si="62"/>
        <v>474.94998930000003</v>
      </c>
      <c r="AB985" t="s">
        <v>66</v>
      </c>
      <c r="AC985" t="str">
        <f t="shared" si="63"/>
        <v>Non-Cash Payments</v>
      </c>
    </row>
    <row r="986" spans="1:29" x14ac:dyDescent="0.25">
      <c r="A986">
        <v>45646</v>
      </c>
      <c r="B986" s="2">
        <v>42671</v>
      </c>
      <c r="C986">
        <v>4</v>
      </c>
      <c r="D986" s="2">
        <f t="shared" si="60"/>
        <v>42677</v>
      </c>
      <c r="E986">
        <v>0</v>
      </c>
      <c r="F986" t="s">
        <v>62</v>
      </c>
      <c r="G986" t="str">
        <f t="shared" si="61"/>
        <v>Other</v>
      </c>
      <c r="H986">
        <v>9</v>
      </c>
      <c r="I986">
        <v>5339</v>
      </c>
      <c r="J986">
        <v>3</v>
      </c>
      <c r="K986" t="s">
        <v>24</v>
      </c>
      <c r="L986" t="s">
        <v>683</v>
      </c>
      <c r="M986" t="s">
        <v>758</v>
      </c>
      <c r="N986" t="s">
        <v>758</v>
      </c>
      <c r="P986" t="s">
        <v>759</v>
      </c>
      <c r="Q986" t="s">
        <v>737</v>
      </c>
      <c r="R986">
        <v>9</v>
      </c>
      <c r="T986">
        <v>191</v>
      </c>
      <c r="U986" t="s">
        <v>1044</v>
      </c>
      <c r="V986" s="7">
        <v>99.989997860000003</v>
      </c>
      <c r="W986" s="7">
        <v>95.114003926871064</v>
      </c>
      <c r="X986">
        <v>5</v>
      </c>
      <c r="Y986" s="7">
        <v>27.5</v>
      </c>
      <c r="Z986" s="7">
        <v>499.94998930000003</v>
      </c>
      <c r="AA986" s="7">
        <f t="shared" si="62"/>
        <v>472.44998930000003</v>
      </c>
      <c r="AB986" t="s">
        <v>66</v>
      </c>
      <c r="AC986" t="str">
        <f t="shared" si="63"/>
        <v>Non-Cash Payments</v>
      </c>
    </row>
    <row r="987" spans="1:29" x14ac:dyDescent="0.25">
      <c r="A987">
        <v>29731</v>
      </c>
      <c r="B987" s="2">
        <v>42616</v>
      </c>
      <c r="C987">
        <v>4</v>
      </c>
      <c r="D987" s="2">
        <f t="shared" si="60"/>
        <v>42621</v>
      </c>
      <c r="E987">
        <v>0</v>
      </c>
      <c r="F987" t="s">
        <v>62</v>
      </c>
      <c r="G987" t="str">
        <f t="shared" si="61"/>
        <v>Other</v>
      </c>
      <c r="H987">
        <v>9</v>
      </c>
      <c r="I987">
        <v>3204</v>
      </c>
      <c r="J987">
        <v>3</v>
      </c>
      <c r="K987" t="s">
        <v>24</v>
      </c>
      <c r="L987" t="s">
        <v>683</v>
      </c>
      <c r="M987" t="s">
        <v>867</v>
      </c>
      <c r="N987" t="s">
        <v>771</v>
      </c>
      <c r="P987" t="s">
        <v>772</v>
      </c>
      <c r="Q987" t="s">
        <v>687</v>
      </c>
      <c r="R987">
        <v>9</v>
      </c>
      <c r="T987">
        <v>191</v>
      </c>
      <c r="U987" t="s">
        <v>1044</v>
      </c>
      <c r="V987" s="7">
        <v>99.989997860000003</v>
      </c>
      <c r="W987" s="7">
        <v>95.114003926871064</v>
      </c>
      <c r="X987">
        <v>5</v>
      </c>
      <c r="Y987" s="7">
        <v>35</v>
      </c>
      <c r="Z987" s="7">
        <v>499.94998930000003</v>
      </c>
      <c r="AA987" s="7">
        <f t="shared" si="62"/>
        <v>464.94998930000003</v>
      </c>
      <c r="AB987" t="s">
        <v>66</v>
      </c>
      <c r="AC987" t="str">
        <f t="shared" si="63"/>
        <v>Non-Cash Payments</v>
      </c>
    </row>
    <row r="988" spans="1:29" x14ac:dyDescent="0.25">
      <c r="A988">
        <v>42777</v>
      </c>
      <c r="B988" s="2">
        <v>42629</v>
      </c>
      <c r="C988">
        <v>4</v>
      </c>
      <c r="D988" s="2">
        <f t="shared" si="60"/>
        <v>42635</v>
      </c>
      <c r="E988">
        <v>0</v>
      </c>
      <c r="F988" t="s">
        <v>62</v>
      </c>
      <c r="G988" t="str">
        <f t="shared" si="61"/>
        <v>Other</v>
      </c>
      <c r="H988">
        <v>9</v>
      </c>
      <c r="I988">
        <v>4438</v>
      </c>
      <c r="J988">
        <v>3</v>
      </c>
      <c r="K988" t="s">
        <v>24</v>
      </c>
      <c r="L988" t="s">
        <v>683</v>
      </c>
      <c r="M988" t="s">
        <v>773</v>
      </c>
      <c r="N988" t="s">
        <v>773</v>
      </c>
      <c r="P988" t="s">
        <v>736</v>
      </c>
      <c r="Q988" t="s">
        <v>737</v>
      </c>
      <c r="R988">
        <v>9</v>
      </c>
      <c r="T988">
        <v>191</v>
      </c>
      <c r="U988" t="s">
        <v>1044</v>
      </c>
      <c r="V988" s="7">
        <v>99.989997860000003</v>
      </c>
      <c r="W988" s="7">
        <v>95.114003926871064</v>
      </c>
      <c r="X988">
        <v>5</v>
      </c>
      <c r="Y988" s="7">
        <v>35</v>
      </c>
      <c r="Z988" s="7">
        <v>499.94998930000003</v>
      </c>
      <c r="AA988" s="7">
        <f t="shared" si="62"/>
        <v>464.94998930000003</v>
      </c>
      <c r="AB988" t="s">
        <v>66</v>
      </c>
      <c r="AC988" t="str">
        <f t="shared" si="63"/>
        <v>Non-Cash Payments</v>
      </c>
    </row>
    <row r="989" spans="1:29" x14ac:dyDescent="0.25">
      <c r="A989">
        <v>23886</v>
      </c>
      <c r="B989" s="2">
        <v>42353</v>
      </c>
      <c r="C989">
        <v>4</v>
      </c>
      <c r="D989" s="2">
        <f t="shared" si="60"/>
        <v>42359</v>
      </c>
      <c r="E989">
        <v>0</v>
      </c>
      <c r="F989" t="s">
        <v>62</v>
      </c>
      <c r="G989" t="str">
        <f t="shared" si="61"/>
        <v>Other</v>
      </c>
      <c r="H989">
        <v>9</v>
      </c>
      <c r="I989">
        <v>5243</v>
      </c>
      <c r="J989">
        <v>3</v>
      </c>
      <c r="K989" t="s">
        <v>24</v>
      </c>
      <c r="L989" t="s">
        <v>683</v>
      </c>
      <c r="M989" t="s">
        <v>868</v>
      </c>
      <c r="N989" t="s">
        <v>869</v>
      </c>
      <c r="P989" t="s">
        <v>772</v>
      </c>
      <c r="Q989" t="s">
        <v>687</v>
      </c>
      <c r="R989">
        <v>9</v>
      </c>
      <c r="T989">
        <v>191</v>
      </c>
      <c r="U989" t="s">
        <v>1044</v>
      </c>
      <c r="V989" s="7">
        <v>99.989997860000003</v>
      </c>
      <c r="W989" s="7">
        <v>95.114003926871064</v>
      </c>
      <c r="X989">
        <v>5</v>
      </c>
      <c r="Y989" s="7">
        <v>84.989997860000003</v>
      </c>
      <c r="Z989" s="7">
        <v>499.94998930000003</v>
      </c>
      <c r="AA989" s="7">
        <f t="shared" si="62"/>
        <v>414.95999144000001</v>
      </c>
      <c r="AB989" t="s">
        <v>66</v>
      </c>
      <c r="AC989" t="str">
        <f t="shared" si="63"/>
        <v>Non-Cash Payments</v>
      </c>
    </row>
    <row r="990" spans="1:29" x14ac:dyDescent="0.25">
      <c r="A990">
        <v>43561</v>
      </c>
      <c r="B990" s="2">
        <v>42640</v>
      </c>
      <c r="C990">
        <v>4</v>
      </c>
      <c r="D990" s="2">
        <f t="shared" si="60"/>
        <v>42646</v>
      </c>
      <c r="E990">
        <v>0</v>
      </c>
      <c r="F990" t="s">
        <v>62</v>
      </c>
      <c r="G990" t="str">
        <f t="shared" si="61"/>
        <v>Other</v>
      </c>
      <c r="H990">
        <v>13</v>
      </c>
      <c r="I990">
        <v>5089</v>
      </c>
      <c r="J990">
        <v>3</v>
      </c>
      <c r="K990" t="s">
        <v>24</v>
      </c>
      <c r="L990" t="s">
        <v>683</v>
      </c>
      <c r="M990" t="s">
        <v>870</v>
      </c>
      <c r="N990" t="s">
        <v>871</v>
      </c>
      <c r="P990" t="s">
        <v>791</v>
      </c>
      <c r="Q990" t="s">
        <v>691</v>
      </c>
      <c r="R990">
        <v>13</v>
      </c>
      <c r="T990">
        <v>276</v>
      </c>
      <c r="U990" t="s">
        <v>1110</v>
      </c>
      <c r="V990" s="7">
        <v>31.989999770000001</v>
      </c>
      <c r="W990" s="7">
        <v>27.113333001333334</v>
      </c>
      <c r="X990">
        <v>5</v>
      </c>
      <c r="Y990" s="7">
        <v>28.790000920000001</v>
      </c>
      <c r="Z990" s="7">
        <v>159.94999885000001</v>
      </c>
      <c r="AA990" s="7">
        <f t="shared" si="62"/>
        <v>131.15999793</v>
      </c>
      <c r="AB990" t="s">
        <v>66</v>
      </c>
      <c r="AC990" t="str">
        <f t="shared" si="63"/>
        <v>Non-Cash Payments</v>
      </c>
    </row>
    <row r="991" spans="1:29" x14ac:dyDescent="0.25">
      <c r="A991">
        <v>47846</v>
      </c>
      <c r="B991" s="2">
        <v>42703</v>
      </c>
      <c r="C991">
        <v>4</v>
      </c>
      <c r="D991" s="2">
        <f t="shared" si="60"/>
        <v>42709</v>
      </c>
      <c r="E991">
        <v>0</v>
      </c>
      <c r="F991" t="s">
        <v>62</v>
      </c>
      <c r="G991" t="str">
        <f t="shared" si="61"/>
        <v>Other</v>
      </c>
      <c r="H991">
        <v>9</v>
      </c>
      <c r="I991">
        <v>6073</v>
      </c>
      <c r="J991">
        <v>3</v>
      </c>
      <c r="K991" t="s">
        <v>24</v>
      </c>
      <c r="L991" t="s">
        <v>683</v>
      </c>
      <c r="M991" t="s">
        <v>872</v>
      </c>
      <c r="N991" t="s">
        <v>872</v>
      </c>
      <c r="P991" t="s">
        <v>736</v>
      </c>
      <c r="Q991" t="s">
        <v>737</v>
      </c>
      <c r="R991">
        <v>9</v>
      </c>
      <c r="T991">
        <v>191</v>
      </c>
      <c r="U991" t="s">
        <v>1044</v>
      </c>
      <c r="V991" s="7">
        <v>99.989997860000003</v>
      </c>
      <c r="W991" s="7">
        <v>95.114003926871064</v>
      </c>
      <c r="X991">
        <v>5</v>
      </c>
      <c r="Y991" s="7">
        <v>99.989997860000003</v>
      </c>
      <c r="Z991" s="7">
        <v>499.94998930000003</v>
      </c>
      <c r="AA991" s="7">
        <f t="shared" si="62"/>
        <v>399.95999144000001</v>
      </c>
      <c r="AB991" t="s">
        <v>66</v>
      </c>
      <c r="AC991" t="str">
        <f t="shared" si="63"/>
        <v>Non-Cash Payments</v>
      </c>
    </row>
    <row r="992" spans="1:29" x14ac:dyDescent="0.25">
      <c r="A992">
        <v>21192</v>
      </c>
      <c r="B992" s="2">
        <v>42166</v>
      </c>
      <c r="C992">
        <v>4</v>
      </c>
      <c r="D992" s="2">
        <f t="shared" si="60"/>
        <v>42172</v>
      </c>
      <c r="E992">
        <v>0</v>
      </c>
      <c r="F992" t="s">
        <v>62</v>
      </c>
      <c r="G992" t="str">
        <f t="shared" si="61"/>
        <v>Other</v>
      </c>
      <c r="H992">
        <v>17</v>
      </c>
      <c r="I992">
        <v>8992</v>
      </c>
      <c r="J992">
        <v>4</v>
      </c>
      <c r="K992" t="s">
        <v>46</v>
      </c>
      <c r="L992" t="s">
        <v>683</v>
      </c>
      <c r="M992" t="s">
        <v>849</v>
      </c>
      <c r="N992" t="s">
        <v>689</v>
      </c>
      <c r="P992" t="s">
        <v>690</v>
      </c>
      <c r="Q992" t="s">
        <v>691</v>
      </c>
      <c r="R992">
        <v>17</v>
      </c>
      <c r="T992">
        <v>365</v>
      </c>
      <c r="U992" t="s">
        <v>1054</v>
      </c>
      <c r="V992" s="7">
        <v>59.990001679999999</v>
      </c>
      <c r="W992" s="7">
        <v>54.488929209402009</v>
      </c>
      <c r="X992">
        <v>5</v>
      </c>
      <c r="Y992" s="7">
        <v>16.5</v>
      </c>
      <c r="Z992" s="7">
        <v>299.9500084</v>
      </c>
      <c r="AA992" s="7">
        <f t="shared" si="62"/>
        <v>283.4500084</v>
      </c>
      <c r="AB992" t="s">
        <v>66</v>
      </c>
      <c r="AC992" t="str">
        <f t="shared" si="63"/>
        <v>Non-Cash Payments</v>
      </c>
    </row>
    <row r="993" spans="1:29" x14ac:dyDescent="0.25">
      <c r="A993">
        <v>23156</v>
      </c>
      <c r="B993" s="2">
        <v>42136</v>
      </c>
      <c r="C993">
        <v>4</v>
      </c>
      <c r="D993" s="2">
        <f t="shared" si="60"/>
        <v>42142</v>
      </c>
      <c r="E993">
        <v>0</v>
      </c>
      <c r="F993" t="s">
        <v>62</v>
      </c>
      <c r="G993" t="str">
        <f t="shared" si="61"/>
        <v>Other</v>
      </c>
      <c r="H993">
        <v>17</v>
      </c>
      <c r="I993">
        <v>6466</v>
      </c>
      <c r="J993">
        <v>4</v>
      </c>
      <c r="K993" t="s">
        <v>46</v>
      </c>
      <c r="L993" t="s">
        <v>683</v>
      </c>
      <c r="M993" t="s">
        <v>833</v>
      </c>
      <c r="N993" t="s">
        <v>833</v>
      </c>
      <c r="P993" t="s">
        <v>834</v>
      </c>
      <c r="Q993" t="s">
        <v>687</v>
      </c>
      <c r="R993">
        <v>17</v>
      </c>
      <c r="T993">
        <v>365</v>
      </c>
      <c r="U993" t="s">
        <v>1054</v>
      </c>
      <c r="V993" s="7">
        <v>59.990001679999999</v>
      </c>
      <c r="W993" s="7">
        <v>54.488929209402009</v>
      </c>
      <c r="X993">
        <v>5</v>
      </c>
      <c r="Y993" s="7">
        <v>16.5</v>
      </c>
      <c r="Z993" s="7">
        <v>299.9500084</v>
      </c>
      <c r="AA993" s="7">
        <f t="shared" si="62"/>
        <v>283.4500084</v>
      </c>
      <c r="AB993" t="s">
        <v>66</v>
      </c>
      <c r="AC993" t="str">
        <f t="shared" si="63"/>
        <v>Non-Cash Payments</v>
      </c>
    </row>
    <row r="994" spans="1:29" x14ac:dyDescent="0.25">
      <c r="A994">
        <v>22811</v>
      </c>
      <c r="B994" s="2">
        <v>42337</v>
      </c>
      <c r="C994">
        <v>4</v>
      </c>
      <c r="D994" s="2">
        <f t="shared" si="60"/>
        <v>42341</v>
      </c>
      <c r="E994">
        <v>0</v>
      </c>
      <c r="F994" t="s">
        <v>62</v>
      </c>
      <c r="G994" t="str">
        <f t="shared" si="61"/>
        <v>Other</v>
      </c>
      <c r="H994">
        <v>17</v>
      </c>
      <c r="I994">
        <v>1962</v>
      </c>
      <c r="J994">
        <v>4</v>
      </c>
      <c r="K994" t="s">
        <v>46</v>
      </c>
      <c r="L994" t="s">
        <v>683</v>
      </c>
      <c r="M994" t="s">
        <v>873</v>
      </c>
      <c r="N994" t="s">
        <v>823</v>
      </c>
      <c r="P994" t="s">
        <v>699</v>
      </c>
      <c r="Q994" t="s">
        <v>700</v>
      </c>
      <c r="R994">
        <v>17</v>
      </c>
      <c r="T994">
        <v>365</v>
      </c>
      <c r="U994" t="s">
        <v>1054</v>
      </c>
      <c r="V994" s="7">
        <v>59.990001679999999</v>
      </c>
      <c r="W994" s="7">
        <v>54.488929209402009</v>
      </c>
      <c r="X994">
        <v>5</v>
      </c>
      <c r="Y994" s="7">
        <v>44.990001679999999</v>
      </c>
      <c r="Z994" s="7">
        <v>299.9500084</v>
      </c>
      <c r="AA994" s="7">
        <f t="shared" si="62"/>
        <v>254.96000672</v>
      </c>
      <c r="AB994" t="s">
        <v>66</v>
      </c>
      <c r="AC994" t="str">
        <f t="shared" si="63"/>
        <v>Non-Cash Payments</v>
      </c>
    </row>
    <row r="995" spans="1:29" x14ac:dyDescent="0.25">
      <c r="A995">
        <v>25418</v>
      </c>
      <c r="B995" s="2">
        <v>42552</v>
      </c>
      <c r="C995">
        <v>4</v>
      </c>
      <c r="D995" s="2">
        <f t="shared" si="60"/>
        <v>42558</v>
      </c>
      <c r="E995">
        <v>0</v>
      </c>
      <c r="F995" t="s">
        <v>62</v>
      </c>
      <c r="G995" t="str">
        <f t="shared" si="61"/>
        <v>Other</v>
      </c>
      <c r="H995">
        <v>17</v>
      </c>
      <c r="I995">
        <v>11438</v>
      </c>
      <c r="J995">
        <v>4</v>
      </c>
      <c r="K995" t="s">
        <v>46</v>
      </c>
      <c r="L995" t="s">
        <v>683</v>
      </c>
      <c r="M995" t="s">
        <v>811</v>
      </c>
      <c r="N995" t="s">
        <v>725</v>
      </c>
      <c r="P995" t="s">
        <v>694</v>
      </c>
      <c r="Q995" t="s">
        <v>695</v>
      </c>
      <c r="R995">
        <v>17</v>
      </c>
      <c r="T995">
        <v>365</v>
      </c>
      <c r="U995" t="s">
        <v>1054</v>
      </c>
      <c r="V995" s="7">
        <v>59.990001679999999</v>
      </c>
      <c r="W995" s="7">
        <v>54.488929209402009</v>
      </c>
      <c r="X995">
        <v>5</v>
      </c>
      <c r="Y995" s="7">
        <v>44.990001679999999</v>
      </c>
      <c r="Z995" s="7">
        <v>299.9500084</v>
      </c>
      <c r="AA995" s="7">
        <f t="shared" si="62"/>
        <v>254.96000672</v>
      </c>
      <c r="AB995" t="s">
        <v>66</v>
      </c>
      <c r="AC995" t="str">
        <f t="shared" si="63"/>
        <v>Non-Cash Payments</v>
      </c>
    </row>
    <row r="996" spans="1:29" x14ac:dyDescent="0.25">
      <c r="A996">
        <v>47092</v>
      </c>
      <c r="B996" s="2">
        <v>42692</v>
      </c>
      <c r="C996">
        <v>4</v>
      </c>
      <c r="D996" s="2">
        <f t="shared" si="60"/>
        <v>42698</v>
      </c>
      <c r="E996">
        <v>0</v>
      </c>
      <c r="F996" t="s">
        <v>62</v>
      </c>
      <c r="G996" t="str">
        <f t="shared" si="61"/>
        <v>Other</v>
      </c>
      <c r="H996">
        <v>17</v>
      </c>
      <c r="I996">
        <v>9524</v>
      </c>
      <c r="J996">
        <v>4</v>
      </c>
      <c r="K996" t="s">
        <v>46</v>
      </c>
      <c r="L996" t="s">
        <v>683</v>
      </c>
      <c r="M996" t="s">
        <v>874</v>
      </c>
      <c r="N996" t="s">
        <v>874</v>
      </c>
      <c r="P996" t="s">
        <v>736</v>
      </c>
      <c r="Q996" t="s">
        <v>737</v>
      </c>
      <c r="R996">
        <v>17</v>
      </c>
      <c r="T996">
        <v>365</v>
      </c>
      <c r="U996" t="s">
        <v>1054</v>
      </c>
      <c r="V996" s="7">
        <v>59.990001679999999</v>
      </c>
      <c r="W996" s="7">
        <v>54.488929209402009</v>
      </c>
      <c r="X996">
        <v>5</v>
      </c>
      <c r="Y996" s="7">
        <v>44.990001679999999</v>
      </c>
      <c r="Z996" s="7">
        <v>299.9500084</v>
      </c>
      <c r="AA996" s="7">
        <f t="shared" si="62"/>
        <v>254.96000672</v>
      </c>
      <c r="AB996" t="s">
        <v>66</v>
      </c>
      <c r="AC996" t="str">
        <f t="shared" si="63"/>
        <v>Non-Cash Payments</v>
      </c>
    </row>
    <row r="997" spans="1:29" x14ac:dyDescent="0.25">
      <c r="A997">
        <v>42658</v>
      </c>
      <c r="B997" s="2">
        <v>42627</v>
      </c>
      <c r="C997">
        <v>4</v>
      </c>
      <c r="D997" s="2">
        <f t="shared" si="60"/>
        <v>42633</v>
      </c>
      <c r="E997">
        <v>0</v>
      </c>
      <c r="F997" t="s">
        <v>62</v>
      </c>
      <c r="G997" t="str">
        <f t="shared" si="61"/>
        <v>Other</v>
      </c>
      <c r="H997">
        <v>17</v>
      </c>
      <c r="I997">
        <v>2078</v>
      </c>
      <c r="J997">
        <v>4</v>
      </c>
      <c r="K997" t="s">
        <v>46</v>
      </c>
      <c r="L997" t="s">
        <v>683</v>
      </c>
      <c r="M997" t="s">
        <v>758</v>
      </c>
      <c r="N997" t="s">
        <v>758</v>
      </c>
      <c r="P997" t="s">
        <v>759</v>
      </c>
      <c r="Q997" t="s">
        <v>737</v>
      </c>
      <c r="R997">
        <v>17</v>
      </c>
      <c r="T997">
        <v>365</v>
      </c>
      <c r="U997" t="s">
        <v>1054</v>
      </c>
      <c r="V997" s="7">
        <v>59.990001679999999</v>
      </c>
      <c r="W997" s="7">
        <v>54.488929209402009</v>
      </c>
      <c r="X997">
        <v>5</v>
      </c>
      <c r="Y997" s="7">
        <v>44.990001679999999</v>
      </c>
      <c r="Z997" s="7">
        <v>299.9500084</v>
      </c>
      <c r="AA997" s="7">
        <f t="shared" si="62"/>
        <v>254.96000672</v>
      </c>
      <c r="AB997" t="s">
        <v>66</v>
      </c>
      <c r="AC997" t="str">
        <f t="shared" si="63"/>
        <v>Non-Cash Payments</v>
      </c>
    </row>
    <row r="998" spans="1:29" x14ac:dyDescent="0.25">
      <c r="A998">
        <v>23494</v>
      </c>
      <c r="B998" s="2">
        <v>42259</v>
      </c>
      <c r="C998">
        <v>4</v>
      </c>
      <c r="D998" s="2">
        <f t="shared" si="60"/>
        <v>42264</v>
      </c>
      <c r="E998">
        <v>1</v>
      </c>
      <c r="F998" t="s">
        <v>62</v>
      </c>
      <c r="G998" t="str">
        <f t="shared" si="61"/>
        <v>Other</v>
      </c>
      <c r="H998">
        <v>17</v>
      </c>
      <c r="I998">
        <v>2464</v>
      </c>
      <c r="J998">
        <v>4</v>
      </c>
      <c r="K998" t="s">
        <v>46</v>
      </c>
      <c r="L998" t="s">
        <v>683</v>
      </c>
      <c r="M998" t="s">
        <v>753</v>
      </c>
      <c r="N998" t="s">
        <v>753</v>
      </c>
      <c r="P998" t="s">
        <v>754</v>
      </c>
      <c r="Q998" t="s">
        <v>691</v>
      </c>
      <c r="R998">
        <v>17</v>
      </c>
      <c r="T998">
        <v>365</v>
      </c>
      <c r="U998" t="s">
        <v>1054</v>
      </c>
      <c r="V998" s="7">
        <v>59.990001679999999</v>
      </c>
      <c r="W998" s="7">
        <v>54.488929209402009</v>
      </c>
      <c r="X998">
        <v>5</v>
      </c>
      <c r="Y998" s="7">
        <v>47.990001679999999</v>
      </c>
      <c r="Z998" s="7">
        <v>299.9500084</v>
      </c>
      <c r="AA998" s="7">
        <f t="shared" si="62"/>
        <v>251.96000672</v>
      </c>
      <c r="AB998" t="s">
        <v>66</v>
      </c>
      <c r="AC998" t="str">
        <f t="shared" si="63"/>
        <v>Non-Cash Payments</v>
      </c>
    </row>
    <row r="999" spans="1:29" x14ac:dyDescent="0.25">
      <c r="A999">
        <v>27316</v>
      </c>
      <c r="B999" s="2">
        <v>42431</v>
      </c>
      <c r="C999">
        <v>4</v>
      </c>
      <c r="D999" s="2">
        <f t="shared" si="60"/>
        <v>42437</v>
      </c>
      <c r="E999">
        <v>0</v>
      </c>
      <c r="F999" t="s">
        <v>62</v>
      </c>
      <c r="G999" t="str">
        <f t="shared" si="61"/>
        <v>Other</v>
      </c>
      <c r="H999">
        <v>17</v>
      </c>
      <c r="I999">
        <v>11426</v>
      </c>
      <c r="J999">
        <v>4</v>
      </c>
      <c r="K999" t="s">
        <v>46</v>
      </c>
      <c r="L999" t="s">
        <v>683</v>
      </c>
      <c r="M999" t="s">
        <v>847</v>
      </c>
      <c r="N999" t="s">
        <v>698</v>
      </c>
      <c r="P999" t="s">
        <v>699</v>
      </c>
      <c r="Q999" t="s">
        <v>700</v>
      </c>
      <c r="R999">
        <v>17</v>
      </c>
      <c r="T999">
        <v>365</v>
      </c>
      <c r="U999" t="s">
        <v>1054</v>
      </c>
      <c r="V999" s="7">
        <v>59.990001679999999</v>
      </c>
      <c r="W999" s="7">
        <v>54.488929209402009</v>
      </c>
      <c r="X999">
        <v>5</v>
      </c>
      <c r="Y999" s="7">
        <v>50.990001679999999</v>
      </c>
      <c r="Z999" s="7">
        <v>299.9500084</v>
      </c>
      <c r="AA999" s="7">
        <f t="shared" si="62"/>
        <v>248.96000672</v>
      </c>
      <c r="AB999" t="s">
        <v>66</v>
      </c>
      <c r="AC999" t="str">
        <f t="shared" si="63"/>
        <v>Non-Cash Payments</v>
      </c>
    </row>
    <row r="1000" spans="1:29" x14ac:dyDescent="0.25">
      <c r="A1000">
        <v>20931</v>
      </c>
      <c r="B1000" s="2">
        <v>42046</v>
      </c>
      <c r="C1000">
        <v>4</v>
      </c>
      <c r="D1000" s="2">
        <f t="shared" si="60"/>
        <v>42052</v>
      </c>
      <c r="E1000">
        <v>0</v>
      </c>
      <c r="F1000" t="s">
        <v>62</v>
      </c>
      <c r="G1000" t="str">
        <f t="shared" si="61"/>
        <v>Other</v>
      </c>
      <c r="H1000">
        <v>17</v>
      </c>
      <c r="I1000">
        <v>11664</v>
      </c>
      <c r="J1000">
        <v>4</v>
      </c>
      <c r="K1000" t="s">
        <v>46</v>
      </c>
      <c r="L1000" t="s">
        <v>683</v>
      </c>
      <c r="M1000" t="s">
        <v>770</v>
      </c>
      <c r="N1000" t="s">
        <v>771</v>
      </c>
      <c r="P1000" t="s">
        <v>772</v>
      </c>
      <c r="Q1000" t="s">
        <v>687</v>
      </c>
      <c r="R1000">
        <v>17</v>
      </c>
      <c r="T1000">
        <v>365</v>
      </c>
      <c r="U1000" t="s">
        <v>1054</v>
      </c>
      <c r="V1000" s="7">
        <v>59.990001679999999</v>
      </c>
      <c r="W1000" s="7">
        <v>54.488929209402009</v>
      </c>
      <c r="X1000">
        <v>5</v>
      </c>
      <c r="Y1000" s="7">
        <v>50.990001679999999</v>
      </c>
      <c r="Z1000" s="7">
        <v>299.9500084</v>
      </c>
      <c r="AA1000" s="7">
        <f t="shared" si="62"/>
        <v>248.96000672</v>
      </c>
      <c r="AB1000" t="s">
        <v>66</v>
      </c>
      <c r="AC1000" t="str">
        <f t="shared" si="63"/>
        <v>Non-Cash Payments</v>
      </c>
    </row>
    <row r="1001" spans="1:29" x14ac:dyDescent="0.25">
      <c r="A1001">
        <v>27555</v>
      </c>
      <c r="B1001" s="2">
        <v>42553</v>
      </c>
      <c r="C1001">
        <v>4</v>
      </c>
      <c r="D1001" s="2">
        <f t="shared" si="60"/>
        <v>42558</v>
      </c>
      <c r="E1001">
        <v>1</v>
      </c>
      <c r="F1001" t="s">
        <v>62</v>
      </c>
      <c r="G1001" t="str">
        <f t="shared" si="61"/>
        <v>Other</v>
      </c>
      <c r="H1001">
        <v>17</v>
      </c>
      <c r="I1001">
        <v>3770</v>
      </c>
      <c r="J1001">
        <v>4</v>
      </c>
      <c r="K1001" t="s">
        <v>46</v>
      </c>
      <c r="L1001" t="s">
        <v>683</v>
      </c>
      <c r="M1001" t="s">
        <v>794</v>
      </c>
      <c r="N1001" t="s">
        <v>795</v>
      </c>
      <c r="P1001" t="s">
        <v>686</v>
      </c>
      <c r="Q1001" t="s">
        <v>687</v>
      </c>
      <c r="R1001">
        <v>17</v>
      </c>
      <c r="T1001">
        <v>365</v>
      </c>
      <c r="U1001" t="s">
        <v>1054</v>
      </c>
      <c r="V1001" s="7">
        <v>59.990001679999999</v>
      </c>
      <c r="W1001" s="7">
        <v>54.488929209402009</v>
      </c>
      <c r="X1001">
        <v>5</v>
      </c>
      <c r="Y1001" s="7">
        <v>53.990001679999999</v>
      </c>
      <c r="Z1001" s="7">
        <v>299.9500084</v>
      </c>
      <c r="AA1001" s="7">
        <f t="shared" si="62"/>
        <v>245.96000672</v>
      </c>
      <c r="AB1001" t="s">
        <v>66</v>
      </c>
      <c r="AC1001" t="str">
        <f t="shared" si="63"/>
        <v>Non-Cash Payments</v>
      </c>
    </row>
    <row r="1002" spans="1:29" x14ac:dyDescent="0.25">
      <c r="A1002">
        <v>28657</v>
      </c>
      <c r="B1002" s="2">
        <v>42423</v>
      </c>
      <c r="C1002">
        <v>4</v>
      </c>
      <c r="D1002" s="2">
        <f t="shared" si="60"/>
        <v>42429</v>
      </c>
      <c r="E1002">
        <v>0</v>
      </c>
      <c r="F1002" t="s">
        <v>62</v>
      </c>
      <c r="G1002" t="str">
        <f t="shared" si="61"/>
        <v>Other</v>
      </c>
      <c r="H1002">
        <v>29</v>
      </c>
      <c r="I1002">
        <v>1306</v>
      </c>
      <c r="J1002">
        <v>5</v>
      </c>
      <c r="K1002" t="s">
        <v>31</v>
      </c>
      <c r="L1002" t="s">
        <v>683</v>
      </c>
      <c r="M1002" t="s">
        <v>105</v>
      </c>
      <c r="N1002" t="s">
        <v>725</v>
      </c>
      <c r="P1002" t="s">
        <v>694</v>
      </c>
      <c r="Q1002" t="s">
        <v>695</v>
      </c>
      <c r="R1002">
        <v>29</v>
      </c>
      <c r="T1002">
        <v>627</v>
      </c>
      <c r="U1002" t="s">
        <v>1046</v>
      </c>
      <c r="V1002" s="7">
        <v>39.990001679999999</v>
      </c>
      <c r="W1002" s="7">
        <v>34.198098313835338</v>
      </c>
      <c r="X1002">
        <v>5</v>
      </c>
      <c r="Y1002" s="7">
        <v>2</v>
      </c>
      <c r="Z1002" s="7">
        <v>199.9500084</v>
      </c>
      <c r="AA1002" s="7">
        <f t="shared" si="62"/>
        <v>197.9500084</v>
      </c>
      <c r="AB1002" t="s">
        <v>66</v>
      </c>
      <c r="AC1002" t="str">
        <f t="shared" si="63"/>
        <v>Non-Cash Payments</v>
      </c>
    </row>
    <row r="1003" spans="1:29" x14ac:dyDescent="0.25">
      <c r="A1003">
        <v>47011</v>
      </c>
      <c r="B1003" s="2">
        <v>42691</v>
      </c>
      <c r="C1003">
        <v>4</v>
      </c>
      <c r="D1003" s="2">
        <f t="shared" si="60"/>
        <v>42697</v>
      </c>
      <c r="E1003">
        <v>0</v>
      </c>
      <c r="F1003" t="s">
        <v>62</v>
      </c>
      <c r="G1003" t="str">
        <f t="shared" si="61"/>
        <v>Other</v>
      </c>
      <c r="H1003">
        <v>24</v>
      </c>
      <c r="I1003">
        <v>10811</v>
      </c>
      <c r="J1003">
        <v>5</v>
      </c>
      <c r="K1003" t="s">
        <v>31</v>
      </c>
      <c r="L1003" t="s">
        <v>683</v>
      </c>
      <c r="M1003" t="s">
        <v>758</v>
      </c>
      <c r="N1003" t="s">
        <v>758</v>
      </c>
      <c r="P1003" t="s">
        <v>759</v>
      </c>
      <c r="Q1003" t="s">
        <v>737</v>
      </c>
      <c r="R1003">
        <v>24</v>
      </c>
      <c r="T1003">
        <v>502</v>
      </c>
      <c r="U1003" t="s">
        <v>1058</v>
      </c>
      <c r="V1003" s="7">
        <v>50</v>
      </c>
      <c r="W1003" s="7">
        <v>43.678035218757444</v>
      </c>
      <c r="X1003">
        <v>5</v>
      </c>
      <c r="Y1003" s="7">
        <v>2.5</v>
      </c>
      <c r="Z1003" s="7">
        <v>250</v>
      </c>
      <c r="AA1003" s="7">
        <f t="shared" si="62"/>
        <v>247.5</v>
      </c>
      <c r="AB1003" t="s">
        <v>66</v>
      </c>
      <c r="AC1003" t="str">
        <f t="shared" si="63"/>
        <v>Non-Cash Payments</v>
      </c>
    </row>
    <row r="1004" spans="1:29" x14ac:dyDescent="0.25">
      <c r="A1004">
        <v>47846</v>
      </c>
      <c r="B1004" s="2">
        <v>42703</v>
      </c>
      <c r="C1004">
        <v>4</v>
      </c>
      <c r="D1004" s="2">
        <f t="shared" si="60"/>
        <v>42709</v>
      </c>
      <c r="E1004">
        <v>0</v>
      </c>
      <c r="F1004" t="s">
        <v>62</v>
      </c>
      <c r="G1004" t="str">
        <f t="shared" si="61"/>
        <v>Other</v>
      </c>
      <c r="H1004">
        <v>24</v>
      </c>
      <c r="I1004">
        <v>6073</v>
      </c>
      <c r="J1004">
        <v>5</v>
      </c>
      <c r="K1004" t="s">
        <v>31</v>
      </c>
      <c r="L1004" t="s">
        <v>683</v>
      </c>
      <c r="M1004" t="s">
        <v>872</v>
      </c>
      <c r="N1004" t="s">
        <v>872</v>
      </c>
      <c r="P1004" t="s">
        <v>736</v>
      </c>
      <c r="Q1004" t="s">
        <v>737</v>
      </c>
      <c r="R1004">
        <v>24</v>
      </c>
      <c r="T1004">
        <v>502</v>
      </c>
      <c r="U1004" t="s">
        <v>1058</v>
      </c>
      <c r="V1004" s="7">
        <v>50</v>
      </c>
      <c r="W1004" s="7">
        <v>43.678035218757444</v>
      </c>
      <c r="X1004">
        <v>5</v>
      </c>
      <c r="Y1004" s="7">
        <v>5</v>
      </c>
      <c r="Z1004" s="7">
        <v>250</v>
      </c>
      <c r="AA1004" s="7">
        <f t="shared" si="62"/>
        <v>245</v>
      </c>
      <c r="AB1004" t="s">
        <v>66</v>
      </c>
      <c r="AC1004" t="str">
        <f t="shared" si="63"/>
        <v>Non-Cash Payments</v>
      </c>
    </row>
    <row r="1005" spans="1:29" x14ac:dyDescent="0.25">
      <c r="A1005">
        <v>21973</v>
      </c>
      <c r="B1005" s="2">
        <v>42325</v>
      </c>
      <c r="C1005">
        <v>4</v>
      </c>
      <c r="D1005" s="2">
        <f t="shared" si="60"/>
        <v>42331</v>
      </c>
      <c r="E1005">
        <v>0</v>
      </c>
      <c r="F1005" t="s">
        <v>62</v>
      </c>
      <c r="G1005" t="str">
        <f t="shared" si="61"/>
        <v>Other</v>
      </c>
      <c r="H1005">
        <v>29</v>
      </c>
      <c r="I1005">
        <v>12033</v>
      </c>
      <c r="J1005">
        <v>5</v>
      </c>
      <c r="K1005" t="s">
        <v>31</v>
      </c>
      <c r="L1005" t="s">
        <v>683</v>
      </c>
      <c r="M1005" t="s">
        <v>780</v>
      </c>
      <c r="N1005" t="s">
        <v>781</v>
      </c>
      <c r="P1005" t="s">
        <v>699</v>
      </c>
      <c r="Q1005" t="s">
        <v>700</v>
      </c>
      <c r="R1005">
        <v>29</v>
      </c>
      <c r="T1005">
        <v>627</v>
      </c>
      <c r="U1005" t="s">
        <v>1046</v>
      </c>
      <c r="V1005" s="7">
        <v>39.990001679999999</v>
      </c>
      <c r="W1005" s="7">
        <v>34.198098313835338</v>
      </c>
      <c r="X1005">
        <v>5</v>
      </c>
      <c r="Y1005" s="7">
        <v>8</v>
      </c>
      <c r="Z1005" s="7">
        <v>199.9500084</v>
      </c>
      <c r="AA1005" s="7">
        <f t="shared" si="62"/>
        <v>191.9500084</v>
      </c>
      <c r="AB1005" t="s">
        <v>66</v>
      </c>
      <c r="AC1005" t="str">
        <f t="shared" si="63"/>
        <v>Non-Cash Payments</v>
      </c>
    </row>
    <row r="1006" spans="1:29" x14ac:dyDescent="0.25">
      <c r="A1006">
        <v>50226</v>
      </c>
      <c r="B1006" s="2">
        <v>42795</v>
      </c>
      <c r="C1006">
        <v>4</v>
      </c>
      <c r="D1006" s="2">
        <f t="shared" si="60"/>
        <v>42801</v>
      </c>
      <c r="E1006">
        <v>0</v>
      </c>
      <c r="F1006" t="s">
        <v>62</v>
      </c>
      <c r="G1006" t="str">
        <f t="shared" si="61"/>
        <v>Other</v>
      </c>
      <c r="H1006">
        <v>24</v>
      </c>
      <c r="I1006">
        <v>9248</v>
      </c>
      <c r="J1006">
        <v>5</v>
      </c>
      <c r="K1006" t="s">
        <v>31</v>
      </c>
      <c r="L1006" t="s">
        <v>683</v>
      </c>
      <c r="M1006" t="s">
        <v>875</v>
      </c>
      <c r="N1006" t="s">
        <v>875</v>
      </c>
      <c r="P1006" t="s">
        <v>876</v>
      </c>
      <c r="Q1006" t="s">
        <v>737</v>
      </c>
      <c r="R1006">
        <v>24</v>
      </c>
      <c r="T1006">
        <v>502</v>
      </c>
      <c r="U1006" t="s">
        <v>1058</v>
      </c>
      <c r="V1006" s="7">
        <v>50</v>
      </c>
      <c r="W1006" s="7">
        <v>43.678035218757444</v>
      </c>
      <c r="X1006">
        <v>5</v>
      </c>
      <c r="Y1006" s="7">
        <v>12.5</v>
      </c>
      <c r="Z1006" s="7">
        <v>250</v>
      </c>
      <c r="AA1006" s="7">
        <f t="shared" si="62"/>
        <v>237.5</v>
      </c>
      <c r="AB1006" t="s">
        <v>66</v>
      </c>
      <c r="AC1006" t="str">
        <f t="shared" si="63"/>
        <v>Non-Cash Payments</v>
      </c>
    </row>
    <row r="1007" spans="1:29" x14ac:dyDescent="0.25">
      <c r="A1007">
        <v>44617</v>
      </c>
      <c r="B1007" s="2">
        <v>42656</v>
      </c>
      <c r="C1007">
        <v>4</v>
      </c>
      <c r="D1007" s="2">
        <f t="shared" si="60"/>
        <v>42662</v>
      </c>
      <c r="E1007">
        <v>0</v>
      </c>
      <c r="F1007" t="s">
        <v>62</v>
      </c>
      <c r="G1007" t="str">
        <f t="shared" si="61"/>
        <v>Other</v>
      </c>
      <c r="H1007">
        <v>24</v>
      </c>
      <c r="I1007">
        <v>2214</v>
      </c>
      <c r="J1007">
        <v>5</v>
      </c>
      <c r="K1007" t="s">
        <v>31</v>
      </c>
      <c r="L1007" t="s">
        <v>683</v>
      </c>
      <c r="M1007" t="s">
        <v>758</v>
      </c>
      <c r="N1007" t="s">
        <v>758</v>
      </c>
      <c r="P1007" t="s">
        <v>759</v>
      </c>
      <c r="Q1007" t="s">
        <v>737</v>
      </c>
      <c r="R1007">
        <v>24</v>
      </c>
      <c r="T1007">
        <v>502</v>
      </c>
      <c r="U1007" t="s">
        <v>1058</v>
      </c>
      <c r="V1007" s="7">
        <v>50</v>
      </c>
      <c r="W1007" s="7">
        <v>43.678035218757444</v>
      </c>
      <c r="X1007">
        <v>5</v>
      </c>
      <c r="Y1007" s="7">
        <v>12.5</v>
      </c>
      <c r="Z1007" s="7">
        <v>250</v>
      </c>
      <c r="AA1007" s="7">
        <f t="shared" si="62"/>
        <v>237.5</v>
      </c>
      <c r="AB1007" t="s">
        <v>66</v>
      </c>
      <c r="AC1007" t="str">
        <f t="shared" si="63"/>
        <v>Non-Cash Payments</v>
      </c>
    </row>
    <row r="1008" spans="1:29" x14ac:dyDescent="0.25">
      <c r="A1008">
        <v>21196</v>
      </c>
      <c r="B1008" s="2">
        <v>42166</v>
      </c>
      <c r="C1008">
        <v>4</v>
      </c>
      <c r="D1008" s="2">
        <f t="shared" si="60"/>
        <v>42172</v>
      </c>
      <c r="E1008">
        <v>0</v>
      </c>
      <c r="F1008" t="s">
        <v>62</v>
      </c>
      <c r="G1008" t="str">
        <f t="shared" si="61"/>
        <v>Other</v>
      </c>
      <c r="H1008">
        <v>24</v>
      </c>
      <c r="I1008">
        <v>6738</v>
      </c>
      <c r="J1008">
        <v>5</v>
      </c>
      <c r="K1008" t="s">
        <v>31</v>
      </c>
      <c r="L1008" t="s">
        <v>683</v>
      </c>
      <c r="M1008" t="s">
        <v>877</v>
      </c>
      <c r="N1008" t="s">
        <v>781</v>
      </c>
      <c r="P1008" t="s">
        <v>699</v>
      </c>
      <c r="Q1008" t="s">
        <v>700</v>
      </c>
      <c r="R1008">
        <v>24</v>
      </c>
      <c r="T1008">
        <v>502</v>
      </c>
      <c r="U1008" t="s">
        <v>1058</v>
      </c>
      <c r="V1008" s="7">
        <v>50</v>
      </c>
      <c r="W1008" s="7">
        <v>43.678035218757444</v>
      </c>
      <c r="X1008">
        <v>5</v>
      </c>
      <c r="Y1008" s="7">
        <v>13.75</v>
      </c>
      <c r="Z1008" s="7">
        <v>250</v>
      </c>
      <c r="AA1008" s="7">
        <f t="shared" si="62"/>
        <v>236.25</v>
      </c>
      <c r="AB1008" t="s">
        <v>66</v>
      </c>
      <c r="AC1008" t="str">
        <f t="shared" si="63"/>
        <v>Non-Cash Payments</v>
      </c>
    </row>
    <row r="1009" spans="1:29" x14ac:dyDescent="0.25">
      <c r="A1009">
        <v>21193</v>
      </c>
      <c r="B1009" s="2">
        <v>42166</v>
      </c>
      <c r="C1009">
        <v>4</v>
      </c>
      <c r="D1009" s="2">
        <f t="shared" si="60"/>
        <v>42172</v>
      </c>
      <c r="E1009">
        <v>0</v>
      </c>
      <c r="F1009" t="s">
        <v>62</v>
      </c>
      <c r="G1009" t="str">
        <f t="shared" si="61"/>
        <v>Other</v>
      </c>
      <c r="H1009">
        <v>24</v>
      </c>
      <c r="I1009">
        <v>5074</v>
      </c>
      <c r="J1009">
        <v>5</v>
      </c>
      <c r="K1009" t="s">
        <v>31</v>
      </c>
      <c r="L1009" t="s">
        <v>683</v>
      </c>
      <c r="M1009" t="s">
        <v>878</v>
      </c>
      <c r="N1009" t="s">
        <v>879</v>
      </c>
      <c r="P1009" t="s">
        <v>702</v>
      </c>
      <c r="Q1009" t="s">
        <v>700</v>
      </c>
      <c r="R1009">
        <v>24</v>
      </c>
      <c r="T1009">
        <v>502</v>
      </c>
      <c r="U1009" t="s">
        <v>1058</v>
      </c>
      <c r="V1009" s="7">
        <v>50</v>
      </c>
      <c r="W1009" s="7">
        <v>43.678035218757444</v>
      </c>
      <c r="X1009">
        <v>5</v>
      </c>
      <c r="Y1009" s="7">
        <v>17.5</v>
      </c>
      <c r="Z1009" s="7">
        <v>250</v>
      </c>
      <c r="AA1009" s="7">
        <f t="shared" si="62"/>
        <v>232.5</v>
      </c>
      <c r="AB1009" t="s">
        <v>66</v>
      </c>
      <c r="AC1009" t="str">
        <f t="shared" si="63"/>
        <v>Non-Cash Payments</v>
      </c>
    </row>
    <row r="1010" spans="1:29" x14ac:dyDescent="0.25">
      <c r="A1010">
        <v>26073</v>
      </c>
      <c r="B1010" s="2">
        <v>42385</v>
      </c>
      <c r="C1010">
        <v>4</v>
      </c>
      <c r="D1010" s="2">
        <f t="shared" si="60"/>
        <v>42390</v>
      </c>
      <c r="E1010">
        <v>0</v>
      </c>
      <c r="F1010" t="s">
        <v>62</v>
      </c>
      <c r="G1010" t="str">
        <f t="shared" si="61"/>
        <v>Other</v>
      </c>
      <c r="H1010">
        <v>24</v>
      </c>
      <c r="I1010">
        <v>9148</v>
      </c>
      <c r="J1010">
        <v>5</v>
      </c>
      <c r="K1010" t="s">
        <v>31</v>
      </c>
      <c r="L1010" t="s">
        <v>683</v>
      </c>
      <c r="M1010" t="s">
        <v>476</v>
      </c>
      <c r="N1010" t="s">
        <v>880</v>
      </c>
      <c r="P1010" t="s">
        <v>772</v>
      </c>
      <c r="Q1010" t="s">
        <v>687</v>
      </c>
      <c r="R1010">
        <v>24</v>
      </c>
      <c r="T1010">
        <v>502</v>
      </c>
      <c r="U1010" t="s">
        <v>1058</v>
      </c>
      <c r="V1010" s="7">
        <v>50</v>
      </c>
      <c r="W1010" s="7">
        <v>43.678035218757444</v>
      </c>
      <c r="X1010">
        <v>5</v>
      </c>
      <c r="Y1010" s="7">
        <v>17.5</v>
      </c>
      <c r="Z1010" s="7">
        <v>250</v>
      </c>
      <c r="AA1010" s="7">
        <f t="shared" si="62"/>
        <v>232.5</v>
      </c>
      <c r="AB1010" t="s">
        <v>66</v>
      </c>
      <c r="AC1010" t="str">
        <f t="shared" si="63"/>
        <v>Non-Cash Payments</v>
      </c>
    </row>
    <row r="1011" spans="1:29" x14ac:dyDescent="0.25">
      <c r="A1011">
        <v>24764</v>
      </c>
      <c r="B1011" s="2">
        <v>42366</v>
      </c>
      <c r="C1011">
        <v>4</v>
      </c>
      <c r="D1011" s="2">
        <f t="shared" si="60"/>
        <v>42370</v>
      </c>
      <c r="E1011">
        <v>1</v>
      </c>
      <c r="F1011" t="s">
        <v>62</v>
      </c>
      <c r="G1011" t="str">
        <f t="shared" si="61"/>
        <v>Other</v>
      </c>
      <c r="H1011">
        <v>18</v>
      </c>
      <c r="I1011">
        <v>8551</v>
      </c>
      <c r="J1011">
        <v>4</v>
      </c>
      <c r="K1011" t="s">
        <v>46</v>
      </c>
      <c r="L1011" t="s">
        <v>683</v>
      </c>
      <c r="M1011" t="s">
        <v>881</v>
      </c>
      <c r="N1011" t="s">
        <v>882</v>
      </c>
      <c r="P1011" t="s">
        <v>702</v>
      </c>
      <c r="Q1011" t="s">
        <v>700</v>
      </c>
      <c r="R1011">
        <v>18</v>
      </c>
      <c r="T1011">
        <v>403</v>
      </c>
      <c r="U1011" t="s">
        <v>1052</v>
      </c>
      <c r="V1011" s="7">
        <v>129.9900055</v>
      </c>
      <c r="W1011" s="7">
        <v>110.80340837177086</v>
      </c>
      <c r="X1011">
        <v>1</v>
      </c>
      <c r="Y1011" s="7">
        <v>11.69999981</v>
      </c>
      <c r="Z1011" s="7">
        <v>129.9900055</v>
      </c>
      <c r="AA1011" s="7">
        <f t="shared" si="62"/>
        <v>118.29000569</v>
      </c>
      <c r="AB1011" t="s">
        <v>45</v>
      </c>
      <c r="AC1011" t="str">
        <f t="shared" si="63"/>
        <v>Non-Cash Payments</v>
      </c>
    </row>
    <row r="1012" spans="1:29" x14ac:dyDescent="0.25">
      <c r="A1012">
        <v>21522</v>
      </c>
      <c r="B1012" s="2">
        <v>42319</v>
      </c>
      <c r="C1012">
        <v>4</v>
      </c>
      <c r="D1012" s="2">
        <f t="shared" si="60"/>
        <v>42325</v>
      </c>
      <c r="E1012">
        <v>0</v>
      </c>
      <c r="F1012" t="s">
        <v>62</v>
      </c>
      <c r="G1012" t="str">
        <f t="shared" si="61"/>
        <v>Other</v>
      </c>
      <c r="H1012">
        <v>18</v>
      </c>
      <c r="I1012">
        <v>5270</v>
      </c>
      <c r="J1012">
        <v>4</v>
      </c>
      <c r="K1012" t="s">
        <v>46</v>
      </c>
      <c r="L1012" t="s">
        <v>683</v>
      </c>
      <c r="M1012" t="s">
        <v>778</v>
      </c>
      <c r="N1012" t="s">
        <v>779</v>
      </c>
      <c r="P1012" t="s">
        <v>699</v>
      </c>
      <c r="Q1012" t="s">
        <v>700</v>
      </c>
      <c r="R1012">
        <v>18</v>
      </c>
      <c r="T1012">
        <v>403</v>
      </c>
      <c r="U1012" t="s">
        <v>1052</v>
      </c>
      <c r="V1012" s="7">
        <v>129.9900055</v>
      </c>
      <c r="W1012" s="7">
        <v>110.80340837177086</v>
      </c>
      <c r="X1012">
        <v>1</v>
      </c>
      <c r="Y1012" s="7">
        <v>11.69999981</v>
      </c>
      <c r="Z1012" s="7">
        <v>129.9900055</v>
      </c>
      <c r="AA1012" s="7">
        <f t="shared" si="62"/>
        <v>118.29000569</v>
      </c>
      <c r="AB1012" t="s">
        <v>45</v>
      </c>
      <c r="AC1012" t="str">
        <f t="shared" si="63"/>
        <v>Non-Cash Payments</v>
      </c>
    </row>
    <row r="1013" spans="1:29" x14ac:dyDescent="0.25">
      <c r="A1013">
        <v>26670</v>
      </c>
      <c r="B1013" s="2">
        <v>42394</v>
      </c>
      <c r="C1013">
        <v>4</v>
      </c>
      <c r="D1013" s="2">
        <f t="shared" si="60"/>
        <v>42398</v>
      </c>
      <c r="E1013">
        <v>1</v>
      </c>
      <c r="F1013" t="s">
        <v>62</v>
      </c>
      <c r="G1013" t="str">
        <f t="shared" si="61"/>
        <v>Other</v>
      </c>
      <c r="H1013">
        <v>18</v>
      </c>
      <c r="I1013">
        <v>7163</v>
      </c>
      <c r="J1013">
        <v>4</v>
      </c>
      <c r="K1013" t="s">
        <v>46</v>
      </c>
      <c r="L1013" t="s">
        <v>683</v>
      </c>
      <c r="M1013" t="s">
        <v>719</v>
      </c>
      <c r="N1013" t="s">
        <v>883</v>
      </c>
      <c r="P1013" t="s">
        <v>699</v>
      </c>
      <c r="Q1013" t="s">
        <v>700</v>
      </c>
      <c r="R1013">
        <v>18</v>
      </c>
      <c r="T1013">
        <v>403</v>
      </c>
      <c r="U1013" t="s">
        <v>1052</v>
      </c>
      <c r="V1013" s="7">
        <v>129.9900055</v>
      </c>
      <c r="W1013" s="7">
        <v>110.80340837177086</v>
      </c>
      <c r="X1013">
        <v>1</v>
      </c>
      <c r="Y1013" s="7">
        <v>11.69999981</v>
      </c>
      <c r="Z1013" s="7">
        <v>129.9900055</v>
      </c>
      <c r="AA1013" s="7">
        <f t="shared" si="62"/>
        <v>118.29000569</v>
      </c>
      <c r="AB1013" t="s">
        <v>45</v>
      </c>
      <c r="AC1013" t="str">
        <f t="shared" si="63"/>
        <v>Non-Cash Payments</v>
      </c>
    </row>
    <row r="1014" spans="1:29" x14ac:dyDescent="0.25">
      <c r="A1014">
        <v>21971</v>
      </c>
      <c r="B1014" s="2">
        <v>42325</v>
      </c>
      <c r="C1014">
        <v>4</v>
      </c>
      <c r="D1014" s="2">
        <f t="shared" si="60"/>
        <v>42331</v>
      </c>
      <c r="E1014">
        <v>0</v>
      </c>
      <c r="F1014" t="s">
        <v>62</v>
      </c>
      <c r="G1014" t="str">
        <f t="shared" si="61"/>
        <v>Other</v>
      </c>
      <c r="H1014">
        <v>18</v>
      </c>
      <c r="I1014">
        <v>9163</v>
      </c>
      <c r="J1014">
        <v>4</v>
      </c>
      <c r="K1014" t="s">
        <v>46</v>
      </c>
      <c r="L1014" t="s">
        <v>683</v>
      </c>
      <c r="M1014" t="s">
        <v>884</v>
      </c>
      <c r="N1014" t="s">
        <v>885</v>
      </c>
      <c r="P1014" t="s">
        <v>708</v>
      </c>
      <c r="Q1014" t="s">
        <v>700</v>
      </c>
      <c r="R1014">
        <v>18</v>
      </c>
      <c r="T1014">
        <v>403</v>
      </c>
      <c r="U1014" t="s">
        <v>1052</v>
      </c>
      <c r="V1014" s="7">
        <v>129.9900055</v>
      </c>
      <c r="W1014" s="7">
        <v>110.80340837177086</v>
      </c>
      <c r="X1014">
        <v>1</v>
      </c>
      <c r="Y1014" s="7">
        <v>11.69999981</v>
      </c>
      <c r="Z1014" s="7">
        <v>129.9900055</v>
      </c>
      <c r="AA1014" s="7">
        <f t="shared" si="62"/>
        <v>118.29000569</v>
      </c>
      <c r="AB1014" t="s">
        <v>45</v>
      </c>
      <c r="AC1014" t="str">
        <f t="shared" si="63"/>
        <v>Non-Cash Payments</v>
      </c>
    </row>
    <row r="1015" spans="1:29" x14ac:dyDescent="0.25">
      <c r="A1015">
        <v>76849</v>
      </c>
      <c r="B1015" s="2">
        <v>43126</v>
      </c>
      <c r="C1015">
        <v>4</v>
      </c>
      <c r="D1015" s="2">
        <f t="shared" si="60"/>
        <v>43132</v>
      </c>
      <c r="E1015">
        <v>1</v>
      </c>
      <c r="F1015" t="s">
        <v>62</v>
      </c>
      <c r="G1015" t="str">
        <f t="shared" si="61"/>
        <v>Other</v>
      </c>
      <c r="H1015">
        <v>76</v>
      </c>
      <c r="I1015">
        <v>20402</v>
      </c>
      <c r="J1015">
        <v>4</v>
      </c>
      <c r="K1015" t="s">
        <v>46</v>
      </c>
      <c r="L1015" t="s">
        <v>683</v>
      </c>
      <c r="M1015" t="s">
        <v>886</v>
      </c>
      <c r="N1015" t="s">
        <v>887</v>
      </c>
      <c r="P1015" t="s">
        <v>699</v>
      </c>
      <c r="Q1015" t="s">
        <v>700</v>
      </c>
      <c r="R1015">
        <v>76</v>
      </c>
      <c r="T1015">
        <v>1363</v>
      </c>
      <c r="U1015" t="s">
        <v>1128</v>
      </c>
      <c r="V1015" s="7">
        <v>215.82000729999999</v>
      </c>
      <c r="W1015" s="7">
        <v>186.82667412499998</v>
      </c>
      <c r="X1015">
        <v>1</v>
      </c>
      <c r="Y1015" s="7">
        <v>19.420000080000001</v>
      </c>
      <c r="Z1015" s="7">
        <v>215.82000729999999</v>
      </c>
      <c r="AA1015" s="7">
        <f t="shared" si="62"/>
        <v>196.40000721999999</v>
      </c>
      <c r="AB1015" t="s">
        <v>45</v>
      </c>
      <c r="AC1015" t="str">
        <f t="shared" si="63"/>
        <v>Non-Cash Payments</v>
      </c>
    </row>
    <row r="1016" spans="1:29" x14ac:dyDescent="0.25">
      <c r="A1016">
        <v>27357</v>
      </c>
      <c r="B1016" s="2">
        <v>42462</v>
      </c>
      <c r="C1016">
        <v>4</v>
      </c>
      <c r="D1016" s="2">
        <f t="shared" si="60"/>
        <v>42467</v>
      </c>
      <c r="E1016">
        <v>0</v>
      </c>
      <c r="F1016" t="s">
        <v>62</v>
      </c>
      <c r="G1016" t="str">
        <f t="shared" si="61"/>
        <v>Other</v>
      </c>
      <c r="H1016">
        <v>18</v>
      </c>
      <c r="I1016">
        <v>4807</v>
      </c>
      <c r="J1016">
        <v>4</v>
      </c>
      <c r="K1016" t="s">
        <v>46</v>
      </c>
      <c r="L1016" t="s">
        <v>683</v>
      </c>
      <c r="M1016" t="s">
        <v>105</v>
      </c>
      <c r="N1016" t="s">
        <v>725</v>
      </c>
      <c r="P1016" t="s">
        <v>694</v>
      </c>
      <c r="Q1016" t="s">
        <v>695</v>
      </c>
      <c r="R1016">
        <v>18</v>
      </c>
      <c r="T1016">
        <v>403</v>
      </c>
      <c r="U1016" t="s">
        <v>1052</v>
      </c>
      <c r="V1016" s="7">
        <v>129.9900055</v>
      </c>
      <c r="W1016" s="7">
        <v>110.80340837177086</v>
      </c>
      <c r="X1016">
        <v>1</v>
      </c>
      <c r="Y1016" s="7">
        <v>11.69999981</v>
      </c>
      <c r="Z1016" s="7">
        <v>129.9900055</v>
      </c>
      <c r="AA1016" s="7">
        <f t="shared" si="62"/>
        <v>118.29000569</v>
      </c>
      <c r="AB1016" t="s">
        <v>45</v>
      </c>
      <c r="AC1016" t="str">
        <f t="shared" si="63"/>
        <v>Non-Cash Payments</v>
      </c>
    </row>
    <row r="1017" spans="1:29" x14ac:dyDescent="0.25">
      <c r="A1017">
        <v>29283</v>
      </c>
      <c r="B1017" s="2">
        <v>42432</v>
      </c>
      <c r="C1017">
        <v>4</v>
      </c>
      <c r="D1017" s="2">
        <f t="shared" si="60"/>
        <v>42438</v>
      </c>
      <c r="E1017">
        <v>0</v>
      </c>
      <c r="F1017" t="s">
        <v>62</v>
      </c>
      <c r="G1017" t="str">
        <f t="shared" si="61"/>
        <v>Other</v>
      </c>
      <c r="H1017">
        <v>18</v>
      </c>
      <c r="I1017">
        <v>88</v>
      </c>
      <c r="J1017">
        <v>4</v>
      </c>
      <c r="K1017" t="s">
        <v>46</v>
      </c>
      <c r="L1017" t="s">
        <v>683</v>
      </c>
      <c r="M1017" t="s">
        <v>888</v>
      </c>
      <c r="N1017" t="s">
        <v>725</v>
      </c>
      <c r="P1017" t="s">
        <v>694</v>
      </c>
      <c r="Q1017" t="s">
        <v>695</v>
      </c>
      <c r="R1017">
        <v>18</v>
      </c>
      <c r="T1017">
        <v>403</v>
      </c>
      <c r="U1017" t="s">
        <v>1052</v>
      </c>
      <c r="V1017" s="7">
        <v>129.9900055</v>
      </c>
      <c r="W1017" s="7">
        <v>110.80340837177086</v>
      </c>
      <c r="X1017">
        <v>1</v>
      </c>
      <c r="Y1017" s="7">
        <v>11.69999981</v>
      </c>
      <c r="Z1017" s="7">
        <v>129.9900055</v>
      </c>
      <c r="AA1017" s="7">
        <f t="shared" si="62"/>
        <v>118.29000569</v>
      </c>
      <c r="AB1017" t="s">
        <v>45</v>
      </c>
      <c r="AC1017" t="str">
        <f t="shared" si="63"/>
        <v>Non-Cash Payments</v>
      </c>
    </row>
    <row r="1018" spans="1:29" x14ac:dyDescent="0.25">
      <c r="A1018">
        <v>30724</v>
      </c>
      <c r="B1018" s="2">
        <v>42453</v>
      </c>
      <c r="C1018">
        <v>4</v>
      </c>
      <c r="D1018" s="2">
        <f t="shared" si="60"/>
        <v>42459</v>
      </c>
      <c r="E1018">
        <v>1</v>
      </c>
      <c r="F1018" t="s">
        <v>62</v>
      </c>
      <c r="G1018" t="str">
        <f t="shared" si="61"/>
        <v>Other</v>
      </c>
      <c r="H1018">
        <v>18</v>
      </c>
      <c r="I1018">
        <v>7697</v>
      </c>
      <c r="J1018">
        <v>4</v>
      </c>
      <c r="K1018" t="s">
        <v>46</v>
      </c>
      <c r="L1018" t="s">
        <v>683</v>
      </c>
      <c r="M1018" t="s">
        <v>748</v>
      </c>
      <c r="N1018" t="s">
        <v>693</v>
      </c>
      <c r="P1018" t="s">
        <v>694</v>
      </c>
      <c r="Q1018" t="s">
        <v>695</v>
      </c>
      <c r="R1018">
        <v>18</v>
      </c>
      <c r="T1018">
        <v>403</v>
      </c>
      <c r="U1018" t="s">
        <v>1052</v>
      </c>
      <c r="V1018" s="7">
        <v>129.9900055</v>
      </c>
      <c r="W1018" s="7">
        <v>110.80340837177086</v>
      </c>
      <c r="X1018">
        <v>1</v>
      </c>
      <c r="Y1018" s="7">
        <v>11.69999981</v>
      </c>
      <c r="Z1018" s="7">
        <v>129.9900055</v>
      </c>
      <c r="AA1018" s="7">
        <f t="shared" si="62"/>
        <v>118.29000569</v>
      </c>
      <c r="AB1018" t="s">
        <v>45</v>
      </c>
      <c r="AC1018" t="str">
        <f t="shared" si="63"/>
        <v>Non-Cash Payments</v>
      </c>
    </row>
    <row r="1019" spans="1:29" x14ac:dyDescent="0.25">
      <c r="A1019">
        <v>74454</v>
      </c>
      <c r="B1019" s="2">
        <v>43091</v>
      </c>
      <c r="C1019">
        <v>4</v>
      </c>
      <c r="D1019" s="2">
        <f t="shared" si="60"/>
        <v>43097</v>
      </c>
      <c r="E1019">
        <v>1</v>
      </c>
      <c r="F1019" t="s">
        <v>62</v>
      </c>
      <c r="G1019" t="str">
        <f t="shared" si="61"/>
        <v>Other</v>
      </c>
      <c r="H1019">
        <v>63</v>
      </c>
      <c r="I1019">
        <v>18007</v>
      </c>
      <c r="J1019">
        <v>4</v>
      </c>
      <c r="K1019" t="s">
        <v>46</v>
      </c>
      <c r="L1019" t="s">
        <v>683</v>
      </c>
      <c r="M1019" t="s">
        <v>889</v>
      </c>
      <c r="N1019" t="s">
        <v>890</v>
      </c>
      <c r="P1019" t="s">
        <v>690</v>
      </c>
      <c r="Q1019" t="s">
        <v>691</v>
      </c>
      <c r="R1019">
        <v>63</v>
      </c>
      <c r="T1019">
        <v>1350</v>
      </c>
      <c r="U1019" t="s">
        <v>1117</v>
      </c>
      <c r="V1019" s="7">
        <v>357.10000609999997</v>
      </c>
      <c r="W1019" s="7">
        <v>263.94000818499995</v>
      </c>
      <c r="X1019">
        <v>1</v>
      </c>
      <c r="Y1019" s="7">
        <v>32.13999939</v>
      </c>
      <c r="Z1019" s="7">
        <v>357.10000609999997</v>
      </c>
      <c r="AA1019" s="7">
        <f t="shared" si="62"/>
        <v>324.96000670999996</v>
      </c>
      <c r="AB1019" t="s">
        <v>45</v>
      </c>
      <c r="AC1019" t="str">
        <f t="shared" si="63"/>
        <v>Non-Cash Payments</v>
      </c>
    </row>
    <row r="1020" spans="1:29" x14ac:dyDescent="0.25">
      <c r="A1020">
        <v>24558</v>
      </c>
      <c r="B1020" s="2">
        <v>42363</v>
      </c>
      <c r="C1020">
        <v>4</v>
      </c>
      <c r="D1020" s="2">
        <f t="shared" si="60"/>
        <v>42369</v>
      </c>
      <c r="E1020">
        <v>0</v>
      </c>
      <c r="F1020" t="s">
        <v>62</v>
      </c>
      <c r="G1020" t="str">
        <f t="shared" si="61"/>
        <v>Other</v>
      </c>
      <c r="H1020">
        <v>18</v>
      </c>
      <c r="I1020">
        <v>8720</v>
      </c>
      <c r="J1020">
        <v>4</v>
      </c>
      <c r="K1020" t="s">
        <v>46</v>
      </c>
      <c r="L1020" t="s">
        <v>683</v>
      </c>
      <c r="M1020" t="s">
        <v>730</v>
      </c>
      <c r="N1020" t="s">
        <v>723</v>
      </c>
      <c r="P1020" t="s">
        <v>690</v>
      </c>
      <c r="Q1020" t="s">
        <v>691</v>
      </c>
      <c r="R1020">
        <v>18</v>
      </c>
      <c r="T1020">
        <v>403</v>
      </c>
      <c r="U1020" t="s">
        <v>1052</v>
      </c>
      <c r="V1020" s="7">
        <v>129.9900055</v>
      </c>
      <c r="W1020" s="7">
        <v>110.80340837177086</v>
      </c>
      <c r="X1020">
        <v>1</v>
      </c>
      <c r="Y1020" s="7">
        <v>11.69999981</v>
      </c>
      <c r="Z1020" s="7">
        <v>129.9900055</v>
      </c>
      <c r="AA1020" s="7">
        <f t="shared" si="62"/>
        <v>118.29000569</v>
      </c>
      <c r="AB1020" t="s">
        <v>45</v>
      </c>
      <c r="AC1020" t="str">
        <f t="shared" si="63"/>
        <v>Non-Cash Payments</v>
      </c>
    </row>
    <row r="1021" spans="1:29" x14ac:dyDescent="0.25">
      <c r="A1021">
        <v>24230</v>
      </c>
      <c r="B1021" s="2">
        <v>42358</v>
      </c>
      <c r="C1021">
        <v>4</v>
      </c>
      <c r="D1021" s="2">
        <f t="shared" si="60"/>
        <v>42362</v>
      </c>
      <c r="E1021">
        <v>1</v>
      </c>
      <c r="F1021" t="s">
        <v>62</v>
      </c>
      <c r="G1021" t="str">
        <f t="shared" si="61"/>
        <v>Other</v>
      </c>
      <c r="H1021">
        <v>17</v>
      </c>
      <c r="I1021">
        <v>1718</v>
      </c>
      <c r="J1021">
        <v>4</v>
      </c>
      <c r="K1021" t="s">
        <v>46</v>
      </c>
      <c r="L1021" t="s">
        <v>683</v>
      </c>
      <c r="M1021" t="s">
        <v>770</v>
      </c>
      <c r="N1021" t="s">
        <v>771</v>
      </c>
      <c r="P1021" t="s">
        <v>772</v>
      </c>
      <c r="Q1021" t="s">
        <v>687</v>
      </c>
      <c r="R1021">
        <v>17</v>
      </c>
      <c r="T1021">
        <v>365</v>
      </c>
      <c r="U1021" t="s">
        <v>1054</v>
      </c>
      <c r="V1021" s="7">
        <v>59.990001679999999</v>
      </c>
      <c r="W1021" s="7">
        <v>54.488929209402009</v>
      </c>
      <c r="X1021">
        <v>1</v>
      </c>
      <c r="Y1021" s="7">
        <v>5.4000000950000002</v>
      </c>
      <c r="Z1021" s="7">
        <v>59.990001679999999</v>
      </c>
      <c r="AA1021" s="7">
        <f t="shared" si="62"/>
        <v>54.590001584999996</v>
      </c>
      <c r="AB1021" t="s">
        <v>45</v>
      </c>
      <c r="AC1021" t="str">
        <f t="shared" si="63"/>
        <v>Non-Cash Payments</v>
      </c>
    </row>
    <row r="1022" spans="1:29" x14ac:dyDescent="0.25">
      <c r="A1022">
        <v>26821</v>
      </c>
      <c r="B1022" s="2">
        <v>42396</v>
      </c>
      <c r="C1022">
        <v>4</v>
      </c>
      <c r="D1022" s="2">
        <f t="shared" si="60"/>
        <v>42402</v>
      </c>
      <c r="E1022">
        <v>0</v>
      </c>
      <c r="F1022" t="s">
        <v>62</v>
      </c>
      <c r="G1022" t="str">
        <f t="shared" si="61"/>
        <v>Other</v>
      </c>
      <c r="H1022">
        <v>18</v>
      </c>
      <c r="I1022">
        <v>7795</v>
      </c>
      <c r="J1022">
        <v>4</v>
      </c>
      <c r="K1022" t="s">
        <v>46</v>
      </c>
      <c r="L1022" t="s">
        <v>683</v>
      </c>
      <c r="M1022" t="s">
        <v>796</v>
      </c>
      <c r="N1022" t="s">
        <v>685</v>
      </c>
      <c r="P1022" t="s">
        <v>686</v>
      </c>
      <c r="Q1022" t="s">
        <v>687</v>
      </c>
      <c r="R1022">
        <v>18</v>
      </c>
      <c r="T1022">
        <v>403</v>
      </c>
      <c r="U1022" t="s">
        <v>1052</v>
      </c>
      <c r="V1022" s="7">
        <v>129.9900055</v>
      </c>
      <c r="W1022" s="7">
        <v>110.80340837177086</v>
      </c>
      <c r="X1022">
        <v>1</v>
      </c>
      <c r="Y1022" s="7">
        <v>11.69999981</v>
      </c>
      <c r="Z1022" s="7">
        <v>129.9900055</v>
      </c>
      <c r="AA1022" s="7">
        <f t="shared" si="62"/>
        <v>118.29000569</v>
      </c>
      <c r="AB1022" t="s">
        <v>45</v>
      </c>
      <c r="AC1022" t="str">
        <f t="shared" si="63"/>
        <v>Non-Cash Payments</v>
      </c>
    </row>
    <row r="1023" spans="1:29" x14ac:dyDescent="0.25">
      <c r="A1023">
        <v>23211</v>
      </c>
      <c r="B1023" s="2">
        <v>42136</v>
      </c>
      <c r="C1023">
        <v>4</v>
      </c>
      <c r="D1023" s="2">
        <f t="shared" si="60"/>
        <v>42142</v>
      </c>
      <c r="E1023">
        <v>0</v>
      </c>
      <c r="F1023" t="s">
        <v>62</v>
      </c>
      <c r="G1023" t="str">
        <f t="shared" si="61"/>
        <v>Other</v>
      </c>
      <c r="H1023">
        <v>18</v>
      </c>
      <c r="I1023">
        <v>12100</v>
      </c>
      <c r="J1023">
        <v>4</v>
      </c>
      <c r="K1023" t="s">
        <v>46</v>
      </c>
      <c r="L1023" t="s">
        <v>683</v>
      </c>
      <c r="M1023" t="s">
        <v>833</v>
      </c>
      <c r="N1023" t="s">
        <v>833</v>
      </c>
      <c r="P1023" t="s">
        <v>834</v>
      </c>
      <c r="Q1023" t="s">
        <v>687</v>
      </c>
      <c r="R1023">
        <v>18</v>
      </c>
      <c r="T1023">
        <v>403</v>
      </c>
      <c r="U1023" t="s">
        <v>1052</v>
      </c>
      <c r="V1023" s="7">
        <v>129.9900055</v>
      </c>
      <c r="W1023" s="7">
        <v>110.80340837177086</v>
      </c>
      <c r="X1023">
        <v>1</v>
      </c>
      <c r="Y1023" s="7">
        <v>11.69999981</v>
      </c>
      <c r="Z1023" s="7">
        <v>129.9900055</v>
      </c>
      <c r="AA1023" s="7">
        <f t="shared" si="62"/>
        <v>118.29000569</v>
      </c>
      <c r="AB1023" t="s">
        <v>45</v>
      </c>
      <c r="AC1023" t="str">
        <f t="shared" si="63"/>
        <v>Non-Cash Payments</v>
      </c>
    </row>
    <row r="1024" spans="1:29" x14ac:dyDescent="0.25">
      <c r="A1024">
        <v>21868</v>
      </c>
      <c r="B1024" s="2">
        <v>42324</v>
      </c>
      <c r="C1024">
        <v>4</v>
      </c>
      <c r="D1024" s="2">
        <f t="shared" si="60"/>
        <v>42328</v>
      </c>
      <c r="E1024">
        <v>0</v>
      </c>
      <c r="F1024" t="s">
        <v>62</v>
      </c>
      <c r="G1024" t="str">
        <f t="shared" si="61"/>
        <v>Other</v>
      </c>
      <c r="H1024">
        <v>18</v>
      </c>
      <c r="I1024">
        <v>11979</v>
      </c>
      <c r="J1024">
        <v>4</v>
      </c>
      <c r="K1024" t="s">
        <v>46</v>
      </c>
      <c r="L1024" t="s">
        <v>683</v>
      </c>
      <c r="M1024" t="s">
        <v>854</v>
      </c>
      <c r="N1024" t="s">
        <v>854</v>
      </c>
      <c r="P1024" t="s">
        <v>686</v>
      </c>
      <c r="Q1024" t="s">
        <v>687</v>
      </c>
      <c r="R1024">
        <v>18</v>
      </c>
      <c r="T1024">
        <v>403</v>
      </c>
      <c r="U1024" t="s">
        <v>1052</v>
      </c>
      <c r="V1024" s="7">
        <v>129.9900055</v>
      </c>
      <c r="W1024" s="7">
        <v>110.80340837177086</v>
      </c>
      <c r="X1024">
        <v>1</v>
      </c>
      <c r="Y1024" s="7">
        <v>11.69999981</v>
      </c>
      <c r="Z1024" s="7">
        <v>129.9900055</v>
      </c>
      <c r="AA1024" s="7">
        <f t="shared" si="62"/>
        <v>118.29000569</v>
      </c>
      <c r="AB1024" t="s">
        <v>45</v>
      </c>
      <c r="AC1024" t="str">
        <f t="shared" si="63"/>
        <v>Non-Cash Payments</v>
      </c>
    </row>
    <row r="1025" spans="1:29" x14ac:dyDescent="0.25">
      <c r="A1025">
        <v>47009</v>
      </c>
      <c r="B1025" s="2">
        <v>42691</v>
      </c>
      <c r="C1025">
        <v>4</v>
      </c>
      <c r="D1025" s="2">
        <f t="shared" si="60"/>
        <v>42697</v>
      </c>
      <c r="E1025">
        <v>1</v>
      </c>
      <c r="F1025" t="s">
        <v>62</v>
      </c>
      <c r="G1025" t="str">
        <f t="shared" si="61"/>
        <v>Other</v>
      </c>
      <c r="H1025">
        <v>18</v>
      </c>
      <c r="I1025">
        <v>150</v>
      </c>
      <c r="J1025">
        <v>4</v>
      </c>
      <c r="K1025" t="s">
        <v>46</v>
      </c>
      <c r="L1025" t="s">
        <v>683</v>
      </c>
      <c r="M1025" t="s">
        <v>758</v>
      </c>
      <c r="N1025" t="s">
        <v>758</v>
      </c>
      <c r="P1025" t="s">
        <v>759</v>
      </c>
      <c r="Q1025" t="s">
        <v>737</v>
      </c>
      <c r="R1025">
        <v>18</v>
      </c>
      <c r="T1025">
        <v>403</v>
      </c>
      <c r="U1025" t="s">
        <v>1052</v>
      </c>
      <c r="V1025" s="7">
        <v>129.9900055</v>
      </c>
      <c r="W1025" s="7">
        <v>110.80340837177086</v>
      </c>
      <c r="X1025">
        <v>1</v>
      </c>
      <c r="Y1025" s="7">
        <v>11.69999981</v>
      </c>
      <c r="Z1025" s="7">
        <v>129.9900055</v>
      </c>
      <c r="AA1025" s="7">
        <f t="shared" si="62"/>
        <v>118.29000569</v>
      </c>
      <c r="AB1025" t="s">
        <v>45</v>
      </c>
      <c r="AC1025" t="str">
        <f t="shared" si="63"/>
        <v>Non-Cash Payments</v>
      </c>
    </row>
    <row r="1026" spans="1:29" x14ac:dyDescent="0.25">
      <c r="A1026">
        <v>42271</v>
      </c>
      <c r="B1026" s="2">
        <v>42622</v>
      </c>
      <c r="C1026">
        <v>4</v>
      </c>
      <c r="D1026" s="2">
        <f t="shared" si="60"/>
        <v>42628</v>
      </c>
      <c r="E1026">
        <v>0</v>
      </c>
      <c r="F1026" t="s">
        <v>62</v>
      </c>
      <c r="G1026" t="str">
        <f t="shared" si="61"/>
        <v>Other</v>
      </c>
      <c r="H1026">
        <v>18</v>
      </c>
      <c r="I1026">
        <v>3905</v>
      </c>
      <c r="J1026">
        <v>4</v>
      </c>
      <c r="K1026" t="s">
        <v>46</v>
      </c>
      <c r="L1026" t="s">
        <v>683</v>
      </c>
      <c r="M1026" t="s">
        <v>891</v>
      </c>
      <c r="N1026" t="s">
        <v>892</v>
      </c>
      <c r="P1026" t="s">
        <v>801</v>
      </c>
      <c r="Q1026" t="s">
        <v>777</v>
      </c>
      <c r="R1026">
        <v>18</v>
      </c>
      <c r="T1026">
        <v>403</v>
      </c>
      <c r="U1026" t="s">
        <v>1052</v>
      </c>
      <c r="V1026" s="7">
        <v>129.9900055</v>
      </c>
      <c r="W1026" s="7">
        <v>110.80340837177086</v>
      </c>
      <c r="X1026">
        <v>1</v>
      </c>
      <c r="Y1026" s="7">
        <v>13</v>
      </c>
      <c r="Z1026" s="7">
        <v>129.9900055</v>
      </c>
      <c r="AA1026" s="7">
        <f t="shared" si="62"/>
        <v>116.9900055</v>
      </c>
      <c r="AB1026" t="s">
        <v>45</v>
      </c>
      <c r="AC1026" t="str">
        <f t="shared" si="63"/>
        <v>Non-Cash Payments</v>
      </c>
    </row>
    <row r="1027" spans="1:29" x14ac:dyDescent="0.25">
      <c r="A1027">
        <v>36146</v>
      </c>
      <c r="B1027" s="2">
        <v>42680</v>
      </c>
      <c r="C1027">
        <v>2</v>
      </c>
      <c r="D1027" s="2">
        <f t="shared" ref="D1027:D1090" si="64">WORKDAY(B1027,C1027)</f>
        <v>42682</v>
      </c>
      <c r="E1027">
        <v>0</v>
      </c>
      <c r="F1027" t="s">
        <v>23</v>
      </c>
      <c r="G1027" t="str">
        <f t="shared" ref="G1027:G1090" si="65">IF(AND(E1027=0,F1027="Same Day"),"Same Day - On Time","Other")</f>
        <v>Other</v>
      </c>
      <c r="H1027">
        <v>13</v>
      </c>
      <c r="I1027">
        <v>3296</v>
      </c>
      <c r="J1027">
        <v>3</v>
      </c>
      <c r="K1027" t="s">
        <v>24</v>
      </c>
      <c r="L1027" t="s">
        <v>893</v>
      </c>
      <c r="M1027" t="s">
        <v>894</v>
      </c>
      <c r="N1027" t="s">
        <v>895</v>
      </c>
      <c r="O1027">
        <v>99301</v>
      </c>
      <c r="P1027" t="s">
        <v>896</v>
      </c>
      <c r="Q1027" t="s">
        <v>897</v>
      </c>
      <c r="R1027">
        <v>13</v>
      </c>
      <c r="T1027">
        <v>278</v>
      </c>
      <c r="U1027" t="s">
        <v>1106</v>
      </c>
      <c r="V1027" s="7">
        <v>44.990001679999999</v>
      </c>
      <c r="W1027" s="7">
        <v>31.547668386333335</v>
      </c>
      <c r="X1027">
        <v>2</v>
      </c>
      <c r="Y1027" s="7">
        <v>15.30000019</v>
      </c>
      <c r="Z1027" s="7">
        <v>89.980003359999998</v>
      </c>
      <c r="AA1027" s="7">
        <f t="shared" ref="AA1027:AA1090" si="66">Z1027-Y1027</f>
        <v>74.680003169999992</v>
      </c>
      <c r="AB1027" t="s">
        <v>30</v>
      </c>
      <c r="AC1027" t="str">
        <f t="shared" ref="AC1027:AC1090" si="67">IF(AND(AA1027&gt;200,AB1027="CASH"),"Cash Over 200",IF(AB1027="CASH","Cash Not Over 200","Non-Cash Payments"))</f>
        <v>Cash Not Over 200</v>
      </c>
    </row>
    <row r="1028" spans="1:29" x14ac:dyDescent="0.25">
      <c r="A1028">
        <v>41234</v>
      </c>
      <c r="B1028" s="2">
        <v>42606</v>
      </c>
      <c r="C1028">
        <v>2</v>
      </c>
      <c r="D1028" s="2">
        <f t="shared" si="64"/>
        <v>42608</v>
      </c>
      <c r="E1028">
        <v>1</v>
      </c>
      <c r="F1028" t="s">
        <v>23</v>
      </c>
      <c r="G1028" t="str">
        <f t="shared" si="65"/>
        <v>Other</v>
      </c>
      <c r="H1028">
        <v>12</v>
      </c>
      <c r="I1028">
        <v>3182</v>
      </c>
      <c r="J1028">
        <v>3</v>
      </c>
      <c r="K1028" t="s">
        <v>24</v>
      </c>
      <c r="L1028" t="s">
        <v>893</v>
      </c>
      <c r="M1028" t="s">
        <v>898</v>
      </c>
      <c r="N1028" t="s">
        <v>899</v>
      </c>
      <c r="O1028">
        <v>90049</v>
      </c>
      <c r="P1028" t="s">
        <v>896</v>
      </c>
      <c r="Q1028" t="s">
        <v>897</v>
      </c>
      <c r="R1028">
        <v>12</v>
      </c>
      <c r="T1028">
        <v>249</v>
      </c>
      <c r="U1028" t="s">
        <v>1086</v>
      </c>
      <c r="V1028" s="7">
        <v>54.97000122</v>
      </c>
      <c r="W1028" s="7">
        <v>38.635001181666667</v>
      </c>
      <c r="X1028">
        <v>2</v>
      </c>
      <c r="Y1028" s="7">
        <v>19.790000920000001</v>
      </c>
      <c r="Z1028" s="7">
        <v>109.94000244</v>
      </c>
      <c r="AA1028" s="7">
        <f t="shared" si="66"/>
        <v>90.150001520000004</v>
      </c>
      <c r="AB1028" t="s">
        <v>30</v>
      </c>
      <c r="AC1028" t="str">
        <f t="shared" si="67"/>
        <v>Cash Not Over 200</v>
      </c>
    </row>
    <row r="1029" spans="1:29" x14ac:dyDescent="0.25">
      <c r="A1029">
        <v>32090</v>
      </c>
      <c r="B1029" s="2">
        <v>42473</v>
      </c>
      <c r="C1029">
        <v>2</v>
      </c>
      <c r="D1029" s="2">
        <f t="shared" si="64"/>
        <v>42475</v>
      </c>
      <c r="E1029">
        <v>1</v>
      </c>
      <c r="F1029" t="s">
        <v>23</v>
      </c>
      <c r="G1029" t="str">
        <f t="shared" si="65"/>
        <v>Other</v>
      </c>
      <c r="H1029">
        <v>17</v>
      </c>
      <c r="I1029">
        <v>7864</v>
      </c>
      <c r="J1029">
        <v>4</v>
      </c>
      <c r="K1029" t="s">
        <v>46</v>
      </c>
      <c r="L1029" t="s">
        <v>893</v>
      </c>
      <c r="M1029" t="s">
        <v>900</v>
      </c>
      <c r="N1029" t="s">
        <v>899</v>
      </c>
      <c r="O1029">
        <v>94110</v>
      </c>
      <c r="P1029" t="s">
        <v>896</v>
      </c>
      <c r="Q1029" t="s">
        <v>897</v>
      </c>
      <c r="R1029">
        <v>17</v>
      </c>
      <c r="T1029">
        <v>365</v>
      </c>
      <c r="U1029" t="s">
        <v>1054</v>
      </c>
      <c r="V1029" s="7">
        <v>59.990001679999999</v>
      </c>
      <c r="W1029" s="7">
        <v>54.488929209402009</v>
      </c>
      <c r="X1029">
        <v>2</v>
      </c>
      <c r="Y1029" s="7">
        <v>2.4000000950000002</v>
      </c>
      <c r="Z1029" s="7">
        <v>119.98000336</v>
      </c>
      <c r="AA1029" s="7">
        <f t="shared" si="66"/>
        <v>117.580003265</v>
      </c>
      <c r="AB1029" t="s">
        <v>30</v>
      </c>
      <c r="AC1029" t="str">
        <f t="shared" si="67"/>
        <v>Cash Not Over 200</v>
      </c>
    </row>
    <row r="1030" spans="1:29" x14ac:dyDescent="0.25">
      <c r="A1030">
        <v>34773</v>
      </c>
      <c r="B1030" s="2">
        <v>42512</v>
      </c>
      <c r="C1030">
        <v>2</v>
      </c>
      <c r="D1030" s="2">
        <f t="shared" si="64"/>
        <v>42514</v>
      </c>
      <c r="E1030">
        <v>1</v>
      </c>
      <c r="F1030" t="s">
        <v>23</v>
      </c>
      <c r="G1030" t="str">
        <f t="shared" si="65"/>
        <v>Other</v>
      </c>
      <c r="H1030">
        <v>17</v>
      </c>
      <c r="I1030">
        <v>11169</v>
      </c>
      <c r="J1030">
        <v>4</v>
      </c>
      <c r="K1030" t="s">
        <v>46</v>
      </c>
      <c r="L1030" t="s">
        <v>893</v>
      </c>
      <c r="M1030" t="s">
        <v>901</v>
      </c>
      <c r="N1030" t="s">
        <v>902</v>
      </c>
      <c r="O1030">
        <v>66212</v>
      </c>
      <c r="P1030" t="s">
        <v>896</v>
      </c>
      <c r="Q1030" t="s">
        <v>903</v>
      </c>
      <c r="R1030">
        <v>17</v>
      </c>
      <c r="T1030">
        <v>365</v>
      </c>
      <c r="U1030" t="s">
        <v>1054</v>
      </c>
      <c r="V1030" s="7">
        <v>59.990001679999999</v>
      </c>
      <c r="W1030" s="7">
        <v>54.488929209402009</v>
      </c>
      <c r="X1030">
        <v>2</v>
      </c>
      <c r="Y1030" s="7">
        <v>24</v>
      </c>
      <c r="Z1030" s="7">
        <v>119.98000336</v>
      </c>
      <c r="AA1030" s="7">
        <f t="shared" si="66"/>
        <v>95.980003359999998</v>
      </c>
      <c r="AB1030" t="s">
        <v>30</v>
      </c>
      <c r="AC1030" t="str">
        <f t="shared" si="67"/>
        <v>Cash Not Over 200</v>
      </c>
    </row>
    <row r="1031" spans="1:29" x14ac:dyDescent="0.25">
      <c r="A1031">
        <v>33824</v>
      </c>
      <c r="B1031" s="2">
        <v>42587</v>
      </c>
      <c r="C1031">
        <v>4</v>
      </c>
      <c r="D1031" s="2">
        <f t="shared" si="64"/>
        <v>42593</v>
      </c>
      <c r="E1031">
        <v>0</v>
      </c>
      <c r="F1031" t="s">
        <v>62</v>
      </c>
      <c r="G1031" t="str">
        <f t="shared" si="65"/>
        <v>Other</v>
      </c>
      <c r="H1031">
        <v>13</v>
      </c>
      <c r="I1031">
        <v>1509</v>
      </c>
      <c r="J1031">
        <v>3</v>
      </c>
      <c r="K1031" t="s">
        <v>24</v>
      </c>
      <c r="L1031" t="s">
        <v>893</v>
      </c>
      <c r="M1031" t="s">
        <v>904</v>
      </c>
      <c r="N1031" t="s">
        <v>905</v>
      </c>
      <c r="O1031">
        <v>77041</v>
      </c>
      <c r="P1031" t="s">
        <v>896</v>
      </c>
      <c r="Q1031" t="s">
        <v>903</v>
      </c>
      <c r="R1031">
        <v>13</v>
      </c>
      <c r="T1031">
        <v>278</v>
      </c>
      <c r="U1031" t="s">
        <v>1106</v>
      </c>
      <c r="V1031" s="7">
        <v>44.990001679999999</v>
      </c>
      <c r="W1031" s="7">
        <v>31.547668386333335</v>
      </c>
      <c r="X1031">
        <v>3</v>
      </c>
      <c r="Y1031" s="7">
        <v>6.75</v>
      </c>
      <c r="Z1031" s="7">
        <v>134.97000503999999</v>
      </c>
      <c r="AA1031" s="7">
        <f t="shared" si="66"/>
        <v>128.22000503999999</v>
      </c>
      <c r="AB1031" t="s">
        <v>66</v>
      </c>
      <c r="AC1031" t="str">
        <f t="shared" si="67"/>
        <v>Non-Cash Payments</v>
      </c>
    </row>
    <row r="1032" spans="1:29" x14ac:dyDescent="0.25">
      <c r="A1032">
        <v>31364</v>
      </c>
      <c r="B1032" s="2">
        <v>42404</v>
      </c>
      <c r="C1032">
        <v>4</v>
      </c>
      <c r="D1032" s="2">
        <f t="shared" si="64"/>
        <v>42410</v>
      </c>
      <c r="E1032">
        <v>0</v>
      </c>
      <c r="F1032" t="s">
        <v>62</v>
      </c>
      <c r="G1032" t="str">
        <f t="shared" si="65"/>
        <v>Other</v>
      </c>
      <c r="H1032">
        <v>9</v>
      </c>
      <c r="I1032">
        <v>1636</v>
      </c>
      <c r="J1032">
        <v>3</v>
      </c>
      <c r="K1032" t="s">
        <v>24</v>
      </c>
      <c r="L1032" t="s">
        <v>893</v>
      </c>
      <c r="M1032" t="s">
        <v>906</v>
      </c>
      <c r="N1032" t="s">
        <v>907</v>
      </c>
      <c r="O1032">
        <v>85234</v>
      </c>
      <c r="P1032" t="s">
        <v>896</v>
      </c>
      <c r="Q1032" t="s">
        <v>897</v>
      </c>
      <c r="R1032">
        <v>9</v>
      </c>
      <c r="T1032">
        <v>191</v>
      </c>
      <c r="U1032" t="s">
        <v>1044</v>
      </c>
      <c r="V1032" s="7">
        <v>99.989997860000003</v>
      </c>
      <c r="W1032" s="7">
        <v>95.114003926871064</v>
      </c>
      <c r="X1032">
        <v>3</v>
      </c>
      <c r="Y1032" s="7">
        <v>21</v>
      </c>
      <c r="Z1032" s="7">
        <v>299.96999357999999</v>
      </c>
      <c r="AA1032" s="7">
        <f t="shared" si="66"/>
        <v>278.96999357999999</v>
      </c>
      <c r="AB1032" t="s">
        <v>66</v>
      </c>
      <c r="AC1032" t="str">
        <f t="shared" si="67"/>
        <v>Non-Cash Payments</v>
      </c>
    </row>
    <row r="1033" spans="1:29" x14ac:dyDescent="0.25">
      <c r="A1033">
        <v>40495</v>
      </c>
      <c r="B1033" s="2">
        <v>42596</v>
      </c>
      <c r="C1033">
        <v>4</v>
      </c>
      <c r="D1033" s="2">
        <f t="shared" si="64"/>
        <v>42600</v>
      </c>
      <c r="E1033">
        <v>0</v>
      </c>
      <c r="F1033" t="s">
        <v>62</v>
      </c>
      <c r="G1033" t="str">
        <f t="shared" si="65"/>
        <v>Other</v>
      </c>
      <c r="H1033">
        <v>9</v>
      </c>
      <c r="I1033">
        <v>2784</v>
      </c>
      <c r="J1033">
        <v>3</v>
      </c>
      <c r="K1033" t="s">
        <v>24</v>
      </c>
      <c r="L1033" t="s">
        <v>893</v>
      </c>
      <c r="M1033" t="s">
        <v>908</v>
      </c>
      <c r="N1033" t="s">
        <v>899</v>
      </c>
      <c r="O1033">
        <v>95123</v>
      </c>
      <c r="P1033" t="s">
        <v>896</v>
      </c>
      <c r="Q1033" t="s">
        <v>897</v>
      </c>
      <c r="R1033">
        <v>9</v>
      </c>
      <c r="T1033">
        <v>191</v>
      </c>
      <c r="U1033" t="s">
        <v>1044</v>
      </c>
      <c r="V1033" s="7">
        <v>99.989997860000003</v>
      </c>
      <c r="W1033" s="7">
        <v>95.114003926871064</v>
      </c>
      <c r="X1033">
        <v>3</v>
      </c>
      <c r="Y1033" s="7">
        <v>27</v>
      </c>
      <c r="Z1033" s="7">
        <v>299.96999357999999</v>
      </c>
      <c r="AA1033" s="7">
        <f t="shared" si="66"/>
        <v>272.96999357999999</v>
      </c>
      <c r="AB1033" t="s">
        <v>66</v>
      </c>
      <c r="AC1033" t="str">
        <f t="shared" si="67"/>
        <v>Non-Cash Payments</v>
      </c>
    </row>
    <row r="1034" spans="1:29" x14ac:dyDescent="0.25">
      <c r="A1034">
        <v>31364</v>
      </c>
      <c r="B1034" s="2">
        <v>42404</v>
      </c>
      <c r="C1034">
        <v>4</v>
      </c>
      <c r="D1034" s="2">
        <f t="shared" si="64"/>
        <v>42410</v>
      </c>
      <c r="E1034">
        <v>0</v>
      </c>
      <c r="F1034" t="s">
        <v>62</v>
      </c>
      <c r="G1034" t="str">
        <f t="shared" si="65"/>
        <v>Other</v>
      </c>
      <c r="H1034">
        <v>9</v>
      </c>
      <c r="I1034">
        <v>1636</v>
      </c>
      <c r="J1034">
        <v>3</v>
      </c>
      <c r="K1034" t="s">
        <v>24</v>
      </c>
      <c r="L1034" t="s">
        <v>893</v>
      </c>
      <c r="M1034" t="s">
        <v>906</v>
      </c>
      <c r="N1034" t="s">
        <v>907</v>
      </c>
      <c r="O1034">
        <v>85234</v>
      </c>
      <c r="P1034" t="s">
        <v>896</v>
      </c>
      <c r="Q1034" t="s">
        <v>897</v>
      </c>
      <c r="R1034">
        <v>9</v>
      </c>
      <c r="T1034">
        <v>191</v>
      </c>
      <c r="U1034" t="s">
        <v>1044</v>
      </c>
      <c r="V1034" s="7">
        <v>99.989997860000003</v>
      </c>
      <c r="W1034" s="7">
        <v>95.114003926871064</v>
      </c>
      <c r="X1034">
        <v>3</v>
      </c>
      <c r="Y1034" s="7">
        <v>27</v>
      </c>
      <c r="Z1034" s="7">
        <v>299.96999357999999</v>
      </c>
      <c r="AA1034" s="7">
        <f t="shared" si="66"/>
        <v>272.96999357999999</v>
      </c>
      <c r="AB1034" t="s">
        <v>66</v>
      </c>
      <c r="AC1034" t="str">
        <f t="shared" si="67"/>
        <v>Non-Cash Payments</v>
      </c>
    </row>
    <row r="1035" spans="1:29" x14ac:dyDescent="0.25">
      <c r="A1035">
        <v>34506</v>
      </c>
      <c r="B1035" s="2">
        <v>42508</v>
      </c>
      <c r="C1035">
        <v>4</v>
      </c>
      <c r="D1035" s="2">
        <f t="shared" si="64"/>
        <v>42514</v>
      </c>
      <c r="E1035">
        <v>0</v>
      </c>
      <c r="F1035" t="s">
        <v>62</v>
      </c>
      <c r="G1035" t="str">
        <f t="shared" si="65"/>
        <v>Other</v>
      </c>
      <c r="H1035">
        <v>17</v>
      </c>
      <c r="I1035">
        <v>9174</v>
      </c>
      <c r="J1035">
        <v>4</v>
      </c>
      <c r="K1035" t="s">
        <v>46</v>
      </c>
      <c r="L1035" t="s">
        <v>893</v>
      </c>
      <c r="M1035" t="s">
        <v>909</v>
      </c>
      <c r="N1035" t="s">
        <v>899</v>
      </c>
      <c r="O1035">
        <v>93727</v>
      </c>
      <c r="P1035" t="s">
        <v>896</v>
      </c>
      <c r="Q1035" t="s">
        <v>897</v>
      </c>
      <c r="R1035">
        <v>17</v>
      </c>
      <c r="T1035">
        <v>365</v>
      </c>
      <c r="U1035" t="s">
        <v>1054</v>
      </c>
      <c r="V1035" s="7">
        <v>59.990001679999999</v>
      </c>
      <c r="W1035" s="7">
        <v>54.488929209402009</v>
      </c>
      <c r="X1035">
        <v>3</v>
      </c>
      <c r="Y1035" s="7">
        <v>9</v>
      </c>
      <c r="Z1035" s="7">
        <v>179.97000503999999</v>
      </c>
      <c r="AA1035" s="7">
        <f t="shared" si="66"/>
        <v>170.97000503999999</v>
      </c>
      <c r="AB1035" t="s">
        <v>66</v>
      </c>
      <c r="AC1035" t="str">
        <f t="shared" si="67"/>
        <v>Non-Cash Payments</v>
      </c>
    </row>
    <row r="1036" spans="1:29" x14ac:dyDescent="0.25">
      <c r="A1036">
        <v>33607</v>
      </c>
      <c r="B1036" s="2">
        <v>42495</v>
      </c>
      <c r="C1036">
        <v>4</v>
      </c>
      <c r="D1036" s="2">
        <f t="shared" si="64"/>
        <v>42501</v>
      </c>
      <c r="E1036">
        <v>0</v>
      </c>
      <c r="F1036" t="s">
        <v>62</v>
      </c>
      <c r="G1036" t="str">
        <f t="shared" si="65"/>
        <v>Other</v>
      </c>
      <c r="H1036">
        <v>17</v>
      </c>
      <c r="I1036">
        <v>122</v>
      </c>
      <c r="J1036">
        <v>4</v>
      </c>
      <c r="K1036" t="s">
        <v>46</v>
      </c>
      <c r="L1036" t="s">
        <v>893</v>
      </c>
      <c r="M1036" t="s">
        <v>910</v>
      </c>
      <c r="N1036" t="s">
        <v>907</v>
      </c>
      <c r="O1036">
        <v>85345</v>
      </c>
      <c r="P1036" t="s">
        <v>896</v>
      </c>
      <c r="Q1036" t="s">
        <v>897</v>
      </c>
      <c r="R1036">
        <v>17</v>
      </c>
      <c r="T1036">
        <v>365</v>
      </c>
      <c r="U1036" t="s">
        <v>1054</v>
      </c>
      <c r="V1036" s="7">
        <v>59.990001679999999</v>
      </c>
      <c r="W1036" s="7">
        <v>54.488929209402009</v>
      </c>
      <c r="X1036">
        <v>3</v>
      </c>
      <c r="Y1036" s="7">
        <v>12.600000380000001</v>
      </c>
      <c r="Z1036" s="7">
        <v>179.97000503999999</v>
      </c>
      <c r="AA1036" s="7">
        <f t="shared" si="66"/>
        <v>167.37000465999998</v>
      </c>
      <c r="AB1036" t="s">
        <v>66</v>
      </c>
      <c r="AC1036" t="str">
        <f t="shared" si="67"/>
        <v>Non-Cash Payments</v>
      </c>
    </row>
    <row r="1037" spans="1:29" x14ac:dyDescent="0.25">
      <c r="A1037">
        <v>32617</v>
      </c>
      <c r="B1037" s="2">
        <v>42481</v>
      </c>
      <c r="C1037">
        <v>4</v>
      </c>
      <c r="D1037" s="2">
        <f t="shared" si="64"/>
        <v>42487</v>
      </c>
      <c r="E1037">
        <v>0</v>
      </c>
      <c r="F1037" t="s">
        <v>62</v>
      </c>
      <c r="G1037" t="str">
        <f t="shared" si="65"/>
        <v>Other</v>
      </c>
      <c r="H1037">
        <v>17</v>
      </c>
      <c r="I1037">
        <v>3800</v>
      </c>
      <c r="J1037">
        <v>4</v>
      </c>
      <c r="K1037" t="s">
        <v>46</v>
      </c>
      <c r="L1037" t="s">
        <v>893</v>
      </c>
      <c r="M1037" t="s">
        <v>911</v>
      </c>
      <c r="N1037" t="s">
        <v>912</v>
      </c>
      <c r="O1037">
        <v>45231</v>
      </c>
      <c r="P1037" t="s">
        <v>896</v>
      </c>
      <c r="Q1037" t="s">
        <v>913</v>
      </c>
      <c r="R1037">
        <v>17</v>
      </c>
      <c r="T1037">
        <v>365</v>
      </c>
      <c r="U1037" t="s">
        <v>1054</v>
      </c>
      <c r="V1037" s="7">
        <v>59.990001679999999</v>
      </c>
      <c r="W1037" s="7">
        <v>54.488929209402009</v>
      </c>
      <c r="X1037">
        <v>3</v>
      </c>
      <c r="Y1037" s="7">
        <v>21.600000380000001</v>
      </c>
      <c r="Z1037" s="7">
        <v>179.97000503999999</v>
      </c>
      <c r="AA1037" s="7">
        <f t="shared" si="66"/>
        <v>158.37000465999998</v>
      </c>
      <c r="AB1037" t="s">
        <v>66</v>
      </c>
      <c r="AC1037" t="str">
        <f t="shared" si="67"/>
        <v>Non-Cash Payments</v>
      </c>
    </row>
    <row r="1038" spans="1:29" x14ac:dyDescent="0.25">
      <c r="A1038">
        <v>37496</v>
      </c>
      <c r="B1038" s="2">
        <v>42376</v>
      </c>
      <c r="C1038">
        <v>4</v>
      </c>
      <c r="D1038" s="2">
        <f t="shared" si="64"/>
        <v>42382</v>
      </c>
      <c r="E1038">
        <v>0</v>
      </c>
      <c r="F1038" t="s">
        <v>62</v>
      </c>
      <c r="G1038" t="str">
        <f t="shared" si="65"/>
        <v>Other</v>
      </c>
      <c r="H1038">
        <v>29</v>
      </c>
      <c r="I1038">
        <v>10029</v>
      </c>
      <c r="J1038">
        <v>5</v>
      </c>
      <c r="K1038" t="s">
        <v>31</v>
      </c>
      <c r="L1038" t="s">
        <v>893</v>
      </c>
      <c r="M1038" t="s">
        <v>914</v>
      </c>
      <c r="N1038" t="s">
        <v>915</v>
      </c>
      <c r="O1038">
        <v>47201</v>
      </c>
      <c r="P1038" t="s">
        <v>896</v>
      </c>
      <c r="Q1038" t="s">
        <v>903</v>
      </c>
      <c r="R1038">
        <v>29</v>
      </c>
      <c r="T1038">
        <v>627</v>
      </c>
      <c r="U1038" t="s">
        <v>1046</v>
      </c>
      <c r="V1038" s="7">
        <v>39.990001679999999</v>
      </c>
      <c r="W1038" s="7">
        <v>34.198098313835338</v>
      </c>
      <c r="X1038">
        <v>3</v>
      </c>
      <c r="Y1038" s="7">
        <v>1.2000000479999999</v>
      </c>
      <c r="Z1038" s="7">
        <v>119.97000503999999</v>
      </c>
      <c r="AA1038" s="7">
        <f t="shared" si="66"/>
        <v>118.77000499199998</v>
      </c>
      <c r="AB1038" t="s">
        <v>66</v>
      </c>
      <c r="AC1038" t="str">
        <f t="shared" si="67"/>
        <v>Non-Cash Payments</v>
      </c>
    </row>
    <row r="1039" spans="1:29" x14ac:dyDescent="0.25">
      <c r="A1039">
        <v>32617</v>
      </c>
      <c r="B1039" s="2">
        <v>42481</v>
      </c>
      <c r="C1039">
        <v>4</v>
      </c>
      <c r="D1039" s="2">
        <f t="shared" si="64"/>
        <v>42487</v>
      </c>
      <c r="E1039">
        <v>0</v>
      </c>
      <c r="F1039" t="s">
        <v>62</v>
      </c>
      <c r="G1039" t="str">
        <f t="shared" si="65"/>
        <v>Other</v>
      </c>
      <c r="H1039">
        <v>26</v>
      </c>
      <c r="I1039">
        <v>3800</v>
      </c>
      <c r="J1039">
        <v>5</v>
      </c>
      <c r="K1039" t="s">
        <v>31</v>
      </c>
      <c r="L1039" t="s">
        <v>893</v>
      </c>
      <c r="M1039" t="s">
        <v>911</v>
      </c>
      <c r="N1039" t="s">
        <v>912</v>
      </c>
      <c r="O1039">
        <v>45231</v>
      </c>
      <c r="P1039" t="s">
        <v>896</v>
      </c>
      <c r="Q1039" t="s">
        <v>913</v>
      </c>
      <c r="R1039">
        <v>26</v>
      </c>
      <c r="T1039">
        <v>567</v>
      </c>
      <c r="U1039" t="s">
        <v>1081</v>
      </c>
      <c r="V1039" s="7">
        <v>25</v>
      </c>
      <c r="W1039" s="7">
        <v>17.922466723766668</v>
      </c>
      <c r="X1039">
        <v>3</v>
      </c>
      <c r="Y1039" s="7">
        <v>1.5</v>
      </c>
      <c r="Z1039" s="7">
        <v>75</v>
      </c>
      <c r="AA1039" s="7">
        <f t="shared" si="66"/>
        <v>73.5</v>
      </c>
      <c r="AB1039" t="s">
        <v>66</v>
      </c>
      <c r="AC1039" t="str">
        <f t="shared" si="67"/>
        <v>Non-Cash Payments</v>
      </c>
    </row>
    <row r="1040" spans="1:29" x14ac:dyDescent="0.25">
      <c r="A1040">
        <v>49075</v>
      </c>
      <c r="B1040" s="2">
        <v>42721</v>
      </c>
      <c r="C1040">
        <v>4</v>
      </c>
      <c r="D1040" s="2">
        <f t="shared" si="64"/>
        <v>42726</v>
      </c>
      <c r="E1040">
        <v>0</v>
      </c>
      <c r="F1040" t="s">
        <v>62</v>
      </c>
      <c r="G1040" t="str">
        <f t="shared" si="65"/>
        <v>Other</v>
      </c>
      <c r="H1040">
        <v>24</v>
      </c>
      <c r="I1040">
        <v>2805</v>
      </c>
      <c r="J1040">
        <v>5</v>
      </c>
      <c r="K1040" t="s">
        <v>31</v>
      </c>
      <c r="L1040" t="s">
        <v>893</v>
      </c>
      <c r="M1040" t="s">
        <v>916</v>
      </c>
      <c r="N1040" t="s">
        <v>917</v>
      </c>
      <c r="P1040" t="s">
        <v>918</v>
      </c>
      <c r="Q1040" t="s">
        <v>918</v>
      </c>
      <c r="R1040">
        <v>24</v>
      </c>
      <c r="T1040">
        <v>502</v>
      </c>
      <c r="U1040" t="s">
        <v>1058</v>
      </c>
      <c r="V1040" s="7">
        <v>50</v>
      </c>
      <c r="W1040" s="7">
        <v>43.678035218757444</v>
      </c>
      <c r="X1040">
        <v>3</v>
      </c>
      <c r="Y1040" s="7">
        <v>18</v>
      </c>
      <c r="Z1040" s="7">
        <v>150</v>
      </c>
      <c r="AA1040" s="7">
        <f t="shared" si="66"/>
        <v>132</v>
      </c>
      <c r="AB1040" t="s">
        <v>66</v>
      </c>
      <c r="AC1040" t="str">
        <f t="shared" si="67"/>
        <v>Non-Cash Payments</v>
      </c>
    </row>
    <row r="1041" spans="1:29" x14ac:dyDescent="0.25">
      <c r="A1041">
        <v>33824</v>
      </c>
      <c r="B1041" s="2">
        <v>42587</v>
      </c>
      <c r="C1041">
        <v>4</v>
      </c>
      <c r="D1041" s="2">
        <f t="shared" si="64"/>
        <v>42593</v>
      </c>
      <c r="E1041">
        <v>0</v>
      </c>
      <c r="F1041" t="s">
        <v>62</v>
      </c>
      <c r="G1041" t="str">
        <f t="shared" si="65"/>
        <v>Other</v>
      </c>
      <c r="H1041">
        <v>24</v>
      </c>
      <c r="I1041">
        <v>1509</v>
      </c>
      <c r="J1041">
        <v>5</v>
      </c>
      <c r="K1041" t="s">
        <v>31</v>
      </c>
      <c r="L1041" t="s">
        <v>893</v>
      </c>
      <c r="M1041" t="s">
        <v>904</v>
      </c>
      <c r="N1041" t="s">
        <v>905</v>
      </c>
      <c r="O1041">
        <v>77041</v>
      </c>
      <c r="P1041" t="s">
        <v>896</v>
      </c>
      <c r="Q1041" t="s">
        <v>903</v>
      </c>
      <c r="R1041">
        <v>24</v>
      </c>
      <c r="T1041">
        <v>502</v>
      </c>
      <c r="U1041" t="s">
        <v>1058</v>
      </c>
      <c r="V1041" s="7">
        <v>50</v>
      </c>
      <c r="W1041" s="7">
        <v>43.678035218757444</v>
      </c>
      <c r="X1041">
        <v>3</v>
      </c>
      <c r="Y1041" s="7">
        <v>18</v>
      </c>
      <c r="Z1041" s="7">
        <v>150</v>
      </c>
      <c r="AA1041" s="7">
        <f t="shared" si="66"/>
        <v>132</v>
      </c>
      <c r="AB1041" t="s">
        <v>66</v>
      </c>
      <c r="AC1041" t="str">
        <f t="shared" si="67"/>
        <v>Non-Cash Payments</v>
      </c>
    </row>
    <row r="1042" spans="1:29" x14ac:dyDescent="0.25">
      <c r="A1042">
        <v>49075</v>
      </c>
      <c r="B1042" s="2">
        <v>42721</v>
      </c>
      <c r="C1042">
        <v>4</v>
      </c>
      <c r="D1042" s="2">
        <f t="shared" si="64"/>
        <v>42726</v>
      </c>
      <c r="E1042">
        <v>0</v>
      </c>
      <c r="F1042" t="s">
        <v>62</v>
      </c>
      <c r="G1042" t="str">
        <f t="shared" si="65"/>
        <v>Other</v>
      </c>
      <c r="H1042">
        <v>24</v>
      </c>
      <c r="I1042">
        <v>2805</v>
      </c>
      <c r="J1042">
        <v>5</v>
      </c>
      <c r="K1042" t="s">
        <v>31</v>
      </c>
      <c r="L1042" t="s">
        <v>893</v>
      </c>
      <c r="M1042" t="s">
        <v>916</v>
      </c>
      <c r="N1042" t="s">
        <v>917</v>
      </c>
      <c r="P1042" t="s">
        <v>918</v>
      </c>
      <c r="Q1042" t="s">
        <v>918</v>
      </c>
      <c r="R1042">
        <v>24</v>
      </c>
      <c r="T1042">
        <v>502</v>
      </c>
      <c r="U1042" t="s">
        <v>1058</v>
      </c>
      <c r="V1042" s="7">
        <v>50</v>
      </c>
      <c r="W1042" s="7">
        <v>43.678035218757444</v>
      </c>
      <c r="X1042">
        <v>3</v>
      </c>
      <c r="Y1042" s="7">
        <v>19.5</v>
      </c>
      <c r="Z1042" s="7">
        <v>150</v>
      </c>
      <c r="AA1042" s="7">
        <f t="shared" si="66"/>
        <v>130.5</v>
      </c>
      <c r="AB1042" t="s">
        <v>66</v>
      </c>
      <c r="AC1042" t="str">
        <f t="shared" si="67"/>
        <v>Non-Cash Payments</v>
      </c>
    </row>
    <row r="1043" spans="1:29" x14ac:dyDescent="0.25">
      <c r="A1043">
        <v>41623</v>
      </c>
      <c r="B1043" s="2">
        <v>42612</v>
      </c>
      <c r="C1043">
        <v>4</v>
      </c>
      <c r="D1043" s="2">
        <f t="shared" si="64"/>
        <v>42618</v>
      </c>
      <c r="E1043">
        <v>0</v>
      </c>
      <c r="F1043" t="s">
        <v>62</v>
      </c>
      <c r="G1043" t="str">
        <f t="shared" si="65"/>
        <v>Other</v>
      </c>
      <c r="H1043">
        <v>29</v>
      </c>
      <c r="I1043">
        <v>12253</v>
      </c>
      <c r="J1043">
        <v>5</v>
      </c>
      <c r="K1043" t="s">
        <v>31</v>
      </c>
      <c r="L1043" t="s">
        <v>893</v>
      </c>
      <c r="M1043" t="s">
        <v>919</v>
      </c>
      <c r="N1043" t="s">
        <v>917</v>
      </c>
      <c r="P1043" t="s">
        <v>918</v>
      </c>
      <c r="Q1043" t="s">
        <v>918</v>
      </c>
      <c r="R1043">
        <v>29</v>
      </c>
      <c r="T1043">
        <v>627</v>
      </c>
      <c r="U1043" t="s">
        <v>1046</v>
      </c>
      <c r="V1043" s="7">
        <v>39.990001679999999</v>
      </c>
      <c r="W1043" s="7">
        <v>34.198098313835338</v>
      </c>
      <c r="X1043">
        <v>3</v>
      </c>
      <c r="Y1043" s="7">
        <v>20.38999939</v>
      </c>
      <c r="Z1043" s="7">
        <v>119.97000503999999</v>
      </c>
      <c r="AA1043" s="7">
        <f t="shared" si="66"/>
        <v>99.58000564999999</v>
      </c>
      <c r="AB1043" t="s">
        <v>66</v>
      </c>
      <c r="AC1043" t="str">
        <f t="shared" si="67"/>
        <v>Non-Cash Payments</v>
      </c>
    </row>
    <row r="1044" spans="1:29" x14ac:dyDescent="0.25">
      <c r="A1044">
        <v>39271</v>
      </c>
      <c r="B1044" s="2">
        <v>42578</v>
      </c>
      <c r="C1044">
        <v>4</v>
      </c>
      <c r="D1044" s="2">
        <f t="shared" si="64"/>
        <v>42584</v>
      </c>
      <c r="E1044">
        <v>0</v>
      </c>
      <c r="F1044" t="s">
        <v>62</v>
      </c>
      <c r="G1044" t="str">
        <f t="shared" si="65"/>
        <v>Other</v>
      </c>
      <c r="H1044">
        <v>29</v>
      </c>
      <c r="I1044">
        <v>3528</v>
      </c>
      <c r="J1044">
        <v>5</v>
      </c>
      <c r="K1044" t="s">
        <v>31</v>
      </c>
      <c r="L1044" t="s">
        <v>893</v>
      </c>
      <c r="M1044" t="s">
        <v>920</v>
      </c>
      <c r="N1044" t="s">
        <v>921</v>
      </c>
      <c r="O1044">
        <v>19134</v>
      </c>
      <c r="P1044" t="s">
        <v>896</v>
      </c>
      <c r="Q1044" t="s">
        <v>913</v>
      </c>
      <c r="R1044">
        <v>29</v>
      </c>
      <c r="T1044">
        <v>627</v>
      </c>
      <c r="U1044" t="s">
        <v>1046</v>
      </c>
      <c r="V1044" s="7">
        <v>39.990001679999999</v>
      </c>
      <c r="W1044" s="7">
        <v>34.198098313835338</v>
      </c>
      <c r="X1044">
        <v>3</v>
      </c>
      <c r="Y1044" s="7">
        <v>20.38999939</v>
      </c>
      <c r="Z1044" s="7">
        <v>119.97000503999999</v>
      </c>
      <c r="AA1044" s="7">
        <f t="shared" si="66"/>
        <v>99.58000564999999</v>
      </c>
      <c r="AB1044" t="s">
        <v>66</v>
      </c>
      <c r="AC1044" t="str">
        <f t="shared" si="67"/>
        <v>Non-Cash Payments</v>
      </c>
    </row>
    <row r="1045" spans="1:29" x14ac:dyDescent="0.25">
      <c r="A1045">
        <v>38598</v>
      </c>
      <c r="B1045" s="2">
        <v>42568</v>
      </c>
      <c r="C1045">
        <v>4</v>
      </c>
      <c r="D1045" s="2">
        <f t="shared" si="64"/>
        <v>42572</v>
      </c>
      <c r="E1045">
        <v>0</v>
      </c>
      <c r="F1045" t="s">
        <v>62</v>
      </c>
      <c r="G1045" t="str">
        <f t="shared" si="65"/>
        <v>Other</v>
      </c>
      <c r="H1045">
        <v>40</v>
      </c>
      <c r="I1045">
        <v>11018</v>
      </c>
      <c r="J1045">
        <v>6</v>
      </c>
      <c r="K1045" t="s">
        <v>35</v>
      </c>
      <c r="L1045" t="s">
        <v>893</v>
      </c>
      <c r="M1045" t="s">
        <v>922</v>
      </c>
      <c r="N1045" t="s">
        <v>923</v>
      </c>
      <c r="O1045">
        <v>60016</v>
      </c>
      <c r="P1045" t="s">
        <v>896</v>
      </c>
      <c r="Q1045" t="s">
        <v>903</v>
      </c>
      <c r="R1045">
        <v>40</v>
      </c>
      <c r="T1045">
        <v>893</v>
      </c>
      <c r="U1045" t="s">
        <v>1092</v>
      </c>
      <c r="V1045" s="7">
        <v>24.989999770000001</v>
      </c>
      <c r="W1045" s="7">
        <v>19.858499913833334</v>
      </c>
      <c r="X1045">
        <v>3</v>
      </c>
      <c r="Y1045" s="7">
        <v>0.75</v>
      </c>
      <c r="Z1045" s="7">
        <v>74.969999310000006</v>
      </c>
      <c r="AA1045" s="7">
        <f t="shared" si="66"/>
        <v>74.219999310000006</v>
      </c>
      <c r="AB1045" t="s">
        <v>66</v>
      </c>
      <c r="AC1045" t="str">
        <f t="shared" si="67"/>
        <v>Non-Cash Payments</v>
      </c>
    </row>
    <row r="1046" spans="1:29" x14ac:dyDescent="0.25">
      <c r="A1046">
        <v>37845</v>
      </c>
      <c r="B1046" s="2">
        <v>42528</v>
      </c>
      <c r="C1046">
        <v>4</v>
      </c>
      <c r="D1046" s="2">
        <f t="shared" si="64"/>
        <v>42534</v>
      </c>
      <c r="E1046">
        <v>0</v>
      </c>
      <c r="F1046" t="s">
        <v>62</v>
      </c>
      <c r="G1046" t="str">
        <f t="shared" si="65"/>
        <v>Other</v>
      </c>
      <c r="H1046">
        <v>41</v>
      </c>
      <c r="I1046">
        <v>3222</v>
      </c>
      <c r="J1046">
        <v>6</v>
      </c>
      <c r="K1046" t="s">
        <v>35</v>
      </c>
      <c r="L1046" t="s">
        <v>893</v>
      </c>
      <c r="M1046" t="s">
        <v>924</v>
      </c>
      <c r="N1046" t="s">
        <v>923</v>
      </c>
      <c r="O1046">
        <v>60126</v>
      </c>
      <c r="P1046" t="s">
        <v>896</v>
      </c>
      <c r="Q1046" t="s">
        <v>903</v>
      </c>
      <c r="R1046">
        <v>41</v>
      </c>
      <c r="T1046">
        <v>924</v>
      </c>
      <c r="U1046" t="s">
        <v>1068</v>
      </c>
      <c r="V1046" s="7">
        <v>15.989999770000001</v>
      </c>
      <c r="W1046" s="7">
        <v>16.143866608000003</v>
      </c>
      <c r="X1046">
        <v>3</v>
      </c>
      <c r="Y1046" s="7">
        <v>7.6799998279999997</v>
      </c>
      <c r="Z1046" s="7">
        <v>47.969999310000006</v>
      </c>
      <c r="AA1046" s="7">
        <f t="shared" si="66"/>
        <v>40.289999482000006</v>
      </c>
      <c r="AB1046" t="s">
        <v>66</v>
      </c>
      <c r="AC1046" t="str">
        <f t="shared" si="67"/>
        <v>Non-Cash Payments</v>
      </c>
    </row>
    <row r="1047" spans="1:29" x14ac:dyDescent="0.25">
      <c r="A1047">
        <v>39159</v>
      </c>
      <c r="B1047" s="2">
        <v>42576</v>
      </c>
      <c r="C1047">
        <v>2</v>
      </c>
      <c r="D1047" s="2">
        <f t="shared" si="64"/>
        <v>42578</v>
      </c>
      <c r="E1047">
        <v>1</v>
      </c>
      <c r="F1047" t="s">
        <v>23</v>
      </c>
      <c r="G1047" t="str">
        <f t="shared" si="65"/>
        <v>Other</v>
      </c>
      <c r="H1047">
        <v>17</v>
      </c>
      <c r="I1047">
        <v>11292</v>
      </c>
      <c r="J1047">
        <v>4</v>
      </c>
      <c r="K1047" t="s">
        <v>46</v>
      </c>
      <c r="L1047" t="s">
        <v>893</v>
      </c>
      <c r="M1047" t="s">
        <v>925</v>
      </c>
      <c r="N1047" t="s">
        <v>895</v>
      </c>
      <c r="O1047">
        <v>98103</v>
      </c>
      <c r="P1047" t="s">
        <v>896</v>
      </c>
      <c r="Q1047" t="s">
        <v>897</v>
      </c>
      <c r="R1047">
        <v>17</v>
      </c>
      <c r="T1047">
        <v>365</v>
      </c>
      <c r="U1047" t="s">
        <v>1054</v>
      </c>
      <c r="V1047" s="7">
        <v>59.990001679999999</v>
      </c>
      <c r="W1047" s="7">
        <v>54.488929209402009</v>
      </c>
      <c r="X1047">
        <v>3</v>
      </c>
      <c r="Y1047" s="7">
        <v>23.399999619999999</v>
      </c>
      <c r="Z1047" s="7">
        <v>179.97000503999999</v>
      </c>
      <c r="AA1047" s="7">
        <f t="shared" si="66"/>
        <v>156.57000542</v>
      </c>
      <c r="AB1047" t="s">
        <v>30</v>
      </c>
      <c r="AC1047" t="str">
        <f t="shared" si="67"/>
        <v>Cash Not Over 200</v>
      </c>
    </row>
    <row r="1048" spans="1:29" x14ac:dyDescent="0.25">
      <c r="A1048">
        <v>32090</v>
      </c>
      <c r="B1048" s="2">
        <v>42473</v>
      </c>
      <c r="C1048">
        <v>2</v>
      </c>
      <c r="D1048" s="2">
        <f t="shared" si="64"/>
        <v>42475</v>
      </c>
      <c r="E1048">
        <v>1</v>
      </c>
      <c r="F1048" t="s">
        <v>23</v>
      </c>
      <c r="G1048" t="str">
        <f t="shared" si="65"/>
        <v>Other</v>
      </c>
      <c r="H1048">
        <v>6</v>
      </c>
      <c r="I1048">
        <v>7864</v>
      </c>
      <c r="J1048">
        <v>2</v>
      </c>
      <c r="K1048" t="s">
        <v>136</v>
      </c>
      <c r="L1048" t="s">
        <v>893</v>
      </c>
      <c r="M1048" t="s">
        <v>900</v>
      </c>
      <c r="N1048" t="s">
        <v>899</v>
      </c>
      <c r="O1048">
        <v>94110</v>
      </c>
      <c r="P1048" t="s">
        <v>896</v>
      </c>
      <c r="Q1048" t="s">
        <v>897</v>
      </c>
      <c r="R1048">
        <v>6</v>
      </c>
      <c r="T1048">
        <v>116</v>
      </c>
      <c r="U1048" t="s">
        <v>1072</v>
      </c>
      <c r="V1048" s="7">
        <v>44.990001679999999</v>
      </c>
      <c r="W1048" s="7">
        <v>30.409585080374999</v>
      </c>
      <c r="X1048">
        <v>3</v>
      </c>
      <c r="Y1048" s="7">
        <v>20.25</v>
      </c>
      <c r="Z1048" s="7">
        <v>134.97000503999999</v>
      </c>
      <c r="AA1048" s="7">
        <f t="shared" si="66"/>
        <v>114.72000503999999</v>
      </c>
      <c r="AB1048" t="s">
        <v>30</v>
      </c>
      <c r="AC1048" t="str">
        <f t="shared" si="67"/>
        <v>Cash Not Over 200</v>
      </c>
    </row>
    <row r="1049" spans="1:29" x14ac:dyDescent="0.25">
      <c r="A1049">
        <v>34631</v>
      </c>
      <c r="B1049" s="2">
        <v>42510</v>
      </c>
      <c r="C1049">
        <v>2</v>
      </c>
      <c r="D1049" s="2">
        <f t="shared" si="64"/>
        <v>42514</v>
      </c>
      <c r="E1049">
        <v>0</v>
      </c>
      <c r="F1049" t="s">
        <v>23</v>
      </c>
      <c r="G1049" t="str">
        <f t="shared" si="65"/>
        <v>Other</v>
      </c>
      <c r="H1049">
        <v>9</v>
      </c>
      <c r="I1049">
        <v>47</v>
      </c>
      <c r="J1049">
        <v>3</v>
      </c>
      <c r="K1049" t="s">
        <v>24</v>
      </c>
      <c r="L1049" t="s">
        <v>893</v>
      </c>
      <c r="M1049" t="s">
        <v>926</v>
      </c>
      <c r="N1049" t="s">
        <v>899</v>
      </c>
      <c r="O1049">
        <v>94601</v>
      </c>
      <c r="P1049" t="s">
        <v>896</v>
      </c>
      <c r="Q1049" t="s">
        <v>897</v>
      </c>
      <c r="R1049">
        <v>9</v>
      </c>
      <c r="T1049">
        <v>191</v>
      </c>
      <c r="U1049" t="s">
        <v>1044</v>
      </c>
      <c r="V1049" s="7">
        <v>99.989997860000003</v>
      </c>
      <c r="W1049" s="7">
        <v>95.114003926871064</v>
      </c>
      <c r="X1049">
        <v>3</v>
      </c>
      <c r="Y1049" s="7">
        <v>6</v>
      </c>
      <c r="Z1049" s="7">
        <v>299.96999357999999</v>
      </c>
      <c r="AA1049" s="7">
        <f t="shared" si="66"/>
        <v>293.96999357999999</v>
      </c>
      <c r="AB1049" t="s">
        <v>30</v>
      </c>
      <c r="AC1049" t="str">
        <f t="shared" si="67"/>
        <v>Cash Over 200</v>
      </c>
    </row>
    <row r="1050" spans="1:29" x14ac:dyDescent="0.25">
      <c r="A1050">
        <v>37669</v>
      </c>
      <c r="B1050" s="2">
        <v>42436</v>
      </c>
      <c r="C1050">
        <v>2</v>
      </c>
      <c r="D1050" s="2">
        <f t="shared" si="64"/>
        <v>42438</v>
      </c>
      <c r="E1050">
        <v>1</v>
      </c>
      <c r="F1050" t="s">
        <v>23</v>
      </c>
      <c r="G1050" t="str">
        <f t="shared" si="65"/>
        <v>Other</v>
      </c>
      <c r="H1050">
        <v>9</v>
      </c>
      <c r="I1050">
        <v>6405</v>
      </c>
      <c r="J1050">
        <v>3</v>
      </c>
      <c r="K1050" t="s">
        <v>24</v>
      </c>
      <c r="L1050" t="s">
        <v>893</v>
      </c>
      <c r="M1050" t="s">
        <v>927</v>
      </c>
      <c r="N1050" t="s">
        <v>928</v>
      </c>
      <c r="O1050">
        <v>10009</v>
      </c>
      <c r="P1050" t="s">
        <v>896</v>
      </c>
      <c r="Q1050" t="s">
        <v>913</v>
      </c>
      <c r="R1050">
        <v>9</v>
      </c>
      <c r="T1050">
        <v>191</v>
      </c>
      <c r="U1050" t="s">
        <v>1044</v>
      </c>
      <c r="V1050" s="7">
        <v>99.989997860000003</v>
      </c>
      <c r="W1050" s="7">
        <v>95.114003926871064</v>
      </c>
      <c r="X1050">
        <v>3</v>
      </c>
      <c r="Y1050" s="7">
        <v>21</v>
      </c>
      <c r="Z1050" s="7">
        <v>299.96999357999999</v>
      </c>
      <c r="AA1050" s="7">
        <f t="shared" si="66"/>
        <v>278.96999357999999</v>
      </c>
      <c r="AB1050" t="s">
        <v>30</v>
      </c>
      <c r="AC1050" t="str">
        <f t="shared" si="67"/>
        <v>Cash Over 200</v>
      </c>
    </row>
    <row r="1051" spans="1:29" x14ac:dyDescent="0.25">
      <c r="A1051">
        <v>37669</v>
      </c>
      <c r="B1051" s="2">
        <v>42436</v>
      </c>
      <c r="C1051">
        <v>2</v>
      </c>
      <c r="D1051" s="2">
        <f t="shared" si="64"/>
        <v>42438</v>
      </c>
      <c r="E1051">
        <v>1</v>
      </c>
      <c r="F1051" t="s">
        <v>23</v>
      </c>
      <c r="G1051" t="str">
        <f t="shared" si="65"/>
        <v>Other</v>
      </c>
      <c r="H1051">
        <v>17</v>
      </c>
      <c r="I1051">
        <v>6405</v>
      </c>
      <c r="J1051">
        <v>4</v>
      </c>
      <c r="K1051" t="s">
        <v>46</v>
      </c>
      <c r="L1051" t="s">
        <v>893</v>
      </c>
      <c r="M1051" t="s">
        <v>927</v>
      </c>
      <c r="N1051" t="s">
        <v>928</v>
      </c>
      <c r="O1051">
        <v>10009</v>
      </c>
      <c r="P1051" t="s">
        <v>896</v>
      </c>
      <c r="Q1051" t="s">
        <v>913</v>
      </c>
      <c r="R1051">
        <v>17</v>
      </c>
      <c r="T1051">
        <v>365</v>
      </c>
      <c r="U1051" t="s">
        <v>1054</v>
      </c>
      <c r="V1051" s="7">
        <v>59.990001679999999</v>
      </c>
      <c r="W1051" s="7">
        <v>54.488929209402009</v>
      </c>
      <c r="X1051">
        <v>3</v>
      </c>
      <c r="Y1051" s="7">
        <v>27</v>
      </c>
      <c r="Z1051" s="7">
        <v>179.97000503999999</v>
      </c>
      <c r="AA1051" s="7">
        <f t="shared" si="66"/>
        <v>152.97000503999999</v>
      </c>
      <c r="AB1051" t="s">
        <v>30</v>
      </c>
      <c r="AC1051" t="str">
        <f t="shared" si="67"/>
        <v>Cash Not Over 200</v>
      </c>
    </row>
    <row r="1052" spans="1:29" x14ac:dyDescent="0.25">
      <c r="A1052">
        <v>34773</v>
      </c>
      <c r="B1052" s="2">
        <v>42512</v>
      </c>
      <c r="C1052">
        <v>2</v>
      </c>
      <c r="D1052" s="2">
        <f t="shared" si="64"/>
        <v>42514</v>
      </c>
      <c r="E1052">
        <v>1</v>
      </c>
      <c r="F1052" t="s">
        <v>23</v>
      </c>
      <c r="G1052" t="str">
        <f t="shared" si="65"/>
        <v>Other</v>
      </c>
      <c r="H1052">
        <v>24</v>
      </c>
      <c r="I1052">
        <v>11169</v>
      </c>
      <c r="J1052">
        <v>5</v>
      </c>
      <c r="K1052" t="s">
        <v>31</v>
      </c>
      <c r="L1052" t="s">
        <v>893</v>
      </c>
      <c r="M1052" t="s">
        <v>901</v>
      </c>
      <c r="N1052" t="s">
        <v>902</v>
      </c>
      <c r="O1052">
        <v>66212</v>
      </c>
      <c r="P1052" t="s">
        <v>896</v>
      </c>
      <c r="Q1052" t="s">
        <v>903</v>
      </c>
      <c r="R1052">
        <v>24</v>
      </c>
      <c r="T1052">
        <v>502</v>
      </c>
      <c r="U1052" t="s">
        <v>1058</v>
      </c>
      <c r="V1052" s="7">
        <v>50</v>
      </c>
      <c r="W1052" s="7">
        <v>43.678035218757444</v>
      </c>
      <c r="X1052">
        <v>3</v>
      </c>
      <c r="Y1052" s="7">
        <v>4.5</v>
      </c>
      <c r="Z1052" s="7">
        <v>150</v>
      </c>
      <c r="AA1052" s="7">
        <f t="shared" si="66"/>
        <v>145.5</v>
      </c>
      <c r="AB1052" t="s">
        <v>30</v>
      </c>
      <c r="AC1052" t="str">
        <f t="shared" si="67"/>
        <v>Cash Not Over 200</v>
      </c>
    </row>
    <row r="1053" spans="1:29" x14ac:dyDescent="0.25">
      <c r="A1053">
        <v>40085</v>
      </c>
      <c r="B1053" s="2">
        <v>42590</v>
      </c>
      <c r="C1053">
        <v>2</v>
      </c>
      <c r="D1053" s="2">
        <f t="shared" si="64"/>
        <v>42592</v>
      </c>
      <c r="E1053">
        <v>1</v>
      </c>
      <c r="F1053" t="s">
        <v>23</v>
      </c>
      <c r="G1053" t="str">
        <f t="shared" si="65"/>
        <v>Other</v>
      </c>
      <c r="H1053">
        <v>24</v>
      </c>
      <c r="I1053">
        <v>2426</v>
      </c>
      <c r="J1053">
        <v>5</v>
      </c>
      <c r="K1053" t="s">
        <v>31</v>
      </c>
      <c r="L1053" t="s">
        <v>893</v>
      </c>
      <c r="M1053" t="s">
        <v>929</v>
      </c>
      <c r="N1053" t="s">
        <v>930</v>
      </c>
      <c r="O1053">
        <v>28110</v>
      </c>
      <c r="P1053" t="s">
        <v>896</v>
      </c>
      <c r="Q1053" t="s">
        <v>931</v>
      </c>
      <c r="R1053">
        <v>24</v>
      </c>
      <c r="T1053">
        <v>502</v>
      </c>
      <c r="U1053" t="s">
        <v>1058</v>
      </c>
      <c r="V1053" s="7">
        <v>50</v>
      </c>
      <c r="W1053" s="7">
        <v>43.678035218757444</v>
      </c>
      <c r="X1053">
        <v>3</v>
      </c>
      <c r="Y1053" s="7">
        <v>10.5</v>
      </c>
      <c r="Z1053" s="7">
        <v>150</v>
      </c>
      <c r="AA1053" s="7">
        <f t="shared" si="66"/>
        <v>139.5</v>
      </c>
      <c r="AB1053" t="s">
        <v>30</v>
      </c>
      <c r="AC1053" t="str">
        <f t="shared" si="67"/>
        <v>Cash Not Over 200</v>
      </c>
    </row>
    <row r="1054" spans="1:29" x14ac:dyDescent="0.25">
      <c r="A1054">
        <v>39159</v>
      </c>
      <c r="B1054" s="2">
        <v>42576</v>
      </c>
      <c r="C1054">
        <v>2</v>
      </c>
      <c r="D1054" s="2">
        <f t="shared" si="64"/>
        <v>42578</v>
      </c>
      <c r="E1054">
        <v>1</v>
      </c>
      <c r="F1054" t="s">
        <v>23</v>
      </c>
      <c r="G1054" t="str">
        <f t="shared" si="65"/>
        <v>Other</v>
      </c>
      <c r="H1054">
        <v>24</v>
      </c>
      <c r="I1054">
        <v>11292</v>
      </c>
      <c r="J1054">
        <v>5</v>
      </c>
      <c r="K1054" t="s">
        <v>31</v>
      </c>
      <c r="L1054" t="s">
        <v>893</v>
      </c>
      <c r="M1054" t="s">
        <v>925</v>
      </c>
      <c r="N1054" t="s">
        <v>895</v>
      </c>
      <c r="O1054">
        <v>98103</v>
      </c>
      <c r="P1054" t="s">
        <v>896</v>
      </c>
      <c r="Q1054" t="s">
        <v>897</v>
      </c>
      <c r="R1054">
        <v>24</v>
      </c>
      <c r="T1054">
        <v>502</v>
      </c>
      <c r="U1054" t="s">
        <v>1058</v>
      </c>
      <c r="V1054" s="7">
        <v>50</v>
      </c>
      <c r="W1054" s="7">
        <v>43.678035218757444</v>
      </c>
      <c r="X1054">
        <v>4</v>
      </c>
      <c r="Y1054" s="7">
        <v>34</v>
      </c>
      <c r="Z1054" s="7">
        <v>200</v>
      </c>
      <c r="AA1054" s="7">
        <f t="shared" si="66"/>
        <v>166</v>
      </c>
      <c r="AB1054" t="s">
        <v>30</v>
      </c>
      <c r="AC1054" t="str">
        <f t="shared" si="67"/>
        <v>Cash Not Over 200</v>
      </c>
    </row>
    <row r="1055" spans="1:29" x14ac:dyDescent="0.25">
      <c r="A1055">
        <v>32102</v>
      </c>
      <c r="B1055" s="2">
        <v>42473</v>
      </c>
      <c r="C1055">
        <v>2</v>
      </c>
      <c r="D1055" s="2">
        <f t="shared" si="64"/>
        <v>42475</v>
      </c>
      <c r="E1055">
        <v>1</v>
      </c>
      <c r="F1055" t="s">
        <v>23</v>
      </c>
      <c r="G1055" t="str">
        <f t="shared" si="65"/>
        <v>Other</v>
      </c>
      <c r="H1055">
        <v>13</v>
      </c>
      <c r="I1055">
        <v>6352</v>
      </c>
      <c r="J1055">
        <v>3</v>
      </c>
      <c r="K1055" t="s">
        <v>24</v>
      </c>
      <c r="L1055" t="s">
        <v>893</v>
      </c>
      <c r="M1055" t="s">
        <v>932</v>
      </c>
      <c r="N1055" t="s">
        <v>933</v>
      </c>
      <c r="O1055">
        <v>80219</v>
      </c>
      <c r="P1055" t="s">
        <v>896</v>
      </c>
      <c r="Q1055" t="s">
        <v>897</v>
      </c>
      <c r="R1055">
        <v>13</v>
      </c>
      <c r="T1055">
        <v>282</v>
      </c>
      <c r="U1055" t="s">
        <v>1085</v>
      </c>
      <c r="V1055" s="7">
        <v>31.989999770000001</v>
      </c>
      <c r="W1055" s="7">
        <v>27.763856872771434</v>
      </c>
      <c r="X1055">
        <v>4</v>
      </c>
      <c r="Y1055" s="7">
        <v>1.2799999710000001</v>
      </c>
      <c r="Z1055" s="7">
        <v>127.95999908</v>
      </c>
      <c r="AA1055" s="7">
        <f t="shared" si="66"/>
        <v>126.67999910900001</v>
      </c>
      <c r="AB1055" t="s">
        <v>30</v>
      </c>
      <c r="AC1055" t="str">
        <f t="shared" si="67"/>
        <v>Cash Not Over 200</v>
      </c>
    </row>
    <row r="1056" spans="1:29" x14ac:dyDescent="0.25">
      <c r="A1056">
        <v>37763</v>
      </c>
      <c r="B1056" s="2">
        <v>42497</v>
      </c>
      <c r="C1056">
        <v>2</v>
      </c>
      <c r="D1056" s="2">
        <f t="shared" si="64"/>
        <v>42500</v>
      </c>
      <c r="E1056">
        <v>1</v>
      </c>
      <c r="F1056" t="s">
        <v>23</v>
      </c>
      <c r="G1056" t="str">
        <f t="shared" si="65"/>
        <v>Other</v>
      </c>
      <c r="H1056">
        <v>17</v>
      </c>
      <c r="I1056">
        <v>5870</v>
      </c>
      <c r="J1056">
        <v>4</v>
      </c>
      <c r="K1056" t="s">
        <v>46</v>
      </c>
      <c r="L1056" t="s">
        <v>893</v>
      </c>
      <c r="M1056" t="s">
        <v>898</v>
      </c>
      <c r="N1056" t="s">
        <v>899</v>
      </c>
      <c r="O1056">
        <v>90008</v>
      </c>
      <c r="P1056" t="s">
        <v>896</v>
      </c>
      <c r="Q1056" t="s">
        <v>897</v>
      </c>
      <c r="R1056">
        <v>17</v>
      </c>
      <c r="T1056">
        <v>365</v>
      </c>
      <c r="U1056" t="s">
        <v>1054</v>
      </c>
      <c r="V1056" s="7">
        <v>59.990001679999999</v>
      </c>
      <c r="W1056" s="7">
        <v>54.488929209402009</v>
      </c>
      <c r="X1056">
        <v>4</v>
      </c>
      <c r="Y1056" s="7">
        <v>31.190000529999999</v>
      </c>
      <c r="Z1056" s="7">
        <v>239.96000672</v>
      </c>
      <c r="AA1056" s="7">
        <f t="shared" si="66"/>
        <v>208.77000619</v>
      </c>
      <c r="AB1056" t="s">
        <v>30</v>
      </c>
      <c r="AC1056" t="str">
        <f t="shared" si="67"/>
        <v>Cash Over 200</v>
      </c>
    </row>
    <row r="1057" spans="1:29" x14ac:dyDescent="0.25">
      <c r="A1057">
        <v>37867</v>
      </c>
      <c r="B1057" s="2">
        <v>42528</v>
      </c>
      <c r="C1057">
        <v>2</v>
      </c>
      <c r="D1057" s="2">
        <f t="shared" si="64"/>
        <v>42530</v>
      </c>
      <c r="E1057">
        <v>1</v>
      </c>
      <c r="F1057" t="s">
        <v>23</v>
      </c>
      <c r="G1057" t="str">
        <f t="shared" si="65"/>
        <v>Other</v>
      </c>
      <c r="H1057">
        <v>17</v>
      </c>
      <c r="I1057">
        <v>11776</v>
      </c>
      <c r="J1057">
        <v>4</v>
      </c>
      <c r="K1057" t="s">
        <v>46</v>
      </c>
      <c r="L1057" t="s">
        <v>893</v>
      </c>
      <c r="M1057" t="s">
        <v>904</v>
      </c>
      <c r="N1057" t="s">
        <v>905</v>
      </c>
      <c r="O1057">
        <v>77095</v>
      </c>
      <c r="P1057" t="s">
        <v>896</v>
      </c>
      <c r="Q1057" t="s">
        <v>903</v>
      </c>
      <c r="R1057">
        <v>17</v>
      </c>
      <c r="T1057">
        <v>365</v>
      </c>
      <c r="U1057" t="s">
        <v>1054</v>
      </c>
      <c r="V1057" s="7">
        <v>59.990001679999999</v>
      </c>
      <c r="W1057" s="7">
        <v>54.488929209402009</v>
      </c>
      <c r="X1057">
        <v>4</v>
      </c>
      <c r="Y1057" s="7">
        <v>47.990001679999999</v>
      </c>
      <c r="Z1057" s="7">
        <v>239.96000672</v>
      </c>
      <c r="AA1057" s="7">
        <f t="shared" si="66"/>
        <v>191.97000503999999</v>
      </c>
      <c r="AB1057" t="s">
        <v>30</v>
      </c>
      <c r="AC1057" t="str">
        <f t="shared" si="67"/>
        <v>Cash Not Over 200</v>
      </c>
    </row>
    <row r="1058" spans="1:29" x14ac:dyDescent="0.25">
      <c r="A1058">
        <v>31905</v>
      </c>
      <c r="B1058" s="2">
        <v>42647</v>
      </c>
      <c r="C1058">
        <v>2</v>
      </c>
      <c r="D1058" s="2">
        <f t="shared" si="64"/>
        <v>42649</v>
      </c>
      <c r="E1058">
        <v>1</v>
      </c>
      <c r="F1058" t="s">
        <v>23</v>
      </c>
      <c r="G1058" t="str">
        <f t="shared" si="65"/>
        <v>Other</v>
      </c>
      <c r="H1058">
        <v>17</v>
      </c>
      <c r="I1058">
        <v>7060</v>
      </c>
      <c r="J1058">
        <v>4</v>
      </c>
      <c r="K1058" t="s">
        <v>46</v>
      </c>
      <c r="L1058" t="s">
        <v>893</v>
      </c>
      <c r="M1058" t="s">
        <v>920</v>
      </c>
      <c r="N1058" t="s">
        <v>921</v>
      </c>
      <c r="O1058">
        <v>19134</v>
      </c>
      <c r="P1058" t="s">
        <v>896</v>
      </c>
      <c r="Q1058" t="s">
        <v>913</v>
      </c>
      <c r="R1058">
        <v>17</v>
      </c>
      <c r="T1058">
        <v>365</v>
      </c>
      <c r="U1058" t="s">
        <v>1054</v>
      </c>
      <c r="V1058" s="7">
        <v>59.990001679999999</v>
      </c>
      <c r="W1058" s="7">
        <v>54.488929209402009</v>
      </c>
      <c r="X1058">
        <v>4</v>
      </c>
      <c r="Y1058" s="7">
        <v>59.990001679999999</v>
      </c>
      <c r="Z1058" s="7">
        <v>239.96000672</v>
      </c>
      <c r="AA1058" s="7">
        <f t="shared" si="66"/>
        <v>179.97000503999999</v>
      </c>
      <c r="AB1058" t="s">
        <v>30</v>
      </c>
      <c r="AC1058" t="str">
        <f t="shared" si="67"/>
        <v>Cash Not Over 200</v>
      </c>
    </row>
    <row r="1059" spans="1:29" x14ac:dyDescent="0.25">
      <c r="A1059">
        <v>36269</v>
      </c>
      <c r="B1059" s="2">
        <v>42534</v>
      </c>
      <c r="C1059">
        <v>2</v>
      </c>
      <c r="D1059" s="2">
        <f t="shared" si="64"/>
        <v>42536</v>
      </c>
      <c r="E1059">
        <v>1</v>
      </c>
      <c r="F1059" t="s">
        <v>23</v>
      </c>
      <c r="G1059" t="str">
        <f t="shared" si="65"/>
        <v>Other</v>
      </c>
      <c r="H1059">
        <v>17</v>
      </c>
      <c r="I1059">
        <v>3466</v>
      </c>
      <c r="J1059">
        <v>4</v>
      </c>
      <c r="K1059" t="s">
        <v>46</v>
      </c>
      <c r="L1059" t="s">
        <v>893</v>
      </c>
      <c r="M1059" t="s">
        <v>934</v>
      </c>
      <c r="N1059" t="s">
        <v>935</v>
      </c>
      <c r="O1059">
        <v>32216</v>
      </c>
      <c r="P1059" t="s">
        <v>896</v>
      </c>
      <c r="Q1059" t="s">
        <v>931</v>
      </c>
      <c r="R1059">
        <v>17</v>
      </c>
      <c r="T1059">
        <v>365</v>
      </c>
      <c r="U1059" t="s">
        <v>1054</v>
      </c>
      <c r="V1059" s="7">
        <v>59.990001679999999</v>
      </c>
      <c r="W1059" s="7">
        <v>54.488929209402009</v>
      </c>
      <c r="X1059">
        <v>4</v>
      </c>
      <c r="Y1059" s="7">
        <v>59.990001679999999</v>
      </c>
      <c r="Z1059" s="7">
        <v>239.96000672</v>
      </c>
      <c r="AA1059" s="7">
        <f t="shared" si="66"/>
        <v>179.97000503999999</v>
      </c>
      <c r="AB1059" t="s">
        <v>30</v>
      </c>
      <c r="AC1059" t="str">
        <f t="shared" si="67"/>
        <v>Cash Not Over 200</v>
      </c>
    </row>
    <row r="1060" spans="1:29" x14ac:dyDescent="0.25">
      <c r="A1060">
        <v>37867</v>
      </c>
      <c r="B1060" s="2">
        <v>42528</v>
      </c>
      <c r="C1060">
        <v>2</v>
      </c>
      <c r="D1060" s="2">
        <f t="shared" si="64"/>
        <v>42530</v>
      </c>
      <c r="E1060">
        <v>1</v>
      </c>
      <c r="F1060" t="s">
        <v>23</v>
      </c>
      <c r="G1060" t="str">
        <f t="shared" si="65"/>
        <v>Other</v>
      </c>
      <c r="H1060">
        <v>17</v>
      </c>
      <c r="I1060">
        <v>11776</v>
      </c>
      <c r="J1060">
        <v>4</v>
      </c>
      <c r="K1060" t="s">
        <v>46</v>
      </c>
      <c r="L1060" t="s">
        <v>893</v>
      </c>
      <c r="M1060" t="s">
        <v>904</v>
      </c>
      <c r="N1060" t="s">
        <v>905</v>
      </c>
      <c r="O1060">
        <v>77095</v>
      </c>
      <c r="P1060" t="s">
        <v>896</v>
      </c>
      <c r="Q1060" t="s">
        <v>903</v>
      </c>
      <c r="R1060">
        <v>17</v>
      </c>
      <c r="T1060">
        <v>365</v>
      </c>
      <c r="U1060" t="s">
        <v>1054</v>
      </c>
      <c r="V1060" s="7">
        <v>59.990001679999999</v>
      </c>
      <c r="W1060" s="7">
        <v>54.488929209402009</v>
      </c>
      <c r="X1060">
        <v>4</v>
      </c>
      <c r="Y1060" s="7">
        <v>59.990001679999999</v>
      </c>
      <c r="Z1060" s="7">
        <v>239.96000672</v>
      </c>
      <c r="AA1060" s="7">
        <f t="shared" si="66"/>
        <v>179.97000503999999</v>
      </c>
      <c r="AB1060" t="s">
        <v>30</v>
      </c>
      <c r="AC1060" t="str">
        <f t="shared" si="67"/>
        <v>Cash Not Over 200</v>
      </c>
    </row>
    <row r="1061" spans="1:29" x14ac:dyDescent="0.25">
      <c r="A1061">
        <v>40085</v>
      </c>
      <c r="B1061" s="2">
        <v>42590</v>
      </c>
      <c r="C1061">
        <v>2</v>
      </c>
      <c r="D1061" s="2">
        <f t="shared" si="64"/>
        <v>42592</v>
      </c>
      <c r="E1061">
        <v>1</v>
      </c>
      <c r="F1061" t="s">
        <v>23</v>
      </c>
      <c r="G1061" t="str">
        <f t="shared" si="65"/>
        <v>Other</v>
      </c>
      <c r="H1061">
        <v>29</v>
      </c>
      <c r="I1061">
        <v>2426</v>
      </c>
      <c r="J1061">
        <v>5</v>
      </c>
      <c r="K1061" t="s">
        <v>31</v>
      </c>
      <c r="L1061" t="s">
        <v>893</v>
      </c>
      <c r="M1061" t="s">
        <v>929</v>
      </c>
      <c r="N1061" t="s">
        <v>930</v>
      </c>
      <c r="O1061">
        <v>28110</v>
      </c>
      <c r="P1061" t="s">
        <v>896</v>
      </c>
      <c r="Q1061" t="s">
        <v>931</v>
      </c>
      <c r="R1061">
        <v>29</v>
      </c>
      <c r="T1061">
        <v>627</v>
      </c>
      <c r="U1061" t="s">
        <v>1046</v>
      </c>
      <c r="V1061" s="7">
        <v>39.990001679999999</v>
      </c>
      <c r="W1061" s="7">
        <v>34.198098313835338</v>
      </c>
      <c r="X1061">
        <v>4</v>
      </c>
      <c r="Y1061" s="7">
        <v>14.399999619999999</v>
      </c>
      <c r="Z1061" s="7">
        <v>159.96000672</v>
      </c>
      <c r="AA1061" s="7">
        <f t="shared" si="66"/>
        <v>145.56000710000001</v>
      </c>
      <c r="AB1061" t="s">
        <v>30</v>
      </c>
      <c r="AC1061" t="str">
        <f t="shared" si="67"/>
        <v>Cash Not Over 200</v>
      </c>
    </row>
    <row r="1062" spans="1:29" x14ac:dyDescent="0.25">
      <c r="A1062">
        <v>40085</v>
      </c>
      <c r="B1062" s="2">
        <v>42590</v>
      </c>
      <c r="C1062">
        <v>2</v>
      </c>
      <c r="D1062" s="2">
        <f t="shared" si="64"/>
        <v>42592</v>
      </c>
      <c r="E1062">
        <v>1</v>
      </c>
      <c r="F1062" t="s">
        <v>23</v>
      </c>
      <c r="G1062" t="str">
        <f t="shared" si="65"/>
        <v>Other</v>
      </c>
      <c r="H1062">
        <v>24</v>
      </c>
      <c r="I1062">
        <v>2426</v>
      </c>
      <c r="J1062">
        <v>5</v>
      </c>
      <c r="K1062" t="s">
        <v>31</v>
      </c>
      <c r="L1062" t="s">
        <v>893</v>
      </c>
      <c r="M1062" t="s">
        <v>929</v>
      </c>
      <c r="N1062" t="s">
        <v>930</v>
      </c>
      <c r="O1062">
        <v>28110</v>
      </c>
      <c r="P1062" t="s">
        <v>896</v>
      </c>
      <c r="Q1062" t="s">
        <v>931</v>
      </c>
      <c r="R1062">
        <v>24</v>
      </c>
      <c r="T1062">
        <v>502</v>
      </c>
      <c r="U1062" t="s">
        <v>1058</v>
      </c>
      <c r="V1062" s="7">
        <v>50</v>
      </c>
      <c r="W1062" s="7">
        <v>43.678035218757444</v>
      </c>
      <c r="X1062">
        <v>4</v>
      </c>
      <c r="Y1062" s="7">
        <v>30</v>
      </c>
      <c r="Z1062" s="7">
        <v>200</v>
      </c>
      <c r="AA1062" s="7">
        <f t="shared" si="66"/>
        <v>170</v>
      </c>
      <c r="AB1062" t="s">
        <v>30</v>
      </c>
      <c r="AC1062" t="str">
        <f t="shared" si="67"/>
        <v>Cash Not Over 200</v>
      </c>
    </row>
    <row r="1063" spans="1:29" x14ac:dyDescent="0.25">
      <c r="A1063">
        <v>31697</v>
      </c>
      <c r="B1063" s="2">
        <v>42555</v>
      </c>
      <c r="C1063">
        <v>2</v>
      </c>
      <c r="D1063" s="2">
        <f t="shared" si="64"/>
        <v>42557</v>
      </c>
      <c r="E1063">
        <v>1</v>
      </c>
      <c r="F1063" t="s">
        <v>23</v>
      </c>
      <c r="G1063" t="str">
        <f t="shared" si="65"/>
        <v>Other</v>
      </c>
      <c r="H1063">
        <v>17</v>
      </c>
      <c r="I1063">
        <v>1575</v>
      </c>
      <c r="J1063">
        <v>4</v>
      </c>
      <c r="K1063" t="s">
        <v>46</v>
      </c>
      <c r="L1063" t="s">
        <v>893</v>
      </c>
      <c r="M1063" t="s">
        <v>904</v>
      </c>
      <c r="N1063" t="s">
        <v>905</v>
      </c>
      <c r="O1063">
        <v>77036</v>
      </c>
      <c r="P1063" t="s">
        <v>896</v>
      </c>
      <c r="Q1063" t="s">
        <v>903</v>
      </c>
      <c r="R1063">
        <v>17</v>
      </c>
      <c r="T1063">
        <v>365</v>
      </c>
      <c r="U1063" t="s">
        <v>1054</v>
      </c>
      <c r="V1063" s="7">
        <v>59.990001679999999</v>
      </c>
      <c r="W1063" s="7">
        <v>54.488929209402009</v>
      </c>
      <c r="X1063">
        <v>5</v>
      </c>
      <c r="Y1063" s="7">
        <v>16.5</v>
      </c>
      <c r="Z1063" s="7">
        <v>299.9500084</v>
      </c>
      <c r="AA1063" s="7">
        <f t="shared" si="66"/>
        <v>283.4500084</v>
      </c>
      <c r="AB1063" t="s">
        <v>30</v>
      </c>
      <c r="AC1063" t="str">
        <f t="shared" si="67"/>
        <v>Cash Over 200</v>
      </c>
    </row>
    <row r="1064" spans="1:29" x14ac:dyDescent="0.25">
      <c r="A1064">
        <v>37276</v>
      </c>
      <c r="B1064" s="2">
        <v>42549</v>
      </c>
      <c r="C1064">
        <v>2</v>
      </c>
      <c r="D1064" s="2">
        <f t="shared" si="64"/>
        <v>42551</v>
      </c>
      <c r="E1064">
        <v>0</v>
      </c>
      <c r="F1064" t="s">
        <v>23</v>
      </c>
      <c r="G1064" t="str">
        <f t="shared" si="65"/>
        <v>Other</v>
      </c>
      <c r="H1064">
        <v>17</v>
      </c>
      <c r="I1064">
        <v>5820</v>
      </c>
      <c r="J1064">
        <v>4</v>
      </c>
      <c r="K1064" t="s">
        <v>46</v>
      </c>
      <c r="L1064" t="s">
        <v>893</v>
      </c>
      <c r="M1064" t="s">
        <v>936</v>
      </c>
      <c r="N1064" t="s">
        <v>937</v>
      </c>
      <c r="O1064">
        <v>74133</v>
      </c>
      <c r="P1064" t="s">
        <v>896</v>
      </c>
      <c r="Q1064" t="s">
        <v>903</v>
      </c>
      <c r="R1064">
        <v>17</v>
      </c>
      <c r="T1064">
        <v>365</v>
      </c>
      <c r="U1064" t="s">
        <v>1054</v>
      </c>
      <c r="V1064" s="7">
        <v>59.990001679999999</v>
      </c>
      <c r="W1064" s="7">
        <v>54.488929209402009</v>
      </c>
      <c r="X1064">
        <v>5</v>
      </c>
      <c r="Y1064" s="7">
        <v>38.990001679999999</v>
      </c>
      <c r="Z1064" s="7">
        <v>299.9500084</v>
      </c>
      <c r="AA1064" s="7">
        <f t="shared" si="66"/>
        <v>260.96000672000002</v>
      </c>
      <c r="AB1064" t="s">
        <v>30</v>
      </c>
      <c r="AC1064" t="str">
        <f t="shared" si="67"/>
        <v>Cash Over 200</v>
      </c>
    </row>
    <row r="1065" spans="1:29" x14ac:dyDescent="0.25">
      <c r="A1065">
        <v>37180</v>
      </c>
      <c r="B1065" s="2">
        <v>42547</v>
      </c>
      <c r="C1065">
        <v>2</v>
      </c>
      <c r="D1065" s="2">
        <f t="shared" si="64"/>
        <v>42549</v>
      </c>
      <c r="E1065">
        <v>1</v>
      </c>
      <c r="F1065" t="s">
        <v>23</v>
      </c>
      <c r="G1065" t="str">
        <f t="shared" si="65"/>
        <v>Other</v>
      </c>
      <c r="H1065">
        <v>29</v>
      </c>
      <c r="I1065">
        <v>8608</v>
      </c>
      <c r="J1065">
        <v>5</v>
      </c>
      <c r="K1065" t="s">
        <v>31</v>
      </c>
      <c r="L1065" t="s">
        <v>893</v>
      </c>
      <c r="M1065" t="s">
        <v>900</v>
      </c>
      <c r="N1065" t="s">
        <v>899</v>
      </c>
      <c r="O1065">
        <v>94109</v>
      </c>
      <c r="P1065" t="s">
        <v>896</v>
      </c>
      <c r="Q1065" t="s">
        <v>897</v>
      </c>
      <c r="R1065">
        <v>29</v>
      </c>
      <c r="T1065">
        <v>627</v>
      </c>
      <c r="U1065" t="s">
        <v>1046</v>
      </c>
      <c r="V1065" s="7">
        <v>39.990001679999999</v>
      </c>
      <c r="W1065" s="7">
        <v>34.198098313835338</v>
      </c>
      <c r="X1065">
        <v>5</v>
      </c>
      <c r="Y1065" s="7">
        <v>20</v>
      </c>
      <c r="Z1065" s="7">
        <v>199.9500084</v>
      </c>
      <c r="AA1065" s="7">
        <f t="shared" si="66"/>
        <v>179.9500084</v>
      </c>
      <c r="AB1065" t="s">
        <v>30</v>
      </c>
      <c r="AC1065" t="str">
        <f t="shared" si="67"/>
        <v>Cash Not Over 200</v>
      </c>
    </row>
    <row r="1066" spans="1:29" x14ac:dyDescent="0.25">
      <c r="A1066">
        <v>40645</v>
      </c>
      <c r="B1066" s="2">
        <v>42598</v>
      </c>
      <c r="C1066">
        <v>2</v>
      </c>
      <c r="D1066" s="2">
        <f t="shared" si="64"/>
        <v>42600</v>
      </c>
      <c r="E1066">
        <v>1</v>
      </c>
      <c r="F1066" t="s">
        <v>23</v>
      </c>
      <c r="G1066" t="str">
        <f t="shared" si="65"/>
        <v>Other</v>
      </c>
      <c r="H1066">
        <v>24</v>
      </c>
      <c r="I1066">
        <v>3104</v>
      </c>
      <c r="J1066">
        <v>5</v>
      </c>
      <c r="K1066" t="s">
        <v>31</v>
      </c>
      <c r="L1066" t="s">
        <v>893</v>
      </c>
      <c r="M1066" t="s">
        <v>938</v>
      </c>
      <c r="N1066" t="s">
        <v>899</v>
      </c>
      <c r="O1066">
        <v>92553</v>
      </c>
      <c r="P1066" t="s">
        <v>896</v>
      </c>
      <c r="Q1066" t="s">
        <v>897</v>
      </c>
      <c r="R1066">
        <v>24</v>
      </c>
      <c r="T1066">
        <v>502</v>
      </c>
      <c r="U1066" t="s">
        <v>1058</v>
      </c>
      <c r="V1066" s="7">
        <v>50</v>
      </c>
      <c r="W1066" s="7">
        <v>43.678035218757444</v>
      </c>
      <c r="X1066">
        <v>5</v>
      </c>
      <c r="Y1066" s="7">
        <v>25</v>
      </c>
      <c r="Z1066" s="7">
        <v>250</v>
      </c>
      <c r="AA1066" s="7">
        <f t="shared" si="66"/>
        <v>225</v>
      </c>
      <c r="AB1066" t="s">
        <v>30</v>
      </c>
      <c r="AC1066" t="str">
        <f t="shared" si="67"/>
        <v>Cash Over 200</v>
      </c>
    </row>
    <row r="1067" spans="1:29" x14ac:dyDescent="0.25">
      <c r="A1067">
        <v>34631</v>
      </c>
      <c r="B1067" s="2">
        <v>42510</v>
      </c>
      <c r="C1067">
        <v>2</v>
      </c>
      <c r="D1067" s="2">
        <f t="shared" si="64"/>
        <v>42514</v>
      </c>
      <c r="E1067">
        <v>0</v>
      </c>
      <c r="F1067" t="s">
        <v>23</v>
      </c>
      <c r="G1067" t="str">
        <f t="shared" si="65"/>
        <v>Other</v>
      </c>
      <c r="H1067">
        <v>24</v>
      </c>
      <c r="I1067">
        <v>47</v>
      </c>
      <c r="J1067">
        <v>5</v>
      </c>
      <c r="K1067" t="s">
        <v>31</v>
      </c>
      <c r="L1067" t="s">
        <v>893</v>
      </c>
      <c r="M1067" t="s">
        <v>926</v>
      </c>
      <c r="N1067" t="s">
        <v>899</v>
      </c>
      <c r="O1067">
        <v>94601</v>
      </c>
      <c r="P1067" t="s">
        <v>896</v>
      </c>
      <c r="Q1067" t="s">
        <v>897</v>
      </c>
      <c r="R1067">
        <v>24</v>
      </c>
      <c r="T1067">
        <v>502</v>
      </c>
      <c r="U1067" t="s">
        <v>1058</v>
      </c>
      <c r="V1067" s="7">
        <v>50</v>
      </c>
      <c r="W1067" s="7">
        <v>43.678035218757444</v>
      </c>
      <c r="X1067">
        <v>5</v>
      </c>
      <c r="Y1067" s="7">
        <v>42.5</v>
      </c>
      <c r="Z1067" s="7">
        <v>250</v>
      </c>
      <c r="AA1067" s="7">
        <f t="shared" si="66"/>
        <v>207.5</v>
      </c>
      <c r="AB1067" t="s">
        <v>30</v>
      </c>
      <c r="AC1067" t="str">
        <f t="shared" si="67"/>
        <v>Cash Over 200</v>
      </c>
    </row>
    <row r="1068" spans="1:29" x14ac:dyDescent="0.25">
      <c r="A1068">
        <v>31905</v>
      </c>
      <c r="B1068" s="2">
        <v>42647</v>
      </c>
      <c r="C1068">
        <v>2</v>
      </c>
      <c r="D1068" s="2">
        <f t="shared" si="64"/>
        <v>42649</v>
      </c>
      <c r="E1068">
        <v>1</v>
      </c>
      <c r="F1068" t="s">
        <v>23</v>
      </c>
      <c r="G1068" t="str">
        <f t="shared" si="65"/>
        <v>Other</v>
      </c>
      <c r="H1068">
        <v>40</v>
      </c>
      <c r="I1068">
        <v>7060</v>
      </c>
      <c r="J1068">
        <v>6</v>
      </c>
      <c r="K1068" t="s">
        <v>35</v>
      </c>
      <c r="L1068" t="s">
        <v>893</v>
      </c>
      <c r="M1068" t="s">
        <v>920</v>
      </c>
      <c r="N1068" t="s">
        <v>921</v>
      </c>
      <c r="O1068">
        <v>19134</v>
      </c>
      <c r="P1068" t="s">
        <v>896</v>
      </c>
      <c r="Q1068" t="s">
        <v>913</v>
      </c>
      <c r="R1068">
        <v>40</v>
      </c>
      <c r="T1068">
        <v>893</v>
      </c>
      <c r="U1068" t="s">
        <v>1092</v>
      </c>
      <c r="V1068" s="7">
        <v>24.989999770000001</v>
      </c>
      <c r="W1068" s="7">
        <v>19.858499913833334</v>
      </c>
      <c r="X1068">
        <v>5</v>
      </c>
      <c r="Y1068" s="7">
        <v>3.75</v>
      </c>
      <c r="Z1068" s="7">
        <v>124.94999885</v>
      </c>
      <c r="AA1068" s="7">
        <f t="shared" si="66"/>
        <v>121.19999885</v>
      </c>
      <c r="AB1068" t="s">
        <v>30</v>
      </c>
      <c r="AC1068" t="str">
        <f t="shared" si="67"/>
        <v>Cash Not Over 200</v>
      </c>
    </row>
    <row r="1069" spans="1:29" x14ac:dyDescent="0.25">
      <c r="A1069">
        <v>37718</v>
      </c>
      <c r="B1069" s="2">
        <v>42467</v>
      </c>
      <c r="C1069">
        <v>4</v>
      </c>
      <c r="D1069" s="2">
        <f t="shared" si="64"/>
        <v>42473</v>
      </c>
      <c r="E1069">
        <v>0</v>
      </c>
      <c r="F1069" t="s">
        <v>62</v>
      </c>
      <c r="G1069" t="str">
        <f t="shared" si="65"/>
        <v>Other</v>
      </c>
      <c r="H1069">
        <v>9</v>
      </c>
      <c r="I1069">
        <v>1627</v>
      </c>
      <c r="J1069">
        <v>3</v>
      </c>
      <c r="K1069" t="s">
        <v>24</v>
      </c>
      <c r="L1069" t="s">
        <v>893</v>
      </c>
      <c r="M1069" t="s">
        <v>936</v>
      </c>
      <c r="N1069" t="s">
        <v>937</v>
      </c>
      <c r="O1069">
        <v>74133</v>
      </c>
      <c r="P1069" t="s">
        <v>896</v>
      </c>
      <c r="Q1069" t="s">
        <v>903</v>
      </c>
      <c r="R1069">
        <v>9</v>
      </c>
      <c r="T1069">
        <v>191</v>
      </c>
      <c r="U1069" t="s">
        <v>1044</v>
      </c>
      <c r="V1069" s="7">
        <v>99.989997860000003</v>
      </c>
      <c r="W1069" s="7">
        <v>95.114003926871064</v>
      </c>
      <c r="X1069">
        <v>5</v>
      </c>
      <c r="Y1069" s="7">
        <v>89.989997860000003</v>
      </c>
      <c r="Z1069" s="7">
        <v>499.94998930000003</v>
      </c>
      <c r="AA1069" s="7">
        <f t="shared" si="66"/>
        <v>409.95999144000001</v>
      </c>
      <c r="AB1069" t="s">
        <v>66</v>
      </c>
      <c r="AC1069" t="str">
        <f t="shared" si="67"/>
        <v>Non-Cash Payments</v>
      </c>
    </row>
    <row r="1070" spans="1:29" x14ac:dyDescent="0.25">
      <c r="A1070">
        <v>34977</v>
      </c>
      <c r="B1070" s="2">
        <v>42515</v>
      </c>
      <c r="C1070">
        <v>4</v>
      </c>
      <c r="D1070" s="2">
        <f t="shared" si="64"/>
        <v>42521</v>
      </c>
      <c r="E1070">
        <v>0</v>
      </c>
      <c r="F1070" t="s">
        <v>62</v>
      </c>
      <c r="G1070" t="str">
        <f t="shared" si="65"/>
        <v>Other</v>
      </c>
      <c r="H1070">
        <v>9</v>
      </c>
      <c r="I1070">
        <v>1243</v>
      </c>
      <c r="J1070">
        <v>3</v>
      </c>
      <c r="K1070" t="s">
        <v>24</v>
      </c>
      <c r="L1070" t="s">
        <v>893</v>
      </c>
      <c r="M1070" t="s">
        <v>939</v>
      </c>
      <c r="N1070" t="s">
        <v>940</v>
      </c>
      <c r="O1070">
        <v>20735</v>
      </c>
      <c r="P1070" t="s">
        <v>896</v>
      </c>
      <c r="Q1070" t="s">
        <v>913</v>
      </c>
      <c r="R1070">
        <v>9</v>
      </c>
      <c r="T1070">
        <v>191</v>
      </c>
      <c r="U1070" t="s">
        <v>1044</v>
      </c>
      <c r="V1070" s="7">
        <v>99.989997860000003</v>
      </c>
      <c r="W1070" s="7">
        <v>95.114003926871064</v>
      </c>
      <c r="X1070">
        <v>5</v>
      </c>
      <c r="Y1070" s="7">
        <v>99.989997860000003</v>
      </c>
      <c r="Z1070" s="7">
        <v>499.94998930000003</v>
      </c>
      <c r="AA1070" s="7">
        <f t="shared" si="66"/>
        <v>399.95999144000001</v>
      </c>
      <c r="AB1070" t="s">
        <v>66</v>
      </c>
      <c r="AC1070" t="str">
        <f t="shared" si="67"/>
        <v>Non-Cash Payments</v>
      </c>
    </row>
    <row r="1071" spans="1:29" x14ac:dyDescent="0.25">
      <c r="A1071">
        <v>40138</v>
      </c>
      <c r="B1071" s="2">
        <v>42590</v>
      </c>
      <c r="C1071">
        <v>4</v>
      </c>
      <c r="D1071" s="2">
        <f t="shared" si="64"/>
        <v>42594</v>
      </c>
      <c r="E1071">
        <v>0</v>
      </c>
      <c r="F1071" t="s">
        <v>62</v>
      </c>
      <c r="G1071" t="str">
        <f t="shared" si="65"/>
        <v>Other</v>
      </c>
      <c r="H1071">
        <v>17</v>
      </c>
      <c r="I1071">
        <v>7635</v>
      </c>
      <c r="J1071">
        <v>4</v>
      </c>
      <c r="K1071" t="s">
        <v>46</v>
      </c>
      <c r="L1071" t="s">
        <v>893</v>
      </c>
      <c r="M1071" t="s">
        <v>900</v>
      </c>
      <c r="N1071" t="s">
        <v>899</v>
      </c>
      <c r="O1071">
        <v>94110</v>
      </c>
      <c r="P1071" t="s">
        <v>896</v>
      </c>
      <c r="Q1071" t="s">
        <v>897</v>
      </c>
      <c r="R1071">
        <v>17</v>
      </c>
      <c r="T1071">
        <v>365</v>
      </c>
      <c r="U1071" t="s">
        <v>1054</v>
      </c>
      <c r="V1071" s="7">
        <v>59.990001679999999</v>
      </c>
      <c r="W1071" s="7">
        <v>54.488929209402009</v>
      </c>
      <c r="X1071">
        <v>5</v>
      </c>
      <c r="Y1071" s="7">
        <v>9</v>
      </c>
      <c r="Z1071" s="7">
        <v>299.9500084</v>
      </c>
      <c r="AA1071" s="7">
        <f t="shared" si="66"/>
        <v>290.9500084</v>
      </c>
      <c r="AB1071" t="s">
        <v>66</v>
      </c>
      <c r="AC1071" t="str">
        <f t="shared" si="67"/>
        <v>Non-Cash Payments</v>
      </c>
    </row>
    <row r="1072" spans="1:29" x14ac:dyDescent="0.25">
      <c r="A1072">
        <v>40776</v>
      </c>
      <c r="B1072" s="2">
        <v>42600</v>
      </c>
      <c r="C1072">
        <v>4</v>
      </c>
      <c r="D1072" s="2">
        <f t="shared" si="64"/>
        <v>42606</v>
      </c>
      <c r="E1072">
        <v>0</v>
      </c>
      <c r="F1072" t="s">
        <v>62</v>
      </c>
      <c r="G1072" t="str">
        <f t="shared" si="65"/>
        <v>Other</v>
      </c>
      <c r="H1072">
        <v>17</v>
      </c>
      <c r="I1072">
        <v>7200</v>
      </c>
      <c r="J1072">
        <v>4</v>
      </c>
      <c r="K1072" t="s">
        <v>46</v>
      </c>
      <c r="L1072" t="s">
        <v>893</v>
      </c>
      <c r="M1072" t="s">
        <v>941</v>
      </c>
      <c r="N1072" t="s">
        <v>923</v>
      </c>
      <c r="O1072">
        <v>60543</v>
      </c>
      <c r="P1072" t="s">
        <v>896</v>
      </c>
      <c r="Q1072" t="s">
        <v>903</v>
      </c>
      <c r="R1072">
        <v>17</v>
      </c>
      <c r="T1072">
        <v>365</v>
      </c>
      <c r="U1072" t="s">
        <v>1054</v>
      </c>
      <c r="V1072" s="7">
        <v>59.990001679999999</v>
      </c>
      <c r="W1072" s="7">
        <v>54.488929209402009</v>
      </c>
      <c r="X1072">
        <v>5</v>
      </c>
      <c r="Y1072" s="7">
        <v>27</v>
      </c>
      <c r="Z1072" s="7">
        <v>299.9500084</v>
      </c>
      <c r="AA1072" s="7">
        <f t="shared" si="66"/>
        <v>272.9500084</v>
      </c>
      <c r="AB1072" t="s">
        <v>66</v>
      </c>
      <c r="AC1072" t="str">
        <f t="shared" si="67"/>
        <v>Non-Cash Payments</v>
      </c>
    </row>
    <row r="1073" spans="1:29" x14ac:dyDescent="0.25">
      <c r="A1073">
        <v>39582</v>
      </c>
      <c r="B1073" s="2">
        <v>42582</v>
      </c>
      <c r="C1073">
        <v>4</v>
      </c>
      <c r="D1073" s="2">
        <f t="shared" si="64"/>
        <v>42586</v>
      </c>
      <c r="E1073">
        <v>0</v>
      </c>
      <c r="F1073" t="s">
        <v>62</v>
      </c>
      <c r="G1073" t="str">
        <f t="shared" si="65"/>
        <v>Other</v>
      </c>
      <c r="H1073">
        <v>17</v>
      </c>
      <c r="I1073">
        <v>3142</v>
      </c>
      <c r="J1073">
        <v>4</v>
      </c>
      <c r="K1073" t="s">
        <v>46</v>
      </c>
      <c r="L1073" t="s">
        <v>893</v>
      </c>
      <c r="M1073" t="s">
        <v>942</v>
      </c>
      <c r="N1073" t="s">
        <v>923</v>
      </c>
      <c r="O1073">
        <v>60174</v>
      </c>
      <c r="P1073" t="s">
        <v>896</v>
      </c>
      <c r="Q1073" t="s">
        <v>903</v>
      </c>
      <c r="R1073">
        <v>17</v>
      </c>
      <c r="T1073">
        <v>365</v>
      </c>
      <c r="U1073" t="s">
        <v>1054</v>
      </c>
      <c r="V1073" s="7">
        <v>59.990001679999999</v>
      </c>
      <c r="W1073" s="7">
        <v>54.488929209402009</v>
      </c>
      <c r="X1073">
        <v>5</v>
      </c>
      <c r="Y1073" s="7">
        <v>27</v>
      </c>
      <c r="Z1073" s="7">
        <v>299.9500084</v>
      </c>
      <c r="AA1073" s="7">
        <f t="shared" si="66"/>
        <v>272.9500084</v>
      </c>
      <c r="AB1073" t="s">
        <v>66</v>
      </c>
      <c r="AC1073" t="str">
        <f t="shared" si="67"/>
        <v>Non-Cash Payments</v>
      </c>
    </row>
    <row r="1074" spans="1:29" x14ac:dyDescent="0.25">
      <c r="A1074">
        <v>34284</v>
      </c>
      <c r="B1074" s="2">
        <v>42505</v>
      </c>
      <c r="C1074">
        <v>4</v>
      </c>
      <c r="D1074" s="2">
        <f t="shared" si="64"/>
        <v>42509</v>
      </c>
      <c r="E1074">
        <v>0</v>
      </c>
      <c r="F1074" t="s">
        <v>62</v>
      </c>
      <c r="G1074" t="str">
        <f t="shared" si="65"/>
        <v>Other</v>
      </c>
      <c r="H1074">
        <v>26</v>
      </c>
      <c r="I1074">
        <v>8024</v>
      </c>
      <c r="J1074">
        <v>5</v>
      </c>
      <c r="K1074" t="s">
        <v>31</v>
      </c>
      <c r="L1074" t="s">
        <v>893</v>
      </c>
      <c r="M1074" t="s">
        <v>914</v>
      </c>
      <c r="N1074" t="s">
        <v>943</v>
      </c>
      <c r="O1074">
        <v>31907</v>
      </c>
      <c r="P1074" t="s">
        <v>896</v>
      </c>
      <c r="Q1074" t="s">
        <v>931</v>
      </c>
      <c r="R1074">
        <v>26</v>
      </c>
      <c r="T1074">
        <v>572</v>
      </c>
      <c r="U1074" t="s">
        <v>1111</v>
      </c>
      <c r="V1074" s="7">
        <v>39.990001679999999</v>
      </c>
      <c r="W1074" s="7">
        <v>30.892751576250003</v>
      </c>
      <c r="X1074">
        <v>5</v>
      </c>
      <c r="Y1074" s="7">
        <v>0</v>
      </c>
      <c r="Z1074" s="7">
        <v>199.9500084</v>
      </c>
      <c r="AA1074" s="7">
        <f t="shared" si="66"/>
        <v>199.9500084</v>
      </c>
      <c r="AB1074" t="s">
        <v>66</v>
      </c>
      <c r="AC1074" t="str">
        <f t="shared" si="67"/>
        <v>Non-Cash Payments</v>
      </c>
    </row>
    <row r="1075" spans="1:29" x14ac:dyDescent="0.25">
      <c r="A1075">
        <v>41142</v>
      </c>
      <c r="B1075" s="2">
        <v>42605</v>
      </c>
      <c r="C1075">
        <v>4</v>
      </c>
      <c r="D1075" s="2">
        <f t="shared" si="64"/>
        <v>42611</v>
      </c>
      <c r="E1075">
        <v>0</v>
      </c>
      <c r="F1075" t="s">
        <v>62</v>
      </c>
      <c r="G1075" t="str">
        <f t="shared" si="65"/>
        <v>Other</v>
      </c>
      <c r="H1075">
        <v>24</v>
      </c>
      <c r="I1075">
        <v>5023</v>
      </c>
      <c r="J1075">
        <v>5</v>
      </c>
      <c r="K1075" t="s">
        <v>31</v>
      </c>
      <c r="L1075" t="s">
        <v>893</v>
      </c>
      <c r="M1075" t="s">
        <v>944</v>
      </c>
      <c r="N1075" t="s">
        <v>923</v>
      </c>
      <c r="O1075">
        <v>62521</v>
      </c>
      <c r="P1075" t="s">
        <v>896</v>
      </c>
      <c r="Q1075" t="s">
        <v>903</v>
      </c>
      <c r="R1075">
        <v>24</v>
      </c>
      <c r="T1075">
        <v>502</v>
      </c>
      <c r="U1075" t="s">
        <v>1058</v>
      </c>
      <c r="V1075" s="7">
        <v>50</v>
      </c>
      <c r="W1075" s="7">
        <v>43.678035218757444</v>
      </c>
      <c r="X1075">
        <v>5</v>
      </c>
      <c r="Y1075" s="7">
        <v>10</v>
      </c>
      <c r="Z1075" s="7">
        <v>250</v>
      </c>
      <c r="AA1075" s="7">
        <f t="shared" si="66"/>
        <v>240</v>
      </c>
      <c r="AB1075" t="s">
        <v>66</v>
      </c>
      <c r="AC1075" t="str">
        <f t="shared" si="67"/>
        <v>Non-Cash Payments</v>
      </c>
    </row>
    <row r="1076" spans="1:29" x14ac:dyDescent="0.25">
      <c r="A1076">
        <v>41287</v>
      </c>
      <c r="B1076" s="2">
        <v>42607</v>
      </c>
      <c r="C1076">
        <v>4</v>
      </c>
      <c r="D1076" s="2">
        <f t="shared" si="64"/>
        <v>42613</v>
      </c>
      <c r="E1076">
        <v>0</v>
      </c>
      <c r="F1076" t="s">
        <v>62</v>
      </c>
      <c r="G1076" t="str">
        <f t="shared" si="65"/>
        <v>Other</v>
      </c>
      <c r="H1076">
        <v>24</v>
      </c>
      <c r="I1076">
        <v>9581</v>
      </c>
      <c r="J1076">
        <v>5</v>
      </c>
      <c r="K1076" t="s">
        <v>31</v>
      </c>
      <c r="L1076" t="s">
        <v>893</v>
      </c>
      <c r="M1076" t="s">
        <v>945</v>
      </c>
      <c r="N1076" t="s">
        <v>899</v>
      </c>
      <c r="O1076">
        <v>92627</v>
      </c>
      <c r="P1076" t="s">
        <v>896</v>
      </c>
      <c r="Q1076" t="s">
        <v>897</v>
      </c>
      <c r="R1076">
        <v>24</v>
      </c>
      <c r="T1076">
        <v>502</v>
      </c>
      <c r="U1076" t="s">
        <v>1058</v>
      </c>
      <c r="V1076" s="7">
        <v>50</v>
      </c>
      <c r="W1076" s="7">
        <v>43.678035218757444</v>
      </c>
      <c r="X1076">
        <v>5</v>
      </c>
      <c r="Y1076" s="7">
        <v>32.5</v>
      </c>
      <c r="Z1076" s="7">
        <v>250</v>
      </c>
      <c r="AA1076" s="7">
        <f t="shared" si="66"/>
        <v>217.5</v>
      </c>
      <c r="AB1076" t="s">
        <v>66</v>
      </c>
      <c r="AC1076" t="str">
        <f t="shared" si="67"/>
        <v>Non-Cash Payments</v>
      </c>
    </row>
    <row r="1077" spans="1:29" x14ac:dyDescent="0.25">
      <c r="A1077">
        <v>35651</v>
      </c>
      <c r="B1077" s="2">
        <v>42466</v>
      </c>
      <c r="C1077">
        <v>4</v>
      </c>
      <c r="D1077" s="2">
        <f t="shared" si="64"/>
        <v>42472</v>
      </c>
      <c r="E1077">
        <v>0</v>
      </c>
      <c r="F1077" t="s">
        <v>62</v>
      </c>
      <c r="G1077" t="str">
        <f t="shared" si="65"/>
        <v>Other</v>
      </c>
      <c r="H1077">
        <v>24</v>
      </c>
      <c r="I1077">
        <v>9294</v>
      </c>
      <c r="J1077">
        <v>5</v>
      </c>
      <c r="K1077" t="s">
        <v>31</v>
      </c>
      <c r="L1077" t="s">
        <v>893</v>
      </c>
      <c r="M1077" t="s">
        <v>946</v>
      </c>
      <c r="N1077" t="s">
        <v>930</v>
      </c>
      <c r="O1077">
        <v>28806</v>
      </c>
      <c r="P1077" t="s">
        <v>896</v>
      </c>
      <c r="Q1077" t="s">
        <v>931</v>
      </c>
      <c r="R1077">
        <v>24</v>
      </c>
      <c r="T1077">
        <v>502</v>
      </c>
      <c r="U1077" t="s">
        <v>1058</v>
      </c>
      <c r="V1077" s="7">
        <v>50</v>
      </c>
      <c r="W1077" s="7">
        <v>43.678035218757444</v>
      </c>
      <c r="X1077">
        <v>5</v>
      </c>
      <c r="Y1077" s="7">
        <v>40</v>
      </c>
      <c r="Z1077" s="7">
        <v>250</v>
      </c>
      <c r="AA1077" s="7">
        <f t="shared" si="66"/>
        <v>210</v>
      </c>
      <c r="AB1077" t="s">
        <v>66</v>
      </c>
      <c r="AC1077" t="str">
        <f t="shared" si="67"/>
        <v>Non-Cash Payments</v>
      </c>
    </row>
    <row r="1078" spans="1:29" x14ac:dyDescent="0.25">
      <c r="A1078">
        <v>41287</v>
      </c>
      <c r="B1078" s="2">
        <v>42607</v>
      </c>
      <c r="C1078">
        <v>4</v>
      </c>
      <c r="D1078" s="2">
        <f t="shared" si="64"/>
        <v>42613</v>
      </c>
      <c r="E1078">
        <v>0</v>
      </c>
      <c r="F1078" t="s">
        <v>62</v>
      </c>
      <c r="G1078" t="str">
        <f t="shared" si="65"/>
        <v>Other</v>
      </c>
      <c r="H1078">
        <v>37</v>
      </c>
      <c r="I1078">
        <v>9581</v>
      </c>
      <c r="J1078">
        <v>6</v>
      </c>
      <c r="K1078" t="s">
        <v>35</v>
      </c>
      <c r="L1078" t="s">
        <v>893</v>
      </c>
      <c r="M1078" t="s">
        <v>945</v>
      </c>
      <c r="N1078" t="s">
        <v>899</v>
      </c>
      <c r="O1078">
        <v>92627</v>
      </c>
      <c r="P1078" t="s">
        <v>896</v>
      </c>
      <c r="Q1078" t="s">
        <v>897</v>
      </c>
      <c r="R1078">
        <v>37</v>
      </c>
      <c r="T1078">
        <v>828</v>
      </c>
      <c r="U1078" t="s">
        <v>1050</v>
      </c>
      <c r="V1078" s="7">
        <v>31.989999770000001</v>
      </c>
      <c r="W1078" s="7">
        <v>24.284221986666665</v>
      </c>
      <c r="X1078">
        <v>5</v>
      </c>
      <c r="Y1078" s="7">
        <v>25.590000150000002</v>
      </c>
      <c r="Z1078" s="7">
        <v>159.94999885000001</v>
      </c>
      <c r="AA1078" s="7">
        <f t="shared" si="66"/>
        <v>134.35999870000001</v>
      </c>
      <c r="AB1078" t="s">
        <v>66</v>
      </c>
      <c r="AC1078" t="str">
        <f t="shared" si="67"/>
        <v>Non-Cash Payments</v>
      </c>
    </row>
    <row r="1079" spans="1:29" x14ac:dyDescent="0.25">
      <c r="A1079">
        <v>32566</v>
      </c>
      <c r="B1079" s="2">
        <v>42480</v>
      </c>
      <c r="C1079">
        <v>4</v>
      </c>
      <c r="D1079" s="2">
        <f t="shared" si="64"/>
        <v>42486</v>
      </c>
      <c r="E1079">
        <v>0</v>
      </c>
      <c r="F1079" t="s">
        <v>62</v>
      </c>
      <c r="G1079" t="str">
        <f t="shared" si="65"/>
        <v>Other</v>
      </c>
      <c r="H1079">
        <v>13</v>
      </c>
      <c r="I1079">
        <v>3797</v>
      </c>
      <c r="J1079">
        <v>3</v>
      </c>
      <c r="K1079" t="s">
        <v>24</v>
      </c>
      <c r="L1079" t="s">
        <v>893</v>
      </c>
      <c r="M1079" t="s">
        <v>947</v>
      </c>
      <c r="N1079" t="s">
        <v>948</v>
      </c>
      <c r="O1079">
        <v>35630</v>
      </c>
      <c r="P1079" t="s">
        <v>896</v>
      </c>
      <c r="Q1079" t="s">
        <v>931</v>
      </c>
      <c r="R1079">
        <v>13</v>
      </c>
      <c r="T1079">
        <v>278</v>
      </c>
      <c r="U1079" t="s">
        <v>1106</v>
      </c>
      <c r="V1079" s="7">
        <v>44.990001679999999</v>
      </c>
      <c r="W1079" s="7">
        <v>31.547668386333335</v>
      </c>
      <c r="X1079">
        <v>5</v>
      </c>
      <c r="Y1079" s="7">
        <v>4.5</v>
      </c>
      <c r="Z1079" s="7">
        <v>224.9500084</v>
      </c>
      <c r="AA1079" s="7">
        <f t="shared" si="66"/>
        <v>220.4500084</v>
      </c>
      <c r="AB1079" t="s">
        <v>66</v>
      </c>
      <c r="AC1079" t="str">
        <f t="shared" si="67"/>
        <v>Non-Cash Payments</v>
      </c>
    </row>
    <row r="1080" spans="1:29" x14ac:dyDescent="0.25">
      <c r="A1080">
        <v>39300</v>
      </c>
      <c r="B1080" s="2">
        <v>42578</v>
      </c>
      <c r="C1080">
        <v>4</v>
      </c>
      <c r="D1080" s="2">
        <f t="shared" si="64"/>
        <v>42584</v>
      </c>
      <c r="E1080">
        <v>1</v>
      </c>
      <c r="F1080" t="s">
        <v>62</v>
      </c>
      <c r="G1080" t="str">
        <f t="shared" si="65"/>
        <v>Other</v>
      </c>
      <c r="H1080">
        <v>9</v>
      </c>
      <c r="I1080">
        <v>11999</v>
      </c>
      <c r="J1080">
        <v>3</v>
      </c>
      <c r="K1080" t="s">
        <v>24</v>
      </c>
      <c r="L1080" t="s">
        <v>893</v>
      </c>
      <c r="M1080" t="s">
        <v>949</v>
      </c>
      <c r="N1080" t="s">
        <v>950</v>
      </c>
      <c r="O1080">
        <v>1852</v>
      </c>
      <c r="P1080" t="s">
        <v>896</v>
      </c>
      <c r="Q1080" t="s">
        <v>913</v>
      </c>
      <c r="R1080">
        <v>9</v>
      </c>
      <c r="T1080">
        <v>191</v>
      </c>
      <c r="U1080" t="s">
        <v>1044</v>
      </c>
      <c r="V1080" s="7">
        <v>99.989997860000003</v>
      </c>
      <c r="W1080" s="7">
        <v>95.114003926871064</v>
      </c>
      <c r="X1080">
        <v>5</v>
      </c>
      <c r="Y1080" s="7">
        <v>45</v>
      </c>
      <c r="Z1080" s="7">
        <v>499.94998930000003</v>
      </c>
      <c r="AA1080" s="7">
        <f t="shared" si="66"/>
        <v>454.94998930000003</v>
      </c>
      <c r="AB1080" t="s">
        <v>66</v>
      </c>
      <c r="AC1080" t="str">
        <f t="shared" si="67"/>
        <v>Non-Cash Payments</v>
      </c>
    </row>
    <row r="1081" spans="1:29" x14ac:dyDescent="0.25">
      <c r="A1081">
        <v>40654</v>
      </c>
      <c r="B1081" s="2">
        <v>42598</v>
      </c>
      <c r="C1081">
        <v>4</v>
      </c>
      <c r="D1081" s="2">
        <f t="shared" si="64"/>
        <v>42604</v>
      </c>
      <c r="E1081">
        <v>1</v>
      </c>
      <c r="F1081" t="s">
        <v>62</v>
      </c>
      <c r="G1081" t="str">
        <f t="shared" si="65"/>
        <v>Other</v>
      </c>
      <c r="H1081">
        <v>9</v>
      </c>
      <c r="I1081">
        <v>3715</v>
      </c>
      <c r="J1081">
        <v>3</v>
      </c>
      <c r="K1081" t="s">
        <v>24</v>
      </c>
      <c r="L1081" t="s">
        <v>893</v>
      </c>
      <c r="M1081" t="s">
        <v>927</v>
      </c>
      <c r="N1081" t="s">
        <v>928</v>
      </c>
      <c r="O1081">
        <v>10024</v>
      </c>
      <c r="P1081" t="s">
        <v>896</v>
      </c>
      <c r="Q1081" t="s">
        <v>913</v>
      </c>
      <c r="R1081">
        <v>9</v>
      </c>
      <c r="T1081">
        <v>191</v>
      </c>
      <c r="U1081" t="s">
        <v>1044</v>
      </c>
      <c r="V1081" s="7">
        <v>99.989997860000003</v>
      </c>
      <c r="W1081" s="7">
        <v>95.114003926871064</v>
      </c>
      <c r="X1081">
        <v>5</v>
      </c>
      <c r="Y1081" s="7">
        <v>74.989997860000003</v>
      </c>
      <c r="Z1081" s="7">
        <v>499.94998930000003</v>
      </c>
      <c r="AA1081" s="7">
        <f t="shared" si="66"/>
        <v>424.95999144000001</v>
      </c>
      <c r="AB1081" t="s">
        <v>66</v>
      </c>
      <c r="AC1081" t="str">
        <f t="shared" si="67"/>
        <v>Non-Cash Payments</v>
      </c>
    </row>
    <row r="1082" spans="1:29" x14ac:dyDescent="0.25">
      <c r="A1082">
        <v>39551</v>
      </c>
      <c r="B1082" s="2">
        <v>42582</v>
      </c>
      <c r="C1082">
        <v>4</v>
      </c>
      <c r="D1082" s="2">
        <f t="shared" si="64"/>
        <v>42586</v>
      </c>
      <c r="E1082">
        <v>0</v>
      </c>
      <c r="F1082" t="s">
        <v>62</v>
      </c>
      <c r="G1082" t="str">
        <f t="shared" si="65"/>
        <v>Other</v>
      </c>
      <c r="H1082">
        <v>9</v>
      </c>
      <c r="I1082">
        <v>2922</v>
      </c>
      <c r="J1082">
        <v>3</v>
      </c>
      <c r="K1082" t="s">
        <v>24</v>
      </c>
      <c r="L1082" t="s">
        <v>893</v>
      </c>
      <c r="M1082" t="s">
        <v>925</v>
      </c>
      <c r="N1082" t="s">
        <v>895</v>
      </c>
      <c r="O1082">
        <v>98103</v>
      </c>
      <c r="P1082" t="s">
        <v>896</v>
      </c>
      <c r="Q1082" t="s">
        <v>897</v>
      </c>
      <c r="R1082">
        <v>9</v>
      </c>
      <c r="T1082">
        <v>191</v>
      </c>
      <c r="U1082" t="s">
        <v>1044</v>
      </c>
      <c r="V1082" s="7">
        <v>99.989997860000003</v>
      </c>
      <c r="W1082" s="7">
        <v>95.114003926871064</v>
      </c>
      <c r="X1082">
        <v>5</v>
      </c>
      <c r="Y1082" s="7">
        <v>79.989997860000003</v>
      </c>
      <c r="Z1082" s="7">
        <v>499.94998930000003</v>
      </c>
      <c r="AA1082" s="7">
        <f t="shared" si="66"/>
        <v>419.95999144000001</v>
      </c>
      <c r="AB1082" t="s">
        <v>66</v>
      </c>
      <c r="AC1082" t="str">
        <f t="shared" si="67"/>
        <v>Non-Cash Payments</v>
      </c>
    </row>
    <row r="1083" spans="1:29" x14ac:dyDescent="0.25">
      <c r="A1083">
        <v>35389</v>
      </c>
      <c r="B1083" s="2">
        <v>42521</v>
      </c>
      <c r="C1083">
        <v>4</v>
      </c>
      <c r="D1083" s="2">
        <f t="shared" si="64"/>
        <v>42527</v>
      </c>
      <c r="E1083">
        <v>1</v>
      </c>
      <c r="F1083" t="s">
        <v>62</v>
      </c>
      <c r="G1083" t="str">
        <f t="shared" si="65"/>
        <v>Other</v>
      </c>
      <c r="H1083">
        <v>13</v>
      </c>
      <c r="I1083">
        <v>7175</v>
      </c>
      <c r="J1083">
        <v>3</v>
      </c>
      <c r="K1083" t="s">
        <v>24</v>
      </c>
      <c r="L1083" t="s">
        <v>893</v>
      </c>
      <c r="M1083" t="s">
        <v>951</v>
      </c>
      <c r="N1083" t="s">
        <v>912</v>
      </c>
      <c r="O1083">
        <v>44312</v>
      </c>
      <c r="P1083" t="s">
        <v>896</v>
      </c>
      <c r="Q1083" t="s">
        <v>913</v>
      </c>
      <c r="R1083">
        <v>13</v>
      </c>
      <c r="T1083">
        <v>278</v>
      </c>
      <c r="U1083" t="s">
        <v>1106</v>
      </c>
      <c r="V1083" s="7">
        <v>44.990001679999999</v>
      </c>
      <c r="W1083" s="7">
        <v>31.547668386333335</v>
      </c>
      <c r="X1083">
        <v>5</v>
      </c>
      <c r="Y1083" s="7">
        <v>40.490001679999999</v>
      </c>
      <c r="Z1083" s="7">
        <v>224.9500084</v>
      </c>
      <c r="AA1083" s="7">
        <f t="shared" si="66"/>
        <v>184.46000672</v>
      </c>
      <c r="AB1083" t="s">
        <v>66</v>
      </c>
      <c r="AC1083" t="str">
        <f t="shared" si="67"/>
        <v>Non-Cash Payments</v>
      </c>
    </row>
    <row r="1084" spans="1:29" x14ac:dyDescent="0.25">
      <c r="A1084">
        <v>32257</v>
      </c>
      <c r="B1084" s="2">
        <v>42475</v>
      </c>
      <c r="C1084">
        <v>4</v>
      </c>
      <c r="D1084" s="2">
        <f t="shared" si="64"/>
        <v>42481</v>
      </c>
      <c r="E1084">
        <v>0</v>
      </c>
      <c r="F1084" t="s">
        <v>62</v>
      </c>
      <c r="G1084" t="str">
        <f t="shared" si="65"/>
        <v>Other</v>
      </c>
      <c r="H1084">
        <v>17</v>
      </c>
      <c r="I1084">
        <v>967</v>
      </c>
      <c r="J1084">
        <v>4</v>
      </c>
      <c r="K1084" t="s">
        <v>46</v>
      </c>
      <c r="L1084" t="s">
        <v>893</v>
      </c>
      <c r="M1084" t="s">
        <v>900</v>
      </c>
      <c r="N1084" t="s">
        <v>899</v>
      </c>
      <c r="O1084">
        <v>94110</v>
      </c>
      <c r="P1084" t="s">
        <v>896</v>
      </c>
      <c r="Q1084" t="s">
        <v>897</v>
      </c>
      <c r="R1084">
        <v>17</v>
      </c>
      <c r="T1084">
        <v>365</v>
      </c>
      <c r="U1084" t="s">
        <v>1054</v>
      </c>
      <c r="V1084" s="7">
        <v>59.990001679999999</v>
      </c>
      <c r="W1084" s="7">
        <v>54.488929209402009</v>
      </c>
      <c r="X1084">
        <v>5</v>
      </c>
      <c r="Y1084" s="7">
        <v>3</v>
      </c>
      <c r="Z1084" s="7">
        <v>299.9500084</v>
      </c>
      <c r="AA1084" s="7">
        <f t="shared" si="66"/>
        <v>296.9500084</v>
      </c>
      <c r="AB1084" t="s">
        <v>66</v>
      </c>
      <c r="AC1084" t="str">
        <f t="shared" si="67"/>
        <v>Non-Cash Payments</v>
      </c>
    </row>
    <row r="1085" spans="1:29" x14ac:dyDescent="0.25">
      <c r="A1085">
        <v>49031</v>
      </c>
      <c r="B1085" s="2">
        <v>42720</v>
      </c>
      <c r="C1085">
        <v>4</v>
      </c>
      <c r="D1085" s="2">
        <f t="shared" si="64"/>
        <v>42726</v>
      </c>
      <c r="E1085">
        <v>0</v>
      </c>
      <c r="F1085" t="s">
        <v>62</v>
      </c>
      <c r="G1085" t="str">
        <f t="shared" si="65"/>
        <v>Other</v>
      </c>
      <c r="H1085">
        <v>17</v>
      </c>
      <c r="I1085">
        <v>8098</v>
      </c>
      <c r="J1085">
        <v>4</v>
      </c>
      <c r="K1085" t="s">
        <v>46</v>
      </c>
      <c r="L1085" t="s">
        <v>893</v>
      </c>
      <c r="M1085" t="s">
        <v>275</v>
      </c>
      <c r="N1085" t="s">
        <v>917</v>
      </c>
      <c r="P1085" t="s">
        <v>918</v>
      </c>
      <c r="Q1085" t="s">
        <v>918</v>
      </c>
      <c r="R1085">
        <v>17</v>
      </c>
      <c r="T1085">
        <v>365</v>
      </c>
      <c r="U1085" t="s">
        <v>1054</v>
      </c>
      <c r="V1085" s="7">
        <v>59.990001679999999</v>
      </c>
      <c r="W1085" s="7">
        <v>54.488929209402009</v>
      </c>
      <c r="X1085">
        <v>5</v>
      </c>
      <c r="Y1085" s="7">
        <v>9</v>
      </c>
      <c r="Z1085" s="7">
        <v>299.9500084</v>
      </c>
      <c r="AA1085" s="7">
        <f t="shared" si="66"/>
        <v>290.9500084</v>
      </c>
      <c r="AB1085" t="s">
        <v>66</v>
      </c>
      <c r="AC1085" t="str">
        <f t="shared" si="67"/>
        <v>Non-Cash Payments</v>
      </c>
    </row>
    <row r="1086" spans="1:29" x14ac:dyDescent="0.25">
      <c r="A1086">
        <v>49031</v>
      </c>
      <c r="B1086" s="2">
        <v>42720</v>
      </c>
      <c r="C1086">
        <v>4</v>
      </c>
      <c r="D1086" s="2">
        <f t="shared" si="64"/>
        <v>42726</v>
      </c>
      <c r="E1086">
        <v>0</v>
      </c>
      <c r="F1086" t="s">
        <v>62</v>
      </c>
      <c r="G1086" t="str">
        <f t="shared" si="65"/>
        <v>Other</v>
      </c>
      <c r="H1086">
        <v>17</v>
      </c>
      <c r="I1086">
        <v>8098</v>
      </c>
      <c r="J1086">
        <v>4</v>
      </c>
      <c r="K1086" t="s">
        <v>46</v>
      </c>
      <c r="L1086" t="s">
        <v>893</v>
      </c>
      <c r="M1086" t="s">
        <v>275</v>
      </c>
      <c r="N1086" t="s">
        <v>917</v>
      </c>
      <c r="P1086" t="s">
        <v>918</v>
      </c>
      <c r="Q1086" t="s">
        <v>918</v>
      </c>
      <c r="R1086">
        <v>17</v>
      </c>
      <c r="T1086">
        <v>365</v>
      </c>
      <c r="U1086" t="s">
        <v>1054</v>
      </c>
      <c r="V1086" s="7">
        <v>59.990001679999999</v>
      </c>
      <c r="W1086" s="7">
        <v>54.488929209402009</v>
      </c>
      <c r="X1086">
        <v>5</v>
      </c>
      <c r="Y1086" s="7">
        <v>12</v>
      </c>
      <c r="Z1086" s="7">
        <v>299.9500084</v>
      </c>
      <c r="AA1086" s="7">
        <f t="shared" si="66"/>
        <v>287.9500084</v>
      </c>
      <c r="AB1086" t="s">
        <v>66</v>
      </c>
      <c r="AC1086" t="str">
        <f t="shared" si="67"/>
        <v>Non-Cash Payments</v>
      </c>
    </row>
    <row r="1087" spans="1:29" x14ac:dyDescent="0.25">
      <c r="A1087">
        <v>32224</v>
      </c>
      <c r="B1087" s="2">
        <v>42475</v>
      </c>
      <c r="C1087">
        <v>4</v>
      </c>
      <c r="D1087" s="2">
        <f t="shared" si="64"/>
        <v>42481</v>
      </c>
      <c r="E1087">
        <v>1</v>
      </c>
      <c r="F1087" t="s">
        <v>62</v>
      </c>
      <c r="G1087" t="str">
        <f t="shared" si="65"/>
        <v>Other</v>
      </c>
      <c r="H1087">
        <v>17</v>
      </c>
      <c r="I1087">
        <v>8481</v>
      </c>
      <c r="J1087">
        <v>4</v>
      </c>
      <c r="K1087" t="s">
        <v>46</v>
      </c>
      <c r="L1087" t="s">
        <v>893</v>
      </c>
      <c r="M1087" t="s">
        <v>952</v>
      </c>
      <c r="N1087" t="s">
        <v>953</v>
      </c>
      <c r="O1087">
        <v>22153</v>
      </c>
      <c r="P1087" t="s">
        <v>896</v>
      </c>
      <c r="Q1087" t="s">
        <v>931</v>
      </c>
      <c r="R1087">
        <v>17</v>
      </c>
      <c r="T1087">
        <v>365</v>
      </c>
      <c r="U1087" t="s">
        <v>1054</v>
      </c>
      <c r="V1087" s="7">
        <v>59.990001679999999</v>
      </c>
      <c r="W1087" s="7">
        <v>54.488929209402009</v>
      </c>
      <c r="X1087">
        <v>5</v>
      </c>
      <c r="Y1087" s="7">
        <v>16.5</v>
      </c>
      <c r="Z1087" s="7">
        <v>299.9500084</v>
      </c>
      <c r="AA1087" s="7">
        <f t="shared" si="66"/>
        <v>283.4500084</v>
      </c>
      <c r="AB1087" t="s">
        <v>66</v>
      </c>
      <c r="AC1087" t="str">
        <f t="shared" si="67"/>
        <v>Non-Cash Payments</v>
      </c>
    </row>
    <row r="1088" spans="1:29" x14ac:dyDescent="0.25">
      <c r="A1088">
        <v>38411</v>
      </c>
      <c r="B1088" s="2">
        <v>42565</v>
      </c>
      <c r="C1088">
        <v>4</v>
      </c>
      <c r="D1088" s="2">
        <f t="shared" si="64"/>
        <v>42571</v>
      </c>
      <c r="E1088">
        <v>0</v>
      </c>
      <c r="F1088" t="s">
        <v>62</v>
      </c>
      <c r="G1088" t="str">
        <f t="shared" si="65"/>
        <v>Other</v>
      </c>
      <c r="H1088">
        <v>17</v>
      </c>
      <c r="I1088">
        <v>8205</v>
      </c>
      <c r="J1088">
        <v>4</v>
      </c>
      <c r="K1088" t="s">
        <v>46</v>
      </c>
      <c r="L1088" t="s">
        <v>893</v>
      </c>
      <c r="M1088" t="s">
        <v>954</v>
      </c>
      <c r="N1088" t="s">
        <v>955</v>
      </c>
      <c r="O1088">
        <v>89015</v>
      </c>
      <c r="P1088" t="s">
        <v>896</v>
      </c>
      <c r="Q1088" t="s">
        <v>897</v>
      </c>
      <c r="R1088">
        <v>17</v>
      </c>
      <c r="T1088">
        <v>365</v>
      </c>
      <c r="U1088" t="s">
        <v>1054</v>
      </c>
      <c r="V1088" s="7">
        <v>59.990001679999999</v>
      </c>
      <c r="W1088" s="7">
        <v>54.488929209402009</v>
      </c>
      <c r="X1088">
        <v>5</v>
      </c>
      <c r="Y1088" s="7">
        <v>27</v>
      </c>
      <c r="Z1088" s="7">
        <v>299.9500084</v>
      </c>
      <c r="AA1088" s="7">
        <f t="shared" si="66"/>
        <v>272.9500084</v>
      </c>
      <c r="AB1088" t="s">
        <v>66</v>
      </c>
      <c r="AC1088" t="str">
        <f t="shared" si="67"/>
        <v>Non-Cash Payments</v>
      </c>
    </row>
    <row r="1089" spans="1:29" x14ac:dyDescent="0.25">
      <c r="A1089">
        <v>48282</v>
      </c>
      <c r="B1089" s="2">
        <v>42502</v>
      </c>
      <c r="C1089">
        <v>4</v>
      </c>
      <c r="D1089" s="2">
        <f t="shared" si="64"/>
        <v>42508</v>
      </c>
      <c r="E1089">
        <v>0</v>
      </c>
      <c r="F1089" t="s">
        <v>62</v>
      </c>
      <c r="G1089" t="str">
        <f t="shared" si="65"/>
        <v>Other</v>
      </c>
      <c r="H1089">
        <v>17</v>
      </c>
      <c r="I1089">
        <v>10668</v>
      </c>
      <c r="J1089">
        <v>4</v>
      </c>
      <c r="K1089" t="s">
        <v>46</v>
      </c>
      <c r="L1089" t="s">
        <v>893</v>
      </c>
      <c r="M1089" t="s">
        <v>956</v>
      </c>
      <c r="N1089" t="s">
        <v>917</v>
      </c>
      <c r="P1089" t="s">
        <v>918</v>
      </c>
      <c r="Q1089" t="s">
        <v>918</v>
      </c>
      <c r="R1089">
        <v>17</v>
      </c>
      <c r="T1089">
        <v>365</v>
      </c>
      <c r="U1089" t="s">
        <v>1054</v>
      </c>
      <c r="V1089" s="7">
        <v>59.990001679999999</v>
      </c>
      <c r="W1089" s="7">
        <v>54.488929209402009</v>
      </c>
      <c r="X1089">
        <v>5</v>
      </c>
      <c r="Y1089" s="7">
        <v>38.990001679999999</v>
      </c>
      <c r="Z1089" s="7">
        <v>299.9500084</v>
      </c>
      <c r="AA1089" s="7">
        <f t="shared" si="66"/>
        <v>260.96000672000002</v>
      </c>
      <c r="AB1089" t="s">
        <v>66</v>
      </c>
      <c r="AC1089" t="str">
        <f t="shared" si="67"/>
        <v>Non-Cash Payments</v>
      </c>
    </row>
    <row r="1090" spans="1:29" x14ac:dyDescent="0.25">
      <c r="A1090">
        <v>40949</v>
      </c>
      <c r="B1090" s="2">
        <v>42602</v>
      </c>
      <c r="C1090">
        <v>4</v>
      </c>
      <c r="D1090" s="2">
        <f t="shared" si="64"/>
        <v>42607</v>
      </c>
      <c r="E1090">
        <v>1</v>
      </c>
      <c r="F1090" t="s">
        <v>62</v>
      </c>
      <c r="G1090" t="str">
        <f t="shared" si="65"/>
        <v>Other</v>
      </c>
      <c r="H1090">
        <v>17</v>
      </c>
      <c r="I1090">
        <v>11380</v>
      </c>
      <c r="J1090">
        <v>4</v>
      </c>
      <c r="K1090" t="s">
        <v>46</v>
      </c>
      <c r="L1090" t="s">
        <v>893</v>
      </c>
      <c r="M1090" t="s">
        <v>898</v>
      </c>
      <c r="N1090" t="s">
        <v>899</v>
      </c>
      <c r="O1090">
        <v>90045</v>
      </c>
      <c r="P1090" t="s">
        <v>896</v>
      </c>
      <c r="Q1090" t="s">
        <v>897</v>
      </c>
      <c r="R1090">
        <v>17</v>
      </c>
      <c r="T1090">
        <v>365</v>
      </c>
      <c r="U1090" t="s">
        <v>1054</v>
      </c>
      <c r="V1090" s="7">
        <v>59.990001679999999</v>
      </c>
      <c r="W1090" s="7">
        <v>54.488929209402009</v>
      </c>
      <c r="X1090">
        <v>5</v>
      </c>
      <c r="Y1090" s="7">
        <v>47.990001679999999</v>
      </c>
      <c r="Z1090" s="7">
        <v>299.9500084</v>
      </c>
      <c r="AA1090" s="7">
        <f t="shared" si="66"/>
        <v>251.96000672</v>
      </c>
      <c r="AB1090" t="s">
        <v>66</v>
      </c>
      <c r="AC1090" t="str">
        <f t="shared" si="67"/>
        <v>Non-Cash Payments</v>
      </c>
    </row>
    <row r="1091" spans="1:29" x14ac:dyDescent="0.25">
      <c r="A1091">
        <v>31917</v>
      </c>
      <c r="B1091" s="2">
        <v>42647</v>
      </c>
      <c r="C1091">
        <v>4</v>
      </c>
      <c r="D1091" s="2">
        <f t="shared" ref="D1091:D1154" si="68">WORKDAY(B1091,C1091)</f>
        <v>42653</v>
      </c>
      <c r="E1091">
        <v>0</v>
      </c>
      <c r="F1091" t="s">
        <v>62</v>
      </c>
      <c r="G1091" t="str">
        <f t="shared" ref="G1091:G1154" si="69">IF(AND(E1091=0,F1091="Same Day"),"Same Day - On Time","Other")</f>
        <v>Other</v>
      </c>
      <c r="H1091">
        <v>24</v>
      </c>
      <c r="I1091">
        <v>12052</v>
      </c>
      <c r="J1091">
        <v>5</v>
      </c>
      <c r="K1091" t="s">
        <v>31</v>
      </c>
      <c r="L1091" t="s">
        <v>893</v>
      </c>
      <c r="M1091" t="s">
        <v>927</v>
      </c>
      <c r="N1091" t="s">
        <v>928</v>
      </c>
      <c r="O1091">
        <v>10011</v>
      </c>
      <c r="P1091" t="s">
        <v>896</v>
      </c>
      <c r="Q1091" t="s">
        <v>913</v>
      </c>
      <c r="R1091">
        <v>24</v>
      </c>
      <c r="T1091">
        <v>502</v>
      </c>
      <c r="U1091" t="s">
        <v>1058</v>
      </c>
      <c r="V1091" s="7">
        <v>50</v>
      </c>
      <c r="W1091" s="7">
        <v>43.678035218757444</v>
      </c>
      <c r="X1091">
        <v>5</v>
      </c>
      <c r="Y1091" s="7">
        <v>2.5</v>
      </c>
      <c r="Z1091" s="7">
        <v>250</v>
      </c>
      <c r="AA1091" s="7">
        <f t="shared" ref="AA1091:AA1154" si="70">Z1091-Y1091</f>
        <v>247.5</v>
      </c>
      <c r="AB1091" t="s">
        <v>66</v>
      </c>
      <c r="AC1091" t="str">
        <f t="shared" ref="AC1091:AC1154" si="71">IF(AND(AA1091&gt;200,AB1091="CASH"),"Cash Over 200",IF(AB1091="CASH","Cash Not Over 200","Non-Cash Payments"))</f>
        <v>Non-Cash Payments</v>
      </c>
    </row>
    <row r="1092" spans="1:29" x14ac:dyDescent="0.25">
      <c r="A1092">
        <v>39991</v>
      </c>
      <c r="B1092" s="2">
        <v>42529</v>
      </c>
      <c r="C1092">
        <v>4</v>
      </c>
      <c r="D1092" s="2">
        <f t="shared" si="68"/>
        <v>42535</v>
      </c>
      <c r="E1092">
        <v>0</v>
      </c>
      <c r="F1092" t="s">
        <v>62</v>
      </c>
      <c r="G1092" t="str">
        <f t="shared" si="69"/>
        <v>Other</v>
      </c>
      <c r="H1092">
        <v>24</v>
      </c>
      <c r="I1092">
        <v>3915</v>
      </c>
      <c r="J1092">
        <v>5</v>
      </c>
      <c r="K1092" t="s">
        <v>31</v>
      </c>
      <c r="L1092" t="s">
        <v>893</v>
      </c>
      <c r="M1092" t="s">
        <v>957</v>
      </c>
      <c r="N1092" t="s">
        <v>958</v>
      </c>
      <c r="O1092">
        <v>49505</v>
      </c>
      <c r="P1092" t="s">
        <v>896</v>
      </c>
      <c r="Q1092" t="s">
        <v>903</v>
      </c>
      <c r="R1092">
        <v>24</v>
      </c>
      <c r="T1092">
        <v>502</v>
      </c>
      <c r="U1092" t="s">
        <v>1058</v>
      </c>
      <c r="V1092" s="7">
        <v>50</v>
      </c>
      <c r="W1092" s="7">
        <v>43.678035218757444</v>
      </c>
      <c r="X1092">
        <v>5</v>
      </c>
      <c r="Y1092" s="7">
        <v>10</v>
      </c>
      <c r="Z1092" s="7">
        <v>250</v>
      </c>
      <c r="AA1092" s="7">
        <f t="shared" si="70"/>
        <v>240</v>
      </c>
      <c r="AB1092" t="s">
        <v>66</v>
      </c>
      <c r="AC1092" t="str">
        <f t="shared" si="71"/>
        <v>Non-Cash Payments</v>
      </c>
    </row>
    <row r="1093" spans="1:29" x14ac:dyDescent="0.25">
      <c r="A1093">
        <v>44802</v>
      </c>
      <c r="B1093" s="2">
        <v>42658</v>
      </c>
      <c r="C1093">
        <v>4</v>
      </c>
      <c r="D1093" s="2">
        <f t="shared" si="68"/>
        <v>42663</v>
      </c>
      <c r="E1093">
        <v>0</v>
      </c>
      <c r="F1093" t="s">
        <v>62</v>
      </c>
      <c r="G1093" t="str">
        <f t="shared" si="69"/>
        <v>Other</v>
      </c>
      <c r="H1093">
        <v>24</v>
      </c>
      <c r="I1093">
        <v>8051</v>
      </c>
      <c r="J1093">
        <v>5</v>
      </c>
      <c r="K1093" t="s">
        <v>31</v>
      </c>
      <c r="L1093" t="s">
        <v>893</v>
      </c>
      <c r="M1093" t="s">
        <v>959</v>
      </c>
      <c r="N1093" t="s">
        <v>917</v>
      </c>
      <c r="P1093" t="s">
        <v>918</v>
      </c>
      <c r="Q1093" t="s">
        <v>918</v>
      </c>
      <c r="R1093">
        <v>24</v>
      </c>
      <c r="T1093">
        <v>502</v>
      </c>
      <c r="U1093" t="s">
        <v>1058</v>
      </c>
      <c r="V1093" s="7">
        <v>50</v>
      </c>
      <c r="W1093" s="7">
        <v>43.678035218757444</v>
      </c>
      <c r="X1093">
        <v>5</v>
      </c>
      <c r="Y1093" s="7">
        <v>12.5</v>
      </c>
      <c r="Z1093" s="7">
        <v>250</v>
      </c>
      <c r="AA1093" s="7">
        <f t="shared" si="70"/>
        <v>237.5</v>
      </c>
      <c r="AB1093" t="s">
        <v>66</v>
      </c>
      <c r="AC1093" t="str">
        <f t="shared" si="71"/>
        <v>Non-Cash Payments</v>
      </c>
    </row>
    <row r="1094" spans="1:29" x14ac:dyDescent="0.25">
      <c r="A1094">
        <v>40766</v>
      </c>
      <c r="B1094" s="2">
        <v>42600</v>
      </c>
      <c r="C1094">
        <v>4</v>
      </c>
      <c r="D1094" s="2">
        <f t="shared" si="68"/>
        <v>42606</v>
      </c>
      <c r="E1094">
        <v>0</v>
      </c>
      <c r="F1094" t="s">
        <v>62</v>
      </c>
      <c r="G1094" t="str">
        <f t="shared" si="69"/>
        <v>Other</v>
      </c>
      <c r="H1094">
        <v>29</v>
      </c>
      <c r="I1094">
        <v>3249</v>
      </c>
      <c r="J1094">
        <v>5</v>
      </c>
      <c r="K1094" t="s">
        <v>31</v>
      </c>
      <c r="L1094" t="s">
        <v>893</v>
      </c>
      <c r="M1094" t="s">
        <v>927</v>
      </c>
      <c r="N1094" t="s">
        <v>928</v>
      </c>
      <c r="O1094">
        <v>10024</v>
      </c>
      <c r="P1094" t="s">
        <v>896</v>
      </c>
      <c r="Q1094" t="s">
        <v>913</v>
      </c>
      <c r="R1094">
        <v>29</v>
      </c>
      <c r="T1094">
        <v>627</v>
      </c>
      <c r="U1094" t="s">
        <v>1046</v>
      </c>
      <c r="V1094" s="7">
        <v>39.990001679999999</v>
      </c>
      <c r="W1094" s="7">
        <v>34.198098313835338</v>
      </c>
      <c r="X1094">
        <v>5</v>
      </c>
      <c r="Y1094" s="7">
        <v>14</v>
      </c>
      <c r="Z1094" s="7">
        <v>199.9500084</v>
      </c>
      <c r="AA1094" s="7">
        <f t="shared" si="70"/>
        <v>185.9500084</v>
      </c>
      <c r="AB1094" t="s">
        <v>66</v>
      </c>
      <c r="AC1094" t="str">
        <f t="shared" si="71"/>
        <v>Non-Cash Payments</v>
      </c>
    </row>
    <row r="1095" spans="1:29" x14ac:dyDescent="0.25">
      <c r="A1095">
        <v>36495</v>
      </c>
      <c r="B1095" s="2">
        <v>42537</v>
      </c>
      <c r="C1095">
        <v>4</v>
      </c>
      <c r="D1095" s="2">
        <f t="shared" si="68"/>
        <v>42543</v>
      </c>
      <c r="E1095">
        <v>1</v>
      </c>
      <c r="F1095" t="s">
        <v>62</v>
      </c>
      <c r="G1095" t="str">
        <f t="shared" si="69"/>
        <v>Other</v>
      </c>
      <c r="H1095">
        <v>24</v>
      </c>
      <c r="I1095">
        <v>7894</v>
      </c>
      <c r="J1095">
        <v>5</v>
      </c>
      <c r="K1095" t="s">
        <v>31</v>
      </c>
      <c r="L1095" t="s">
        <v>893</v>
      </c>
      <c r="M1095" t="s">
        <v>960</v>
      </c>
      <c r="N1095" t="s">
        <v>905</v>
      </c>
      <c r="O1095">
        <v>78664</v>
      </c>
      <c r="P1095" t="s">
        <v>896</v>
      </c>
      <c r="Q1095" t="s">
        <v>903</v>
      </c>
      <c r="R1095">
        <v>24</v>
      </c>
      <c r="T1095">
        <v>502</v>
      </c>
      <c r="U1095" t="s">
        <v>1058</v>
      </c>
      <c r="V1095" s="7">
        <v>50</v>
      </c>
      <c r="W1095" s="7">
        <v>43.678035218757444</v>
      </c>
      <c r="X1095">
        <v>5</v>
      </c>
      <c r="Y1095" s="7">
        <v>25</v>
      </c>
      <c r="Z1095" s="7">
        <v>250</v>
      </c>
      <c r="AA1095" s="7">
        <f t="shared" si="70"/>
        <v>225</v>
      </c>
      <c r="AB1095" t="s">
        <v>66</v>
      </c>
      <c r="AC1095" t="str">
        <f t="shared" si="71"/>
        <v>Non-Cash Payments</v>
      </c>
    </row>
    <row r="1096" spans="1:29" x14ac:dyDescent="0.25">
      <c r="A1096">
        <v>37945</v>
      </c>
      <c r="B1096" s="2">
        <v>42558</v>
      </c>
      <c r="C1096">
        <v>4</v>
      </c>
      <c r="D1096" s="2">
        <f t="shared" si="68"/>
        <v>42564</v>
      </c>
      <c r="E1096">
        <v>1</v>
      </c>
      <c r="F1096" t="s">
        <v>62</v>
      </c>
      <c r="G1096" t="str">
        <f t="shared" si="69"/>
        <v>Other</v>
      </c>
      <c r="H1096">
        <v>24</v>
      </c>
      <c r="I1096">
        <v>9197</v>
      </c>
      <c r="J1096">
        <v>5</v>
      </c>
      <c r="K1096" t="s">
        <v>31</v>
      </c>
      <c r="L1096" t="s">
        <v>893</v>
      </c>
      <c r="M1096" t="s">
        <v>961</v>
      </c>
      <c r="N1096" t="s">
        <v>905</v>
      </c>
      <c r="O1096">
        <v>76017</v>
      </c>
      <c r="P1096" t="s">
        <v>896</v>
      </c>
      <c r="Q1096" t="s">
        <v>903</v>
      </c>
      <c r="R1096">
        <v>24</v>
      </c>
      <c r="T1096">
        <v>502</v>
      </c>
      <c r="U1096" t="s">
        <v>1058</v>
      </c>
      <c r="V1096" s="7">
        <v>50</v>
      </c>
      <c r="W1096" s="7">
        <v>43.678035218757444</v>
      </c>
      <c r="X1096">
        <v>5</v>
      </c>
      <c r="Y1096" s="7">
        <v>32.5</v>
      </c>
      <c r="Z1096" s="7">
        <v>250</v>
      </c>
      <c r="AA1096" s="7">
        <f t="shared" si="70"/>
        <v>217.5</v>
      </c>
      <c r="AB1096" t="s">
        <v>66</v>
      </c>
      <c r="AC1096" t="str">
        <f t="shared" si="71"/>
        <v>Non-Cash Payments</v>
      </c>
    </row>
    <row r="1097" spans="1:29" x14ac:dyDescent="0.25">
      <c r="A1097">
        <v>32257</v>
      </c>
      <c r="B1097" s="2">
        <v>42475</v>
      </c>
      <c r="C1097">
        <v>4</v>
      </c>
      <c r="D1097" s="2">
        <f t="shared" si="68"/>
        <v>42481</v>
      </c>
      <c r="E1097">
        <v>0</v>
      </c>
      <c r="F1097" t="s">
        <v>62</v>
      </c>
      <c r="G1097" t="str">
        <f t="shared" si="69"/>
        <v>Other</v>
      </c>
      <c r="H1097">
        <v>24</v>
      </c>
      <c r="I1097">
        <v>967</v>
      </c>
      <c r="J1097">
        <v>5</v>
      </c>
      <c r="K1097" t="s">
        <v>31</v>
      </c>
      <c r="L1097" t="s">
        <v>893</v>
      </c>
      <c r="M1097" t="s">
        <v>900</v>
      </c>
      <c r="N1097" t="s">
        <v>899</v>
      </c>
      <c r="O1097">
        <v>94110</v>
      </c>
      <c r="P1097" t="s">
        <v>896</v>
      </c>
      <c r="Q1097" t="s">
        <v>897</v>
      </c>
      <c r="R1097">
        <v>24</v>
      </c>
      <c r="T1097">
        <v>502</v>
      </c>
      <c r="U1097" t="s">
        <v>1058</v>
      </c>
      <c r="V1097" s="7">
        <v>50</v>
      </c>
      <c r="W1097" s="7">
        <v>43.678035218757444</v>
      </c>
      <c r="X1097">
        <v>5</v>
      </c>
      <c r="Y1097" s="7">
        <v>37.5</v>
      </c>
      <c r="Z1097" s="7">
        <v>250</v>
      </c>
      <c r="AA1097" s="7">
        <f t="shared" si="70"/>
        <v>212.5</v>
      </c>
      <c r="AB1097" t="s">
        <v>66</v>
      </c>
      <c r="AC1097" t="str">
        <f t="shared" si="71"/>
        <v>Non-Cash Payments</v>
      </c>
    </row>
    <row r="1098" spans="1:29" x14ac:dyDescent="0.25">
      <c r="A1098">
        <v>33058</v>
      </c>
      <c r="B1098" s="2">
        <v>42487</v>
      </c>
      <c r="C1098">
        <v>4</v>
      </c>
      <c r="D1098" s="2">
        <f t="shared" si="68"/>
        <v>42493</v>
      </c>
      <c r="E1098">
        <v>0</v>
      </c>
      <c r="F1098" t="s">
        <v>62</v>
      </c>
      <c r="G1098" t="str">
        <f t="shared" si="69"/>
        <v>Other</v>
      </c>
      <c r="H1098">
        <v>24</v>
      </c>
      <c r="I1098">
        <v>5855</v>
      </c>
      <c r="J1098">
        <v>5</v>
      </c>
      <c r="K1098" t="s">
        <v>31</v>
      </c>
      <c r="L1098" t="s">
        <v>893</v>
      </c>
      <c r="M1098" t="s">
        <v>962</v>
      </c>
      <c r="N1098" t="s">
        <v>899</v>
      </c>
      <c r="O1098">
        <v>92105</v>
      </c>
      <c r="P1098" t="s">
        <v>896</v>
      </c>
      <c r="Q1098" t="s">
        <v>897</v>
      </c>
      <c r="R1098">
        <v>24</v>
      </c>
      <c r="T1098">
        <v>502</v>
      </c>
      <c r="U1098" t="s">
        <v>1058</v>
      </c>
      <c r="V1098" s="7">
        <v>50</v>
      </c>
      <c r="W1098" s="7">
        <v>43.678035218757444</v>
      </c>
      <c r="X1098">
        <v>5</v>
      </c>
      <c r="Y1098" s="7">
        <v>40</v>
      </c>
      <c r="Z1098" s="7">
        <v>250</v>
      </c>
      <c r="AA1098" s="7">
        <f t="shared" si="70"/>
        <v>210</v>
      </c>
      <c r="AB1098" t="s">
        <v>66</v>
      </c>
      <c r="AC1098" t="str">
        <f t="shared" si="71"/>
        <v>Non-Cash Payments</v>
      </c>
    </row>
    <row r="1099" spans="1:29" x14ac:dyDescent="0.25">
      <c r="A1099">
        <v>40766</v>
      </c>
      <c r="B1099" s="2">
        <v>42600</v>
      </c>
      <c r="C1099">
        <v>4</v>
      </c>
      <c r="D1099" s="2">
        <f t="shared" si="68"/>
        <v>42606</v>
      </c>
      <c r="E1099">
        <v>0</v>
      </c>
      <c r="F1099" t="s">
        <v>62</v>
      </c>
      <c r="G1099" t="str">
        <f t="shared" si="69"/>
        <v>Other</v>
      </c>
      <c r="H1099">
        <v>24</v>
      </c>
      <c r="I1099">
        <v>3249</v>
      </c>
      <c r="J1099">
        <v>5</v>
      </c>
      <c r="K1099" t="s">
        <v>31</v>
      </c>
      <c r="L1099" t="s">
        <v>893</v>
      </c>
      <c r="M1099" t="s">
        <v>927</v>
      </c>
      <c r="N1099" t="s">
        <v>928</v>
      </c>
      <c r="O1099">
        <v>10024</v>
      </c>
      <c r="P1099" t="s">
        <v>896</v>
      </c>
      <c r="Q1099" t="s">
        <v>913</v>
      </c>
      <c r="R1099">
        <v>24</v>
      </c>
      <c r="T1099">
        <v>502</v>
      </c>
      <c r="U1099" t="s">
        <v>1058</v>
      </c>
      <c r="V1099" s="7">
        <v>50</v>
      </c>
      <c r="W1099" s="7">
        <v>43.678035218757444</v>
      </c>
      <c r="X1099">
        <v>5</v>
      </c>
      <c r="Y1099" s="7">
        <v>45</v>
      </c>
      <c r="Z1099" s="7">
        <v>250</v>
      </c>
      <c r="AA1099" s="7">
        <f t="shared" si="70"/>
        <v>205</v>
      </c>
      <c r="AB1099" t="s">
        <v>66</v>
      </c>
      <c r="AC1099" t="str">
        <f t="shared" si="71"/>
        <v>Non-Cash Payments</v>
      </c>
    </row>
    <row r="1100" spans="1:29" x14ac:dyDescent="0.25">
      <c r="A1100">
        <v>36840</v>
      </c>
      <c r="B1100" s="2">
        <v>42542</v>
      </c>
      <c r="C1100">
        <v>4</v>
      </c>
      <c r="D1100" s="2">
        <f t="shared" si="68"/>
        <v>42548</v>
      </c>
      <c r="E1100">
        <v>1</v>
      </c>
      <c r="F1100" t="s">
        <v>62</v>
      </c>
      <c r="G1100" t="str">
        <f t="shared" si="69"/>
        <v>Other</v>
      </c>
      <c r="H1100">
        <v>24</v>
      </c>
      <c r="I1100">
        <v>4611</v>
      </c>
      <c r="J1100">
        <v>5</v>
      </c>
      <c r="K1100" t="s">
        <v>31</v>
      </c>
      <c r="L1100" t="s">
        <v>893</v>
      </c>
      <c r="M1100" t="s">
        <v>963</v>
      </c>
      <c r="N1100" t="s">
        <v>907</v>
      </c>
      <c r="O1100">
        <v>85705</v>
      </c>
      <c r="P1100" t="s">
        <v>896</v>
      </c>
      <c r="Q1100" t="s">
        <v>897</v>
      </c>
      <c r="R1100">
        <v>24</v>
      </c>
      <c r="T1100">
        <v>502</v>
      </c>
      <c r="U1100" t="s">
        <v>1058</v>
      </c>
      <c r="V1100" s="7">
        <v>50</v>
      </c>
      <c r="W1100" s="7">
        <v>43.678035218757444</v>
      </c>
      <c r="X1100">
        <v>5</v>
      </c>
      <c r="Y1100" s="7">
        <v>50</v>
      </c>
      <c r="Z1100" s="7">
        <v>250</v>
      </c>
      <c r="AA1100" s="7">
        <f t="shared" si="70"/>
        <v>200</v>
      </c>
      <c r="AB1100" t="s">
        <v>66</v>
      </c>
      <c r="AC1100" t="str">
        <f t="shared" si="71"/>
        <v>Non-Cash Payments</v>
      </c>
    </row>
    <row r="1101" spans="1:29" x14ac:dyDescent="0.25">
      <c r="A1101">
        <v>31302</v>
      </c>
      <c r="B1101" s="2">
        <v>42373</v>
      </c>
      <c r="C1101">
        <v>4</v>
      </c>
      <c r="D1101" s="2">
        <f t="shared" si="68"/>
        <v>42377</v>
      </c>
      <c r="E1101">
        <v>0</v>
      </c>
      <c r="F1101" t="s">
        <v>62</v>
      </c>
      <c r="G1101" t="str">
        <f t="shared" si="69"/>
        <v>Other</v>
      </c>
      <c r="H1101">
        <v>40</v>
      </c>
      <c r="I1101">
        <v>1657</v>
      </c>
      <c r="J1101">
        <v>6</v>
      </c>
      <c r="K1101" t="s">
        <v>35</v>
      </c>
      <c r="L1101" t="s">
        <v>893</v>
      </c>
      <c r="M1101" t="s">
        <v>898</v>
      </c>
      <c r="N1101" t="s">
        <v>899</v>
      </c>
      <c r="O1101">
        <v>90032</v>
      </c>
      <c r="P1101" t="s">
        <v>896</v>
      </c>
      <c r="Q1101" t="s">
        <v>897</v>
      </c>
      <c r="R1101">
        <v>40</v>
      </c>
      <c r="T1101">
        <v>886</v>
      </c>
      <c r="U1101" t="s">
        <v>1066</v>
      </c>
      <c r="V1101" s="7">
        <v>24.989999770000001</v>
      </c>
      <c r="W1101" s="7">
        <v>18.459749817000002</v>
      </c>
      <c r="X1101">
        <v>5</v>
      </c>
      <c r="Y1101" s="7">
        <v>11.25</v>
      </c>
      <c r="Z1101" s="7">
        <v>124.94999885</v>
      </c>
      <c r="AA1101" s="7">
        <f t="shared" si="70"/>
        <v>113.69999885</v>
      </c>
      <c r="AB1101" t="s">
        <v>66</v>
      </c>
      <c r="AC1101" t="str">
        <f t="shared" si="71"/>
        <v>Non-Cash Payments</v>
      </c>
    </row>
    <row r="1102" spans="1:29" x14ac:dyDescent="0.25">
      <c r="A1102">
        <v>44802</v>
      </c>
      <c r="B1102" s="2">
        <v>42658</v>
      </c>
      <c r="C1102">
        <v>4</v>
      </c>
      <c r="D1102" s="2">
        <f t="shared" si="68"/>
        <v>42663</v>
      </c>
      <c r="E1102">
        <v>0</v>
      </c>
      <c r="F1102" t="s">
        <v>62</v>
      </c>
      <c r="G1102" t="str">
        <f t="shared" si="69"/>
        <v>Other</v>
      </c>
      <c r="H1102">
        <v>37</v>
      </c>
      <c r="I1102">
        <v>8051</v>
      </c>
      <c r="J1102">
        <v>6</v>
      </c>
      <c r="K1102" t="s">
        <v>35</v>
      </c>
      <c r="L1102" t="s">
        <v>893</v>
      </c>
      <c r="M1102" t="s">
        <v>959</v>
      </c>
      <c r="N1102" t="s">
        <v>917</v>
      </c>
      <c r="P1102" t="s">
        <v>918</v>
      </c>
      <c r="Q1102" t="s">
        <v>918</v>
      </c>
      <c r="R1102">
        <v>37</v>
      </c>
      <c r="T1102">
        <v>818</v>
      </c>
      <c r="U1102" t="s">
        <v>1074</v>
      </c>
      <c r="V1102" s="7">
        <v>47.990001679999999</v>
      </c>
      <c r="W1102" s="7">
        <v>51.274287170714288</v>
      </c>
      <c r="X1102">
        <v>5</v>
      </c>
      <c r="Y1102" s="7">
        <v>24</v>
      </c>
      <c r="Z1102" s="7">
        <v>239.9500084</v>
      </c>
      <c r="AA1102" s="7">
        <f t="shared" si="70"/>
        <v>215.9500084</v>
      </c>
      <c r="AB1102" t="s">
        <v>66</v>
      </c>
      <c r="AC1102" t="str">
        <f t="shared" si="71"/>
        <v>Non-Cash Payments</v>
      </c>
    </row>
    <row r="1103" spans="1:29" x14ac:dyDescent="0.25">
      <c r="A1103">
        <v>31738</v>
      </c>
      <c r="B1103" s="2">
        <v>42586</v>
      </c>
      <c r="C1103">
        <v>4</v>
      </c>
      <c r="D1103" s="2">
        <f t="shared" si="68"/>
        <v>42592</v>
      </c>
      <c r="E1103">
        <v>0</v>
      </c>
      <c r="F1103" t="s">
        <v>62</v>
      </c>
      <c r="G1103" t="str">
        <f t="shared" si="69"/>
        <v>Other</v>
      </c>
      <c r="H1103">
        <v>3</v>
      </c>
      <c r="I1103">
        <v>9202</v>
      </c>
      <c r="J1103">
        <v>2</v>
      </c>
      <c r="K1103" t="s">
        <v>136</v>
      </c>
      <c r="L1103" t="s">
        <v>893</v>
      </c>
      <c r="M1103" t="s">
        <v>964</v>
      </c>
      <c r="N1103" t="s">
        <v>958</v>
      </c>
      <c r="O1103">
        <v>48227</v>
      </c>
      <c r="P1103" t="s">
        <v>896</v>
      </c>
      <c r="Q1103" t="s">
        <v>903</v>
      </c>
      <c r="R1103">
        <v>3</v>
      </c>
      <c r="T1103">
        <v>37</v>
      </c>
      <c r="U1103" t="s">
        <v>1132</v>
      </c>
      <c r="V1103" s="7">
        <v>34.990001679999999</v>
      </c>
      <c r="W1103" s="7">
        <v>40.283001997</v>
      </c>
      <c r="X1103">
        <v>5</v>
      </c>
      <c r="Y1103" s="7">
        <v>8.75</v>
      </c>
      <c r="Z1103" s="7">
        <v>174.9500084</v>
      </c>
      <c r="AA1103" s="7">
        <f t="shared" si="70"/>
        <v>166.2000084</v>
      </c>
      <c r="AB1103" t="s">
        <v>66</v>
      </c>
      <c r="AC1103" t="str">
        <f t="shared" si="71"/>
        <v>Non-Cash Payments</v>
      </c>
    </row>
    <row r="1104" spans="1:29" x14ac:dyDescent="0.25">
      <c r="A1104">
        <v>35393</v>
      </c>
      <c r="B1104" s="2">
        <v>42521</v>
      </c>
      <c r="C1104">
        <v>4</v>
      </c>
      <c r="D1104" s="2">
        <f t="shared" si="68"/>
        <v>42527</v>
      </c>
      <c r="E1104">
        <v>0</v>
      </c>
      <c r="F1104" t="s">
        <v>62</v>
      </c>
      <c r="G1104" t="str">
        <f t="shared" si="69"/>
        <v>Other</v>
      </c>
      <c r="H1104">
        <v>5</v>
      </c>
      <c r="I1104">
        <v>2922</v>
      </c>
      <c r="J1104">
        <v>2</v>
      </c>
      <c r="K1104" t="s">
        <v>136</v>
      </c>
      <c r="L1104" t="s">
        <v>893</v>
      </c>
      <c r="M1104" t="s">
        <v>965</v>
      </c>
      <c r="N1104" t="s">
        <v>966</v>
      </c>
      <c r="O1104">
        <v>55407</v>
      </c>
      <c r="P1104" t="s">
        <v>896</v>
      </c>
      <c r="Q1104" t="s">
        <v>903</v>
      </c>
      <c r="R1104">
        <v>5</v>
      </c>
      <c r="T1104">
        <v>93</v>
      </c>
      <c r="U1104" t="s">
        <v>1119</v>
      </c>
      <c r="V1104" s="7">
        <v>24.989999770000001</v>
      </c>
      <c r="W1104" s="7">
        <v>17.455999691500001</v>
      </c>
      <c r="X1104">
        <v>5</v>
      </c>
      <c r="Y1104" s="7">
        <v>8.75</v>
      </c>
      <c r="Z1104" s="7">
        <v>124.94999885</v>
      </c>
      <c r="AA1104" s="7">
        <f t="shared" si="70"/>
        <v>116.19999885</v>
      </c>
      <c r="AB1104" t="s">
        <v>66</v>
      </c>
      <c r="AC1104" t="str">
        <f t="shared" si="71"/>
        <v>Non-Cash Payments</v>
      </c>
    </row>
    <row r="1105" spans="1:29" x14ac:dyDescent="0.25">
      <c r="A1105">
        <v>39081</v>
      </c>
      <c r="B1105" s="2">
        <v>42575</v>
      </c>
      <c r="C1105">
        <v>4</v>
      </c>
      <c r="D1105" s="2">
        <f t="shared" si="68"/>
        <v>42579</v>
      </c>
      <c r="E1105">
        <v>0</v>
      </c>
      <c r="F1105" t="s">
        <v>62</v>
      </c>
      <c r="G1105" t="str">
        <f t="shared" si="69"/>
        <v>Other</v>
      </c>
      <c r="H1105">
        <v>13</v>
      </c>
      <c r="I1105">
        <v>9368</v>
      </c>
      <c r="J1105">
        <v>3</v>
      </c>
      <c r="K1105" t="s">
        <v>24</v>
      </c>
      <c r="L1105" t="s">
        <v>893</v>
      </c>
      <c r="M1105" t="s">
        <v>967</v>
      </c>
      <c r="N1105" t="s">
        <v>930</v>
      </c>
      <c r="O1105">
        <v>28205</v>
      </c>
      <c r="P1105" t="s">
        <v>896</v>
      </c>
      <c r="Q1105" t="s">
        <v>931</v>
      </c>
      <c r="R1105">
        <v>13</v>
      </c>
      <c r="T1105">
        <v>276</v>
      </c>
      <c r="U1105" t="s">
        <v>1110</v>
      </c>
      <c r="V1105" s="7">
        <v>31.989999770000001</v>
      </c>
      <c r="W1105" s="7">
        <v>27.113333001333334</v>
      </c>
      <c r="X1105">
        <v>5</v>
      </c>
      <c r="Y1105" s="7">
        <v>20.790000920000001</v>
      </c>
      <c r="Z1105" s="7">
        <v>159.94999885000001</v>
      </c>
      <c r="AA1105" s="7">
        <f t="shared" si="70"/>
        <v>139.15999793</v>
      </c>
      <c r="AB1105" t="s">
        <v>66</v>
      </c>
      <c r="AC1105" t="str">
        <f t="shared" si="71"/>
        <v>Non-Cash Payments</v>
      </c>
    </row>
    <row r="1106" spans="1:29" x14ac:dyDescent="0.25">
      <c r="A1106">
        <v>40716</v>
      </c>
      <c r="B1106" s="2">
        <v>42599</v>
      </c>
      <c r="C1106">
        <v>4</v>
      </c>
      <c r="D1106" s="2">
        <f t="shared" si="68"/>
        <v>42605</v>
      </c>
      <c r="E1106">
        <v>0</v>
      </c>
      <c r="F1106" t="s">
        <v>62</v>
      </c>
      <c r="G1106" t="str">
        <f t="shared" si="69"/>
        <v>Other</v>
      </c>
      <c r="H1106">
        <v>9</v>
      </c>
      <c r="I1106">
        <v>712</v>
      </c>
      <c r="J1106">
        <v>3</v>
      </c>
      <c r="K1106" t="s">
        <v>24</v>
      </c>
      <c r="L1106" t="s">
        <v>893</v>
      </c>
      <c r="M1106" t="s">
        <v>904</v>
      </c>
      <c r="N1106" t="s">
        <v>905</v>
      </c>
      <c r="O1106">
        <v>77041</v>
      </c>
      <c r="P1106" t="s">
        <v>896</v>
      </c>
      <c r="Q1106" t="s">
        <v>903</v>
      </c>
      <c r="R1106">
        <v>9</v>
      </c>
      <c r="T1106">
        <v>191</v>
      </c>
      <c r="U1106" t="s">
        <v>1044</v>
      </c>
      <c r="V1106" s="7">
        <v>99.989997860000003</v>
      </c>
      <c r="W1106" s="7">
        <v>95.114003926871064</v>
      </c>
      <c r="X1106">
        <v>5</v>
      </c>
      <c r="Y1106" s="7">
        <v>64.989997860000003</v>
      </c>
      <c r="Z1106" s="7">
        <v>499.94998930000003</v>
      </c>
      <c r="AA1106" s="7">
        <f t="shared" si="70"/>
        <v>434.95999144000001</v>
      </c>
      <c r="AB1106" t="s">
        <v>66</v>
      </c>
      <c r="AC1106" t="str">
        <f t="shared" si="71"/>
        <v>Non-Cash Payments</v>
      </c>
    </row>
    <row r="1107" spans="1:29" x14ac:dyDescent="0.25">
      <c r="A1107">
        <v>41612</v>
      </c>
      <c r="B1107" s="2">
        <v>42612</v>
      </c>
      <c r="C1107">
        <v>4</v>
      </c>
      <c r="D1107" s="2">
        <f t="shared" si="68"/>
        <v>42618</v>
      </c>
      <c r="E1107">
        <v>0</v>
      </c>
      <c r="F1107" t="s">
        <v>62</v>
      </c>
      <c r="G1107" t="str">
        <f t="shared" si="69"/>
        <v>Other</v>
      </c>
      <c r="H1107">
        <v>9</v>
      </c>
      <c r="I1107">
        <v>1222</v>
      </c>
      <c r="J1107">
        <v>3</v>
      </c>
      <c r="K1107" t="s">
        <v>24</v>
      </c>
      <c r="L1107" t="s">
        <v>893</v>
      </c>
      <c r="M1107" t="s">
        <v>968</v>
      </c>
      <c r="N1107" t="s">
        <v>917</v>
      </c>
      <c r="P1107" t="s">
        <v>918</v>
      </c>
      <c r="Q1107" t="s">
        <v>918</v>
      </c>
      <c r="R1107">
        <v>9</v>
      </c>
      <c r="T1107">
        <v>191</v>
      </c>
      <c r="U1107" t="s">
        <v>1044</v>
      </c>
      <c r="V1107" s="7">
        <v>99.989997860000003</v>
      </c>
      <c r="W1107" s="7">
        <v>95.114003926871064</v>
      </c>
      <c r="X1107">
        <v>5</v>
      </c>
      <c r="Y1107" s="7">
        <v>74.989997860000003</v>
      </c>
      <c r="Z1107" s="7">
        <v>499.94998930000003</v>
      </c>
      <c r="AA1107" s="7">
        <f t="shared" si="70"/>
        <v>424.95999144000001</v>
      </c>
      <c r="AB1107" t="s">
        <v>66</v>
      </c>
      <c r="AC1107" t="str">
        <f t="shared" si="71"/>
        <v>Non-Cash Payments</v>
      </c>
    </row>
    <row r="1108" spans="1:29" x14ac:dyDescent="0.25">
      <c r="A1108">
        <v>36298</v>
      </c>
      <c r="B1108" s="2">
        <v>42534</v>
      </c>
      <c r="C1108">
        <v>4</v>
      </c>
      <c r="D1108" s="2">
        <f t="shared" si="68"/>
        <v>42538</v>
      </c>
      <c r="E1108">
        <v>0</v>
      </c>
      <c r="F1108" t="s">
        <v>62</v>
      </c>
      <c r="G1108" t="str">
        <f t="shared" si="69"/>
        <v>Other</v>
      </c>
      <c r="H1108">
        <v>9</v>
      </c>
      <c r="I1108">
        <v>275</v>
      </c>
      <c r="J1108">
        <v>3</v>
      </c>
      <c r="K1108" t="s">
        <v>24</v>
      </c>
      <c r="L1108" t="s">
        <v>893</v>
      </c>
      <c r="M1108" t="s">
        <v>969</v>
      </c>
      <c r="N1108" t="s">
        <v>953</v>
      </c>
      <c r="O1108">
        <v>23602</v>
      </c>
      <c r="P1108" t="s">
        <v>896</v>
      </c>
      <c r="Q1108" t="s">
        <v>931</v>
      </c>
      <c r="R1108">
        <v>9</v>
      </c>
      <c r="T1108">
        <v>191</v>
      </c>
      <c r="U1108" t="s">
        <v>1044</v>
      </c>
      <c r="V1108" s="7">
        <v>99.989997860000003</v>
      </c>
      <c r="W1108" s="7">
        <v>95.114003926871064</v>
      </c>
      <c r="X1108">
        <v>5</v>
      </c>
      <c r="Y1108" s="7">
        <v>79.989997860000003</v>
      </c>
      <c r="Z1108" s="7">
        <v>499.94998930000003</v>
      </c>
      <c r="AA1108" s="7">
        <f t="shared" si="70"/>
        <v>419.95999144000001</v>
      </c>
      <c r="AB1108" t="s">
        <v>66</v>
      </c>
      <c r="AC1108" t="str">
        <f t="shared" si="71"/>
        <v>Non-Cash Payments</v>
      </c>
    </row>
    <row r="1109" spans="1:29" x14ac:dyDescent="0.25">
      <c r="A1109">
        <v>40634</v>
      </c>
      <c r="B1109" s="2">
        <v>42598</v>
      </c>
      <c r="C1109">
        <v>4</v>
      </c>
      <c r="D1109" s="2">
        <f t="shared" si="68"/>
        <v>42604</v>
      </c>
      <c r="E1109">
        <v>1</v>
      </c>
      <c r="F1109" t="s">
        <v>62</v>
      </c>
      <c r="G1109" t="str">
        <f t="shared" si="69"/>
        <v>Other</v>
      </c>
      <c r="H1109">
        <v>9</v>
      </c>
      <c r="I1109">
        <v>12279</v>
      </c>
      <c r="J1109">
        <v>3</v>
      </c>
      <c r="K1109" t="s">
        <v>24</v>
      </c>
      <c r="L1109" t="s">
        <v>893</v>
      </c>
      <c r="M1109" t="s">
        <v>900</v>
      </c>
      <c r="N1109" t="s">
        <v>899</v>
      </c>
      <c r="O1109">
        <v>94110</v>
      </c>
      <c r="P1109" t="s">
        <v>896</v>
      </c>
      <c r="Q1109" t="s">
        <v>897</v>
      </c>
      <c r="R1109">
        <v>9</v>
      </c>
      <c r="T1109">
        <v>191</v>
      </c>
      <c r="U1109" t="s">
        <v>1044</v>
      </c>
      <c r="V1109" s="7">
        <v>99.989997860000003</v>
      </c>
      <c r="W1109" s="7">
        <v>95.114003926871064</v>
      </c>
      <c r="X1109">
        <v>5</v>
      </c>
      <c r="Y1109" s="7">
        <v>79.989997860000003</v>
      </c>
      <c r="Z1109" s="7">
        <v>499.94998930000003</v>
      </c>
      <c r="AA1109" s="7">
        <f t="shared" si="70"/>
        <v>419.95999144000001</v>
      </c>
      <c r="AB1109" t="s">
        <v>66</v>
      </c>
      <c r="AC1109" t="str">
        <f t="shared" si="71"/>
        <v>Non-Cash Payments</v>
      </c>
    </row>
    <row r="1110" spans="1:29" x14ac:dyDescent="0.25">
      <c r="A1110">
        <v>35393</v>
      </c>
      <c r="B1110" s="2">
        <v>42521</v>
      </c>
      <c r="C1110">
        <v>4</v>
      </c>
      <c r="D1110" s="2">
        <f t="shared" si="68"/>
        <v>42527</v>
      </c>
      <c r="E1110">
        <v>0</v>
      </c>
      <c r="F1110" t="s">
        <v>62</v>
      </c>
      <c r="G1110" t="str">
        <f t="shared" si="69"/>
        <v>Other</v>
      </c>
      <c r="H1110">
        <v>17</v>
      </c>
      <c r="I1110">
        <v>2922</v>
      </c>
      <c r="J1110">
        <v>4</v>
      </c>
      <c r="K1110" t="s">
        <v>46</v>
      </c>
      <c r="L1110" t="s">
        <v>893</v>
      </c>
      <c r="M1110" t="s">
        <v>965</v>
      </c>
      <c r="N1110" t="s">
        <v>966</v>
      </c>
      <c r="O1110">
        <v>55407</v>
      </c>
      <c r="P1110" t="s">
        <v>896</v>
      </c>
      <c r="Q1110" t="s">
        <v>903</v>
      </c>
      <c r="R1110">
        <v>17</v>
      </c>
      <c r="T1110">
        <v>365</v>
      </c>
      <c r="U1110" t="s">
        <v>1054</v>
      </c>
      <c r="V1110" s="7">
        <v>59.990001679999999</v>
      </c>
      <c r="W1110" s="7">
        <v>54.488929209402009</v>
      </c>
      <c r="X1110">
        <v>5</v>
      </c>
      <c r="Y1110" s="7">
        <v>0</v>
      </c>
      <c r="Z1110" s="7">
        <v>299.9500084</v>
      </c>
      <c r="AA1110" s="7">
        <f t="shared" si="70"/>
        <v>299.9500084</v>
      </c>
      <c r="AB1110" t="s">
        <v>66</v>
      </c>
      <c r="AC1110" t="str">
        <f t="shared" si="71"/>
        <v>Non-Cash Payments</v>
      </c>
    </row>
    <row r="1111" spans="1:29" x14ac:dyDescent="0.25">
      <c r="A1111">
        <v>36654</v>
      </c>
      <c r="B1111" s="2">
        <v>42540</v>
      </c>
      <c r="C1111">
        <v>4</v>
      </c>
      <c r="D1111" s="2">
        <f t="shared" si="68"/>
        <v>42544</v>
      </c>
      <c r="E1111">
        <v>1</v>
      </c>
      <c r="F1111" t="s">
        <v>62</v>
      </c>
      <c r="G1111" t="str">
        <f t="shared" si="69"/>
        <v>Other</v>
      </c>
      <c r="H1111">
        <v>17</v>
      </c>
      <c r="I1111">
        <v>8520</v>
      </c>
      <c r="J1111">
        <v>4</v>
      </c>
      <c r="K1111" t="s">
        <v>46</v>
      </c>
      <c r="L1111" t="s">
        <v>893</v>
      </c>
      <c r="M1111" t="s">
        <v>900</v>
      </c>
      <c r="N1111" t="s">
        <v>899</v>
      </c>
      <c r="O1111">
        <v>94122</v>
      </c>
      <c r="P1111" t="s">
        <v>896</v>
      </c>
      <c r="Q1111" t="s">
        <v>897</v>
      </c>
      <c r="R1111">
        <v>17</v>
      </c>
      <c r="T1111">
        <v>365</v>
      </c>
      <c r="U1111" t="s">
        <v>1054</v>
      </c>
      <c r="V1111" s="7">
        <v>59.990001679999999</v>
      </c>
      <c r="W1111" s="7">
        <v>54.488929209402009</v>
      </c>
      <c r="X1111">
        <v>5</v>
      </c>
      <c r="Y1111" s="7">
        <v>12</v>
      </c>
      <c r="Z1111" s="7">
        <v>299.9500084</v>
      </c>
      <c r="AA1111" s="7">
        <f t="shared" si="70"/>
        <v>287.9500084</v>
      </c>
      <c r="AB1111" t="s">
        <v>66</v>
      </c>
      <c r="AC1111" t="str">
        <f t="shared" si="71"/>
        <v>Non-Cash Payments</v>
      </c>
    </row>
    <row r="1112" spans="1:29" x14ac:dyDescent="0.25">
      <c r="A1112">
        <v>36636</v>
      </c>
      <c r="B1112" s="2">
        <v>42539</v>
      </c>
      <c r="C1112">
        <v>4</v>
      </c>
      <c r="D1112" s="2">
        <f t="shared" si="68"/>
        <v>42544</v>
      </c>
      <c r="E1112">
        <v>0</v>
      </c>
      <c r="F1112" t="s">
        <v>62</v>
      </c>
      <c r="G1112" t="str">
        <f t="shared" si="69"/>
        <v>Other</v>
      </c>
      <c r="H1112">
        <v>17</v>
      </c>
      <c r="I1112">
        <v>3373</v>
      </c>
      <c r="J1112">
        <v>4</v>
      </c>
      <c r="K1112" t="s">
        <v>46</v>
      </c>
      <c r="L1112" t="s">
        <v>893</v>
      </c>
      <c r="M1112" t="s">
        <v>970</v>
      </c>
      <c r="N1112" t="s">
        <v>928</v>
      </c>
      <c r="O1112">
        <v>11572</v>
      </c>
      <c r="P1112" t="s">
        <v>896</v>
      </c>
      <c r="Q1112" t="s">
        <v>913</v>
      </c>
      <c r="R1112">
        <v>17</v>
      </c>
      <c r="T1112">
        <v>365</v>
      </c>
      <c r="U1112" t="s">
        <v>1054</v>
      </c>
      <c r="V1112" s="7">
        <v>59.990001679999999</v>
      </c>
      <c r="W1112" s="7">
        <v>54.488929209402009</v>
      </c>
      <c r="X1112">
        <v>5</v>
      </c>
      <c r="Y1112" s="7">
        <v>16.5</v>
      </c>
      <c r="Z1112" s="7">
        <v>299.9500084</v>
      </c>
      <c r="AA1112" s="7">
        <f t="shared" si="70"/>
        <v>283.4500084</v>
      </c>
      <c r="AB1112" t="s">
        <v>66</v>
      </c>
      <c r="AC1112" t="str">
        <f t="shared" si="71"/>
        <v>Non-Cash Payments</v>
      </c>
    </row>
    <row r="1113" spans="1:29" x14ac:dyDescent="0.25">
      <c r="A1113">
        <v>47796</v>
      </c>
      <c r="B1113" s="2">
        <v>42702</v>
      </c>
      <c r="C1113">
        <v>4</v>
      </c>
      <c r="D1113" s="2">
        <f t="shared" si="68"/>
        <v>42706</v>
      </c>
      <c r="E1113">
        <v>0</v>
      </c>
      <c r="F1113" t="s">
        <v>62</v>
      </c>
      <c r="G1113" t="str">
        <f t="shared" si="69"/>
        <v>Other</v>
      </c>
      <c r="H1113">
        <v>17</v>
      </c>
      <c r="I1113">
        <v>8587</v>
      </c>
      <c r="J1113">
        <v>4</v>
      </c>
      <c r="K1113" t="s">
        <v>46</v>
      </c>
      <c r="L1113" t="s">
        <v>893</v>
      </c>
      <c r="M1113" t="s">
        <v>971</v>
      </c>
      <c r="N1113" t="s">
        <v>972</v>
      </c>
      <c r="P1113" t="s">
        <v>918</v>
      </c>
      <c r="Q1113" t="s">
        <v>918</v>
      </c>
      <c r="R1113">
        <v>17</v>
      </c>
      <c r="T1113">
        <v>365</v>
      </c>
      <c r="U1113" t="s">
        <v>1054</v>
      </c>
      <c r="V1113" s="7">
        <v>59.990001679999999</v>
      </c>
      <c r="W1113" s="7">
        <v>54.488929209402009</v>
      </c>
      <c r="X1113">
        <v>5</v>
      </c>
      <c r="Y1113" s="7">
        <v>35.990001679999999</v>
      </c>
      <c r="Z1113" s="7">
        <v>299.9500084</v>
      </c>
      <c r="AA1113" s="7">
        <f t="shared" si="70"/>
        <v>263.96000672000002</v>
      </c>
      <c r="AB1113" t="s">
        <v>66</v>
      </c>
      <c r="AC1113" t="str">
        <f t="shared" si="71"/>
        <v>Non-Cash Payments</v>
      </c>
    </row>
    <row r="1114" spans="1:29" x14ac:dyDescent="0.25">
      <c r="A1114">
        <v>35266</v>
      </c>
      <c r="B1114" s="2">
        <v>42519</v>
      </c>
      <c r="C1114">
        <v>4</v>
      </c>
      <c r="D1114" s="2">
        <f t="shared" si="68"/>
        <v>42523</v>
      </c>
      <c r="E1114">
        <v>0</v>
      </c>
      <c r="F1114" t="s">
        <v>62</v>
      </c>
      <c r="G1114" t="str">
        <f t="shared" si="69"/>
        <v>Other</v>
      </c>
      <c r="H1114">
        <v>17</v>
      </c>
      <c r="I1114">
        <v>288</v>
      </c>
      <c r="J1114">
        <v>4</v>
      </c>
      <c r="K1114" t="s">
        <v>46</v>
      </c>
      <c r="L1114" t="s">
        <v>893</v>
      </c>
      <c r="M1114" t="s">
        <v>973</v>
      </c>
      <c r="N1114" t="s">
        <v>905</v>
      </c>
      <c r="O1114">
        <v>78207</v>
      </c>
      <c r="P1114" t="s">
        <v>896</v>
      </c>
      <c r="Q1114" t="s">
        <v>903</v>
      </c>
      <c r="R1114">
        <v>17</v>
      </c>
      <c r="T1114">
        <v>365</v>
      </c>
      <c r="U1114" t="s">
        <v>1054</v>
      </c>
      <c r="V1114" s="7">
        <v>59.990001679999999</v>
      </c>
      <c r="W1114" s="7">
        <v>54.488929209402009</v>
      </c>
      <c r="X1114">
        <v>5</v>
      </c>
      <c r="Y1114" s="7">
        <v>44.990001679999999</v>
      </c>
      <c r="Z1114" s="7">
        <v>299.9500084</v>
      </c>
      <c r="AA1114" s="7">
        <f t="shared" si="70"/>
        <v>254.96000672</v>
      </c>
      <c r="AB1114" t="s">
        <v>66</v>
      </c>
      <c r="AC1114" t="str">
        <f t="shared" si="71"/>
        <v>Non-Cash Payments</v>
      </c>
    </row>
    <row r="1115" spans="1:29" x14ac:dyDescent="0.25">
      <c r="A1115">
        <v>34089</v>
      </c>
      <c r="B1115" s="2">
        <v>42709</v>
      </c>
      <c r="C1115">
        <v>4</v>
      </c>
      <c r="D1115" s="2">
        <f t="shared" si="68"/>
        <v>42713</v>
      </c>
      <c r="E1115">
        <v>1</v>
      </c>
      <c r="F1115" t="s">
        <v>62</v>
      </c>
      <c r="G1115" t="str">
        <f t="shared" si="69"/>
        <v>Other</v>
      </c>
      <c r="H1115">
        <v>17</v>
      </c>
      <c r="I1115">
        <v>8004</v>
      </c>
      <c r="J1115">
        <v>4</v>
      </c>
      <c r="K1115" t="s">
        <v>46</v>
      </c>
      <c r="L1115" t="s">
        <v>893</v>
      </c>
      <c r="M1115" t="s">
        <v>974</v>
      </c>
      <c r="N1115" t="s">
        <v>975</v>
      </c>
      <c r="O1115">
        <v>68104</v>
      </c>
      <c r="P1115" t="s">
        <v>896</v>
      </c>
      <c r="Q1115" t="s">
        <v>903</v>
      </c>
      <c r="R1115">
        <v>17</v>
      </c>
      <c r="T1115">
        <v>365</v>
      </c>
      <c r="U1115" t="s">
        <v>1054</v>
      </c>
      <c r="V1115" s="7">
        <v>59.990001679999999</v>
      </c>
      <c r="W1115" s="7">
        <v>54.488929209402009</v>
      </c>
      <c r="X1115">
        <v>5</v>
      </c>
      <c r="Y1115" s="7">
        <v>44.990001679999999</v>
      </c>
      <c r="Z1115" s="7">
        <v>299.9500084</v>
      </c>
      <c r="AA1115" s="7">
        <f t="shared" si="70"/>
        <v>254.96000672</v>
      </c>
      <c r="AB1115" t="s">
        <v>66</v>
      </c>
      <c r="AC1115" t="str">
        <f t="shared" si="71"/>
        <v>Non-Cash Payments</v>
      </c>
    </row>
    <row r="1116" spans="1:29" x14ac:dyDescent="0.25">
      <c r="A1116">
        <v>50571</v>
      </c>
      <c r="B1116" s="2">
        <v>42948</v>
      </c>
      <c r="C1116">
        <v>4</v>
      </c>
      <c r="D1116" s="2">
        <f t="shared" si="68"/>
        <v>42954</v>
      </c>
      <c r="E1116">
        <v>0</v>
      </c>
      <c r="F1116" t="s">
        <v>62</v>
      </c>
      <c r="G1116" t="str">
        <f t="shared" si="69"/>
        <v>Other</v>
      </c>
      <c r="H1116">
        <v>17</v>
      </c>
      <c r="I1116">
        <v>1507</v>
      </c>
      <c r="J1116">
        <v>4</v>
      </c>
      <c r="K1116" t="s">
        <v>46</v>
      </c>
      <c r="L1116" t="s">
        <v>893</v>
      </c>
      <c r="M1116" t="s">
        <v>956</v>
      </c>
      <c r="N1116" t="s">
        <v>917</v>
      </c>
      <c r="P1116" t="s">
        <v>918</v>
      </c>
      <c r="Q1116" t="s">
        <v>918</v>
      </c>
      <c r="R1116">
        <v>17</v>
      </c>
      <c r="T1116">
        <v>365</v>
      </c>
      <c r="U1116" t="s">
        <v>1054</v>
      </c>
      <c r="V1116" s="7">
        <v>59.990001679999999</v>
      </c>
      <c r="W1116" s="7">
        <v>54.488929209402009</v>
      </c>
      <c r="X1116">
        <v>5</v>
      </c>
      <c r="Y1116" s="7">
        <v>53.990001679999999</v>
      </c>
      <c r="Z1116" s="7">
        <v>299.9500084</v>
      </c>
      <c r="AA1116" s="7">
        <f t="shared" si="70"/>
        <v>245.96000672</v>
      </c>
      <c r="AB1116" t="s">
        <v>66</v>
      </c>
      <c r="AC1116" t="str">
        <f t="shared" si="71"/>
        <v>Non-Cash Payments</v>
      </c>
    </row>
    <row r="1117" spans="1:29" x14ac:dyDescent="0.25">
      <c r="A1117">
        <v>46744</v>
      </c>
      <c r="B1117" s="2">
        <v>42687</v>
      </c>
      <c r="C1117">
        <v>4</v>
      </c>
      <c r="D1117" s="2">
        <f t="shared" si="68"/>
        <v>42691</v>
      </c>
      <c r="E1117">
        <v>1</v>
      </c>
      <c r="F1117" t="s">
        <v>62</v>
      </c>
      <c r="G1117" t="str">
        <f t="shared" si="69"/>
        <v>Other</v>
      </c>
      <c r="H1117">
        <v>29</v>
      </c>
      <c r="I1117">
        <v>228</v>
      </c>
      <c r="J1117">
        <v>5</v>
      </c>
      <c r="K1117" t="s">
        <v>31</v>
      </c>
      <c r="L1117" t="s">
        <v>893</v>
      </c>
      <c r="M1117" t="s">
        <v>956</v>
      </c>
      <c r="N1117" t="s">
        <v>917</v>
      </c>
      <c r="P1117" t="s">
        <v>918</v>
      </c>
      <c r="Q1117" t="s">
        <v>918</v>
      </c>
      <c r="R1117">
        <v>29</v>
      </c>
      <c r="T1117">
        <v>627</v>
      </c>
      <c r="U1117" t="s">
        <v>1046</v>
      </c>
      <c r="V1117" s="7">
        <v>39.990001679999999</v>
      </c>
      <c r="W1117" s="7">
        <v>34.198098313835338</v>
      </c>
      <c r="X1117">
        <v>5</v>
      </c>
      <c r="Y1117" s="7">
        <v>2</v>
      </c>
      <c r="Z1117" s="7">
        <v>199.9500084</v>
      </c>
      <c r="AA1117" s="7">
        <f t="shared" si="70"/>
        <v>197.9500084</v>
      </c>
      <c r="AB1117" t="s">
        <v>66</v>
      </c>
      <c r="AC1117" t="str">
        <f t="shared" si="71"/>
        <v>Non-Cash Payments</v>
      </c>
    </row>
    <row r="1118" spans="1:29" x14ac:dyDescent="0.25">
      <c r="A1118">
        <v>36894</v>
      </c>
      <c r="B1118" s="2">
        <v>42543</v>
      </c>
      <c r="C1118">
        <v>4</v>
      </c>
      <c r="D1118" s="2">
        <f t="shared" si="68"/>
        <v>42549</v>
      </c>
      <c r="E1118">
        <v>1</v>
      </c>
      <c r="F1118" t="s">
        <v>62</v>
      </c>
      <c r="G1118" t="str">
        <f t="shared" si="69"/>
        <v>Other</v>
      </c>
      <c r="H1118">
        <v>29</v>
      </c>
      <c r="I1118">
        <v>10753</v>
      </c>
      <c r="J1118">
        <v>5</v>
      </c>
      <c r="K1118" t="s">
        <v>31</v>
      </c>
      <c r="L1118" t="s">
        <v>893</v>
      </c>
      <c r="M1118" t="s">
        <v>976</v>
      </c>
      <c r="N1118" t="s">
        <v>940</v>
      </c>
      <c r="O1118">
        <v>21215</v>
      </c>
      <c r="P1118" t="s">
        <v>896</v>
      </c>
      <c r="Q1118" t="s">
        <v>913</v>
      </c>
      <c r="R1118">
        <v>29</v>
      </c>
      <c r="T1118">
        <v>627</v>
      </c>
      <c r="U1118" t="s">
        <v>1046</v>
      </c>
      <c r="V1118" s="7">
        <v>39.990001679999999</v>
      </c>
      <c r="W1118" s="7">
        <v>34.198098313835338</v>
      </c>
      <c r="X1118">
        <v>5</v>
      </c>
      <c r="Y1118" s="7">
        <v>2</v>
      </c>
      <c r="Z1118" s="7">
        <v>199.9500084</v>
      </c>
      <c r="AA1118" s="7">
        <f t="shared" si="70"/>
        <v>197.9500084</v>
      </c>
      <c r="AB1118" t="s">
        <v>66</v>
      </c>
      <c r="AC1118" t="str">
        <f t="shared" si="71"/>
        <v>Non-Cash Payments</v>
      </c>
    </row>
    <row r="1119" spans="1:29" x14ac:dyDescent="0.25">
      <c r="A1119">
        <v>39241</v>
      </c>
      <c r="B1119" s="2">
        <v>42577</v>
      </c>
      <c r="C1119">
        <v>4</v>
      </c>
      <c r="D1119" s="2">
        <f t="shared" si="68"/>
        <v>42583</v>
      </c>
      <c r="E1119">
        <v>0</v>
      </c>
      <c r="F1119" t="s">
        <v>62</v>
      </c>
      <c r="G1119" t="str">
        <f t="shared" si="69"/>
        <v>Other</v>
      </c>
      <c r="H1119">
        <v>29</v>
      </c>
      <c r="I1119">
        <v>2368</v>
      </c>
      <c r="J1119">
        <v>5</v>
      </c>
      <c r="K1119" t="s">
        <v>31</v>
      </c>
      <c r="L1119" t="s">
        <v>893</v>
      </c>
      <c r="M1119" t="s">
        <v>977</v>
      </c>
      <c r="N1119" t="s">
        <v>905</v>
      </c>
      <c r="O1119">
        <v>75081</v>
      </c>
      <c r="P1119" t="s">
        <v>896</v>
      </c>
      <c r="Q1119" t="s">
        <v>903</v>
      </c>
      <c r="R1119">
        <v>29</v>
      </c>
      <c r="T1119">
        <v>627</v>
      </c>
      <c r="U1119" t="s">
        <v>1046</v>
      </c>
      <c r="V1119" s="7">
        <v>39.990001679999999</v>
      </c>
      <c r="W1119" s="7">
        <v>34.198098313835338</v>
      </c>
      <c r="X1119">
        <v>5</v>
      </c>
      <c r="Y1119" s="7">
        <v>2</v>
      </c>
      <c r="Z1119" s="7">
        <v>199.9500084</v>
      </c>
      <c r="AA1119" s="7">
        <f t="shared" si="70"/>
        <v>197.9500084</v>
      </c>
      <c r="AB1119" t="s">
        <v>66</v>
      </c>
      <c r="AC1119" t="str">
        <f t="shared" si="71"/>
        <v>Non-Cash Payments</v>
      </c>
    </row>
    <row r="1120" spans="1:29" x14ac:dyDescent="0.25">
      <c r="A1120">
        <v>46992</v>
      </c>
      <c r="B1120" s="2">
        <v>42690</v>
      </c>
      <c r="C1120">
        <v>4</v>
      </c>
      <c r="D1120" s="2">
        <f t="shared" si="68"/>
        <v>42696</v>
      </c>
      <c r="E1120">
        <v>0</v>
      </c>
      <c r="F1120" t="s">
        <v>62</v>
      </c>
      <c r="G1120" t="str">
        <f t="shared" si="69"/>
        <v>Other</v>
      </c>
      <c r="H1120">
        <v>24</v>
      </c>
      <c r="I1120">
        <v>9484</v>
      </c>
      <c r="J1120">
        <v>5</v>
      </c>
      <c r="K1120" t="s">
        <v>31</v>
      </c>
      <c r="L1120" t="s">
        <v>893</v>
      </c>
      <c r="M1120" t="s">
        <v>978</v>
      </c>
      <c r="N1120" t="s">
        <v>979</v>
      </c>
      <c r="P1120" t="s">
        <v>918</v>
      </c>
      <c r="Q1120" t="s">
        <v>918</v>
      </c>
      <c r="R1120">
        <v>24</v>
      </c>
      <c r="T1120">
        <v>502</v>
      </c>
      <c r="U1120" t="s">
        <v>1058</v>
      </c>
      <c r="V1120" s="7">
        <v>50</v>
      </c>
      <c r="W1120" s="7">
        <v>43.678035218757444</v>
      </c>
      <c r="X1120">
        <v>5</v>
      </c>
      <c r="Y1120" s="7">
        <v>5</v>
      </c>
      <c r="Z1120" s="7">
        <v>250</v>
      </c>
      <c r="AA1120" s="7">
        <f t="shared" si="70"/>
        <v>245</v>
      </c>
      <c r="AB1120" t="s">
        <v>66</v>
      </c>
      <c r="AC1120" t="str">
        <f t="shared" si="71"/>
        <v>Non-Cash Payments</v>
      </c>
    </row>
    <row r="1121" spans="1:29" x14ac:dyDescent="0.25">
      <c r="A1121">
        <v>32277</v>
      </c>
      <c r="B1121" s="2">
        <v>42476</v>
      </c>
      <c r="C1121">
        <v>4</v>
      </c>
      <c r="D1121" s="2">
        <f t="shared" si="68"/>
        <v>42481</v>
      </c>
      <c r="E1121">
        <v>0</v>
      </c>
      <c r="F1121" t="s">
        <v>62</v>
      </c>
      <c r="G1121" t="str">
        <f t="shared" si="69"/>
        <v>Other</v>
      </c>
      <c r="H1121">
        <v>29</v>
      </c>
      <c r="I1121">
        <v>7005</v>
      </c>
      <c r="J1121">
        <v>5</v>
      </c>
      <c r="K1121" t="s">
        <v>31</v>
      </c>
      <c r="L1121" t="s">
        <v>893</v>
      </c>
      <c r="M1121" t="s">
        <v>927</v>
      </c>
      <c r="N1121" t="s">
        <v>928</v>
      </c>
      <c r="O1121">
        <v>10035</v>
      </c>
      <c r="P1121" t="s">
        <v>896</v>
      </c>
      <c r="Q1121" t="s">
        <v>913</v>
      </c>
      <c r="R1121">
        <v>29</v>
      </c>
      <c r="T1121">
        <v>627</v>
      </c>
      <c r="U1121" t="s">
        <v>1046</v>
      </c>
      <c r="V1121" s="7">
        <v>39.990001679999999</v>
      </c>
      <c r="W1121" s="7">
        <v>34.198098313835338</v>
      </c>
      <c r="X1121">
        <v>5</v>
      </c>
      <c r="Y1121" s="7">
        <v>8</v>
      </c>
      <c r="Z1121" s="7">
        <v>199.9500084</v>
      </c>
      <c r="AA1121" s="7">
        <f t="shared" si="70"/>
        <v>191.9500084</v>
      </c>
      <c r="AB1121" t="s">
        <v>66</v>
      </c>
      <c r="AC1121" t="str">
        <f t="shared" si="71"/>
        <v>Non-Cash Payments</v>
      </c>
    </row>
    <row r="1122" spans="1:29" x14ac:dyDescent="0.25">
      <c r="A1122">
        <v>47796</v>
      </c>
      <c r="B1122" s="2">
        <v>42702</v>
      </c>
      <c r="C1122">
        <v>4</v>
      </c>
      <c r="D1122" s="2">
        <f t="shared" si="68"/>
        <v>42706</v>
      </c>
      <c r="E1122">
        <v>0</v>
      </c>
      <c r="F1122" t="s">
        <v>62</v>
      </c>
      <c r="G1122" t="str">
        <f t="shared" si="69"/>
        <v>Other</v>
      </c>
      <c r="H1122">
        <v>24</v>
      </c>
      <c r="I1122">
        <v>8587</v>
      </c>
      <c r="J1122">
        <v>5</v>
      </c>
      <c r="K1122" t="s">
        <v>31</v>
      </c>
      <c r="L1122" t="s">
        <v>893</v>
      </c>
      <c r="M1122" t="s">
        <v>971</v>
      </c>
      <c r="N1122" t="s">
        <v>972</v>
      </c>
      <c r="P1122" t="s">
        <v>918</v>
      </c>
      <c r="Q1122" t="s">
        <v>918</v>
      </c>
      <c r="R1122">
        <v>24</v>
      </c>
      <c r="T1122">
        <v>502</v>
      </c>
      <c r="U1122" t="s">
        <v>1058</v>
      </c>
      <c r="V1122" s="7">
        <v>50</v>
      </c>
      <c r="W1122" s="7">
        <v>43.678035218757444</v>
      </c>
      <c r="X1122">
        <v>5</v>
      </c>
      <c r="Y1122" s="7">
        <v>22.5</v>
      </c>
      <c r="Z1122" s="7">
        <v>250</v>
      </c>
      <c r="AA1122" s="7">
        <f t="shared" si="70"/>
        <v>227.5</v>
      </c>
      <c r="AB1122" t="s">
        <v>66</v>
      </c>
      <c r="AC1122" t="str">
        <f t="shared" si="71"/>
        <v>Non-Cash Payments</v>
      </c>
    </row>
    <row r="1123" spans="1:29" x14ac:dyDescent="0.25">
      <c r="A1123">
        <v>36636</v>
      </c>
      <c r="B1123" s="2">
        <v>42539</v>
      </c>
      <c r="C1123">
        <v>4</v>
      </c>
      <c r="D1123" s="2">
        <f t="shared" si="68"/>
        <v>42544</v>
      </c>
      <c r="E1123">
        <v>0</v>
      </c>
      <c r="F1123" t="s">
        <v>62</v>
      </c>
      <c r="G1123" t="str">
        <f t="shared" si="69"/>
        <v>Other</v>
      </c>
      <c r="H1123">
        <v>29</v>
      </c>
      <c r="I1123">
        <v>3373</v>
      </c>
      <c r="J1123">
        <v>5</v>
      </c>
      <c r="K1123" t="s">
        <v>31</v>
      </c>
      <c r="L1123" t="s">
        <v>893</v>
      </c>
      <c r="M1123" t="s">
        <v>970</v>
      </c>
      <c r="N1123" t="s">
        <v>928</v>
      </c>
      <c r="O1123">
        <v>11572</v>
      </c>
      <c r="P1123" t="s">
        <v>896</v>
      </c>
      <c r="Q1123" t="s">
        <v>913</v>
      </c>
      <c r="R1123">
        <v>29</v>
      </c>
      <c r="T1123">
        <v>627</v>
      </c>
      <c r="U1123" t="s">
        <v>1046</v>
      </c>
      <c r="V1123" s="7">
        <v>39.990001679999999</v>
      </c>
      <c r="W1123" s="7">
        <v>34.198098313835338</v>
      </c>
      <c r="X1123">
        <v>5</v>
      </c>
      <c r="Y1123" s="7">
        <v>18</v>
      </c>
      <c r="Z1123" s="7">
        <v>199.9500084</v>
      </c>
      <c r="AA1123" s="7">
        <f t="shared" si="70"/>
        <v>181.9500084</v>
      </c>
      <c r="AB1123" t="s">
        <v>66</v>
      </c>
      <c r="AC1123" t="str">
        <f t="shared" si="71"/>
        <v>Non-Cash Payments</v>
      </c>
    </row>
    <row r="1124" spans="1:29" x14ac:dyDescent="0.25">
      <c r="A1124">
        <v>39498</v>
      </c>
      <c r="B1124" s="2">
        <v>42581</v>
      </c>
      <c r="C1124">
        <v>4</v>
      </c>
      <c r="D1124" s="2">
        <f t="shared" si="68"/>
        <v>42586</v>
      </c>
      <c r="E1124">
        <v>0</v>
      </c>
      <c r="F1124" t="s">
        <v>62</v>
      </c>
      <c r="G1124" t="str">
        <f t="shared" si="69"/>
        <v>Other</v>
      </c>
      <c r="H1124">
        <v>24</v>
      </c>
      <c r="I1124">
        <v>9164</v>
      </c>
      <c r="J1124">
        <v>5</v>
      </c>
      <c r="K1124" t="s">
        <v>31</v>
      </c>
      <c r="L1124" t="s">
        <v>893</v>
      </c>
      <c r="M1124" t="s">
        <v>927</v>
      </c>
      <c r="N1124" t="s">
        <v>928</v>
      </c>
      <c r="O1124">
        <v>10024</v>
      </c>
      <c r="P1124" t="s">
        <v>896</v>
      </c>
      <c r="Q1124" t="s">
        <v>913</v>
      </c>
      <c r="R1124">
        <v>24</v>
      </c>
      <c r="T1124">
        <v>502</v>
      </c>
      <c r="U1124" t="s">
        <v>1058</v>
      </c>
      <c r="V1124" s="7">
        <v>50</v>
      </c>
      <c r="W1124" s="7">
        <v>43.678035218757444</v>
      </c>
      <c r="X1124">
        <v>5</v>
      </c>
      <c r="Y1124" s="7">
        <v>22.5</v>
      </c>
      <c r="Z1124" s="7">
        <v>250</v>
      </c>
      <c r="AA1124" s="7">
        <f t="shared" si="70"/>
        <v>227.5</v>
      </c>
      <c r="AB1124" t="s">
        <v>66</v>
      </c>
      <c r="AC1124" t="str">
        <f t="shared" si="71"/>
        <v>Non-Cash Payments</v>
      </c>
    </row>
    <row r="1125" spans="1:29" x14ac:dyDescent="0.25">
      <c r="A1125">
        <v>37182</v>
      </c>
      <c r="B1125" s="2">
        <v>42547</v>
      </c>
      <c r="C1125">
        <v>4</v>
      </c>
      <c r="D1125" s="2">
        <f t="shared" si="68"/>
        <v>42551</v>
      </c>
      <c r="E1125">
        <v>0</v>
      </c>
      <c r="F1125" t="s">
        <v>62</v>
      </c>
      <c r="G1125" t="str">
        <f t="shared" si="69"/>
        <v>Other</v>
      </c>
      <c r="H1125">
        <v>29</v>
      </c>
      <c r="I1125">
        <v>10500</v>
      </c>
      <c r="J1125">
        <v>5</v>
      </c>
      <c r="K1125" t="s">
        <v>31</v>
      </c>
      <c r="L1125" t="s">
        <v>893</v>
      </c>
      <c r="M1125" t="s">
        <v>900</v>
      </c>
      <c r="N1125" t="s">
        <v>899</v>
      </c>
      <c r="O1125">
        <v>94110</v>
      </c>
      <c r="P1125" t="s">
        <v>896</v>
      </c>
      <c r="Q1125" t="s">
        <v>897</v>
      </c>
      <c r="R1125">
        <v>29</v>
      </c>
      <c r="T1125">
        <v>627</v>
      </c>
      <c r="U1125" t="s">
        <v>1046</v>
      </c>
      <c r="V1125" s="7">
        <v>39.990001679999999</v>
      </c>
      <c r="W1125" s="7">
        <v>34.198098313835338</v>
      </c>
      <c r="X1125">
        <v>5</v>
      </c>
      <c r="Y1125" s="7">
        <v>18</v>
      </c>
      <c r="Z1125" s="7">
        <v>199.9500084</v>
      </c>
      <c r="AA1125" s="7">
        <f t="shared" si="70"/>
        <v>181.9500084</v>
      </c>
      <c r="AB1125" t="s">
        <v>66</v>
      </c>
      <c r="AC1125" t="str">
        <f t="shared" si="71"/>
        <v>Non-Cash Payments</v>
      </c>
    </row>
    <row r="1126" spans="1:29" x14ac:dyDescent="0.25">
      <c r="A1126">
        <v>40647</v>
      </c>
      <c r="B1126" s="2">
        <v>42598</v>
      </c>
      <c r="C1126">
        <v>4</v>
      </c>
      <c r="D1126" s="2">
        <f t="shared" si="68"/>
        <v>42604</v>
      </c>
      <c r="E1126">
        <v>0</v>
      </c>
      <c r="F1126" t="s">
        <v>62</v>
      </c>
      <c r="G1126" t="str">
        <f t="shared" si="69"/>
        <v>Other</v>
      </c>
      <c r="H1126">
        <v>24</v>
      </c>
      <c r="I1126">
        <v>3814</v>
      </c>
      <c r="J1126">
        <v>5</v>
      </c>
      <c r="K1126" t="s">
        <v>31</v>
      </c>
      <c r="L1126" t="s">
        <v>893</v>
      </c>
      <c r="M1126" t="s">
        <v>925</v>
      </c>
      <c r="N1126" t="s">
        <v>895</v>
      </c>
      <c r="O1126">
        <v>98115</v>
      </c>
      <c r="P1126" t="s">
        <v>896</v>
      </c>
      <c r="Q1126" t="s">
        <v>897</v>
      </c>
      <c r="R1126">
        <v>24</v>
      </c>
      <c r="T1126">
        <v>502</v>
      </c>
      <c r="U1126" t="s">
        <v>1058</v>
      </c>
      <c r="V1126" s="7">
        <v>50</v>
      </c>
      <c r="W1126" s="7">
        <v>43.678035218757444</v>
      </c>
      <c r="X1126">
        <v>5</v>
      </c>
      <c r="Y1126" s="7">
        <v>22.5</v>
      </c>
      <c r="Z1126" s="7">
        <v>250</v>
      </c>
      <c r="AA1126" s="7">
        <f t="shared" si="70"/>
        <v>227.5</v>
      </c>
      <c r="AB1126" t="s">
        <v>66</v>
      </c>
      <c r="AC1126" t="str">
        <f t="shared" si="71"/>
        <v>Non-Cash Payments</v>
      </c>
    </row>
    <row r="1127" spans="1:29" x14ac:dyDescent="0.25">
      <c r="A1127">
        <v>32462</v>
      </c>
      <c r="B1127" s="2">
        <v>42478</v>
      </c>
      <c r="C1127">
        <v>4</v>
      </c>
      <c r="D1127" s="2">
        <f t="shared" si="68"/>
        <v>42482</v>
      </c>
      <c r="E1127">
        <v>0</v>
      </c>
      <c r="F1127" t="s">
        <v>62</v>
      </c>
      <c r="G1127" t="str">
        <f t="shared" si="69"/>
        <v>Other</v>
      </c>
      <c r="H1127">
        <v>24</v>
      </c>
      <c r="I1127">
        <v>4346</v>
      </c>
      <c r="J1127">
        <v>5</v>
      </c>
      <c r="K1127" t="s">
        <v>31</v>
      </c>
      <c r="L1127" t="s">
        <v>893</v>
      </c>
      <c r="M1127" t="s">
        <v>980</v>
      </c>
      <c r="N1127" t="s">
        <v>958</v>
      </c>
      <c r="O1127">
        <v>49201</v>
      </c>
      <c r="P1127" t="s">
        <v>896</v>
      </c>
      <c r="Q1127" t="s">
        <v>903</v>
      </c>
      <c r="R1127">
        <v>24</v>
      </c>
      <c r="T1127">
        <v>502</v>
      </c>
      <c r="U1127" t="s">
        <v>1058</v>
      </c>
      <c r="V1127" s="7">
        <v>50</v>
      </c>
      <c r="W1127" s="7">
        <v>43.678035218757444</v>
      </c>
      <c r="X1127">
        <v>5</v>
      </c>
      <c r="Y1127" s="7">
        <v>50</v>
      </c>
      <c r="Z1127" s="7">
        <v>250</v>
      </c>
      <c r="AA1127" s="7">
        <f t="shared" si="70"/>
        <v>200</v>
      </c>
      <c r="AB1127" t="s">
        <v>66</v>
      </c>
      <c r="AC1127" t="str">
        <f t="shared" si="71"/>
        <v>Non-Cash Payments</v>
      </c>
    </row>
    <row r="1128" spans="1:29" x14ac:dyDescent="0.25">
      <c r="A1128">
        <v>31410</v>
      </c>
      <c r="B1128" s="2">
        <v>42433</v>
      </c>
      <c r="C1128">
        <v>4</v>
      </c>
      <c r="D1128" s="2">
        <f t="shared" si="68"/>
        <v>42439</v>
      </c>
      <c r="E1128">
        <v>1</v>
      </c>
      <c r="F1128" t="s">
        <v>62</v>
      </c>
      <c r="G1128" t="str">
        <f t="shared" si="69"/>
        <v>Other</v>
      </c>
      <c r="H1128">
        <v>29</v>
      </c>
      <c r="I1128">
        <v>2233</v>
      </c>
      <c r="J1128">
        <v>5</v>
      </c>
      <c r="K1128" t="s">
        <v>31</v>
      </c>
      <c r="L1128" t="s">
        <v>893</v>
      </c>
      <c r="M1128" t="s">
        <v>914</v>
      </c>
      <c r="N1128" t="s">
        <v>912</v>
      </c>
      <c r="O1128">
        <v>43229</v>
      </c>
      <c r="P1128" t="s">
        <v>896</v>
      </c>
      <c r="Q1128" t="s">
        <v>913</v>
      </c>
      <c r="R1128">
        <v>29</v>
      </c>
      <c r="T1128">
        <v>627</v>
      </c>
      <c r="U1128" t="s">
        <v>1046</v>
      </c>
      <c r="V1128" s="7">
        <v>39.990001679999999</v>
      </c>
      <c r="W1128" s="7">
        <v>34.198098313835338</v>
      </c>
      <c r="X1128">
        <v>5</v>
      </c>
      <c r="Y1128" s="7">
        <v>49.990001679999999</v>
      </c>
      <c r="Z1128" s="7">
        <v>199.9500084</v>
      </c>
      <c r="AA1128" s="7">
        <f t="shared" si="70"/>
        <v>149.96000672</v>
      </c>
      <c r="AB1128" t="s">
        <v>66</v>
      </c>
      <c r="AC1128" t="str">
        <f t="shared" si="71"/>
        <v>Non-Cash Payments</v>
      </c>
    </row>
    <row r="1129" spans="1:29" x14ac:dyDescent="0.25">
      <c r="A1129">
        <v>31957</v>
      </c>
      <c r="B1129" s="2">
        <v>42678</v>
      </c>
      <c r="C1129">
        <v>4</v>
      </c>
      <c r="D1129" s="2">
        <f t="shared" si="68"/>
        <v>42684</v>
      </c>
      <c r="E1129">
        <v>0</v>
      </c>
      <c r="F1129" t="s">
        <v>62</v>
      </c>
      <c r="G1129" t="str">
        <f t="shared" si="69"/>
        <v>Other</v>
      </c>
      <c r="H1129">
        <v>36</v>
      </c>
      <c r="I1129">
        <v>7045</v>
      </c>
      <c r="J1129">
        <v>6</v>
      </c>
      <c r="K1129" t="s">
        <v>35</v>
      </c>
      <c r="L1129" t="s">
        <v>893</v>
      </c>
      <c r="M1129" t="s">
        <v>961</v>
      </c>
      <c r="N1129" t="s">
        <v>905</v>
      </c>
      <c r="O1129">
        <v>76017</v>
      </c>
      <c r="P1129" t="s">
        <v>896</v>
      </c>
      <c r="Q1129" t="s">
        <v>903</v>
      </c>
      <c r="R1129">
        <v>36</v>
      </c>
      <c r="T1129">
        <v>797</v>
      </c>
      <c r="U1129" t="s">
        <v>1133</v>
      </c>
      <c r="V1129" s="7">
        <v>17.989999770000001</v>
      </c>
      <c r="W1129" s="7">
        <v>16.2799997318</v>
      </c>
      <c r="X1129">
        <v>5</v>
      </c>
      <c r="Y1129" s="7">
        <v>4.5</v>
      </c>
      <c r="Z1129" s="7">
        <v>89.94999885</v>
      </c>
      <c r="AA1129" s="7">
        <f t="shared" si="70"/>
        <v>85.44999885</v>
      </c>
      <c r="AB1129" t="s">
        <v>66</v>
      </c>
      <c r="AC1129" t="str">
        <f t="shared" si="71"/>
        <v>Non-Cash Payments</v>
      </c>
    </row>
    <row r="1130" spans="1:29" x14ac:dyDescent="0.25">
      <c r="A1130">
        <v>36837</v>
      </c>
      <c r="B1130" s="2">
        <v>42542</v>
      </c>
      <c r="C1130">
        <v>4</v>
      </c>
      <c r="D1130" s="2">
        <f t="shared" si="68"/>
        <v>42548</v>
      </c>
      <c r="E1130">
        <v>0</v>
      </c>
      <c r="F1130" t="s">
        <v>62</v>
      </c>
      <c r="G1130" t="str">
        <f t="shared" si="69"/>
        <v>Other</v>
      </c>
      <c r="H1130">
        <v>37</v>
      </c>
      <c r="I1130">
        <v>7330</v>
      </c>
      <c r="J1130">
        <v>6</v>
      </c>
      <c r="K1130" t="s">
        <v>35</v>
      </c>
      <c r="L1130" t="s">
        <v>893</v>
      </c>
      <c r="M1130" t="s">
        <v>981</v>
      </c>
      <c r="N1130" t="s">
        <v>923</v>
      </c>
      <c r="O1130">
        <v>60653</v>
      </c>
      <c r="P1130" t="s">
        <v>896</v>
      </c>
      <c r="Q1130" t="s">
        <v>903</v>
      </c>
      <c r="R1130">
        <v>37</v>
      </c>
      <c r="T1130">
        <v>825</v>
      </c>
      <c r="U1130" t="s">
        <v>1069</v>
      </c>
      <c r="V1130" s="7">
        <v>31.989999770000001</v>
      </c>
      <c r="W1130" s="7">
        <v>23.973333102666668</v>
      </c>
      <c r="X1130">
        <v>5</v>
      </c>
      <c r="Y1130" s="7">
        <v>14.399999619999999</v>
      </c>
      <c r="Z1130" s="7">
        <v>159.94999885000001</v>
      </c>
      <c r="AA1130" s="7">
        <f t="shared" si="70"/>
        <v>145.54999923000003</v>
      </c>
      <c r="AB1130" t="s">
        <v>66</v>
      </c>
      <c r="AC1130" t="str">
        <f t="shared" si="71"/>
        <v>Non-Cash Payments</v>
      </c>
    </row>
    <row r="1131" spans="1:29" x14ac:dyDescent="0.25">
      <c r="A1131">
        <v>37675</v>
      </c>
      <c r="B1131" s="2">
        <v>42436</v>
      </c>
      <c r="C1131">
        <v>4</v>
      </c>
      <c r="D1131" s="2">
        <f t="shared" si="68"/>
        <v>42440</v>
      </c>
      <c r="E1131">
        <v>1</v>
      </c>
      <c r="F1131" t="s">
        <v>62</v>
      </c>
      <c r="G1131" t="str">
        <f t="shared" si="69"/>
        <v>Other</v>
      </c>
      <c r="H1131">
        <v>41</v>
      </c>
      <c r="I1131">
        <v>2136</v>
      </c>
      <c r="J1131">
        <v>6</v>
      </c>
      <c r="K1131" t="s">
        <v>35</v>
      </c>
      <c r="L1131" t="s">
        <v>893</v>
      </c>
      <c r="M1131" t="s">
        <v>982</v>
      </c>
      <c r="N1131" t="s">
        <v>983</v>
      </c>
      <c r="O1131">
        <v>6708</v>
      </c>
      <c r="P1131" t="s">
        <v>896</v>
      </c>
      <c r="Q1131" t="s">
        <v>913</v>
      </c>
      <c r="R1131">
        <v>41</v>
      </c>
      <c r="T1131">
        <v>926</v>
      </c>
      <c r="U1131" t="s">
        <v>1067</v>
      </c>
      <c r="V1131" s="7">
        <v>15.989999770000001</v>
      </c>
      <c r="W1131" s="7">
        <v>12.230249713200003</v>
      </c>
      <c r="X1131">
        <v>5</v>
      </c>
      <c r="Y1131" s="7">
        <v>11.989999770000001</v>
      </c>
      <c r="Z1131" s="7">
        <v>79.94999885</v>
      </c>
      <c r="AA1131" s="7">
        <f t="shared" si="70"/>
        <v>67.959999080000003</v>
      </c>
      <c r="AB1131" t="s">
        <v>66</v>
      </c>
      <c r="AC1131" t="str">
        <f t="shared" si="71"/>
        <v>Non-Cash Payments</v>
      </c>
    </row>
    <row r="1132" spans="1:29" x14ac:dyDescent="0.25">
      <c r="A1132">
        <v>32536</v>
      </c>
      <c r="B1132" s="2">
        <v>42479</v>
      </c>
      <c r="C1132">
        <v>4</v>
      </c>
      <c r="D1132" s="2">
        <f t="shared" si="68"/>
        <v>42485</v>
      </c>
      <c r="E1132">
        <v>0</v>
      </c>
      <c r="F1132" t="s">
        <v>62</v>
      </c>
      <c r="G1132" t="str">
        <f t="shared" si="69"/>
        <v>Other</v>
      </c>
      <c r="H1132">
        <v>40</v>
      </c>
      <c r="I1132">
        <v>12333</v>
      </c>
      <c r="J1132">
        <v>6</v>
      </c>
      <c r="K1132" t="s">
        <v>35</v>
      </c>
      <c r="L1132" t="s">
        <v>893</v>
      </c>
      <c r="M1132" t="s">
        <v>925</v>
      </c>
      <c r="N1132" t="s">
        <v>895</v>
      </c>
      <c r="O1132">
        <v>98105</v>
      </c>
      <c r="P1132" t="s">
        <v>896</v>
      </c>
      <c r="Q1132" t="s">
        <v>897</v>
      </c>
      <c r="R1132">
        <v>40</v>
      </c>
      <c r="T1132">
        <v>906</v>
      </c>
      <c r="U1132" t="s">
        <v>1065</v>
      </c>
      <c r="V1132" s="7">
        <v>24.989999770000001</v>
      </c>
      <c r="W1132" s="7">
        <v>16.911999892000001</v>
      </c>
      <c r="X1132">
        <v>5</v>
      </c>
      <c r="Y1132" s="7">
        <v>31.239999770000001</v>
      </c>
      <c r="Z1132" s="7">
        <v>124.94999885</v>
      </c>
      <c r="AA1132" s="7">
        <f t="shared" si="70"/>
        <v>93.709999080000003</v>
      </c>
      <c r="AB1132" t="s">
        <v>66</v>
      </c>
      <c r="AC1132" t="str">
        <f t="shared" si="71"/>
        <v>Non-Cash Payments</v>
      </c>
    </row>
    <row r="1133" spans="1:29" x14ac:dyDescent="0.25">
      <c r="A1133">
        <v>31336</v>
      </c>
      <c r="B1133" s="2">
        <v>42404</v>
      </c>
      <c r="C1133">
        <v>4</v>
      </c>
      <c r="D1133" s="2">
        <f t="shared" si="68"/>
        <v>42410</v>
      </c>
      <c r="E1133">
        <v>0</v>
      </c>
      <c r="F1133" t="s">
        <v>62</v>
      </c>
      <c r="G1133" t="str">
        <f t="shared" si="69"/>
        <v>Other</v>
      </c>
      <c r="H1133">
        <v>5</v>
      </c>
      <c r="I1133">
        <v>9554</v>
      </c>
      <c r="J1133">
        <v>2</v>
      </c>
      <c r="K1133" t="s">
        <v>136</v>
      </c>
      <c r="L1133" t="s">
        <v>893</v>
      </c>
      <c r="M1133" t="s">
        <v>904</v>
      </c>
      <c r="N1133" t="s">
        <v>905</v>
      </c>
      <c r="O1133">
        <v>77041</v>
      </c>
      <c r="P1133" t="s">
        <v>896</v>
      </c>
      <c r="Q1133" t="s">
        <v>903</v>
      </c>
      <c r="R1133">
        <v>5</v>
      </c>
      <c r="T1133">
        <v>93</v>
      </c>
      <c r="U1133" t="s">
        <v>1119</v>
      </c>
      <c r="V1133" s="7">
        <v>24.989999770000001</v>
      </c>
      <c r="W1133" s="7">
        <v>17.455999691500001</v>
      </c>
      <c r="X1133">
        <v>5</v>
      </c>
      <c r="Y1133" s="7">
        <v>8.75</v>
      </c>
      <c r="Z1133" s="7">
        <v>124.94999885</v>
      </c>
      <c r="AA1133" s="7">
        <f t="shared" si="70"/>
        <v>116.19999885</v>
      </c>
      <c r="AB1133" t="s">
        <v>66</v>
      </c>
      <c r="AC1133" t="str">
        <f t="shared" si="71"/>
        <v>Non-Cash Payments</v>
      </c>
    </row>
    <row r="1134" spans="1:29" x14ac:dyDescent="0.25">
      <c r="A1134">
        <v>32846</v>
      </c>
      <c r="B1134" s="2">
        <v>42484</v>
      </c>
      <c r="C1134">
        <v>4</v>
      </c>
      <c r="D1134" s="2">
        <f t="shared" si="68"/>
        <v>42488</v>
      </c>
      <c r="E1134">
        <v>0</v>
      </c>
      <c r="F1134" t="s">
        <v>62</v>
      </c>
      <c r="G1134" t="str">
        <f t="shared" si="69"/>
        <v>Other</v>
      </c>
      <c r="H1134">
        <v>9</v>
      </c>
      <c r="I1134">
        <v>2062</v>
      </c>
      <c r="J1134">
        <v>3</v>
      </c>
      <c r="K1134" t="s">
        <v>24</v>
      </c>
      <c r="L1134" t="s">
        <v>893</v>
      </c>
      <c r="M1134" t="s">
        <v>927</v>
      </c>
      <c r="N1134" t="s">
        <v>928</v>
      </c>
      <c r="O1134">
        <v>10011</v>
      </c>
      <c r="P1134" t="s">
        <v>896</v>
      </c>
      <c r="Q1134" t="s">
        <v>913</v>
      </c>
      <c r="R1134">
        <v>9</v>
      </c>
      <c r="T1134">
        <v>191</v>
      </c>
      <c r="U1134" t="s">
        <v>1044</v>
      </c>
      <c r="V1134" s="7">
        <v>99.989997860000003</v>
      </c>
      <c r="W1134" s="7">
        <v>95.114003926871064</v>
      </c>
      <c r="X1134">
        <v>5</v>
      </c>
      <c r="Y1134" s="7">
        <v>27.5</v>
      </c>
      <c r="Z1134" s="7">
        <v>499.94998930000003</v>
      </c>
      <c r="AA1134" s="7">
        <f t="shared" si="70"/>
        <v>472.44998930000003</v>
      </c>
      <c r="AB1134" t="s">
        <v>66</v>
      </c>
      <c r="AC1134" t="str">
        <f t="shared" si="71"/>
        <v>Non-Cash Payments</v>
      </c>
    </row>
    <row r="1135" spans="1:29" x14ac:dyDescent="0.25">
      <c r="A1135">
        <v>35083</v>
      </c>
      <c r="B1135" s="2">
        <v>42517</v>
      </c>
      <c r="C1135">
        <v>4</v>
      </c>
      <c r="D1135" s="2">
        <f t="shared" si="68"/>
        <v>42523</v>
      </c>
      <c r="E1135">
        <v>0</v>
      </c>
      <c r="F1135" t="s">
        <v>62</v>
      </c>
      <c r="G1135" t="str">
        <f t="shared" si="69"/>
        <v>Other</v>
      </c>
      <c r="H1135">
        <v>9</v>
      </c>
      <c r="I1135">
        <v>2518</v>
      </c>
      <c r="J1135">
        <v>3</v>
      </c>
      <c r="K1135" t="s">
        <v>24</v>
      </c>
      <c r="L1135" t="s">
        <v>893</v>
      </c>
      <c r="M1135" t="s">
        <v>898</v>
      </c>
      <c r="N1135" t="s">
        <v>899</v>
      </c>
      <c r="O1135">
        <v>90045</v>
      </c>
      <c r="P1135" t="s">
        <v>896</v>
      </c>
      <c r="Q1135" t="s">
        <v>897</v>
      </c>
      <c r="R1135">
        <v>9</v>
      </c>
      <c r="T1135">
        <v>191</v>
      </c>
      <c r="U1135" t="s">
        <v>1044</v>
      </c>
      <c r="V1135" s="7">
        <v>99.989997860000003</v>
      </c>
      <c r="W1135" s="7">
        <v>95.114003926871064</v>
      </c>
      <c r="X1135">
        <v>5</v>
      </c>
      <c r="Y1135" s="7">
        <v>74.989997860000003</v>
      </c>
      <c r="Z1135" s="7">
        <v>499.94998930000003</v>
      </c>
      <c r="AA1135" s="7">
        <f t="shared" si="70"/>
        <v>424.95999144000001</v>
      </c>
      <c r="AB1135" t="s">
        <v>66</v>
      </c>
      <c r="AC1135" t="str">
        <f t="shared" si="71"/>
        <v>Non-Cash Payments</v>
      </c>
    </row>
    <row r="1136" spans="1:29" x14ac:dyDescent="0.25">
      <c r="A1136">
        <v>39036</v>
      </c>
      <c r="B1136" s="2">
        <v>42574</v>
      </c>
      <c r="C1136">
        <v>4</v>
      </c>
      <c r="D1136" s="2">
        <f t="shared" si="68"/>
        <v>42579</v>
      </c>
      <c r="E1136">
        <v>0</v>
      </c>
      <c r="F1136" t="s">
        <v>62</v>
      </c>
      <c r="G1136" t="str">
        <f t="shared" si="69"/>
        <v>Other</v>
      </c>
      <c r="H1136">
        <v>9</v>
      </c>
      <c r="I1136">
        <v>7007</v>
      </c>
      <c r="J1136">
        <v>3</v>
      </c>
      <c r="K1136" t="s">
        <v>24</v>
      </c>
      <c r="L1136" t="s">
        <v>893</v>
      </c>
      <c r="M1136" t="s">
        <v>900</v>
      </c>
      <c r="N1136" t="s">
        <v>899</v>
      </c>
      <c r="O1136">
        <v>94110</v>
      </c>
      <c r="P1136" t="s">
        <v>896</v>
      </c>
      <c r="Q1136" t="s">
        <v>897</v>
      </c>
      <c r="R1136">
        <v>9</v>
      </c>
      <c r="T1136">
        <v>191</v>
      </c>
      <c r="U1136" t="s">
        <v>1044</v>
      </c>
      <c r="V1136" s="7">
        <v>99.989997860000003</v>
      </c>
      <c r="W1136" s="7">
        <v>95.114003926871064</v>
      </c>
      <c r="X1136">
        <v>5</v>
      </c>
      <c r="Y1136" s="7">
        <v>124.98999790000001</v>
      </c>
      <c r="Z1136" s="7">
        <v>499.94998930000003</v>
      </c>
      <c r="AA1136" s="7">
        <f t="shared" si="70"/>
        <v>374.95999140000004</v>
      </c>
      <c r="AB1136" t="s">
        <v>66</v>
      </c>
      <c r="AC1136" t="str">
        <f t="shared" si="71"/>
        <v>Non-Cash Payments</v>
      </c>
    </row>
    <row r="1137" spans="1:29" x14ac:dyDescent="0.25">
      <c r="A1137">
        <v>37493</v>
      </c>
      <c r="B1137" s="2">
        <v>42376</v>
      </c>
      <c r="C1137">
        <v>4</v>
      </c>
      <c r="D1137" s="2">
        <f t="shared" si="68"/>
        <v>42382</v>
      </c>
      <c r="E1137">
        <v>0</v>
      </c>
      <c r="F1137" t="s">
        <v>62</v>
      </c>
      <c r="G1137" t="str">
        <f t="shared" si="69"/>
        <v>Other</v>
      </c>
      <c r="H1137">
        <v>17</v>
      </c>
      <c r="I1137">
        <v>11743</v>
      </c>
      <c r="J1137">
        <v>4</v>
      </c>
      <c r="K1137" t="s">
        <v>46</v>
      </c>
      <c r="L1137" t="s">
        <v>893</v>
      </c>
      <c r="M1137" t="s">
        <v>920</v>
      </c>
      <c r="N1137" t="s">
        <v>921</v>
      </c>
      <c r="O1137">
        <v>19143</v>
      </c>
      <c r="P1137" t="s">
        <v>896</v>
      </c>
      <c r="Q1137" t="s">
        <v>913</v>
      </c>
      <c r="R1137">
        <v>17</v>
      </c>
      <c r="T1137">
        <v>365</v>
      </c>
      <c r="U1137" t="s">
        <v>1054</v>
      </c>
      <c r="V1137" s="7">
        <v>59.990001679999999</v>
      </c>
      <c r="W1137" s="7">
        <v>54.488929209402009</v>
      </c>
      <c r="X1137">
        <v>5</v>
      </c>
      <c r="Y1137" s="7">
        <v>9</v>
      </c>
      <c r="Z1137" s="7">
        <v>299.9500084</v>
      </c>
      <c r="AA1137" s="7">
        <f t="shared" si="70"/>
        <v>290.9500084</v>
      </c>
      <c r="AB1137" t="s">
        <v>66</v>
      </c>
      <c r="AC1137" t="str">
        <f t="shared" si="71"/>
        <v>Non-Cash Payments</v>
      </c>
    </row>
    <row r="1138" spans="1:29" x14ac:dyDescent="0.25">
      <c r="A1138">
        <v>33619</v>
      </c>
      <c r="B1138" s="2">
        <v>42495</v>
      </c>
      <c r="C1138">
        <v>4</v>
      </c>
      <c r="D1138" s="2">
        <f t="shared" si="68"/>
        <v>42501</v>
      </c>
      <c r="E1138">
        <v>0</v>
      </c>
      <c r="F1138" t="s">
        <v>62</v>
      </c>
      <c r="G1138" t="str">
        <f t="shared" si="69"/>
        <v>Other</v>
      </c>
      <c r="H1138">
        <v>17</v>
      </c>
      <c r="I1138">
        <v>5001</v>
      </c>
      <c r="J1138">
        <v>4</v>
      </c>
      <c r="K1138" t="s">
        <v>46</v>
      </c>
      <c r="L1138" t="s">
        <v>893</v>
      </c>
      <c r="M1138" t="s">
        <v>954</v>
      </c>
      <c r="N1138" t="s">
        <v>984</v>
      </c>
      <c r="O1138">
        <v>42420</v>
      </c>
      <c r="P1138" t="s">
        <v>896</v>
      </c>
      <c r="Q1138" t="s">
        <v>931</v>
      </c>
      <c r="R1138">
        <v>17</v>
      </c>
      <c r="T1138">
        <v>365</v>
      </c>
      <c r="U1138" t="s">
        <v>1054</v>
      </c>
      <c r="V1138" s="7">
        <v>59.990001679999999</v>
      </c>
      <c r="W1138" s="7">
        <v>54.488929209402009</v>
      </c>
      <c r="X1138">
        <v>5</v>
      </c>
      <c r="Y1138" s="7">
        <v>53.990001679999999</v>
      </c>
      <c r="Z1138" s="7">
        <v>299.9500084</v>
      </c>
      <c r="AA1138" s="7">
        <f t="shared" si="70"/>
        <v>245.96000672</v>
      </c>
      <c r="AB1138" t="s">
        <v>66</v>
      </c>
      <c r="AC1138" t="str">
        <f t="shared" si="71"/>
        <v>Non-Cash Payments</v>
      </c>
    </row>
    <row r="1139" spans="1:29" x14ac:dyDescent="0.25">
      <c r="A1139">
        <v>31797</v>
      </c>
      <c r="B1139" s="2">
        <v>42617</v>
      </c>
      <c r="C1139">
        <v>4</v>
      </c>
      <c r="D1139" s="2">
        <f t="shared" si="68"/>
        <v>42621</v>
      </c>
      <c r="E1139">
        <v>0</v>
      </c>
      <c r="F1139" t="s">
        <v>62</v>
      </c>
      <c r="G1139" t="str">
        <f t="shared" si="69"/>
        <v>Other</v>
      </c>
      <c r="H1139">
        <v>17</v>
      </c>
      <c r="I1139">
        <v>6162</v>
      </c>
      <c r="J1139">
        <v>4</v>
      </c>
      <c r="K1139" t="s">
        <v>46</v>
      </c>
      <c r="L1139" t="s">
        <v>893</v>
      </c>
      <c r="M1139" t="s">
        <v>985</v>
      </c>
      <c r="N1139" t="s">
        <v>933</v>
      </c>
      <c r="O1139">
        <v>80134</v>
      </c>
      <c r="P1139" t="s">
        <v>896</v>
      </c>
      <c r="Q1139" t="s">
        <v>897</v>
      </c>
      <c r="R1139">
        <v>17</v>
      </c>
      <c r="T1139">
        <v>365</v>
      </c>
      <c r="U1139" t="s">
        <v>1054</v>
      </c>
      <c r="V1139" s="7">
        <v>59.990001679999999</v>
      </c>
      <c r="W1139" s="7">
        <v>54.488929209402009</v>
      </c>
      <c r="X1139">
        <v>5</v>
      </c>
      <c r="Y1139" s="7">
        <v>53.990001679999999</v>
      </c>
      <c r="Z1139" s="7">
        <v>299.9500084</v>
      </c>
      <c r="AA1139" s="7">
        <f t="shared" si="70"/>
        <v>245.96000672</v>
      </c>
      <c r="AB1139" t="s">
        <v>66</v>
      </c>
      <c r="AC1139" t="str">
        <f t="shared" si="71"/>
        <v>Non-Cash Payments</v>
      </c>
    </row>
    <row r="1140" spans="1:29" x14ac:dyDescent="0.25">
      <c r="A1140">
        <v>31797</v>
      </c>
      <c r="B1140" s="2">
        <v>42617</v>
      </c>
      <c r="C1140">
        <v>4</v>
      </c>
      <c r="D1140" s="2">
        <f t="shared" si="68"/>
        <v>42621</v>
      </c>
      <c r="E1140">
        <v>0</v>
      </c>
      <c r="F1140" t="s">
        <v>62</v>
      </c>
      <c r="G1140" t="str">
        <f t="shared" si="69"/>
        <v>Other</v>
      </c>
      <c r="H1140">
        <v>17</v>
      </c>
      <c r="I1140">
        <v>6162</v>
      </c>
      <c r="J1140">
        <v>4</v>
      </c>
      <c r="K1140" t="s">
        <v>46</v>
      </c>
      <c r="L1140" t="s">
        <v>893</v>
      </c>
      <c r="M1140" t="s">
        <v>985</v>
      </c>
      <c r="N1140" t="s">
        <v>933</v>
      </c>
      <c r="O1140">
        <v>80134</v>
      </c>
      <c r="P1140" t="s">
        <v>896</v>
      </c>
      <c r="Q1140" t="s">
        <v>897</v>
      </c>
      <c r="R1140">
        <v>17</v>
      </c>
      <c r="T1140">
        <v>365</v>
      </c>
      <c r="U1140" t="s">
        <v>1054</v>
      </c>
      <c r="V1140" s="7">
        <v>59.990001679999999</v>
      </c>
      <c r="W1140" s="7">
        <v>54.488929209402009</v>
      </c>
      <c r="X1140">
        <v>5</v>
      </c>
      <c r="Y1140" s="7">
        <v>59.990001679999999</v>
      </c>
      <c r="Z1140" s="7">
        <v>299.9500084</v>
      </c>
      <c r="AA1140" s="7">
        <f t="shared" si="70"/>
        <v>239.96000672</v>
      </c>
      <c r="AB1140" t="s">
        <v>66</v>
      </c>
      <c r="AC1140" t="str">
        <f t="shared" si="71"/>
        <v>Non-Cash Payments</v>
      </c>
    </row>
    <row r="1141" spans="1:29" x14ac:dyDescent="0.25">
      <c r="A1141">
        <v>32594</v>
      </c>
      <c r="B1141" s="2">
        <v>42480</v>
      </c>
      <c r="C1141">
        <v>4</v>
      </c>
      <c r="D1141" s="2">
        <f t="shared" si="68"/>
        <v>42486</v>
      </c>
      <c r="E1141">
        <v>0</v>
      </c>
      <c r="F1141" t="s">
        <v>62</v>
      </c>
      <c r="G1141" t="str">
        <f t="shared" si="69"/>
        <v>Other</v>
      </c>
      <c r="H1141">
        <v>24</v>
      </c>
      <c r="I1141">
        <v>4045</v>
      </c>
      <c r="J1141">
        <v>5</v>
      </c>
      <c r="K1141" t="s">
        <v>31</v>
      </c>
      <c r="L1141" t="s">
        <v>893</v>
      </c>
      <c r="M1141" t="s">
        <v>986</v>
      </c>
      <c r="N1141" t="s">
        <v>899</v>
      </c>
      <c r="O1141">
        <v>94533</v>
      </c>
      <c r="P1141" t="s">
        <v>896</v>
      </c>
      <c r="Q1141" t="s">
        <v>897</v>
      </c>
      <c r="R1141">
        <v>24</v>
      </c>
      <c r="T1141">
        <v>502</v>
      </c>
      <c r="U1141" t="s">
        <v>1058</v>
      </c>
      <c r="V1141" s="7">
        <v>50</v>
      </c>
      <c r="W1141" s="7">
        <v>43.678035218757444</v>
      </c>
      <c r="X1141">
        <v>5</v>
      </c>
      <c r="Y1141" s="7">
        <v>22.5</v>
      </c>
      <c r="Z1141" s="7">
        <v>250</v>
      </c>
      <c r="AA1141" s="7">
        <f t="shared" si="70"/>
        <v>227.5</v>
      </c>
      <c r="AB1141" t="s">
        <v>66</v>
      </c>
      <c r="AC1141" t="str">
        <f t="shared" si="71"/>
        <v>Non-Cash Payments</v>
      </c>
    </row>
    <row r="1142" spans="1:29" x14ac:dyDescent="0.25">
      <c r="A1142">
        <v>34103</v>
      </c>
      <c r="B1142" s="2">
        <v>42709</v>
      </c>
      <c r="C1142">
        <v>4</v>
      </c>
      <c r="D1142" s="2">
        <f t="shared" si="68"/>
        <v>42713</v>
      </c>
      <c r="E1142">
        <v>0</v>
      </c>
      <c r="F1142" t="s">
        <v>62</v>
      </c>
      <c r="G1142" t="str">
        <f t="shared" si="69"/>
        <v>Other</v>
      </c>
      <c r="H1142">
        <v>24</v>
      </c>
      <c r="I1142">
        <v>2053</v>
      </c>
      <c r="J1142">
        <v>5</v>
      </c>
      <c r="K1142" t="s">
        <v>31</v>
      </c>
      <c r="L1142" t="s">
        <v>893</v>
      </c>
      <c r="M1142" t="s">
        <v>925</v>
      </c>
      <c r="N1142" t="s">
        <v>895</v>
      </c>
      <c r="O1142">
        <v>98115</v>
      </c>
      <c r="P1142" t="s">
        <v>896</v>
      </c>
      <c r="Q1142" t="s">
        <v>897</v>
      </c>
      <c r="R1142">
        <v>24</v>
      </c>
      <c r="T1142">
        <v>502</v>
      </c>
      <c r="U1142" t="s">
        <v>1058</v>
      </c>
      <c r="V1142" s="7">
        <v>50</v>
      </c>
      <c r="W1142" s="7">
        <v>43.678035218757444</v>
      </c>
      <c r="X1142">
        <v>5</v>
      </c>
      <c r="Y1142" s="7">
        <v>32.5</v>
      </c>
      <c r="Z1142" s="7">
        <v>250</v>
      </c>
      <c r="AA1142" s="7">
        <f t="shared" si="70"/>
        <v>217.5</v>
      </c>
      <c r="AB1142" t="s">
        <v>66</v>
      </c>
      <c r="AC1142" t="str">
        <f t="shared" si="71"/>
        <v>Non-Cash Payments</v>
      </c>
    </row>
    <row r="1143" spans="1:29" x14ac:dyDescent="0.25">
      <c r="A1143">
        <v>37048</v>
      </c>
      <c r="B1143" s="2">
        <v>42545</v>
      </c>
      <c r="C1143">
        <v>4</v>
      </c>
      <c r="D1143" s="2">
        <f t="shared" si="68"/>
        <v>42551</v>
      </c>
      <c r="E1143">
        <v>0</v>
      </c>
      <c r="F1143" t="s">
        <v>62</v>
      </c>
      <c r="G1143" t="str">
        <f t="shared" si="69"/>
        <v>Other</v>
      </c>
      <c r="H1143">
        <v>24</v>
      </c>
      <c r="I1143">
        <v>4209</v>
      </c>
      <c r="J1143">
        <v>5</v>
      </c>
      <c r="K1143" t="s">
        <v>31</v>
      </c>
      <c r="L1143" t="s">
        <v>893</v>
      </c>
      <c r="M1143" t="s">
        <v>962</v>
      </c>
      <c r="N1143" t="s">
        <v>899</v>
      </c>
      <c r="O1143">
        <v>92037</v>
      </c>
      <c r="P1143" t="s">
        <v>896</v>
      </c>
      <c r="Q1143" t="s">
        <v>897</v>
      </c>
      <c r="R1143">
        <v>24</v>
      </c>
      <c r="T1143">
        <v>502</v>
      </c>
      <c r="U1143" t="s">
        <v>1058</v>
      </c>
      <c r="V1143" s="7">
        <v>50</v>
      </c>
      <c r="W1143" s="7">
        <v>43.678035218757444</v>
      </c>
      <c r="X1143">
        <v>5</v>
      </c>
      <c r="Y1143" s="7">
        <v>42.5</v>
      </c>
      <c r="Z1143" s="7">
        <v>250</v>
      </c>
      <c r="AA1143" s="7">
        <f t="shared" si="70"/>
        <v>207.5</v>
      </c>
      <c r="AB1143" t="s">
        <v>66</v>
      </c>
      <c r="AC1143" t="str">
        <f t="shared" si="71"/>
        <v>Non-Cash Payments</v>
      </c>
    </row>
    <row r="1144" spans="1:29" x14ac:dyDescent="0.25">
      <c r="A1144">
        <v>36344</v>
      </c>
      <c r="B1144" s="2">
        <v>42535</v>
      </c>
      <c r="C1144">
        <v>4</v>
      </c>
      <c r="D1144" s="2">
        <f t="shared" si="68"/>
        <v>42541</v>
      </c>
      <c r="E1144">
        <v>0</v>
      </c>
      <c r="F1144" t="s">
        <v>62</v>
      </c>
      <c r="G1144" t="str">
        <f t="shared" si="69"/>
        <v>Other</v>
      </c>
      <c r="H1144">
        <v>37</v>
      </c>
      <c r="I1144">
        <v>11197</v>
      </c>
      <c r="J1144">
        <v>6</v>
      </c>
      <c r="K1144" t="s">
        <v>35</v>
      </c>
      <c r="L1144" t="s">
        <v>893</v>
      </c>
      <c r="M1144" t="s">
        <v>898</v>
      </c>
      <c r="N1144" t="s">
        <v>899</v>
      </c>
      <c r="O1144">
        <v>90036</v>
      </c>
      <c r="P1144" t="s">
        <v>896</v>
      </c>
      <c r="Q1144" t="s">
        <v>897</v>
      </c>
      <c r="R1144">
        <v>37</v>
      </c>
      <c r="T1144">
        <v>825</v>
      </c>
      <c r="U1144" t="s">
        <v>1069</v>
      </c>
      <c r="V1144" s="7">
        <v>31.989999770000001</v>
      </c>
      <c r="W1144" s="7">
        <v>23.973333102666668</v>
      </c>
      <c r="X1144">
        <v>5</v>
      </c>
      <c r="Y1144" s="7">
        <v>25.590000150000002</v>
      </c>
      <c r="Z1144" s="7">
        <v>159.94999885000001</v>
      </c>
      <c r="AA1144" s="7">
        <f t="shared" si="70"/>
        <v>134.35999870000001</v>
      </c>
      <c r="AB1144" t="s">
        <v>66</v>
      </c>
      <c r="AC1144" t="str">
        <f t="shared" si="71"/>
        <v>Non-Cash Payments</v>
      </c>
    </row>
    <row r="1145" spans="1:29" x14ac:dyDescent="0.25">
      <c r="A1145">
        <v>31336</v>
      </c>
      <c r="B1145" s="2">
        <v>42404</v>
      </c>
      <c r="C1145">
        <v>4</v>
      </c>
      <c r="D1145" s="2">
        <f t="shared" si="68"/>
        <v>42410</v>
      </c>
      <c r="E1145">
        <v>0</v>
      </c>
      <c r="F1145" t="s">
        <v>62</v>
      </c>
      <c r="G1145" t="str">
        <f t="shared" si="69"/>
        <v>Other</v>
      </c>
      <c r="H1145">
        <v>37</v>
      </c>
      <c r="I1145">
        <v>9554</v>
      </c>
      <c r="J1145">
        <v>6</v>
      </c>
      <c r="K1145" t="s">
        <v>35</v>
      </c>
      <c r="L1145" t="s">
        <v>893</v>
      </c>
      <c r="M1145" t="s">
        <v>904</v>
      </c>
      <c r="N1145" t="s">
        <v>905</v>
      </c>
      <c r="O1145">
        <v>77041</v>
      </c>
      <c r="P1145" t="s">
        <v>896</v>
      </c>
      <c r="Q1145" t="s">
        <v>903</v>
      </c>
      <c r="R1145">
        <v>37</v>
      </c>
      <c r="T1145">
        <v>822</v>
      </c>
      <c r="U1145" t="s">
        <v>1124</v>
      </c>
      <c r="V1145" s="7">
        <v>47.990001679999999</v>
      </c>
      <c r="W1145" s="7">
        <v>41.802334851666664</v>
      </c>
      <c r="X1145">
        <v>5</v>
      </c>
      <c r="Y1145" s="7">
        <v>47.990001679999999</v>
      </c>
      <c r="Z1145" s="7">
        <v>239.9500084</v>
      </c>
      <c r="AA1145" s="7">
        <f t="shared" si="70"/>
        <v>191.96000672</v>
      </c>
      <c r="AB1145" t="s">
        <v>66</v>
      </c>
      <c r="AC1145" t="str">
        <f t="shared" si="71"/>
        <v>Non-Cash Payments</v>
      </c>
    </row>
    <row r="1146" spans="1:29" x14ac:dyDescent="0.25">
      <c r="A1146">
        <v>36547</v>
      </c>
      <c r="B1146" s="2">
        <v>42538</v>
      </c>
      <c r="C1146">
        <v>4</v>
      </c>
      <c r="D1146" s="2">
        <f t="shared" si="68"/>
        <v>42544</v>
      </c>
      <c r="E1146">
        <v>0</v>
      </c>
      <c r="F1146" t="s">
        <v>62</v>
      </c>
      <c r="G1146" t="str">
        <f t="shared" si="69"/>
        <v>Other</v>
      </c>
      <c r="H1146">
        <v>17</v>
      </c>
      <c r="I1146">
        <v>6736</v>
      </c>
      <c r="J1146">
        <v>4</v>
      </c>
      <c r="K1146" t="s">
        <v>46</v>
      </c>
      <c r="L1146" t="s">
        <v>893</v>
      </c>
      <c r="M1146" t="s">
        <v>914</v>
      </c>
      <c r="N1146" t="s">
        <v>943</v>
      </c>
      <c r="O1146">
        <v>31907</v>
      </c>
      <c r="P1146" t="s">
        <v>896</v>
      </c>
      <c r="Q1146" t="s">
        <v>931</v>
      </c>
      <c r="R1146">
        <v>17</v>
      </c>
      <c r="T1146">
        <v>365</v>
      </c>
      <c r="U1146" t="s">
        <v>1054</v>
      </c>
      <c r="V1146" s="7">
        <v>59.990001679999999</v>
      </c>
      <c r="W1146" s="7">
        <v>54.488929209402009</v>
      </c>
      <c r="X1146">
        <v>2</v>
      </c>
      <c r="Y1146" s="7">
        <v>10.80000019</v>
      </c>
      <c r="Z1146" s="7">
        <v>119.98000336</v>
      </c>
      <c r="AA1146" s="7">
        <f t="shared" si="70"/>
        <v>109.18000316999999</v>
      </c>
      <c r="AB1146" t="s">
        <v>66</v>
      </c>
      <c r="AC1146" t="str">
        <f t="shared" si="71"/>
        <v>Non-Cash Payments</v>
      </c>
    </row>
    <row r="1147" spans="1:29" x14ac:dyDescent="0.25">
      <c r="A1147">
        <v>33603</v>
      </c>
      <c r="B1147" s="2">
        <v>42495</v>
      </c>
      <c r="C1147">
        <v>4</v>
      </c>
      <c r="D1147" s="2">
        <f t="shared" si="68"/>
        <v>42501</v>
      </c>
      <c r="E1147">
        <v>0</v>
      </c>
      <c r="F1147" t="s">
        <v>62</v>
      </c>
      <c r="G1147" t="str">
        <f t="shared" si="69"/>
        <v>Other</v>
      </c>
      <c r="H1147">
        <v>17</v>
      </c>
      <c r="I1147">
        <v>552</v>
      </c>
      <c r="J1147">
        <v>4</v>
      </c>
      <c r="K1147" t="s">
        <v>46</v>
      </c>
      <c r="L1147" t="s">
        <v>893</v>
      </c>
      <c r="M1147" t="s">
        <v>904</v>
      </c>
      <c r="N1147" t="s">
        <v>905</v>
      </c>
      <c r="O1147">
        <v>77041</v>
      </c>
      <c r="P1147" t="s">
        <v>896</v>
      </c>
      <c r="Q1147" t="s">
        <v>903</v>
      </c>
      <c r="R1147">
        <v>17</v>
      </c>
      <c r="T1147">
        <v>365</v>
      </c>
      <c r="U1147" t="s">
        <v>1054</v>
      </c>
      <c r="V1147" s="7">
        <v>59.990001679999999</v>
      </c>
      <c r="W1147" s="7">
        <v>54.488929209402009</v>
      </c>
      <c r="X1147">
        <v>2</v>
      </c>
      <c r="Y1147" s="7">
        <v>20.399999619999999</v>
      </c>
      <c r="Z1147" s="7">
        <v>119.98000336</v>
      </c>
      <c r="AA1147" s="7">
        <f t="shared" si="70"/>
        <v>99.580003739999995</v>
      </c>
      <c r="AB1147" t="s">
        <v>66</v>
      </c>
      <c r="AC1147" t="str">
        <f t="shared" si="71"/>
        <v>Non-Cash Payments</v>
      </c>
    </row>
    <row r="1148" spans="1:29" x14ac:dyDescent="0.25">
      <c r="A1148">
        <v>34577</v>
      </c>
      <c r="B1148" s="2">
        <v>42509</v>
      </c>
      <c r="C1148">
        <v>4</v>
      </c>
      <c r="D1148" s="2">
        <f t="shared" si="68"/>
        <v>42515</v>
      </c>
      <c r="E1148">
        <v>0</v>
      </c>
      <c r="F1148" t="s">
        <v>62</v>
      </c>
      <c r="G1148" t="str">
        <f t="shared" si="69"/>
        <v>Other</v>
      </c>
      <c r="H1148">
        <v>29</v>
      </c>
      <c r="I1148">
        <v>7733</v>
      </c>
      <c r="J1148">
        <v>5</v>
      </c>
      <c r="K1148" t="s">
        <v>31</v>
      </c>
      <c r="L1148" t="s">
        <v>893</v>
      </c>
      <c r="M1148" t="s">
        <v>156</v>
      </c>
      <c r="N1148" t="s">
        <v>953</v>
      </c>
      <c r="O1148">
        <v>22304</v>
      </c>
      <c r="P1148" t="s">
        <v>896</v>
      </c>
      <c r="Q1148" t="s">
        <v>931</v>
      </c>
      <c r="R1148">
        <v>29</v>
      </c>
      <c r="T1148">
        <v>627</v>
      </c>
      <c r="U1148" t="s">
        <v>1046</v>
      </c>
      <c r="V1148" s="7">
        <v>39.990001679999999</v>
      </c>
      <c r="W1148" s="7">
        <v>34.198098313835338</v>
      </c>
      <c r="X1148">
        <v>2</v>
      </c>
      <c r="Y1148" s="7">
        <v>2.4000000950000002</v>
      </c>
      <c r="Z1148" s="7">
        <v>79.980003359999998</v>
      </c>
      <c r="AA1148" s="7">
        <f t="shared" si="70"/>
        <v>77.580003265000002</v>
      </c>
      <c r="AB1148" t="s">
        <v>66</v>
      </c>
      <c r="AC1148" t="str">
        <f t="shared" si="71"/>
        <v>Non-Cash Payments</v>
      </c>
    </row>
    <row r="1149" spans="1:29" x14ac:dyDescent="0.25">
      <c r="A1149">
        <v>38950</v>
      </c>
      <c r="B1149" s="2">
        <v>42573</v>
      </c>
      <c r="C1149">
        <v>4</v>
      </c>
      <c r="D1149" s="2">
        <f t="shared" si="68"/>
        <v>42579</v>
      </c>
      <c r="E1149">
        <v>0</v>
      </c>
      <c r="F1149" t="s">
        <v>62</v>
      </c>
      <c r="G1149" t="str">
        <f t="shared" si="69"/>
        <v>Other</v>
      </c>
      <c r="H1149">
        <v>24</v>
      </c>
      <c r="I1149">
        <v>3424</v>
      </c>
      <c r="J1149">
        <v>5</v>
      </c>
      <c r="K1149" t="s">
        <v>31</v>
      </c>
      <c r="L1149" t="s">
        <v>893</v>
      </c>
      <c r="M1149" t="s">
        <v>987</v>
      </c>
      <c r="N1149" t="s">
        <v>948</v>
      </c>
      <c r="O1149">
        <v>35810</v>
      </c>
      <c r="P1149" t="s">
        <v>896</v>
      </c>
      <c r="Q1149" t="s">
        <v>931</v>
      </c>
      <c r="R1149">
        <v>24</v>
      </c>
      <c r="T1149">
        <v>502</v>
      </c>
      <c r="U1149" t="s">
        <v>1058</v>
      </c>
      <c r="V1149" s="7">
        <v>50</v>
      </c>
      <c r="W1149" s="7">
        <v>43.678035218757444</v>
      </c>
      <c r="X1149">
        <v>2</v>
      </c>
      <c r="Y1149" s="7">
        <v>15</v>
      </c>
      <c r="Z1149" s="7">
        <v>100</v>
      </c>
      <c r="AA1149" s="7">
        <f t="shared" si="70"/>
        <v>85</v>
      </c>
      <c r="AB1149" t="s">
        <v>66</v>
      </c>
      <c r="AC1149" t="str">
        <f t="shared" si="71"/>
        <v>Non-Cash Payments</v>
      </c>
    </row>
    <row r="1150" spans="1:29" x14ac:dyDescent="0.25">
      <c r="A1150">
        <v>38950</v>
      </c>
      <c r="B1150" s="2">
        <v>42573</v>
      </c>
      <c r="C1150">
        <v>4</v>
      </c>
      <c r="D1150" s="2">
        <f t="shared" si="68"/>
        <v>42579</v>
      </c>
      <c r="E1150">
        <v>0</v>
      </c>
      <c r="F1150" t="s">
        <v>62</v>
      </c>
      <c r="G1150" t="str">
        <f t="shared" si="69"/>
        <v>Other</v>
      </c>
      <c r="H1150">
        <v>24</v>
      </c>
      <c r="I1150">
        <v>3424</v>
      </c>
      <c r="J1150">
        <v>5</v>
      </c>
      <c r="K1150" t="s">
        <v>31</v>
      </c>
      <c r="L1150" t="s">
        <v>893</v>
      </c>
      <c r="M1150" t="s">
        <v>987</v>
      </c>
      <c r="N1150" t="s">
        <v>948</v>
      </c>
      <c r="O1150">
        <v>35810</v>
      </c>
      <c r="P1150" t="s">
        <v>896</v>
      </c>
      <c r="Q1150" t="s">
        <v>931</v>
      </c>
      <c r="R1150">
        <v>24</v>
      </c>
      <c r="T1150">
        <v>502</v>
      </c>
      <c r="U1150" t="s">
        <v>1058</v>
      </c>
      <c r="V1150" s="7">
        <v>50</v>
      </c>
      <c r="W1150" s="7">
        <v>43.678035218757444</v>
      </c>
      <c r="X1150">
        <v>2</v>
      </c>
      <c r="Y1150" s="7">
        <v>16</v>
      </c>
      <c r="Z1150" s="7">
        <v>100</v>
      </c>
      <c r="AA1150" s="7">
        <f t="shared" si="70"/>
        <v>84</v>
      </c>
      <c r="AB1150" t="s">
        <v>66</v>
      </c>
      <c r="AC1150" t="str">
        <f t="shared" si="71"/>
        <v>Non-Cash Payments</v>
      </c>
    </row>
    <row r="1151" spans="1:29" x14ac:dyDescent="0.25">
      <c r="A1151">
        <v>34742</v>
      </c>
      <c r="B1151" s="2">
        <v>42512</v>
      </c>
      <c r="C1151">
        <v>4</v>
      </c>
      <c r="D1151" s="2">
        <f t="shared" si="68"/>
        <v>42516</v>
      </c>
      <c r="E1151">
        <v>0</v>
      </c>
      <c r="F1151" t="s">
        <v>62</v>
      </c>
      <c r="G1151" t="str">
        <f t="shared" si="69"/>
        <v>Other</v>
      </c>
      <c r="H1151">
        <v>9</v>
      </c>
      <c r="I1151">
        <v>1263</v>
      </c>
      <c r="J1151">
        <v>3</v>
      </c>
      <c r="K1151" t="s">
        <v>24</v>
      </c>
      <c r="L1151" t="s">
        <v>893</v>
      </c>
      <c r="M1151" t="s">
        <v>988</v>
      </c>
      <c r="N1151" t="s">
        <v>989</v>
      </c>
      <c r="O1151">
        <v>19711</v>
      </c>
      <c r="P1151" t="s">
        <v>896</v>
      </c>
      <c r="Q1151" t="s">
        <v>913</v>
      </c>
      <c r="R1151">
        <v>9</v>
      </c>
      <c r="T1151">
        <v>191</v>
      </c>
      <c r="U1151" t="s">
        <v>1044</v>
      </c>
      <c r="V1151" s="7">
        <v>99.989997860000003</v>
      </c>
      <c r="W1151" s="7">
        <v>95.114003926871064</v>
      </c>
      <c r="X1151">
        <v>2</v>
      </c>
      <c r="Y1151" s="7">
        <v>0</v>
      </c>
      <c r="Z1151" s="7">
        <v>199.97999572000001</v>
      </c>
      <c r="AA1151" s="7">
        <f t="shared" si="70"/>
        <v>199.97999572000001</v>
      </c>
      <c r="AB1151" t="s">
        <v>66</v>
      </c>
      <c r="AC1151" t="str">
        <f t="shared" si="71"/>
        <v>Non-Cash Payments</v>
      </c>
    </row>
    <row r="1152" spans="1:29" x14ac:dyDescent="0.25">
      <c r="A1152">
        <v>39471</v>
      </c>
      <c r="B1152" s="2">
        <v>42581</v>
      </c>
      <c r="C1152">
        <v>4</v>
      </c>
      <c r="D1152" s="2">
        <f t="shared" si="68"/>
        <v>42586</v>
      </c>
      <c r="E1152">
        <v>0</v>
      </c>
      <c r="F1152" t="s">
        <v>62</v>
      </c>
      <c r="G1152" t="str">
        <f t="shared" si="69"/>
        <v>Other</v>
      </c>
      <c r="H1152">
        <v>9</v>
      </c>
      <c r="I1152">
        <v>7347</v>
      </c>
      <c r="J1152">
        <v>3</v>
      </c>
      <c r="K1152" t="s">
        <v>24</v>
      </c>
      <c r="L1152" t="s">
        <v>893</v>
      </c>
      <c r="M1152" t="s">
        <v>898</v>
      </c>
      <c r="N1152" t="s">
        <v>899</v>
      </c>
      <c r="O1152">
        <v>90049</v>
      </c>
      <c r="P1152" t="s">
        <v>896</v>
      </c>
      <c r="Q1152" t="s">
        <v>897</v>
      </c>
      <c r="R1152">
        <v>9</v>
      </c>
      <c r="T1152">
        <v>191</v>
      </c>
      <c r="U1152" t="s">
        <v>1044</v>
      </c>
      <c r="V1152" s="7">
        <v>99.989997860000003</v>
      </c>
      <c r="W1152" s="7">
        <v>95.114003926871064</v>
      </c>
      <c r="X1152">
        <v>2</v>
      </c>
      <c r="Y1152" s="7">
        <v>2</v>
      </c>
      <c r="Z1152" s="7">
        <v>199.97999572000001</v>
      </c>
      <c r="AA1152" s="7">
        <f t="shared" si="70"/>
        <v>197.97999572000001</v>
      </c>
      <c r="AB1152" t="s">
        <v>66</v>
      </c>
      <c r="AC1152" t="str">
        <f t="shared" si="71"/>
        <v>Non-Cash Payments</v>
      </c>
    </row>
    <row r="1153" spans="1:29" x14ac:dyDescent="0.25">
      <c r="A1153">
        <v>38916</v>
      </c>
      <c r="B1153" s="2">
        <v>42573</v>
      </c>
      <c r="C1153">
        <v>4</v>
      </c>
      <c r="D1153" s="2">
        <f t="shared" si="68"/>
        <v>42579</v>
      </c>
      <c r="E1153">
        <v>0</v>
      </c>
      <c r="F1153" t="s">
        <v>62</v>
      </c>
      <c r="G1153" t="str">
        <f t="shared" si="69"/>
        <v>Other</v>
      </c>
      <c r="H1153">
        <v>9</v>
      </c>
      <c r="I1153">
        <v>5271</v>
      </c>
      <c r="J1153">
        <v>3</v>
      </c>
      <c r="K1153" t="s">
        <v>24</v>
      </c>
      <c r="L1153" t="s">
        <v>893</v>
      </c>
      <c r="M1153" t="s">
        <v>898</v>
      </c>
      <c r="N1153" t="s">
        <v>899</v>
      </c>
      <c r="O1153">
        <v>90032</v>
      </c>
      <c r="P1153" t="s">
        <v>896</v>
      </c>
      <c r="Q1153" t="s">
        <v>897</v>
      </c>
      <c r="R1153">
        <v>9</v>
      </c>
      <c r="T1153">
        <v>191</v>
      </c>
      <c r="U1153" t="s">
        <v>1044</v>
      </c>
      <c r="V1153" s="7">
        <v>99.989997860000003</v>
      </c>
      <c r="W1153" s="7">
        <v>95.114003926871064</v>
      </c>
      <c r="X1153">
        <v>2</v>
      </c>
      <c r="Y1153" s="7">
        <v>4</v>
      </c>
      <c r="Z1153" s="7">
        <v>199.97999572000001</v>
      </c>
      <c r="AA1153" s="7">
        <f t="shared" si="70"/>
        <v>195.97999572000001</v>
      </c>
      <c r="AB1153" t="s">
        <v>66</v>
      </c>
      <c r="AC1153" t="str">
        <f t="shared" si="71"/>
        <v>Non-Cash Payments</v>
      </c>
    </row>
    <row r="1154" spans="1:29" x14ac:dyDescent="0.25">
      <c r="A1154">
        <v>33006</v>
      </c>
      <c r="B1154" s="2">
        <v>42486</v>
      </c>
      <c r="C1154">
        <v>4</v>
      </c>
      <c r="D1154" s="2">
        <f t="shared" si="68"/>
        <v>42492</v>
      </c>
      <c r="E1154">
        <v>0</v>
      </c>
      <c r="F1154" t="s">
        <v>62</v>
      </c>
      <c r="G1154" t="str">
        <f t="shared" si="69"/>
        <v>Other</v>
      </c>
      <c r="H1154">
        <v>9</v>
      </c>
      <c r="I1154">
        <v>7707</v>
      </c>
      <c r="J1154">
        <v>3</v>
      </c>
      <c r="K1154" t="s">
        <v>24</v>
      </c>
      <c r="L1154" t="s">
        <v>893</v>
      </c>
      <c r="M1154" t="s">
        <v>900</v>
      </c>
      <c r="N1154" t="s">
        <v>899</v>
      </c>
      <c r="O1154">
        <v>94122</v>
      </c>
      <c r="P1154" t="s">
        <v>896</v>
      </c>
      <c r="Q1154" t="s">
        <v>897</v>
      </c>
      <c r="R1154">
        <v>9</v>
      </c>
      <c r="T1154">
        <v>191</v>
      </c>
      <c r="U1154" t="s">
        <v>1044</v>
      </c>
      <c r="V1154" s="7">
        <v>99.989997860000003</v>
      </c>
      <c r="W1154" s="7">
        <v>95.114003926871064</v>
      </c>
      <c r="X1154">
        <v>2</v>
      </c>
      <c r="Y1154" s="7">
        <v>4</v>
      </c>
      <c r="Z1154" s="7">
        <v>199.97999572000001</v>
      </c>
      <c r="AA1154" s="7">
        <f t="shared" si="70"/>
        <v>195.97999572000001</v>
      </c>
      <c r="AB1154" t="s">
        <v>66</v>
      </c>
      <c r="AC1154" t="str">
        <f t="shared" si="71"/>
        <v>Non-Cash Payments</v>
      </c>
    </row>
    <row r="1155" spans="1:29" x14ac:dyDescent="0.25">
      <c r="A1155">
        <v>33961</v>
      </c>
      <c r="B1155" s="2">
        <v>42648</v>
      </c>
      <c r="C1155">
        <v>4</v>
      </c>
      <c r="D1155" s="2">
        <f t="shared" ref="D1155:D1218" si="72">WORKDAY(B1155,C1155)</f>
        <v>42654</v>
      </c>
      <c r="E1155">
        <v>0</v>
      </c>
      <c r="F1155" t="s">
        <v>62</v>
      </c>
      <c r="G1155" t="str">
        <f t="shared" ref="G1155:G1218" si="73">IF(AND(E1155=0,F1155="Same Day"),"Same Day - On Time","Other")</f>
        <v>Other</v>
      </c>
      <c r="H1155">
        <v>12</v>
      </c>
      <c r="I1155">
        <v>12055</v>
      </c>
      <c r="J1155">
        <v>3</v>
      </c>
      <c r="K1155" t="s">
        <v>24</v>
      </c>
      <c r="L1155" t="s">
        <v>893</v>
      </c>
      <c r="M1155" t="s">
        <v>990</v>
      </c>
      <c r="N1155" t="s">
        <v>991</v>
      </c>
      <c r="O1155">
        <v>38109</v>
      </c>
      <c r="P1155" t="s">
        <v>896</v>
      </c>
      <c r="Q1155" t="s">
        <v>931</v>
      </c>
      <c r="R1155">
        <v>12</v>
      </c>
      <c r="T1155">
        <v>249</v>
      </c>
      <c r="U1155" t="s">
        <v>1086</v>
      </c>
      <c r="V1155" s="7">
        <v>54.97000122</v>
      </c>
      <c r="W1155" s="7">
        <v>38.635001181666667</v>
      </c>
      <c r="X1155">
        <v>2</v>
      </c>
      <c r="Y1155" s="7">
        <v>5.5</v>
      </c>
      <c r="Z1155" s="7">
        <v>109.94000244</v>
      </c>
      <c r="AA1155" s="7">
        <f t="shared" ref="AA1155:AA1218" si="74">Z1155-Y1155</f>
        <v>104.44000244</v>
      </c>
      <c r="AB1155" t="s">
        <v>66</v>
      </c>
      <c r="AC1155" t="str">
        <f t="shared" ref="AC1155:AC1218" si="75">IF(AND(AA1155&gt;200,AB1155="CASH"),"Cash Over 200",IF(AB1155="CASH","Cash Not Over 200","Non-Cash Payments"))</f>
        <v>Non-Cash Payments</v>
      </c>
    </row>
    <row r="1156" spans="1:29" x14ac:dyDescent="0.25">
      <c r="A1156">
        <v>37224</v>
      </c>
      <c r="B1156" s="2">
        <v>42548</v>
      </c>
      <c r="C1156">
        <v>4</v>
      </c>
      <c r="D1156" s="2">
        <f t="shared" si="72"/>
        <v>42552</v>
      </c>
      <c r="E1156">
        <v>1</v>
      </c>
      <c r="F1156" t="s">
        <v>62</v>
      </c>
      <c r="G1156" t="str">
        <f t="shared" si="73"/>
        <v>Other</v>
      </c>
      <c r="H1156">
        <v>9</v>
      </c>
      <c r="I1156">
        <v>10365</v>
      </c>
      <c r="J1156">
        <v>3</v>
      </c>
      <c r="K1156" t="s">
        <v>24</v>
      </c>
      <c r="L1156" t="s">
        <v>893</v>
      </c>
      <c r="M1156" t="s">
        <v>992</v>
      </c>
      <c r="N1156" t="s">
        <v>993</v>
      </c>
      <c r="O1156">
        <v>72701</v>
      </c>
      <c r="P1156" t="s">
        <v>896</v>
      </c>
      <c r="Q1156" t="s">
        <v>931</v>
      </c>
      <c r="R1156">
        <v>9</v>
      </c>
      <c r="T1156">
        <v>191</v>
      </c>
      <c r="U1156" t="s">
        <v>1044</v>
      </c>
      <c r="V1156" s="7">
        <v>99.989997860000003</v>
      </c>
      <c r="W1156" s="7">
        <v>95.114003926871064</v>
      </c>
      <c r="X1156">
        <v>2</v>
      </c>
      <c r="Y1156" s="7">
        <v>10</v>
      </c>
      <c r="Z1156" s="7">
        <v>199.97999572000001</v>
      </c>
      <c r="AA1156" s="7">
        <f t="shared" si="74"/>
        <v>189.97999572000001</v>
      </c>
      <c r="AB1156" t="s">
        <v>66</v>
      </c>
      <c r="AC1156" t="str">
        <f t="shared" si="75"/>
        <v>Non-Cash Payments</v>
      </c>
    </row>
    <row r="1157" spans="1:29" x14ac:dyDescent="0.25">
      <c r="A1157">
        <v>40578</v>
      </c>
      <c r="B1157" s="2">
        <v>42597</v>
      </c>
      <c r="C1157">
        <v>4</v>
      </c>
      <c r="D1157" s="2">
        <f t="shared" si="72"/>
        <v>42601</v>
      </c>
      <c r="E1157">
        <v>0</v>
      </c>
      <c r="F1157" t="s">
        <v>62</v>
      </c>
      <c r="G1157" t="str">
        <f t="shared" si="73"/>
        <v>Other</v>
      </c>
      <c r="H1157">
        <v>9</v>
      </c>
      <c r="I1157">
        <v>1618</v>
      </c>
      <c r="J1157">
        <v>3</v>
      </c>
      <c r="K1157" t="s">
        <v>24</v>
      </c>
      <c r="L1157" t="s">
        <v>893</v>
      </c>
      <c r="M1157" t="s">
        <v>994</v>
      </c>
      <c r="N1157" t="s">
        <v>953</v>
      </c>
      <c r="O1157">
        <v>23223</v>
      </c>
      <c r="P1157" t="s">
        <v>896</v>
      </c>
      <c r="Q1157" t="s">
        <v>931</v>
      </c>
      <c r="R1157">
        <v>9</v>
      </c>
      <c r="T1157">
        <v>191</v>
      </c>
      <c r="U1157" t="s">
        <v>1044</v>
      </c>
      <c r="V1157" s="7">
        <v>99.989997860000003</v>
      </c>
      <c r="W1157" s="7">
        <v>95.114003926871064</v>
      </c>
      <c r="X1157">
        <v>2</v>
      </c>
      <c r="Y1157" s="7">
        <v>24</v>
      </c>
      <c r="Z1157" s="7">
        <v>199.97999572000001</v>
      </c>
      <c r="AA1157" s="7">
        <f t="shared" si="74"/>
        <v>175.97999572000001</v>
      </c>
      <c r="AB1157" t="s">
        <v>66</v>
      </c>
      <c r="AC1157" t="str">
        <f t="shared" si="75"/>
        <v>Non-Cash Payments</v>
      </c>
    </row>
    <row r="1158" spans="1:29" x14ac:dyDescent="0.25">
      <c r="A1158">
        <v>49076</v>
      </c>
      <c r="B1158" s="2">
        <v>42721</v>
      </c>
      <c r="C1158">
        <v>4</v>
      </c>
      <c r="D1158" s="2">
        <f t="shared" si="72"/>
        <v>42726</v>
      </c>
      <c r="E1158">
        <v>0</v>
      </c>
      <c r="F1158" t="s">
        <v>62</v>
      </c>
      <c r="G1158" t="str">
        <f t="shared" si="73"/>
        <v>Other</v>
      </c>
      <c r="H1158">
        <v>9</v>
      </c>
      <c r="I1158">
        <v>11573</v>
      </c>
      <c r="J1158">
        <v>3</v>
      </c>
      <c r="K1158" t="s">
        <v>24</v>
      </c>
      <c r="L1158" t="s">
        <v>893</v>
      </c>
      <c r="M1158" t="s">
        <v>916</v>
      </c>
      <c r="N1158" t="s">
        <v>917</v>
      </c>
      <c r="P1158" t="s">
        <v>918</v>
      </c>
      <c r="Q1158" t="s">
        <v>918</v>
      </c>
      <c r="R1158">
        <v>9</v>
      </c>
      <c r="T1158">
        <v>191</v>
      </c>
      <c r="U1158" t="s">
        <v>1044</v>
      </c>
      <c r="V1158" s="7">
        <v>99.989997860000003</v>
      </c>
      <c r="W1158" s="7">
        <v>95.114003926871064</v>
      </c>
      <c r="X1158">
        <v>2</v>
      </c>
      <c r="Y1158" s="7">
        <v>26</v>
      </c>
      <c r="Z1158" s="7">
        <v>199.97999572000001</v>
      </c>
      <c r="AA1158" s="7">
        <f t="shared" si="74"/>
        <v>173.97999572000001</v>
      </c>
      <c r="AB1158" t="s">
        <v>66</v>
      </c>
      <c r="AC1158" t="str">
        <f t="shared" si="75"/>
        <v>Non-Cash Payments</v>
      </c>
    </row>
    <row r="1159" spans="1:29" x14ac:dyDescent="0.25">
      <c r="A1159">
        <v>33961</v>
      </c>
      <c r="B1159" s="2">
        <v>42648</v>
      </c>
      <c r="C1159">
        <v>4</v>
      </c>
      <c r="D1159" s="2">
        <f t="shared" si="72"/>
        <v>42654</v>
      </c>
      <c r="E1159">
        <v>0</v>
      </c>
      <c r="F1159" t="s">
        <v>62</v>
      </c>
      <c r="G1159" t="str">
        <f t="shared" si="73"/>
        <v>Other</v>
      </c>
      <c r="H1159">
        <v>17</v>
      </c>
      <c r="I1159">
        <v>12055</v>
      </c>
      <c r="J1159">
        <v>4</v>
      </c>
      <c r="K1159" t="s">
        <v>46</v>
      </c>
      <c r="L1159" t="s">
        <v>893</v>
      </c>
      <c r="M1159" t="s">
        <v>990</v>
      </c>
      <c r="N1159" t="s">
        <v>991</v>
      </c>
      <c r="O1159">
        <v>38109</v>
      </c>
      <c r="P1159" t="s">
        <v>896</v>
      </c>
      <c r="Q1159" t="s">
        <v>931</v>
      </c>
      <c r="R1159">
        <v>17</v>
      </c>
      <c r="T1159">
        <v>365</v>
      </c>
      <c r="U1159" t="s">
        <v>1054</v>
      </c>
      <c r="V1159" s="7">
        <v>59.990001679999999</v>
      </c>
      <c r="W1159" s="7">
        <v>54.488929209402009</v>
      </c>
      <c r="X1159">
        <v>2</v>
      </c>
      <c r="Y1159" s="7">
        <v>1.2000000479999999</v>
      </c>
      <c r="Z1159" s="7">
        <v>119.98000336</v>
      </c>
      <c r="AA1159" s="7">
        <f t="shared" si="74"/>
        <v>118.78000331199999</v>
      </c>
      <c r="AB1159" t="s">
        <v>66</v>
      </c>
      <c r="AC1159" t="str">
        <f t="shared" si="75"/>
        <v>Non-Cash Payments</v>
      </c>
    </row>
    <row r="1160" spans="1:29" x14ac:dyDescent="0.25">
      <c r="A1160">
        <v>38531</v>
      </c>
      <c r="B1160" s="2">
        <v>42567</v>
      </c>
      <c r="C1160">
        <v>4</v>
      </c>
      <c r="D1160" s="2">
        <f t="shared" si="72"/>
        <v>42572</v>
      </c>
      <c r="E1160">
        <v>0</v>
      </c>
      <c r="F1160" t="s">
        <v>62</v>
      </c>
      <c r="G1160" t="str">
        <f t="shared" si="73"/>
        <v>Other</v>
      </c>
      <c r="H1160">
        <v>17</v>
      </c>
      <c r="I1160">
        <v>1331</v>
      </c>
      <c r="J1160">
        <v>4</v>
      </c>
      <c r="K1160" t="s">
        <v>46</v>
      </c>
      <c r="L1160" t="s">
        <v>893</v>
      </c>
      <c r="M1160" t="s">
        <v>927</v>
      </c>
      <c r="N1160" t="s">
        <v>928</v>
      </c>
      <c r="O1160">
        <v>10011</v>
      </c>
      <c r="P1160" t="s">
        <v>896</v>
      </c>
      <c r="Q1160" t="s">
        <v>913</v>
      </c>
      <c r="R1160">
        <v>17</v>
      </c>
      <c r="T1160">
        <v>365</v>
      </c>
      <c r="U1160" t="s">
        <v>1054</v>
      </c>
      <c r="V1160" s="7">
        <v>59.990001679999999</v>
      </c>
      <c r="W1160" s="7">
        <v>54.488929209402009</v>
      </c>
      <c r="X1160">
        <v>2</v>
      </c>
      <c r="Y1160" s="7">
        <v>2.4000000950000002</v>
      </c>
      <c r="Z1160" s="7">
        <v>119.98000336</v>
      </c>
      <c r="AA1160" s="7">
        <f t="shared" si="74"/>
        <v>117.580003265</v>
      </c>
      <c r="AB1160" t="s">
        <v>66</v>
      </c>
      <c r="AC1160" t="str">
        <f t="shared" si="75"/>
        <v>Non-Cash Payments</v>
      </c>
    </row>
    <row r="1161" spans="1:29" x14ac:dyDescent="0.25">
      <c r="A1161">
        <v>36454</v>
      </c>
      <c r="B1161" s="2">
        <v>42537</v>
      </c>
      <c r="C1161">
        <v>4</v>
      </c>
      <c r="D1161" s="2">
        <f t="shared" si="72"/>
        <v>42543</v>
      </c>
      <c r="E1161">
        <v>1</v>
      </c>
      <c r="F1161" t="s">
        <v>62</v>
      </c>
      <c r="G1161" t="str">
        <f t="shared" si="73"/>
        <v>Other</v>
      </c>
      <c r="H1161">
        <v>17</v>
      </c>
      <c r="I1161">
        <v>5097</v>
      </c>
      <c r="J1161">
        <v>4</v>
      </c>
      <c r="K1161" t="s">
        <v>46</v>
      </c>
      <c r="L1161" t="s">
        <v>893</v>
      </c>
      <c r="M1161" t="s">
        <v>981</v>
      </c>
      <c r="N1161" t="s">
        <v>923</v>
      </c>
      <c r="O1161">
        <v>60653</v>
      </c>
      <c r="P1161" t="s">
        <v>896</v>
      </c>
      <c r="Q1161" t="s">
        <v>903</v>
      </c>
      <c r="R1161">
        <v>17</v>
      </c>
      <c r="T1161">
        <v>365</v>
      </c>
      <c r="U1161" t="s">
        <v>1054</v>
      </c>
      <c r="V1161" s="7">
        <v>59.990001679999999</v>
      </c>
      <c r="W1161" s="7">
        <v>54.488929209402009</v>
      </c>
      <c r="X1161">
        <v>2</v>
      </c>
      <c r="Y1161" s="7">
        <v>2.4000000950000002</v>
      </c>
      <c r="Z1161" s="7">
        <v>119.98000336</v>
      </c>
      <c r="AA1161" s="7">
        <f t="shared" si="74"/>
        <v>117.580003265</v>
      </c>
      <c r="AB1161" t="s">
        <v>66</v>
      </c>
      <c r="AC1161" t="str">
        <f t="shared" si="75"/>
        <v>Non-Cash Payments</v>
      </c>
    </row>
    <row r="1162" spans="1:29" x14ac:dyDescent="0.25">
      <c r="A1162">
        <v>40712</v>
      </c>
      <c r="B1162" s="2">
        <v>42599</v>
      </c>
      <c r="C1162">
        <v>4</v>
      </c>
      <c r="D1162" s="2">
        <f t="shared" si="72"/>
        <v>42605</v>
      </c>
      <c r="E1162">
        <v>0</v>
      </c>
      <c r="F1162" t="s">
        <v>62</v>
      </c>
      <c r="G1162" t="str">
        <f t="shared" si="73"/>
        <v>Other</v>
      </c>
      <c r="H1162">
        <v>17</v>
      </c>
      <c r="I1162">
        <v>7178</v>
      </c>
      <c r="J1162">
        <v>4</v>
      </c>
      <c r="K1162" t="s">
        <v>46</v>
      </c>
      <c r="L1162" t="s">
        <v>893</v>
      </c>
      <c r="M1162" t="s">
        <v>925</v>
      </c>
      <c r="N1162" t="s">
        <v>895</v>
      </c>
      <c r="O1162">
        <v>98115</v>
      </c>
      <c r="P1162" t="s">
        <v>896</v>
      </c>
      <c r="Q1162" t="s">
        <v>897</v>
      </c>
      <c r="R1162">
        <v>17</v>
      </c>
      <c r="T1162">
        <v>365</v>
      </c>
      <c r="U1162" t="s">
        <v>1054</v>
      </c>
      <c r="V1162" s="7">
        <v>59.990001679999999</v>
      </c>
      <c r="W1162" s="7">
        <v>54.488929209402009</v>
      </c>
      <c r="X1162">
        <v>2</v>
      </c>
      <c r="Y1162" s="7">
        <v>2.4000000950000002</v>
      </c>
      <c r="Z1162" s="7">
        <v>119.98000336</v>
      </c>
      <c r="AA1162" s="7">
        <f t="shared" si="74"/>
        <v>117.580003265</v>
      </c>
      <c r="AB1162" t="s">
        <v>66</v>
      </c>
      <c r="AC1162" t="str">
        <f t="shared" si="75"/>
        <v>Non-Cash Payments</v>
      </c>
    </row>
    <row r="1163" spans="1:29" x14ac:dyDescent="0.25">
      <c r="A1163">
        <v>33045</v>
      </c>
      <c r="B1163" s="2">
        <v>42487</v>
      </c>
      <c r="C1163">
        <v>4</v>
      </c>
      <c r="D1163" s="2">
        <f t="shared" si="72"/>
        <v>42493</v>
      </c>
      <c r="E1163">
        <v>1</v>
      </c>
      <c r="F1163" t="s">
        <v>62</v>
      </c>
      <c r="G1163" t="str">
        <f t="shared" si="73"/>
        <v>Other</v>
      </c>
      <c r="H1163">
        <v>17</v>
      </c>
      <c r="I1163">
        <v>8404</v>
      </c>
      <c r="J1163">
        <v>4</v>
      </c>
      <c r="K1163" t="s">
        <v>46</v>
      </c>
      <c r="L1163" t="s">
        <v>893</v>
      </c>
      <c r="M1163" t="s">
        <v>904</v>
      </c>
      <c r="N1163" t="s">
        <v>905</v>
      </c>
      <c r="O1163">
        <v>77095</v>
      </c>
      <c r="P1163" t="s">
        <v>896</v>
      </c>
      <c r="Q1163" t="s">
        <v>903</v>
      </c>
      <c r="R1163">
        <v>17</v>
      </c>
      <c r="T1163">
        <v>365</v>
      </c>
      <c r="U1163" t="s">
        <v>1054</v>
      </c>
      <c r="V1163" s="7">
        <v>59.990001679999999</v>
      </c>
      <c r="W1163" s="7">
        <v>54.488929209402009</v>
      </c>
      <c r="X1163">
        <v>2</v>
      </c>
      <c r="Y1163" s="7">
        <v>6</v>
      </c>
      <c r="Z1163" s="7">
        <v>119.98000336</v>
      </c>
      <c r="AA1163" s="7">
        <f t="shared" si="74"/>
        <v>113.98000336</v>
      </c>
      <c r="AB1163" t="s">
        <v>66</v>
      </c>
      <c r="AC1163" t="str">
        <f t="shared" si="75"/>
        <v>Non-Cash Payments</v>
      </c>
    </row>
    <row r="1164" spans="1:29" x14ac:dyDescent="0.25">
      <c r="A1164">
        <v>33537</v>
      </c>
      <c r="B1164" s="2">
        <v>42465</v>
      </c>
      <c r="C1164">
        <v>4</v>
      </c>
      <c r="D1164" s="2">
        <f t="shared" si="72"/>
        <v>42471</v>
      </c>
      <c r="E1164">
        <v>0</v>
      </c>
      <c r="F1164" t="s">
        <v>62</v>
      </c>
      <c r="G1164" t="str">
        <f t="shared" si="73"/>
        <v>Other</v>
      </c>
      <c r="H1164">
        <v>17</v>
      </c>
      <c r="I1164">
        <v>10518</v>
      </c>
      <c r="J1164">
        <v>4</v>
      </c>
      <c r="K1164" t="s">
        <v>46</v>
      </c>
      <c r="L1164" t="s">
        <v>893</v>
      </c>
      <c r="M1164" t="s">
        <v>898</v>
      </c>
      <c r="N1164" t="s">
        <v>899</v>
      </c>
      <c r="O1164">
        <v>90049</v>
      </c>
      <c r="P1164" t="s">
        <v>896</v>
      </c>
      <c r="Q1164" t="s">
        <v>897</v>
      </c>
      <c r="R1164">
        <v>17</v>
      </c>
      <c r="T1164">
        <v>365</v>
      </c>
      <c r="U1164" t="s">
        <v>1054</v>
      </c>
      <c r="V1164" s="7">
        <v>59.990001679999999</v>
      </c>
      <c r="W1164" s="7">
        <v>54.488929209402009</v>
      </c>
      <c r="X1164">
        <v>2</v>
      </c>
      <c r="Y1164" s="7">
        <v>6</v>
      </c>
      <c r="Z1164" s="7">
        <v>119.98000336</v>
      </c>
      <c r="AA1164" s="7">
        <f t="shared" si="74"/>
        <v>113.98000336</v>
      </c>
      <c r="AB1164" t="s">
        <v>66</v>
      </c>
      <c r="AC1164" t="str">
        <f t="shared" si="75"/>
        <v>Non-Cash Payments</v>
      </c>
    </row>
    <row r="1165" spans="1:29" x14ac:dyDescent="0.25">
      <c r="A1165">
        <v>34845</v>
      </c>
      <c r="B1165" s="2">
        <v>42513</v>
      </c>
      <c r="C1165">
        <v>4</v>
      </c>
      <c r="D1165" s="2">
        <f t="shared" si="72"/>
        <v>42517</v>
      </c>
      <c r="E1165">
        <v>1</v>
      </c>
      <c r="F1165" t="s">
        <v>62</v>
      </c>
      <c r="G1165" t="str">
        <f t="shared" si="73"/>
        <v>Other</v>
      </c>
      <c r="H1165">
        <v>17</v>
      </c>
      <c r="I1165">
        <v>1342</v>
      </c>
      <c r="J1165">
        <v>4</v>
      </c>
      <c r="K1165" t="s">
        <v>46</v>
      </c>
      <c r="L1165" t="s">
        <v>893</v>
      </c>
      <c r="M1165" t="s">
        <v>994</v>
      </c>
      <c r="N1165" t="s">
        <v>984</v>
      </c>
      <c r="O1165">
        <v>40475</v>
      </c>
      <c r="P1165" t="s">
        <v>896</v>
      </c>
      <c r="Q1165" t="s">
        <v>931</v>
      </c>
      <c r="R1165">
        <v>17</v>
      </c>
      <c r="T1165">
        <v>365</v>
      </c>
      <c r="U1165" t="s">
        <v>1054</v>
      </c>
      <c r="V1165" s="7">
        <v>59.990001679999999</v>
      </c>
      <c r="W1165" s="7">
        <v>54.488929209402009</v>
      </c>
      <c r="X1165">
        <v>2</v>
      </c>
      <c r="Y1165" s="7">
        <v>14.399999619999999</v>
      </c>
      <c r="Z1165" s="7">
        <v>119.98000336</v>
      </c>
      <c r="AA1165" s="7">
        <f t="shared" si="74"/>
        <v>105.58000374</v>
      </c>
      <c r="AB1165" t="s">
        <v>66</v>
      </c>
      <c r="AC1165" t="str">
        <f t="shared" si="75"/>
        <v>Non-Cash Payments</v>
      </c>
    </row>
    <row r="1166" spans="1:29" x14ac:dyDescent="0.25">
      <c r="A1166">
        <v>34845</v>
      </c>
      <c r="B1166" s="2">
        <v>42513</v>
      </c>
      <c r="C1166">
        <v>4</v>
      </c>
      <c r="D1166" s="2">
        <f t="shared" si="72"/>
        <v>42517</v>
      </c>
      <c r="E1166">
        <v>1</v>
      </c>
      <c r="F1166" t="s">
        <v>62</v>
      </c>
      <c r="G1166" t="str">
        <f t="shared" si="73"/>
        <v>Other</v>
      </c>
      <c r="H1166">
        <v>17</v>
      </c>
      <c r="I1166">
        <v>1342</v>
      </c>
      <c r="J1166">
        <v>4</v>
      </c>
      <c r="K1166" t="s">
        <v>46</v>
      </c>
      <c r="L1166" t="s">
        <v>893</v>
      </c>
      <c r="M1166" t="s">
        <v>994</v>
      </c>
      <c r="N1166" t="s">
        <v>984</v>
      </c>
      <c r="O1166">
        <v>40475</v>
      </c>
      <c r="P1166" t="s">
        <v>896</v>
      </c>
      <c r="Q1166" t="s">
        <v>931</v>
      </c>
      <c r="R1166">
        <v>17</v>
      </c>
      <c r="T1166">
        <v>365</v>
      </c>
      <c r="U1166" t="s">
        <v>1054</v>
      </c>
      <c r="V1166" s="7">
        <v>59.990001679999999</v>
      </c>
      <c r="W1166" s="7">
        <v>54.488929209402009</v>
      </c>
      <c r="X1166">
        <v>2</v>
      </c>
      <c r="Y1166" s="7">
        <v>15.600000380000001</v>
      </c>
      <c r="Z1166" s="7">
        <v>119.98000336</v>
      </c>
      <c r="AA1166" s="7">
        <f t="shared" si="74"/>
        <v>104.38000298</v>
      </c>
      <c r="AB1166" t="s">
        <v>66</v>
      </c>
      <c r="AC1166" t="str">
        <f t="shared" si="75"/>
        <v>Non-Cash Payments</v>
      </c>
    </row>
    <row r="1167" spans="1:29" x14ac:dyDescent="0.25">
      <c r="A1167">
        <v>37471</v>
      </c>
      <c r="B1167" s="2">
        <v>42551</v>
      </c>
      <c r="C1167">
        <v>4</v>
      </c>
      <c r="D1167" s="2">
        <f t="shared" si="72"/>
        <v>42557</v>
      </c>
      <c r="E1167">
        <v>0</v>
      </c>
      <c r="F1167" t="s">
        <v>62</v>
      </c>
      <c r="G1167" t="str">
        <f t="shared" si="73"/>
        <v>Other</v>
      </c>
      <c r="H1167">
        <v>17</v>
      </c>
      <c r="I1167">
        <v>2511</v>
      </c>
      <c r="J1167">
        <v>4</v>
      </c>
      <c r="K1167" t="s">
        <v>46</v>
      </c>
      <c r="L1167" t="s">
        <v>893</v>
      </c>
      <c r="M1167" t="s">
        <v>952</v>
      </c>
      <c r="N1167" t="s">
        <v>995</v>
      </c>
      <c r="O1167">
        <v>65807</v>
      </c>
      <c r="P1167" t="s">
        <v>896</v>
      </c>
      <c r="Q1167" t="s">
        <v>903</v>
      </c>
      <c r="R1167">
        <v>17</v>
      </c>
      <c r="T1167">
        <v>365</v>
      </c>
      <c r="U1167" t="s">
        <v>1054</v>
      </c>
      <c r="V1167" s="7">
        <v>59.990001679999999</v>
      </c>
      <c r="W1167" s="7">
        <v>54.488929209402009</v>
      </c>
      <c r="X1167">
        <v>2</v>
      </c>
      <c r="Y1167" s="7">
        <v>15.600000380000001</v>
      </c>
      <c r="Z1167" s="7">
        <v>119.98000336</v>
      </c>
      <c r="AA1167" s="7">
        <f t="shared" si="74"/>
        <v>104.38000298</v>
      </c>
      <c r="AB1167" t="s">
        <v>66</v>
      </c>
      <c r="AC1167" t="str">
        <f t="shared" si="75"/>
        <v>Non-Cash Payments</v>
      </c>
    </row>
    <row r="1168" spans="1:29" x14ac:dyDescent="0.25">
      <c r="A1168">
        <v>39471</v>
      </c>
      <c r="B1168" s="2">
        <v>42581</v>
      </c>
      <c r="C1168">
        <v>4</v>
      </c>
      <c r="D1168" s="2">
        <f t="shared" si="72"/>
        <v>42586</v>
      </c>
      <c r="E1168">
        <v>0</v>
      </c>
      <c r="F1168" t="s">
        <v>62</v>
      </c>
      <c r="G1168" t="str">
        <f t="shared" si="73"/>
        <v>Other</v>
      </c>
      <c r="H1168">
        <v>17</v>
      </c>
      <c r="I1168">
        <v>7347</v>
      </c>
      <c r="J1168">
        <v>4</v>
      </c>
      <c r="K1168" t="s">
        <v>46</v>
      </c>
      <c r="L1168" t="s">
        <v>893</v>
      </c>
      <c r="M1168" t="s">
        <v>898</v>
      </c>
      <c r="N1168" t="s">
        <v>899</v>
      </c>
      <c r="O1168">
        <v>90049</v>
      </c>
      <c r="P1168" t="s">
        <v>896</v>
      </c>
      <c r="Q1168" t="s">
        <v>897</v>
      </c>
      <c r="R1168">
        <v>17</v>
      </c>
      <c r="T1168">
        <v>365</v>
      </c>
      <c r="U1168" t="s">
        <v>1054</v>
      </c>
      <c r="V1168" s="7">
        <v>59.990001679999999</v>
      </c>
      <c r="W1168" s="7">
        <v>54.488929209402009</v>
      </c>
      <c r="X1168">
        <v>2</v>
      </c>
      <c r="Y1168" s="7">
        <v>21.600000380000001</v>
      </c>
      <c r="Z1168" s="7">
        <v>119.98000336</v>
      </c>
      <c r="AA1168" s="7">
        <f t="shared" si="74"/>
        <v>98.38000298</v>
      </c>
      <c r="AB1168" t="s">
        <v>66</v>
      </c>
      <c r="AC1168" t="str">
        <f t="shared" si="75"/>
        <v>Non-Cash Payments</v>
      </c>
    </row>
    <row r="1169" spans="1:29" x14ac:dyDescent="0.25">
      <c r="A1169">
        <v>35549</v>
      </c>
      <c r="B1169" s="2">
        <v>42406</v>
      </c>
      <c r="C1169">
        <v>4</v>
      </c>
      <c r="D1169" s="2">
        <f t="shared" si="72"/>
        <v>42411</v>
      </c>
      <c r="E1169">
        <v>1</v>
      </c>
      <c r="F1169" t="s">
        <v>62</v>
      </c>
      <c r="G1169" t="str">
        <f t="shared" si="73"/>
        <v>Other</v>
      </c>
      <c r="H1169">
        <v>17</v>
      </c>
      <c r="I1169">
        <v>248</v>
      </c>
      <c r="J1169">
        <v>4</v>
      </c>
      <c r="K1169" t="s">
        <v>46</v>
      </c>
      <c r="L1169" t="s">
        <v>893</v>
      </c>
      <c r="M1169" t="s">
        <v>996</v>
      </c>
      <c r="N1169" t="s">
        <v>935</v>
      </c>
      <c r="O1169">
        <v>33801</v>
      </c>
      <c r="P1169" t="s">
        <v>896</v>
      </c>
      <c r="Q1169" t="s">
        <v>931</v>
      </c>
      <c r="R1169">
        <v>17</v>
      </c>
      <c r="T1169">
        <v>365</v>
      </c>
      <c r="U1169" t="s">
        <v>1054</v>
      </c>
      <c r="V1169" s="7">
        <v>59.990001679999999</v>
      </c>
      <c r="W1169" s="7">
        <v>54.488929209402009</v>
      </c>
      <c r="X1169">
        <v>2</v>
      </c>
      <c r="Y1169" s="7">
        <v>30</v>
      </c>
      <c r="Z1169" s="7">
        <v>119.98000336</v>
      </c>
      <c r="AA1169" s="7">
        <f t="shared" si="74"/>
        <v>89.980003359999998</v>
      </c>
      <c r="AB1169" t="s">
        <v>66</v>
      </c>
      <c r="AC1169" t="str">
        <f t="shared" si="75"/>
        <v>Non-Cash Payments</v>
      </c>
    </row>
    <row r="1170" spans="1:29" x14ac:dyDescent="0.25">
      <c r="A1170">
        <v>31747</v>
      </c>
      <c r="B1170" s="2">
        <v>42586</v>
      </c>
      <c r="C1170">
        <v>4</v>
      </c>
      <c r="D1170" s="2">
        <f t="shared" si="72"/>
        <v>42592</v>
      </c>
      <c r="E1170">
        <v>0</v>
      </c>
      <c r="F1170" t="s">
        <v>62</v>
      </c>
      <c r="G1170" t="str">
        <f t="shared" si="73"/>
        <v>Other</v>
      </c>
      <c r="H1170">
        <v>24</v>
      </c>
      <c r="I1170">
        <v>5917</v>
      </c>
      <c r="J1170">
        <v>5</v>
      </c>
      <c r="K1170" t="s">
        <v>31</v>
      </c>
      <c r="L1170" t="s">
        <v>893</v>
      </c>
      <c r="M1170" t="s">
        <v>997</v>
      </c>
      <c r="N1170" t="s">
        <v>928</v>
      </c>
      <c r="O1170">
        <v>13021</v>
      </c>
      <c r="P1170" t="s">
        <v>896</v>
      </c>
      <c r="Q1170" t="s">
        <v>913</v>
      </c>
      <c r="R1170">
        <v>24</v>
      </c>
      <c r="T1170">
        <v>502</v>
      </c>
      <c r="U1170" t="s">
        <v>1058</v>
      </c>
      <c r="V1170" s="7">
        <v>50</v>
      </c>
      <c r="W1170" s="7">
        <v>43.678035218757444</v>
      </c>
      <c r="X1170">
        <v>2</v>
      </c>
      <c r="Y1170" s="7">
        <v>2</v>
      </c>
      <c r="Z1170" s="7">
        <v>100</v>
      </c>
      <c r="AA1170" s="7">
        <f t="shared" si="74"/>
        <v>98</v>
      </c>
      <c r="AB1170" t="s">
        <v>66</v>
      </c>
      <c r="AC1170" t="str">
        <f t="shared" si="75"/>
        <v>Non-Cash Payments</v>
      </c>
    </row>
    <row r="1171" spans="1:29" x14ac:dyDescent="0.25">
      <c r="A1171">
        <v>34932</v>
      </c>
      <c r="B1171" s="2">
        <v>42514</v>
      </c>
      <c r="C1171">
        <v>4</v>
      </c>
      <c r="D1171" s="2">
        <f t="shared" si="72"/>
        <v>42520</v>
      </c>
      <c r="E1171">
        <v>0</v>
      </c>
      <c r="F1171" t="s">
        <v>62</v>
      </c>
      <c r="G1171" t="str">
        <f t="shared" si="73"/>
        <v>Other</v>
      </c>
      <c r="H1171">
        <v>24</v>
      </c>
      <c r="I1171">
        <v>10983</v>
      </c>
      <c r="J1171">
        <v>5</v>
      </c>
      <c r="K1171" t="s">
        <v>31</v>
      </c>
      <c r="L1171" t="s">
        <v>893</v>
      </c>
      <c r="M1171" t="s">
        <v>952</v>
      </c>
      <c r="N1171" t="s">
        <v>912</v>
      </c>
      <c r="O1171">
        <v>45503</v>
      </c>
      <c r="P1171" t="s">
        <v>896</v>
      </c>
      <c r="Q1171" t="s">
        <v>913</v>
      </c>
      <c r="R1171">
        <v>24</v>
      </c>
      <c r="T1171">
        <v>502</v>
      </c>
      <c r="U1171" t="s">
        <v>1058</v>
      </c>
      <c r="V1171" s="7">
        <v>50</v>
      </c>
      <c r="W1171" s="7">
        <v>43.678035218757444</v>
      </c>
      <c r="X1171">
        <v>2</v>
      </c>
      <c r="Y1171" s="7">
        <v>3</v>
      </c>
      <c r="Z1171" s="7">
        <v>100</v>
      </c>
      <c r="AA1171" s="7">
        <f t="shared" si="74"/>
        <v>97</v>
      </c>
      <c r="AB1171" t="s">
        <v>66</v>
      </c>
      <c r="AC1171" t="str">
        <f t="shared" si="75"/>
        <v>Non-Cash Payments</v>
      </c>
    </row>
    <row r="1172" spans="1:29" x14ac:dyDescent="0.25">
      <c r="A1172">
        <v>38767</v>
      </c>
      <c r="B1172" s="2">
        <v>42570</v>
      </c>
      <c r="C1172">
        <v>4</v>
      </c>
      <c r="D1172" s="2">
        <f t="shared" si="72"/>
        <v>42576</v>
      </c>
      <c r="E1172">
        <v>0</v>
      </c>
      <c r="F1172" t="s">
        <v>62</v>
      </c>
      <c r="G1172" t="str">
        <f t="shared" si="73"/>
        <v>Other</v>
      </c>
      <c r="H1172">
        <v>24</v>
      </c>
      <c r="I1172">
        <v>11114</v>
      </c>
      <c r="J1172">
        <v>5</v>
      </c>
      <c r="K1172" t="s">
        <v>31</v>
      </c>
      <c r="L1172" t="s">
        <v>893</v>
      </c>
      <c r="M1172" t="s">
        <v>920</v>
      </c>
      <c r="N1172" t="s">
        <v>921</v>
      </c>
      <c r="O1172">
        <v>19143</v>
      </c>
      <c r="P1172" t="s">
        <v>896</v>
      </c>
      <c r="Q1172" t="s">
        <v>913</v>
      </c>
      <c r="R1172">
        <v>24</v>
      </c>
      <c r="T1172">
        <v>502</v>
      </c>
      <c r="U1172" t="s">
        <v>1058</v>
      </c>
      <c r="V1172" s="7">
        <v>50</v>
      </c>
      <c r="W1172" s="7">
        <v>43.678035218757444</v>
      </c>
      <c r="X1172">
        <v>2</v>
      </c>
      <c r="Y1172" s="7">
        <v>3</v>
      </c>
      <c r="Z1172" s="7">
        <v>100</v>
      </c>
      <c r="AA1172" s="7">
        <f t="shared" si="74"/>
        <v>97</v>
      </c>
      <c r="AB1172" t="s">
        <v>66</v>
      </c>
      <c r="AC1172" t="str">
        <f t="shared" si="75"/>
        <v>Non-Cash Payments</v>
      </c>
    </row>
    <row r="1173" spans="1:29" x14ac:dyDescent="0.25">
      <c r="A1173">
        <v>39141</v>
      </c>
      <c r="B1173" s="2">
        <v>42576</v>
      </c>
      <c r="C1173">
        <v>4</v>
      </c>
      <c r="D1173" s="2">
        <f t="shared" si="72"/>
        <v>42580</v>
      </c>
      <c r="E1173">
        <v>0</v>
      </c>
      <c r="F1173" t="s">
        <v>62</v>
      </c>
      <c r="G1173" t="str">
        <f t="shared" si="73"/>
        <v>Other</v>
      </c>
      <c r="H1173">
        <v>26</v>
      </c>
      <c r="I1173">
        <v>5902</v>
      </c>
      <c r="J1173">
        <v>5</v>
      </c>
      <c r="K1173" t="s">
        <v>31</v>
      </c>
      <c r="L1173" t="s">
        <v>893</v>
      </c>
      <c r="M1173" t="s">
        <v>998</v>
      </c>
      <c r="N1173" t="s">
        <v>905</v>
      </c>
      <c r="O1173">
        <v>78577</v>
      </c>
      <c r="P1173" t="s">
        <v>896</v>
      </c>
      <c r="Q1173" t="s">
        <v>903</v>
      </c>
      <c r="R1173">
        <v>26</v>
      </c>
      <c r="T1173">
        <v>567</v>
      </c>
      <c r="U1173" t="s">
        <v>1081</v>
      </c>
      <c r="V1173" s="7">
        <v>25</v>
      </c>
      <c r="W1173" s="7">
        <v>17.922466723766668</v>
      </c>
      <c r="X1173">
        <v>2</v>
      </c>
      <c r="Y1173" s="7">
        <v>2</v>
      </c>
      <c r="Z1173" s="7">
        <v>50</v>
      </c>
      <c r="AA1173" s="7">
        <f t="shared" si="74"/>
        <v>48</v>
      </c>
      <c r="AB1173" t="s">
        <v>66</v>
      </c>
      <c r="AC1173" t="str">
        <f t="shared" si="75"/>
        <v>Non-Cash Payments</v>
      </c>
    </row>
    <row r="1174" spans="1:29" x14ac:dyDescent="0.25">
      <c r="A1174">
        <v>35199</v>
      </c>
      <c r="B1174" s="2">
        <v>42518</v>
      </c>
      <c r="C1174">
        <v>4</v>
      </c>
      <c r="D1174" s="2">
        <f t="shared" si="72"/>
        <v>42523</v>
      </c>
      <c r="E1174">
        <v>1</v>
      </c>
      <c r="F1174" t="s">
        <v>62</v>
      </c>
      <c r="G1174" t="str">
        <f t="shared" si="73"/>
        <v>Other</v>
      </c>
      <c r="H1174">
        <v>24</v>
      </c>
      <c r="I1174">
        <v>11930</v>
      </c>
      <c r="J1174">
        <v>5</v>
      </c>
      <c r="K1174" t="s">
        <v>31</v>
      </c>
      <c r="L1174" t="s">
        <v>893</v>
      </c>
      <c r="M1174" t="s">
        <v>898</v>
      </c>
      <c r="N1174" t="s">
        <v>899</v>
      </c>
      <c r="O1174">
        <v>90045</v>
      </c>
      <c r="P1174" t="s">
        <v>896</v>
      </c>
      <c r="Q1174" t="s">
        <v>897</v>
      </c>
      <c r="R1174">
        <v>24</v>
      </c>
      <c r="T1174">
        <v>502</v>
      </c>
      <c r="U1174" t="s">
        <v>1058</v>
      </c>
      <c r="V1174" s="7">
        <v>50</v>
      </c>
      <c r="W1174" s="7">
        <v>43.678035218757444</v>
      </c>
      <c r="X1174">
        <v>2</v>
      </c>
      <c r="Y1174" s="7">
        <v>4</v>
      </c>
      <c r="Z1174" s="7">
        <v>100</v>
      </c>
      <c r="AA1174" s="7">
        <f t="shared" si="74"/>
        <v>96</v>
      </c>
      <c r="AB1174" t="s">
        <v>66</v>
      </c>
      <c r="AC1174" t="str">
        <f t="shared" si="75"/>
        <v>Non-Cash Payments</v>
      </c>
    </row>
    <row r="1175" spans="1:29" x14ac:dyDescent="0.25">
      <c r="A1175">
        <v>34672</v>
      </c>
      <c r="B1175" s="2">
        <v>42511</v>
      </c>
      <c r="C1175">
        <v>4</v>
      </c>
      <c r="D1175" s="2">
        <f t="shared" si="72"/>
        <v>42516</v>
      </c>
      <c r="E1175">
        <v>0</v>
      </c>
      <c r="F1175" t="s">
        <v>62</v>
      </c>
      <c r="G1175" t="str">
        <f t="shared" si="73"/>
        <v>Other</v>
      </c>
      <c r="H1175">
        <v>24</v>
      </c>
      <c r="I1175">
        <v>1219</v>
      </c>
      <c r="J1175">
        <v>5</v>
      </c>
      <c r="K1175" t="s">
        <v>31</v>
      </c>
      <c r="L1175" t="s">
        <v>893</v>
      </c>
      <c r="M1175" t="s">
        <v>999</v>
      </c>
      <c r="N1175" t="s">
        <v>928</v>
      </c>
      <c r="O1175">
        <v>11550</v>
      </c>
      <c r="P1175" t="s">
        <v>896</v>
      </c>
      <c r="Q1175" t="s">
        <v>913</v>
      </c>
      <c r="R1175">
        <v>24</v>
      </c>
      <c r="T1175">
        <v>502</v>
      </c>
      <c r="U1175" t="s">
        <v>1058</v>
      </c>
      <c r="V1175" s="7">
        <v>50</v>
      </c>
      <c r="W1175" s="7">
        <v>43.678035218757444</v>
      </c>
      <c r="X1175">
        <v>2</v>
      </c>
      <c r="Y1175" s="7">
        <v>7</v>
      </c>
      <c r="Z1175" s="7">
        <v>100</v>
      </c>
      <c r="AA1175" s="7">
        <f t="shared" si="74"/>
        <v>93</v>
      </c>
      <c r="AB1175" t="s">
        <v>66</v>
      </c>
      <c r="AC1175" t="str">
        <f t="shared" si="75"/>
        <v>Non-Cash Payments</v>
      </c>
    </row>
    <row r="1176" spans="1:29" x14ac:dyDescent="0.25">
      <c r="A1176">
        <v>37430</v>
      </c>
      <c r="B1176" s="2">
        <v>42551</v>
      </c>
      <c r="C1176">
        <v>4</v>
      </c>
      <c r="D1176" s="2">
        <f t="shared" si="72"/>
        <v>42557</v>
      </c>
      <c r="E1176">
        <v>1</v>
      </c>
      <c r="F1176" t="s">
        <v>62</v>
      </c>
      <c r="G1176" t="str">
        <f t="shared" si="73"/>
        <v>Other</v>
      </c>
      <c r="H1176">
        <v>29</v>
      </c>
      <c r="I1176">
        <v>4269</v>
      </c>
      <c r="J1176">
        <v>5</v>
      </c>
      <c r="K1176" t="s">
        <v>31</v>
      </c>
      <c r="L1176" t="s">
        <v>893</v>
      </c>
      <c r="M1176" t="s">
        <v>898</v>
      </c>
      <c r="N1176" t="s">
        <v>899</v>
      </c>
      <c r="O1176">
        <v>90045</v>
      </c>
      <c r="P1176" t="s">
        <v>896</v>
      </c>
      <c r="Q1176" t="s">
        <v>897</v>
      </c>
      <c r="R1176">
        <v>29</v>
      </c>
      <c r="T1176">
        <v>642</v>
      </c>
      <c r="U1176" t="s">
        <v>1091</v>
      </c>
      <c r="V1176" s="7">
        <v>30</v>
      </c>
      <c r="W1176" s="7">
        <v>37.315110652333338</v>
      </c>
      <c r="X1176">
        <v>2</v>
      </c>
      <c r="Y1176" s="7">
        <v>4.1999998090000004</v>
      </c>
      <c r="Z1176" s="7">
        <v>60</v>
      </c>
      <c r="AA1176" s="7">
        <f t="shared" si="74"/>
        <v>55.800000191000002</v>
      </c>
      <c r="AB1176" t="s">
        <v>66</v>
      </c>
      <c r="AC1176" t="str">
        <f t="shared" si="75"/>
        <v>Non-Cash Payments</v>
      </c>
    </row>
    <row r="1177" spans="1:29" x14ac:dyDescent="0.25">
      <c r="A1177">
        <v>34839</v>
      </c>
      <c r="B1177" s="2">
        <v>42513</v>
      </c>
      <c r="C1177">
        <v>4</v>
      </c>
      <c r="D1177" s="2">
        <f t="shared" si="72"/>
        <v>42517</v>
      </c>
      <c r="E1177">
        <v>1</v>
      </c>
      <c r="F1177" t="s">
        <v>62</v>
      </c>
      <c r="G1177" t="str">
        <f t="shared" si="73"/>
        <v>Other</v>
      </c>
      <c r="H1177">
        <v>24</v>
      </c>
      <c r="I1177">
        <v>6725</v>
      </c>
      <c r="J1177">
        <v>5</v>
      </c>
      <c r="K1177" t="s">
        <v>31</v>
      </c>
      <c r="L1177" t="s">
        <v>893</v>
      </c>
      <c r="M1177" t="s">
        <v>914</v>
      </c>
      <c r="N1177" t="s">
        <v>912</v>
      </c>
      <c r="O1177">
        <v>43229</v>
      </c>
      <c r="P1177" t="s">
        <v>896</v>
      </c>
      <c r="Q1177" t="s">
        <v>913</v>
      </c>
      <c r="R1177">
        <v>24</v>
      </c>
      <c r="T1177">
        <v>502</v>
      </c>
      <c r="U1177" t="s">
        <v>1058</v>
      </c>
      <c r="V1177" s="7">
        <v>50</v>
      </c>
      <c r="W1177" s="7">
        <v>43.678035218757444</v>
      </c>
      <c r="X1177">
        <v>2</v>
      </c>
      <c r="Y1177" s="7">
        <v>10</v>
      </c>
      <c r="Z1177" s="7">
        <v>100</v>
      </c>
      <c r="AA1177" s="7">
        <f t="shared" si="74"/>
        <v>90</v>
      </c>
      <c r="AB1177" t="s">
        <v>66</v>
      </c>
      <c r="AC1177" t="str">
        <f t="shared" si="75"/>
        <v>Non-Cash Payments</v>
      </c>
    </row>
    <row r="1178" spans="1:29" x14ac:dyDescent="0.25">
      <c r="A1178">
        <v>38296</v>
      </c>
      <c r="B1178" s="2">
        <v>42564</v>
      </c>
      <c r="C1178">
        <v>4</v>
      </c>
      <c r="D1178" s="2">
        <f t="shared" si="72"/>
        <v>42570</v>
      </c>
      <c r="E1178">
        <v>0</v>
      </c>
      <c r="F1178" t="s">
        <v>62</v>
      </c>
      <c r="G1178" t="str">
        <f t="shared" si="73"/>
        <v>Other</v>
      </c>
      <c r="H1178">
        <v>24</v>
      </c>
      <c r="I1178">
        <v>5054</v>
      </c>
      <c r="J1178">
        <v>5</v>
      </c>
      <c r="K1178" t="s">
        <v>31</v>
      </c>
      <c r="L1178" t="s">
        <v>893</v>
      </c>
      <c r="M1178" t="s">
        <v>1000</v>
      </c>
      <c r="N1178" t="s">
        <v>984</v>
      </c>
      <c r="O1178">
        <v>40214</v>
      </c>
      <c r="P1178" t="s">
        <v>896</v>
      </c>
      <c r="Q1178" t="s">
        <v>931</v>
      </c>
      <c r="R1178">
        <v>24</v>
      </c>
      <c r="T1178">
        <v>502</v>
      </c>
      <c r="U1178" t="s">
        <v>1058</v>
      </c>
      <c r="V1178" s="7">
        <v>50</v>
      </c>
      <c r="W1178" s="7">
        <v>43.678035218757444</v>
      </c>
      <c r="X1178">
        <v>2</v>
      </c>
      <c r="Y1178" s="7">
        <v>12</v>
      </c>
      <c r="Z1178" s="7">
        <v>100</v>
      </c>
      <c r="AA1178" s="7">
        <f t="shared" si="74"/>
        <v>88</v>
      </c>
      <c r="AB1178" t="s">
        <v>66</v>
      </c>
      <c r="AC1178" t="str">
        <f t="shared" si="75"/>
        <v>Non-Cash Payments</v>
      </c>
    </row>
    <row r="1179" spans="1:29" x14ac:dyDescent="0.25">
      <c r="A1179">
        <v>35868</v>
      </c>
      <c r="B1179" s="2">
        <v>42557</v>
      </c>
      <c r="C1179">
        <v>4</v>
      </c>
      <c r="D1179" s="2">
        <f t="shared" si="72"/>
        <v>42563</v>
      </c>
      <c r="E1179">
        <v>0</v>
      </c>
      <c r="F1179" t="s">
        <v>62</v>
      </c>
      <c r="G1179" t="str">
        <f t="shared" si="73"/>
        <v>Other</v>
      </c>
      <c r="H1179">
        <v>24</v>
      </c>
      <c r="I1179">
        <v>10648</v>
      </c>
      <c r="J1179">
        <v>5</v>
      </c>
      <c r="K1179" t="s">
        <v>31</v>
      </c>
      <c r="L1179" t="s">
        <v>893</v>
      </c>
      <c r="M1179" t="s">
        <v>1001</v>
      </c>
      <c r="N1179" t="s">
        <v>902</v>
      </c>
      <c r="O1179">
        <v>67212</v>
      </c>
      <c r="P1179" t="s">
        <v>896</v>
      </c>
      <c r="Q1179" t="s">
        <v>903</v>
      </c>
      <c r="R1179">
        <v>24</v>
      </c>
      <c r="T1179">
        <v>502</v>
      </c>
      <c r="U1179" t="s">
        <v>1058</v>
      </c>
      <c r="V1179" s="7">
        <v>50</v>
      </c>
      <c r="W1179" s="7">
        <v>43.678035218757444</v>
      </c>
      <c r="X1179">
        <v>2</v>
      </c>
      <c r="Y1179" s="7">
        <v>12</v>
      </c>
      <c r="Z1179" s="7">
        <v>100</v>
      </c>
      <c r="AA1179" s="7">
        <f t="shared" si="74"/>
        <v>88</v>
      </c>
      <c r="AB1179" t="s">
        <v>66</v>
      </c>
      <c r="AC1179" t="str">
        <f t="shared" si="75"/>
        <v>Non-Cash Payments</v>
      </c>
    </row>
    <row r="1180" spans="1:29" x14ac:dyDescent="0.25">
      <c r="A1180">
        <v>38004</v>
      </c>
      <c r="B1180" s="2">
        <v>42589</v>
      </c>
      <c r="C1180">
        <v>4</v>
      </c>
      <c r="D1180" s="2">
        <f t="shared" si="72"/>
        <v>42593</v>
      </c>
      <c r="E1180">
        <v>1</v>
      </c>
      <c r="F1180" t="s">
        <v>62</v>
      </c>
      <c r="G1180" t="str">
        <f t="shared" si="73"/>
        <v>Other</v>
      </c>
      <c r="H1180">
        <v>29</v>
      </c>
      <c r="I1180">
        <v>4986</v>
      </c>
      <c r="J1180">
        <v>5</v>
      </c>
      <c r="K1180" t="s">
        <v>31</v>
      </c>
      <c r="L1180" t="s">
        <v>893</v>
      </c>
      <c r="M1180" t="s">
        <v>976</v>
      </c>
      <c r="N1180" t="s">
        <v>940</v>
      </c>
      <c r="O1180">
        <v>21215</v>
      </c>
      <c r="P1180" t="s">
        <v>896</v>
      </c>
      <c r="Q1180" t="s">
        <v>913</v>
      </c>
      <c r="R1180">
        <v>29</v>
      </c>
      <c r="T1180">
        <v>627</v>
      </c>
      <c r="U1180" t="s">
        <v>1046</v>
      </c>
      <c r="V1180" s="7">
        <v>39.990001679999999</v>
      </c>
      <c r="W1180" s="7">
        <v>34.198098313835338</v>
      </c>
      <c r="X1180">
        <v>2</v>
      </c>
      <c r="Y1180" s="7">
        <v>12</v>
      </c>
      <c r="Z1180" s="7">
        <v>79.980003359999998</v>
      </c>
      <c r="AA1180" s="7">
        <f t="shared" si="74"/>
        <v>67.980003359999998</v>
      </c>
      <c r="AB1180" t="s">
        <v>66</v>
      </c>
      <c r="AC1180" t="str">
        <f t="shared" si="75"/>
        <v>Non-Cash Payments</v>
      </c>
    </row>
    <row r="1181" spans="1:29" x14ac:dyDescent="0.25">
      <c r="A1181">
        <v>40064</v>
      </c>
      <c r="B1181" s="2">
        <v>42559</v>
      </c>
      <c r="C1181">
        <v>4</v>
      </c>
      <c r="D1181" s="2">
        <f t="shared" si="72"/>
        <v>42565</v>
      </c>
      <c r="E1181">
        <v>1</v>
      </c>
      <c r="F1181" t="s">
        <v>62</v>
      </c>
      <c r="G1181" t="str">
        <f t="shared" si="73"/>
        <v>Other</v>
      </c>
      <c r="H1181">
        <v>24</v>
      </c>
      <c r="I1181">
        <v>6708</v>
      </c>
      <c r="J1181">
        <v>5</v>
      </c>
      <c r="K1181" t="s">
        <v>31</v>
      </c>
      <c r="L1181" t="s">
        <v>893</v>
      </c>
      <c r="M1181" t="s">
        <v>1002</v>
      </c>
      <c r="N1181" t="s">
        <v>905</v>
      </c>
      <c r="O1181">
        <v>76106</v>
      </c>
      <c r="P1181" t="s">
        <v>896</v>
      </c>
      <c r="Q1181" t="s">
        <v>903</v>
      </c>
      <c r="R1181">
        <v>24</v>
      </c>
      <c r="T1181">
        <v>502</v>
      </c>
      <c r="U1181" t="s">
        <v>1058</v>
      </c>
      <c r="V1181" s="7">
        <v>50</v>
      </c>
      <c r="W1181" s="7">
        <v>43.678035218757444</v>
      </c>
      <c r="X1181">
        <v>2</v>
      </c>
      <c r="Y1181" s="7">
        <v>15</v>
      </c>
      <c r="Z1181" s="7">
        <v>100</v>
      </c>
      <c r="AA1181" s="7">
        <f t="shared" si="74"/>
        <v>85</v>
      </c>
      <c r="AB1181" t="s">
        <v>66</v>
      </c>
      <c r="AC1181" t="str">
        <f t="shared" si="75"/>
        <v>Non-Cash Payments</v>
      </c>
    </row>
    <row r="1182" spans="1:29" x14ac:dyDescent="0.25">
      <c r="A1182">
        <v>45993</v>
      </c>
      <c r="B1182" s="2">
        <v>42411</v>
      </c>
      <c r="C1182">
        <v>4</v>
      </c>
      <c r="D1182" s="2">
        <f t="shared" si="72"/>
        <v>42417</v>
      </c>
      <c r="E1182">
        <v>0</v>
      </c>
      <c r="F1182" t="s">
        <v>62</v>
      </c>
      <c r="G1182" t="str">
        <f t="shared" si="73"/>
        <v>Other</v>
      </c>
      <c r="H1182">
        <v>24</v>
      </c>
      <c r="I1182">
        <v>6872</v>
      </c>
      <c r="J1182">
        <v>5</v>
      </c>
      <c r="K1182" t="s">
        <v>31</v>
      </c>
      <c r="L1182" t="s">
        <v>893</v>
      </c>
      <c r="M1182" t="s">
        <v>978</v>
      </c>
      <c r="N1182" t="s">
        <v>979</v>
      </c>
      <c r="P1182" t="s">
        <v>918</v>
      </c>
      <c r="Q1182" t="s">
        <v>918</v>
      </c>
      <c r="R1182">
        <v>24</v>
      </c>
      <c r="T1182">
        <v>502</v>
      </c>
      <c r="U1182" t="s">
        <v>1058</v>
      </c>
      <c r="V1182" s="7">
        <v>50</v>
      </c>
      <c r="W1182" s="7">
        <v>43.678035218757444</v>
      </c>
      <c r="X1182">
        <v>2</v>
      </c>
      <c r="Y1182" s="7">
        <v>18</v>
      </c>
      <c r="Z1182" s="7">
        <v>100</v>
      </c>
      <c r="AA1182" s="7">
        <f t="shared" si="74"/>
        <v>82</v>
      </c>
      <c r="AB1182" t="s">
        <v>66</v>
      </c>
      <c r="AC1182" t="str">
        <f t="shared" si="75"/>
        <v>Non-Cash Payments</v>
      </c>
    </row>
    <row r="1183" spans="1:29" x14ac:dyDescent="0.25">
      <c r="A1183">
        <v>32184</v>
      </c>
      <c r="B1183" s="2">
        <v>42474</v>
      </c>
      <c r="C1183">
        <v>4</v>
      </c>
      <c r="D1183" s="2">
        <f t="shared" si="72"/>
        <v>42480</v>
      </c>
      <c r="E1183">
        <v>1</v>
      </c>
      <c r="F1183" t="s">
        <v>62</v>
      </c>
      <c r="G1183" t="str">
        <f t="shared" si="73"/>
        <v>Other</v>
      </c>
      <c r="H1183">
        <v>29</v>
      </c>
      <c r="I1183">
        <v>11170</v>
      </c>
      <c r="J1183">
        <v>5</v>
      </c>
      <c r="K1183" t="s">
        <v>31</v>
      </c>
      <c r="L1183" t="s">
        <v>893</v>
      </c>
      <c r="M1183" t="s">
        <v>1003</v>
      </c>
      <c r="N1183" t="s">
        <v>940</v>
      </c>
      <c r="O1183">
        <v>21044</v>
      </c>
      <c r="P1183" t="s">
        <v>896</v>
      </c>
      <c r="Q1183" t="s">
        <v>913</v>
      </c>
      <c r="R1183">
        <v>29</v>
      </c>
      <c r="T1183">
        <v>627</v>
      </c>
      <c r="U1183" t="s">
        <v>1046</v>
      </c>
      <c r="V1183" s="7">
        <v>39.990001679999999</v>
      </c>
      <c r="W1183" s="7">
        <v>34.198098313835338</v>
      </c>
      <c r="X1183">
        <v>2</v>
      </c>
      <c r="Y1183" s="7">
        <v>14.399999619999999</v>
      </c>
      <c r="Z1183" s="7">
        <v>79.980003359999998</v>
      </c>
      <c r="AA1183" s="7">
        <f t="shared" si="74"/>
        <v>65.580003739999995</v>
      </c>
      <c r="AB1183" t="s">
        <v>66</v>
      </c>
      <c r="AC1183" t="str">
        <f t="shared" si="75"/>
        <v>Non-Cash Payments</v>
      </c>
    </row>
    <row r="1184" spans="1:29" x14ac:dyDescent="0.25">
      <c r="A1184">
        <v>38423</v>
      </c>
      <c r="B1184" s="2">
        <v>42565</v>
      </c>
      <c r="C1184">
        <v>4</v>
      </c>
      <c r="D1184" s="2">
        <f t="shared" si="72"/>
        <v>42571</v>
      </c>
      <c r="E1184">
        <v>0</v>
      </c>
      <c r="F1184" t="s">
        <v>62</v>
      </c>
      <c r="G1184" t="str">
        <f t="shared" si="73"/>
        <v>Other</v>
      </c>
      <c r="H1184">
        <v>29</v>
      </c>
      <c r="I1184">
        <v>289</v>
      </c>
      <c r="J1184">
        <v>5</v>
      </c>
      <c r="K1184" t="s">
        <v>31</v>
      </c>
      <c r="L1184" t="s">
        <v>893</v>
      </c>
      <c r="M1184" t="s">
        <v>1004</v>
      </c>
      <c r="N1184" t="s">
        <v>943</v>
      </c>
      <c r="O1184">
        <v>30318</v>
      </c>
      <c r="P1184" t="s">
        <v>896</v>
      </c>
      <c r="Q1184" t="s">
        <v>931</v>
      </c>
      <c r="R1184">
        <v>29</v>
      </c>
      <c r="T1184">
        <v>627</v>
      </c>
      <c r="U1184" t="s">
        <v>1046</v>
      </c>
      <c r="V1184" s="7">
        <v>39.990001679999999</v>
      </c>
      <c r="W1184" s="7">
        <v>34.198098313835338</v>
      </c>
      <c r="X1184">
        <v>2</v>
      </c>
      <c r="Y1184" s="7">
        <v>20</v>
      </c>
      <c r="Z1184" s="7">
        <v>79.980003359999998</v>
      </c>
      <c r="AA1184" s="7">
        <f t="shared" si="74"/>
        <v>59.980003359999998</v>
      </c>
      <c r="AB1184" t="s">
        <v>66</v>
      </c>
      <c r="AC1184" t="str">
        <f t="shared" si="75"/>
        <v>Non-Cash Payments</v>
      </c>
    </row>
    <row r="1185" spans="1:29" x14ac:dyDescent="0.25">
      <c r="A1185">
        <v>39455</v>
      </c>
      <c r="B1185" s="2">
        <v>42580</v>
      </c>
      <c r="C1185">
        <v>4</v>
      </c>
      <c r="D1185" s="2">
        <f t="shared" si="72"/>
        <v>42586</v>
      </c>
      <c r="E1185">
        <v>1</v>
      </c>
      <c r="F1185" t="s">
        <v>62</v>
      </c>
      <c r="G1185" t="str">
        <f t="shared" si="73"/>
        <v>Other</v>
      </c>
      <c r="H1185">
        <v>37</v>
      </c>
      <c r="I1185">
        <v>4707</v>
      </c>
      <c r="J1185">
        <v>6</v>
      </c>
      <c r="K1185" t="s">
        <v>35</v>
      </c>
      <c r="L1185" t="s">
        <v>893</v>
      </c>
      <c r="M1185" t="s">
        <v>1005</v>
      </c>
      <c r="N1185" t="s">
        <v>905</v>
      </c>
      <c r="O1185">
        <v>79762</v>
      </c>
      <c r="P1185" t="s">
        <v>896</v>
      </c>
      <c r="Q1185" t="s">
        <v>903</v>
      </c>
      <c r="R1185">
        <v>37</v>
      </c>
      <c r="T1185">
        <v>818</v>
      </c>
      <c r="U1185" t="s">
        <v>1074</v>
      </c>
      <c r="V1185" s="7">
        <v>47.990001679999999</v>
      </c>
      <c r="W1185" s="7">
        <v>51.274287170714288</v>
      </c>
      <c r="X1185">
        <v>2</v>
      </c>
      <c r="Y1185" s="7">
        <v>3.8399999139999998</v>
      </c>
      <c r="Z1185" s="7">
        <v>95.980003359999998</v>
      </c>
      <c r="AA1185" s="7">
        <f t="shared" si="74"/>
        <v>92.140003445999994</v>
      </c>
      <c r="AB1185" t="s">
        <v>66</v>
      </c>
      <c r="AC1185" t="str">
        <f t="shared" si="75"/>
        <v>Non-Cash Payments</v>
      </c>
    </row>
    <row r="1186" spans="1:29" x14ac:dyDescent="0.25">
      <c r="A1186">
        <v>38920</v>
      </c>
      <c r="B1186" s="2">
        <v>42573</v>
      </c>
      <c r="C1186">
        <v>4</v>
      </c>
      <c r="D1186" s="2">
        <f t="shared" si="72"/>
        <v>42579</v>
      </c>
      <c r="E1186">
        <v>1</v>
      </c>
      <c r="F1186" t="s">
        <v>62</v>
      </c>
      <c r="G1186" t="str">
        <f t="shared" si="73"/>
        <v>Other</v>
      </c>
      <c r="H1186">
        <v>37</v>
      </c>
      <c r="I1186">
        <v>3085</v>
      </c>
      <c r="J1186">
        <v>6</v>
      </c>
      <c r="K1186" t="s">
        <v>35</v>
      </c>
      <c r="L1186" t="s">
        <v>893</v>
      </c>
      <c r="M1186" t="s">
        <v>988</v>
      </c>
      <c r="N1186" t="s">
        <v>989</v>
      </c>
      <c r="O1186">
        <v>19711</v>
      </c>
      <c r="P1186" t="s">
        <v>896</v>
      </c>
      <c r="Q1186" t="s">
        <v>913</v>
      </c>
      <c r="R1186">
        <v>37</v>
      </c>
      <c r="T1186">
        <v>822</v>
      </c>
      <c r="U1186" t="s">
        <v>1124</v>
      </c>
      <c r="V1186" s="7">
        <v>47.990001679999999</v>
      </c>
      <c r="W1186" s="7">
        <v>41.802334851666664</v>
      </c>
      <c r="X1186">
        <v>2</v>
      </c>
      <c r="Y1186" s="7">
        <v>4.8000001909999996</v>
      </c>
      <c r="Z1186" s="7">
        <v>95.980003359999998</v>
      </c>
      <c r="AA1186" s="7">
        <f t="shared" si="74"/>
        <v>91.180003169000003</v>
      </c>
      <c r="AB1186" t="s">
        <v>66</v>
      </c>
      <c r="AC1186" t="str">
        <f t="shared" si="75"/>
        <v>Non-Cash Payments</v>
      </c>
    </row>
    <row r="1187" spans="1:29" x14ac:dyDescent="0.25">
      <c r="A1187">
        <v>38129</v>
      </c>
      <c r="B1187" s="2">
        <v>42650</v>
      </c>
      <c r="C1187">
        <v>4</v>
      </c>
      <c r="D1187" s="2">
        <f t="shared" si="72"/>
        <v>42656</v>
      </c>
      <c r="E1187">
        <v>1</v>
      </c>
      <c r="F1187" t="s">
        <v>62</v>
      </c>
      <c r="G1187" t="str">
        <f t="shared" si="73"/>
        <v>Other</v>
      </c>
      <c r="H1187">
        <v>40</v>
      </c>
      <c r="I1187">
        <v>2319</v>
      </c>
      <c r="J1187">
        <v>6</v>
      </c>
      <c r="K1187" t="s">
        <v>35</v>
      </c>
      <c r="L1187" t="s">
        <v>893</v>
      </c>
      <c r="M1187" t="s">
        <v>981</v>
      </c>
      <c r="N1187" t="s">
        <v>923</v>
      </c>
      <c r="O1187">
        <v>60610</v>
      </c>
      <c r="P1187" t="s">
        <v>896</v>
      </c>
      <c r="Q1187" t="s">
        <v>903</v>
      </c>
      <c r="R1187">
        <v>40</v>
      </c>
      <c r="T1187">
        <v>897</v>
      </c>
      <c r="U1187" t="s">
        <v>1080</v>
      </c>
      <c r="V1187" s="7">
        <v>24.989999770000001</v>
      </c>
      <c r="W1187" s="7">
        <v>31.600000078500003</v>
      </c>
      <c r="X1187">
        <v>2</v>
      </c>
      <c r="Y1187" s="7">
        <v>2.75</v>
      </c>
      <c r="Z1187" s="7">
        <v>49.979999540000001</v>
      </c>
      <c r="AA1187" s="7">
        <f t="shared" si="74"/>
        <v>47.229999540000001</v>
      </c>
      <c r="AB1187" t="s">
        <v>66</v>
      </c>
      <c r="AC1187" t="str">
        <f t="shared" si="75"/>
        <v>Non-Cash Payments</v>
      </c>
    </row>
    <row r="1188" spans="1:29" x14ac:dyDescent="0.25">
      <c r="A1188">
        <v>31476</v>
      </c>
      <c r="B1188" s="2">
        <v>42464</v>
      </c>
      <c r="C1188">
        <v>4</v>
      </c>
      <c r="D1188" s="2">
        <f t="shared" si="72"/>
        <v>42468</v>
      </c>
      <c r="E1188">
        <v>0</v>
      </c>
      <c r="F1188" t="s">
        <v>62</v>
      </c>
      <c r="G1188" t="str">
        <f t="shared" si="73"/>
        <v>Other</v>
      </c>
      <c r="H1188">
        <v>13</v>
      </c>
      <c r="I1188">
        <v>3302</v>
      </c>
      <c r="J1188">
        <v>3</v>
      </c>
      <c r="K1188" t="s">
        <v>24</v>
      </c>
      <c r="L1188" t="s">
        <v>893</v>
      </c>
      <c r="M1188" t="s">
        <v>927</v>
      </c>
      <c r="N1188" t="s">
        <v>928</v>
      </c>
      <c r="O1188">
        <v>10009</v>
      </c>
      <c r="P1188" t="s">
        <v>896</v>
      </c>
      <c r="Q1188" t="s">
        <v>913</v>
      </c>
      <c r="R1188">
        <v>13</v>
      </c>
      <c r="T1188">
        <v>278</v>
      </c>
      <c r="U1188" t="s">
        <v>1106</v>
      </c>
      <c r="V1188" s="7">
        <v>44.990001679999999</v>
      </c>
      <c r="W1188" s="7">
        <v>31.547668386333335</v>
      </c>
      <c r="X1188">
        <v>2</v>
      </c>
      <c r="Y1188" s="7">
        <v>4.5</v>
      </c>
      <c r="Z1188" s="7">
        <v>89.980003359999998</v>
      </c>
      <c r="AA1188" s="7">
        <f t="shared" si="74"/>
        <v>85.480003359999998</v>
      </c>
      <c r="AB1188" t="s">
        <v>66</v>
      </c>
      <c r="AC1188" t="str">
        <f t="shared" si="75"/>
        <v>Non-Cash Payments</v>
      </c>
    </row>
    <row r="1189" spans="1:29" x14ac:dyDescent="0.25">
      <c r="A1189">
        <v>33744</v>
      </c>
      <c r="B1189" s="2">
        <v>42556</v>
      </c>
      <c r="C1189">
        <v>4</v>
      </c>
      <c r="D1189" s="2">
        <f t="shared" si="72"/>
        <v>42562</v>
      </c>
      <c r="E1189">
        <v>1</v>
      </c>
      <c r="F1189" t="s">
        <v>62</v>
      </c>
      <c r="G1189" t="str">
        <f t="shared" si="73"/>
        <v>Other</v>
      </c>
      <c r="H1189">
        <v>9</v>
      </c>
      <c r="I1189">
        <v>3815</v>
      </c>
      <c r="J1189">
        <v>3</v>
      </c>
      <c r="K1189" t="s">
        <v>24</v>
      </c>
      <c r="L1189" t="s">
        <v>893</v>
      </c>
      <c r="M1189" t="s">
        <v>920</v>
      </c>
      <c r="N1189" t="s">
        <v>921</v>
      </c>
      <c r="O1189">
        <v>19143</v>
      </c>
      <c r="P1189" t="s">
        <v>896</v>
      </c>
      <c r="Q1189" t="s">
        <v>913</v>
      </c>
      <c r="R1189">
        <v>9</v>
      </c>
      <c r="T1189">
        <v>172</v>
      </c>
      <c r="U1189" t="s">
        <v>1095</v>
      </c>
      <c r="V1189" s="7">
        <v>30</v>
      </c>
      <c r="W1189" s="7">
        <v>34.094166694333332</v>
      </c>
      <c r="X1189">
        <v>2</v>
      </c>
      <c r="Y1189" s="7">
        <v>4.1999998090000004</v>
      </c>
      <c r="Z1189" s="7">
        <v>60</v>
      </c>
      <c r="AA1189" s="7">
        <f t="shared" si="74"/>
        <v>55.800000191000002</v>
      </c>
      <c r="AB1189" t="s">
        <v>66</v>
      </c>
      <c r="AC1189" t="str">
        <f t="shared" si="75"/>
        <v>Non-Cash Payments</v>
      </c>
    </row>
    <row r="1190" spans="1:29" x14ac:dyDescent="0.25">
      <c r="A1190">
        <v>38866</v>
      </c>
      <c r="B1190" s="2">
        <v>42572</v>
      </c>
      <c r="C1190">
        <v>4</v>
      </c>
      <c r="D1190" s="2">
        <f t="shared" si="72"/>
        <v>42578</v>
      </c>
      <c r="E1190">
        <v>0</v>
      </c>
      <c r="F1190" t="s">
        <v>62</v>
      </c>
      <c r="G1190" t="str">
        <f t="shared" si="73"/>
        <v>Other</v>
      </c>
      <c r="H1190">
        <v>9</v>
      </c>
      <c r="I1190">
        <v>10226</v>
      </c>
      <c r="J1190">
        <v>3</v>
      </c>
      <c r="K1190" t="s">
        <v>24</v>
      </c>
      <c r="L1190" t="s">
        <v>893</v>
      </c>
      <c r="M1190" t="s">
        <v>898</v>
      </c>
      <c r="N1190" t="s">
        <v>899</v>
      </c>
      <c r="O1190">
        <v>90045</v>
      </c>
      <c r="P1190" t="s">
        <v>896</v>
      </c>
      <c r="Q1190" t="s">
        <v>897</v>
      </c>
      <c r="R1190">
        <v>9</v>
      </c>
      <c r="T1190">
        <v>191</v>
      </c>
      <c r="U1190" t="s">
        <v>1044</v>
      </c>
      <c r="V1190" s="7">
        <v>99.989997860000003</v>
      </c>
      <c r="W1190" s="7">
        <v>95.114003926871064</v>
      </c>
      <c r="X1190">
        <v>2</v>
      </c>
      <c r="Y1190" s="7">
        <v>14</v>
      </c>
      <c r="Z1190" s="7">
        <v>199.97999572000001</v>
      </c>
      <c r="AA1190" s="7">
        <f t="shared" si="74"/>
        <v>185.97999572000001</v>
      </c>
      <c r="AB1190" t="s">
        <v>66</v>
      </c>
      <c r="AC1190" t="str">
        <f t="shared" si="75"/>
        <v>Non-Cash Payments</v>
      </c>
    </row>
    <row r="1191" spans="1:29" x14ac:dyDescent="0.25">
      <c r="A1191">
        <v>36757</v>
      </c>
      <c r="B1191" s="2">
        <v>42541</v>
      </c>
      <c r="C1191">
        <v>4</v>
      </c>
      <c r="D1191" s="2">
        <f t="shared" si="72"/>
        <v>42545</v>
      </c>
      <c r="E1191">
        <v>0</v>
      </c>
      <c r="F1191" t="s">
        <v>62</v>
      </c>
      <c r="G1191" t="str">
        <f t="shared" si="73"/>
        <v>Other</v>
      </c>
      <c r="H1191">
        <v>11</v>
      </c>
      <c r="I1191">
        <v>2456</v>
      </c>
      <c r="J1191">
        <v>3</v>
      </c>
      <c r="K1191" t="s">
        <v>24</v>
      </c>
      <c r="L1191" t="s">
        <v>893</v>
      </c>
      <c r="M1191" t="s">
        <v>946</v>
      </c>
      <c r="N1191" t="s">
        <v>930</v>
      </c>
      <c r="O1191">
        <v>28806</v>
      </c>
      <c r="P1191" t="s">
        <v>896</v>
      </c>
      <c r="Q1191" t="s">
        <v>931</v>
      </c>
      <c r="R1191">
        <v>11</v>
      </c>
      <c r="T1191">
        <v>235</v>
      </c>
      <c r="U1191" t="s">
        <v>1093</v>
      </c>
      <c r="V1191" s="7">
        <v>34.990001679999999</v>
      </c>
      <c r="W1191" s="7">
        <v>25.521801568600001</v>
      </c>
      <c r="X1191">
        <v>2</v>
      </c>
      <c r="Y1191" s="7">
        <v>7</v>
      </c>
      <c r="Z1191" s="7">
        <v>69.980003359999998</v>
      </c>
      <c r="AA1191" s="7">
        <f t="shared" si="74"/>
        <v>62.980003359999998</v>
      </c>
      <c r="AB1191" t="s">
        <v>66</v>
      </c>
      <c r="AC1191" t="str">
        <f t="shared" si="75"/>
        <v>Non-Cash Payments</v>
      </c>
    </row>
    <row r="1192" spans="1:29" x14ac:dyDescent="0.25">
      <c r="A1192">
        <v>32695</v>
      </c>
      <c r="B1192" s="2">
        <v>42482</v>
      </c>
      <c r="C1192">
        <v>4</v>
      </c>
      <c r="D1192" s="2">
        <f t="shared" si="72"/>
        <v>42488</v>
      </c>
      <c r="E1192">
        <v>1</v>
      </c>
      <c r="F1192" t="s">
        <v>62</v>
      </c>
      <c r="G1192" t="str">
        <f t="shared" si="73"/>
        <v>Other</v>
      </c>
      <c r="H1192">
        <v>9</v>
      </c>
      <c r="I1192">
        <v>4477</v>
      </c>
      <c r="J1192">
        <v>3</v>
      </c>
      <c r="K1192" t="s">
        <v>24</v>
      </c>
      <c r="L1192" t="s">
        <v>893</v>
      </c>
      <c r="M1192" t="s">
        <v>927</v>
      </c>
      <c r="N1192" t="s">
        <v>928</v>
      </c>
      <c r="O1192">
        <v>10035</v>
      </c>
      <c r="P1192" t="s">
        <v>896</v>
      </c>
      <c r="Q1192" t="s">
        <v>913</v>
      </c>
      <c r="R1192">
        <v>9</v>
      </c>
      <c r="T1192">
        <v>191</v>
      </c>
      <c r="U1192" t="s">
        <v>1044</v>
      </c>
      <c r="V1192" s="7">
        <v>99.989997860000003</v>
      </c>
      <c r="W1192" s="7">
        <v>95.114003926871064</v>
      </c>
      <c r="X1192">
        <v>2</v>
      </c>
      <c r="Y1192" s="7">
        <v>30</v>
      </c>
      <c r="Z1192" s="7">
        <v>199.97999572000001</v>
      </c>
      <c r="AA1192" s="7">
        <f t="shared" si="74"/>
        <v>169.97999572000001</v>
      </c>
      <c r="AB1192" t="s">
        <v>66</v>
      </c>
      <c r="AC1192" t="str">
        <f t="shared" si="75"/>
        <v>Non-Cash Payments</v>
      </c>
    </row>
    <row r="1193" spans="1:29" x14ac:dyDescent="0.25">
      <c r="A1193">
        <v>36352</v>
      </c>
      <c r="B1193" s="2">
        <v>42535</v>
      </c>
      <c r="C1193">
        <v>4</v>
      </c>
      <c r="D1193" s="2">
        <f t="shared" si="72"/>
        <v>42541</v>
      </c>
      <c r="E1193">
        <v>0</v>
      </c>
      <c r="F1193" t="s">
        <v>62</v>
      </c>
      <c r="G1193" t="str">
        <f t="shared" si="73"/>
        <v>Other</v>
      </c>
      <c r="H1193">
        <v>13</v>
      </c>
      <c r="I1193">
        <v>4427</v>
      </c>
      <c r="J1193">
        <v>3</v>
      </c>
      <c r="K1193" t="s">
        <v>24</v>
      </c>
      <c r="L1193" t="s">
        <v>893</v>
      </c>
      <c r="M1193" t="s">
        <v>977</v>
      </c>
      <c r="N1193" t="s">
        <v>905</v>
      </c>
      <c r="O1193">
        <v>75217</v>
      </c>
      <c r="P1193" t="s">
        <v>896</v>
      </c>
      <c r="Q1193" t="s">
        <v>903</v>
      </c>
      <c r="R1193">
        <v>13</v>
      </c>
      <c r="T1193">
        <v>282</v>
      </c>
      <c r="U1193" t="s">
        <v>1085</v>
      </c>
      <c r="V1193" s="7">
        <v>31.989999770000001</v>
      </c>
      <c r="W1193" s="7">
        <v>27.763856872771434</v>
      </c>
      <c r="X1193">
        <v>2</v>
      </c>
      <c r="Y1193" s="7">
        <v>9.6000003809999992</v>
      </c>
      <c r="Z1193" s="7">
        <v>63.979999540000001</v>
      </c>
      <c r="AA1193" s="7">
        <f t="shared" si="74"/>
        <v>54.379999159</v>
      </c>
      <c r="AB1193" t="s">
        <v>66</v>
      </c>
      <c r="AC1193" t="str">
        <f t="shared" si="75"/>
        <v>Non-Cash Payments</v>
      </c>
    </row>
    <row r="1194" spans="1:29" x14ac:dyDescent="0.25">
      <c r="A1194">
        <v>36093</v>
      </c>
      <c r="B1194" s="2">
        <v>42649</v>
      </c>
      <c r="C1194">
        <v>4</v>
      </c>
      <c r="D1194" s="2">
        <f t="shared" si="72"/>
        <v>42655</v>
      </c>
      <c r="E1194">
        <v>0</v>
      </c>
      <c r="F1194" t="s">
        <v>62</v>
      </c>
      <c r="G1194" t="str">
        <f t="shared" si="73"/>
        <v>Other</v>
      </c>
      <c r="H1194">
        <v>9</v>
      </c>
      <c r="I1194">
        <v>3628</v>
      </c>
      <c r="J1194">
        <v>3</v>
      </c>
      <c r="K1194" t="s">
        <v>24</v>
      </c>
      <c r="L1194" t="s">
        <v>893</v>
      </c>
      <c r="M1194" t="s">
        <v>934</v>
      </c>
      <c r="N1194" t="s">
        <v>935</v>
      </c>
      <c r="O1194">
        <v>32216</v>
      </c>
      <c r="P1194" t="s">
        <v>896</v>
      </c>
      <c r="Q1194" t="s">
        <v>931</v>
      </c>
      <c r="R1194">
        <v>9</v>
      </c>
      <c r="T1194">
        <v>191</v>
      </c>
      <c r="U1194" t="s">
        <v>1044</v>
      </c>
      <c r="V1194" s="7">
        <v>99.989997860000003</v>
      </c>
      <c r="W1194" s="7">
        <v>95.114003926871064</v>
      </c>
      <c r="X1194">
        <v>2</v>
      </c>
      <c r="Y1194" s="7">
        <v>50</v>
      </c>
      <c r="Z1194" s="7">
        <v>199.97999572000001</v>
      </c>
      <c r="AA1194" s="7">
        <f t="shared" si="74"/>
        <v>149.97999572000001</v>
      </c>
      <c r="AB1194" t="s">
        <v>66</v>
      </c>
      <c r="AC1194" t="str">
        <f t="shared" si="75"/>
        <v>Non-Cash Payments</v>
      </c>
    </row>
    <row r="1195" spans="1:29" x14ac:dyDescent="0.25">
      <c r="A1195">
        <v>39307</v>
      </c>
      <c r="B1195" s="2">
        <v>42578</v>
      </c>
      <c r="C1195">
        <v>4</v>
      </c>
      <c r="D1195" s="2">
        <f t="shared" si="72"/>
        <v>42584</v>
      </c>
      <c r="E1195">
        <v>0</v>
      </c>
      <c r="F1195" t="s">
        <v>62</v>
      </c>
      <c r="G1195" t="str">
        <f t="shared" si="73"/>
        <v>Other</v>
      </c>
      <c r="H1195">
        <v>17</v>
      </c>
      <c r="I1195">
        <v>3029</v>
      </c>
      <c r="J1195">
        <v>4</v>
      </c>
      <c r="K1195" t="s">
        <v>46</v>
      </c>
      <c r="L1195" t="s">
        <v>893</v>
      </c>
      <c r="M1195" t="s">
        <v>920</v>
      </c>
      <c r="N1195" t="s">
        <v>921</v>
      </c>
      <c r="O1195">
        <v>19134</v>
      </c>
      <c r="P1195" t="s">
        <v>896</v>
      </c>
      <c r="Q1195" t="s">
        <v>913</v>
      </c>
      <c r="R1195">
        <v>17</v>
      </c>
      <c r="T1195">
        <v>365</v>
      </c>
      <c r="U1195" t="s">
        <v>1054</v>
      </c>
      <c r="V1195" s="7">
        <v>59.990001679999999</v>
      </c>
      <c r="W1195" s="7">
        <v>54.488929209402009</v>
      </c>
      <c r="X1195">
        <v>2</v>
      </c>
      <c r="Y1195" s="7">
        <v>10.80000019</v>
      </c>
      <c r="Z1195" s="7">
        <v>119.98000336</v>
      </c>
      <c r="AA1195" s="7">
        <f t="shared" si="74"/>
        <v>109.18000316999999</v>
      </c>
      <c r="AB1195" t="s">
        <v>66</v>
      </c>
      <c r="AC1195" t="str">
        <f t="shared" si="75"/>
        <v>Non-Cash Payments</v>
      </c>
    </row>
    <row r="1196" spans="1:29" x14ac:dyDescent="0.25">
      <c r="A1196">
        <v>35120</v>
      </c>
      <c r="B1196" s="2">
        <v>42517</v>
      </c>
      <c r="C1196">
        <v>4</v>
      </c>
      <c r="D1196" s="2">
        <f t="shared" si="72"/>
        <v>42523</v>
      </c>
      <c r="E1196">
        <v>1</v>
      </c>
      <c r="F1196" t="s">
        <v>62</v>
      </c>
      <c r="G1196" t="str">
        <f t="shared" si="73"/>
        <v>Other</v>
      </c>
      <c r="H1196">
        <v>17</v>
      </c>
      <c r="I1196">
        <v>11791</v>
      </c>
      <c r="J1196">
        <v>4</v>
      </c>
      <c r="K1196" t="s">
        <v>46</v>
      </c>
      <c r="L1196" t="s">
        <v>893</v>
      </c>
      <c r="M1196" t="s">
        <v>927</v>
      </c>
      <c r="N1196" t="s">
        <v>928</v>
      </c>
      <c r="O1196">
        <v>10011</v>
      </c>
      <c r="P1196" t="s">
        <v>896</v>
      </c>
      <c r="Q1196" t="s">
        <v>913</v>
      </c>
      <c r="R1196">
        <v>17</v>
      </c>
      <c r="T1196">
        <v>365</v>
      </c>
      <c r="U1196" t="s">
        <v>1054</v>
      </c>
      <c r="V1196" s="7">
        <v>59.990001679999999</v>
      </c>
      <c r="W1196" s="7">
        <v>54.488929209402009</v>
      </c>
      <c r="X1196">
        <v>2</v>
      </c>
      <c r="Y1196" s="7">
        <v>10.80000019</v>
      </c>
      <c r="Z1196" s="7">
        <v>119.98000336</v>
      </c>
      <c r="AA1196" s="7">
        <f t="shared" si="74"/>
        <v>109.18000316999999</v>
      </c>
      <c r="AB1196" t="s">
        <v>66</v>
      </c>
      <c r="AC1196" t="str">
        <f t="shared" si="75"/>
        <v>Non-Cash Payments</v>
      </c>
    </row>
    <row r="1197" spans="1:29" x14ac:dyDescent="0.25">
      <c r="A1197">
        <v>31794</v>
      </c>
      <c r="B1197" s="2">
        <v>42617</v>
      </c>
      <c r="C1197">
        <v>4</v>
      </c>
      <c r="D1197" s="2">
        <f t="shared" si="72"/>
        <v>42621</v>
      </c>
      <c r="E1197">
        <v>1</v>
      </c>
      <c r="F1197" t="s">
        <v>62</v>
      </c>
      <c r="G1197" t="str">
        <f t="shared" si="73"/>
        <v>Other</v>
      </c>
      <c r="H1197">
        <v>17</v>
      </c>
      <c r="I1197">
        <v>5935</v>
      </c>
      <c r="J1197">
        <v>4</v>
      </c>
      <c r="K1197" t="s">
        <v>46</v>
      </c>
      <c r="L1197" t="s">
        <v>893</v>
      </c>
      <c r="M1197" t="s">
        <v>945</v>
      </c>
      <c r="N1197" t="s">
        <v>899</v>
      </c>
      <c r="O1197">
        <v>92627</v>
      </c>
      <c r="P1197" t="s">
        <v>896</v>
      </c>
      <c r="Q1197" t="s">
        <v>897</v>
      </c>
      <c r="R1197">
        <v>17</v>
      </c>
      <c r="T1197">
        <v>365</v>
      </c>
      <c r="U1197" t="s">
        <v>1054</v>
      </c>
      <c r="V1197" s="7">
        <v>59.990001679999999</v>
      </c>
      <c r="W1197" s="7">
        <v>54.488929209402009</v>
      </c>
      <c r="X1197">
        <v>2</v>
      </c>
      <c r="Y1197" s="7">
        <v>12</v>
      </c>
      <c r="Z1197" s="7">
        <v>119.98000336</v>
      </c>
      <c r="AA1197" s="7">
        <f t="shared" si="74"/>
        <v>107.98000336</v>
      </c>
      <c r="AB1197" t="s">
        <v>66</v>
      </c>
      <c r="AC1197" t="str">
        <f t="shared" si="75"/>
        <v>Non-Cash Payments</v>
      </c>
    </row>
    <row r="1198" spans="1:29" x14ac:dyDescent="0.25">
      <c r="A1198">
        <v>45882</v>
      </c>
      <c r="B1198" s="2">
        <v>42674</v>
      </c>
      <c r="C1198">
        <v>4</v>
      </c>
      <c r="D1198" s="2">
        <f t="shared" si="72"/>
        <v>42678</v>
      </c>
      <c r="E1198">
        <v>0</v>
      </c>
      <c r="F1198" t="s">
        <v>62</v>
      </c>
      <c r="G1198" t="str">
        <f t="shared" si="73"/>
        <v>Other</v>
      </c>
      <c r="H1198">
        <v>17</v>
      </c>
      <c r="I1198">
        <v>12381</v>
      </c>
      <c r="J1198">
        <v>4</v>
      </c>
      <c r="K1198" t="s">
        <v>46</v>
      </c>
      <c r="L1198" t="s">
        <v>893</v>
      </c>
      <c r="M1198" t="s">
        <v>1006</v>
      </c>
      <c r="N1198" t="s">
        <v>972</v>
      </c>
      <c r="P1198" t="s">
        <v>918</v>
      </c>
      <c r="Q1198" t="s">
        <v>918</v>
      </c>
      <c r="R1198">
        <v>17</v>
      </c>
      <c r="T1198">
        <v>365</v>
      </c>
      <c r="U1198" t="s">
        <v>1054</v>
      </c>
      <c r="V1198" s="7">
        <v>59.990001679999999</v>
      </c>
      <c r="W1198" s="7">
        <v>54.488929209402009</v>
      </c>
      <c r="X1198">
        <v>2</v>
      </c>
      <c r="Y1198" s="7">
        <v>14.399999619999999</v>
      </c>
      <c r="Z1198" s="7">
        <v>119.98000336</v>
      </c>
      <c r="AA1198" s="7">
        <f t="shared" si="74"/>
        <v>105.58000374</v>
      </c>
      <c r="AB1198" t="s">
        <v>66</v>
      </c>
      <c r="AC1198" t="str">
        <f t="shared" si="75"/>
        <v>Non-Cash Payments</v>
      </c>
    </row>
    <row r="1199" spans="1:29" x14ac:dyDescent="0.25">
      <c r="A1199">
        <v>36996</v>
      </c>
      <c r="B1199" s="2">
        <v>42545</v>
      </c>
      <c r="C1199">
        <v>4</v>
      </c>
      <c r="D1199" s="2">
        <f t="shared" si="72"/>
        <v>42551</v>
      </c>
      <c r="E1199">
        <v>0</v>
      </c>
      <c r="F1199" t="s">
        <v>62</v>
      </c>
      <c r="G1199" t="str">
        <f t="shared" si="73"/>
        <v>Other</v>
      </c>
      <c r="H1199">
        <v>17</v>
      </c>
      <c r="I1199">
        <v>6227</v>
      </c>
      <c r="J1199">
        <v>4</v>
      </c>
      <c r="K1199" t="s">
        <v>46</v>
      </c>
      <c r="L1199" t="s">
        <v>893</v>
      </c>
      <c r="M1199" t="s">
        <v>900</v>
      </c>
      <c r="N1199" t="s">
        <v>899</v>
      </c>
      <c r="O1199">
        <v>94109</v>
      </c>
      <c r="P1199" t="s">
        <v>896</v>
      </c>
      <c r="Q1199" t="s">
        <v>897</v>
      </c>
      <c r="R1199">
        <v>17</v>
      </c>
      <c r="T1199">
        <v>365</v>
      </c>
      <c r="U1199" t="s">
        <v>1054</v>
      </c>
      <c r="V1199" s="7">
        <v>59.990001679999999</v>
      </c>
      <c r="W1199" s="7">
        <v>54.488929209402009</v>
      </c>
      <c r="X1199">
        <v>2</v>
      </c>
      <c r="Y1199" s="7">
        <v>18</v>
      </c>
      <c r="Z1199" s="7">
        <v>119.98000336</v>
      </c>
      <c r="AA1199" s="7">
        <f t="shared" si="74"/>
        <v>101.98000336</v>
      </c>
      <c r="AB1199" t="s">
        <v>66</v>
      </c>
      <c r="AC1199" t="str">
        <f t="shared" si="75"/>
        <v>Non-Cash Payments</v>
      </c>
    </row>
    <row r="1200" spans="1:29" x14ac:dyDescent="0.25">
      <c r="A1200">
        <v>36297</v>
      </c>
      <c r="B1200" s="2">
        <v>42534</v>
      </c>
      <c r="C1200">
        <v>4</v>
      </c>
      <c r="D1200" s="2">
        <f t="shared" si="72"/>
        <v>42538</v>
      </c>
      <c r="E1200">
        <v>0</v>
      </c>
      <c r="F1200" t="s">
        <v>62</v>
      </c>
      <c r="G1200" t="str">
        <f t="shared" si="73"/>
        <v>Other</v>
      </c>
      <c r="H1200">
        <v>17</v>
      </c>
      <c r="I1200">
        <v>1899</v>
      </c>
      <c r="J1200">
        <v>4</v>
      </c>
      <c r="K1200" t="s">
        <v>46</v>
      </c>
      <c r="L1200" t="s">
        <v>893</v>
      </c>
      <c r="M1200" t="s">
        <v>898</v>
      </c>
      <c r="N1200" t="s">
        <v>899</v>
      </c>
      <c r="O1200">
        <v>90004</v>
      </c>
      <c r="P1200" t="s">
        <v>896</v>
      </c>
      <c r="Q1200" t="s">
        <v>897</v>
      </c>
      <c r="R1200">
        <v>17</v>
      </c>
      <c r="T1200">
        <v>365</v>
      </c>
      <c r="U1200" t="s">
        <v>1054</v>
      </c>
      <c r="V1200" s="7">
        <v>59.990001679999999</v>
      </c>
      <c r="W1200" s="7">
        <v>54.488929209402009</v>
      </c>
      <c r="X1200">
        <v>2</v>
      </c>
      <c r="Y1200" s="7">
        <v>20.399999619999999</v>
      </c>
      <c r="Z1200" s="7">
        <v>119.98000336</v>
      </c>
      <c r="AA1200" s="7">
        <f t="shared" si="74"/>
        <v>99.580003739999995</v>
      </c>
      <c r="AB1200" t="s">
        <v>66</v>
      </c>
      <c r="AC1200" t="str">
        <f t="shared" si="75"/>
        <v>Non-Cash Payments</v>
      </c>
    </row>
    <row r="1201" spans="1:29" x14ac:dyDescent="0.25">
      <c r="A1201">
        <v>31691</v>
      </c>
      <c r="B1201" s="2">
        <v>42555</v>
      </c>
      <c r="C1201">
        <v>4</v>
      </c>
      <c r="D1201" s="2">
        <f t="shared" si="72"/>
        <v>42559</v>
      </c>
      <c r="E1201">
        <v>0</v>
      </c>
      <c r="F1201" t="s">
        <v>62</v>
      </c>
      <c r="G1201" t="str">
        <f t="shared" si="73"/>
        <v>Other</v>
      </c>
      <c r="H1201">
        <v>17</v>
      </c>
      <c r="I1201">
        <v>11337</v>
      </c>
      <c r="J1201">
        <v>4</v>
      </c>
      <c r="K1201" t="s">
        <v>46</v>
      </c>
      <c r="L1201" t="s">
        <v>893</v>
      </c>
      <c r="M1201" t="s">
        <v>1007</v>
      </c>
      <c r="N1201" t="s">
        <v>955</v>
      </c>
      <c r="O1201">
        <v>89115</v>
      </c>
      <c r="P1201" t="s">
        <v>896</v>
      </c>
      <c r="Q1201" t="s">
        <v>897</v>
      </c>
      <c r="R1201">
        <v>17</v>
      </c>
      <c r="T1201">
        <v>365</v>
      </c>
      <c r="U1201" t="s">
        <v>1054</v>
      </c>
      <c r="V1201" s="7">
        <v>59.990001679999999</v>
      </c>
      <c r="W1201" s="7">
        <v>54.488929209402009</v>
      </c>
      <c r="X1201">
        <v>2</v>
      </c>
      <c r="Y1201" s="7">
        <v>21.600000380000001</v>
      </c>
      <c r="Z1201" s="7">
        <v>119.98000336</v>
      </c>
      <c r="AA1201" s="7">
        <f t="shared" si="74"/>
        <v>98.38000298</v>
      </c>
      <c r="AB1201" t="s">
        <v>66</v>
      </c>
      <c r="AC1201" t="str">
        <f t="shared" si="75"/>
        <v>Non-Cash Payments</v>
      </c>
    </row>
    <row r="1202" spans="1:29" x14ac:dyDescent="0.25">
      <c r="A1202">
        <v>39206</v>
      </c>
      <c r="B1202" s="2">
        <v>42577</v>
      </c>
      <c r="C1202">
        <v>4</v>
      </c>
      <c r="D1202" s="2">
        <f t="shared" si="72"/>
        <v>42583</v>
      </c>
      <c r="E1202">
        <v>0</v>
      </c>
      <c r="F1202" t="s">
        <v>62</v>
      </c>
      <c r="G1202" t="str">
        <f t="shared" si="73"/>
        <v>Other</v>
      </c>
      <c r="H1202">
        <v>17</v>
      </c>
      <c r="I1202">
        <v>5941</v>
      </c>
      <c r="J1202">
        <v>4</v>
      </c>
      <c r="K1202" t="s">
        <v>46</v>
      </c>
      <c r="L1202" t="s">
        <v>893</v>
      </c>
      <c r="M1202" t="s">
        <v>1008</v>
      </c>
      <c r="N1202" t="s">
        <v>899</v>
      </c>
      <c r="O1202">
        <v>95037</v>
      </c>
      <c r="P1202" t="s">
        <v>896</v>
      </c>
      <c r="Q1202" t="s">
        <v>897</v>
      </c>
      <c r="R1202">
        <v>17</v>
      </c>
      <c r="T1202">
        <v>365</v>
      </c>
      <c r="U1202" t="s">
        <v>1054</v>
      </c>
      <c r="V1202" s="7">
        <v>59.990001679999999</v>
      </c>
      <c r="W1202" s="7">
        <v>54.488929209402009</v>
      </c>
      <c r="X1202">
        <v>2</v>
      </c>
      <c r="Y1202" s="7">
        <v>21.600000380000001</v>
      </c>
      <c r="Z1202" s="7">
        <v>119.98000336</v>
      </c>
      <c r="AA1202" s="7">
        <f t="shared" si="74"/>
        <v>98.38000298</v>
      </c>
      <c r="AB1202" t="s">
        <v>66</v>
      </c>
      <c r="AC1202" t="str">
        <f t="shared" si="75"/>
        <v>Non-Cash Payments</v>
      </c>
    </row>
    <row r="1203" spans="1:29" x14ac:dyDescent="0.25">
      <c r="A1203">
        <v>33883</v>
      </c>
      <c r="B1203" s="2">
        <v>42618</v>
      </c>
      <c r="C1203">
        <v>4</v>
      </c>
      <c r="D1203" s="2">
        <f t="shared" si="72"/>
        <v>42622</v>
      </c>
      <c r="E1203">
        <v>0</v>
      </c>
      <c r="F1203" t="s">
        <v>62</v>
      </c>
      <c r="G1203" t="str">
        <f t="shared" si="73"/>
        <v>Other</v>
      </c>
      <c r="H1203">
        <v>24</v>
      </c>
      <c r="I1203">
        <v>8556</v>
      </c>
      <c r="J1203">
        <v>5</v>
      </c>
      <c r="K1203" t="s">
        <v>31</v>
      </c>
      <c r="L1203" t="s">
        <v>893</v>
      </c>
      <c r="M1203" t="s">
        <v>927</v>
      </c>
      <c r="N1203" t="s">
        <v>928</v>
      </c>
      <c r="O1203">
        <v>10024</v>
      </c>
      <c r="P1203" t="s">
        <v>896</v>
      </c>
      <c r="Q1203" t="s">
        <v>913</v>
      </c>
      <c r="R1203">
        <v>24</v>
      </c>
      <c r="T1203">
        <v>502</v>
      </c>
      <c r="U1203" t="s">
        <v>1058</v>
      </c>
      <c r="V1203" s="7">
        <v>50</v>
      </c>
      <c r="W1203" s="7">
        <v>43.678035218757444</v>
      </c>
      <c r="X1203">
        <v>2</v>
      </c>
      <c r="Y1203" s="7">
        <v>1</v>
      </c>
      <c r="Z1203" s="7">
        <v>100</v>
      </c>
      <c r="AA1203" s="7">
        <f t="shared" si="74"/>
        <v>99</v>
      </c>
      <c r="AB1203" t="s">
        <v>66</v>
      </c>
      <c r="AC1203" t="str">
        <f t="shared" si="75"/>
        <v>Non-Cash Payments</v>
      </c>
    </row>
    <row r="1204" spans="1:29" x14ac:dyDescent="0.25">
      <c r="A1204">
        <v>31580</v>
      </c>
      <c r="B1204" s="2">
        <v>42494</v>
      </c>
      <c r="C1204">
        <v>4</v>
      </c>
      <c r="D1204" s="2">
        <f t="shared" si="72"/>
        <v>42500</v>
      </c>
      <c r="E1204">
        <v>1</v>
      </c>
      <c r="F1204" t="s">
        <v>62</v>
      </c>
      <c r="G1204" t="str">
        <f t="shared" si="73"/>
        <v>Other</v>
      </c>
      <c r="H1204">
        <v>29</v>
      </c>
      <c r="I1204">
        <v>2871</v>
      </c>
      <c r="J1204">
        <v>5</v>
      </c>
      <c r="K1204" t="s">
        <v>31</v>
      </c>
      <c r="L1204" t="s">
        <v>893</v>
      </c>
      <c r="M1204" t="s">
        <v>1009</v>
      </c>
      <c r="N1204" t="s">
        <v>1010</v>
      </c>
      <c r="O1204">
        <v>97206</v>
      </c>
      <c r="P1204" t="s">
        <v>896</v>
      </c>
      <c r="Q1204" t="s">
        <v>897</v>
      </c>
      <c r="R1204">
        <v>29</v>
      </c>
      <c r="T1204">
        <v>627</v>
      </c>
      <c r="U1204" t="s">
        <v>1046</v>
      </c>
      <c r="V1204" s="7">
        <v>39.990001679999999</v>
      </c>
      <c r="W1204" s="7">
        <v>34.198098313835338</v>
      </c>
      <c r="X1204">
        <v>2</v>
      </c>
      <c r="Y1204" s="7">
        <v>3.2000000480000002</v>
      </c>
      <c r="Z1204" s="7">
        <v>79.980003359999998</v>
      </c>
      <c r="AA1204" s="7">
        <f t="shared" si="74"/>
        <v>76.780003311999991</v>
      </c>
      <c r="AB1204" t="s">
        <v>66</v>
      </c>
      <c r="AC1204" t="str">
        <f t="shared" si="75"/>
        <v>Non-Cash Payments</v>
      </c>
    </row>
    <row r="1205" spans="1:29" x14ac:dyDescent="0.25">
      <c r="A1205">
        <v>35577</v>
      </c>
      <c r="B1205" s="2">
        <v>42435</v>
      </c>
      <c r="C1205">
        <v>4</v>
      </c>
      <c r="D1205" s="2">
        <f t="shared" si="72"/>
        <v>42439</v>
      </c>
      <c r="E1205">
        <v>0</v>
      </c>
      <c r="F1205" t="s">
        <v>62</v>
      </c>
      <c r="G1205" t="str">
        <f t="shared" si="73"/>
        <v>Other</v>
      </c>
      <c r="H1205">
        <v>29</v>
      </c>
      <c r="I1205">
        <v>11586</v>
      </c>
      <c r="J1205">
        <v>5</v>
      </c>
      <c r="K1205" t="s">
        <v>31</v>
      </c>
      <c r="L1205" t="s">
        <v>893</v>
      </c>
      <c r="M1205" t="s">
        <v>927</v>
      </c>
      <c r="N1205" t="s">
        <v>928</v>
      </c>
      <c r="O1205">
        <v>10011</v>
      </c>
      <c r="P1205" t="s">
        <v>896</v>
      </c>
      <c r="Q1205" t="s">
        <v>913</v>
      </c>
      <c r="R1205">
        <v>29</v>
      </c>
      <c r="T1205">
        <v>627</v>
      </c>
      <c r="U1205" t="s">
        <v>1046</v>
      </c>
      <c r="V1205" s="7">
        <v>39.990001679999999</v>
      </c>
      <c r="W1205" s="7">
        <v>34.198098313835338</v>
      </c>
      <c r="X1205">
        <v>2</v>
      </c>
      <c r="Y1205" s="7">
        <v>4</v>
      </c>
      <c r="Z1205" s="7">
        <v>79.980003359999998</v>
      </c>
      <c r="AA1205" s="7">
        <f t="shared" si="74"/>
        <v>75.980003359999998</v>
      </c>
      <c r="AB1205" t="s">
        <v>66</v>
      </c>
      <c r="AC1205" t="str">
        <f t="shared" si="75"/>
        <v>Non-Cash Payments</v>
      </c>
    </row>
    <row r="1206" spans="1:29" x14ac:dyDescent="0.25">
      <c r="A1206">
        <v>32529</v>
      </c>
      <c r="B1206" s="2">
        <v>42479</v>
      </c>
      <c r="C1206">
        <v>4</v>
      </c>
      <c r="D1206" s="2">
        <f t="shared" si="72"/>
        <v>42485</v>
      </c>
      <c r="E1206">
        <v>1</v>
      </c>
      <c r="F1206" t="s">
        <v>62</v>
      </c>
      <c r="G1206" t="str">
        <f t="shared" si="73"/>
        <v>Other</v>
      </c>
      <c r="H1206">
        <v>29</v>
      </c>
      <c r="I1206">
        <v>4070</v>
      </c>
      <c r="J1206">
        <v>5</v>
      </c>
      <c r="K1206" t="s">
        <v>31</v>
      </c>
      <c r="L1206" t="s">
        <v>893</v>
      </c>
      <c r="M1206" t="s">
        <v>1011</v>
      </c>
      <c r="N1206" t="s">
        <v>928</v>
      </c>
      <c r="O1206">
        <v>14215</v>
      </c>
      <c r="P1206" t="s">
        <v>896</v>
      </c>
      <c r="Q1206" t="s">
        <v>913</v>
      </c>
      <c r="R1206">
        <v>29</v>
      </c>
      <c r="T1206">
        <v>627</v>
      </c>
      <c r="U1206" t="s">
        <v>1046</v>
      </c>
      <c r="V1206" s="7">
        <v>39.990001679999999</v>
      </c>
      <c r="W1206" s="7">
        <v>34.198098313835338</v>
      </c>
      <c r="X1206">
        <v>2</v>
      </c>
      <c r="Y1206" s="7">
        <v>4</v>
      </c>
      <c r="Z1206" s="7">
        <v>79.980003359999998</v>
      </c>
      <c r="AA1206" s="7">
        <f t="shared" si="74"/>
        <v>75.980003359999998</v>
      </c>
      <c r="AB1206" t="s">
        <v>66</v>
      </c>
      <c r="AC1206" t="str">
        <f t="shared" si="75"/>
        <v>Non-Cash Payments</v>
      </c>
    </row>
    <row r="1207" spans="1:29" x14ac:dyDescent="0.25">
      <c r="A1207">
        <v>39328</v>
      </c>
      <c r="B1207" s="2">
        <v>42579</v>
      </c>
      <c r="C1207">
        <v>4</v>
      </c>
      <c r="D1207" s="2">
        <f t="shared" si="72"/>
        <v>42585</v>
      </c>
      <c r="E1207">
        <v>0</v>
      </c>
      <c r="F1207" t="s">
        <v>62</v>
      </c>
      <c r="G1207" t="str">
        <f t="shared" si="73"/>
        <v>Other</v>
      </c>
      <c r="H1207">
        <v>24</v>
      </c>
      <c r="I1207">
        <v>6376</v>
      </c>
      <c r="J1207">
        <v>5</v>
      </c>
      <c r="K1207" t="s">
        <v>31</v>
      </c>
      <c r="L1207" t="s">
        <v>893</v>
      </c>
      <c r="M1207" t="s">
        <v>1012</v>
      </c>
      <c r="N1207" t="s">
        <v>905</v>
      </c>
      <c r="O1207">
        <v>79109</v>
      </c>
      <c r="P1207" t="s">
        <v>896</v>
      </c>
      <c r="Q1207" t="s">
        <v>903</v>
      </c>
      <c r="R1207">
        <v>24</v>
      </c>
      <c r="T1207">
        <v>502</v>
      </c>
      <c r="U1207" t="s">
        <v>1058</v>
      </c>
      <c r="V1207" s="7">
        <v>50</v>
      </c>
      <c r="W1207" s="7">
        <v>43.678035218757444</v>
      </c>
      <c r="X1207">
        <v>2</v>
      </c>
      <c r="Y1207" s="7">
        <v>7</v>
      </c>
      <c r="Z1207" s="7">
        <v>100</v>
      </c>
      <c r="AA1207" s="7">
        <f t="shared" si="74"/>
        <v>93</v>
      </c>
      <c r="AB1207" t="s">
        <v>66</v>
      </c>
      <c r="AC1207" t="str">
        <f t="shared" si="75"/>
        <v>Non-Cash Payments</v>
      </c>
    </row>
    <row r="1208" spans="1:29" x14ac:dyDescent="0.25">
      <c r="A1208">
        <v>37111</v>
      </c>
      <c r="B1208" s="2">
        <v>42546</v>
      </c>
      <c r="C1208">
        <v>4</v>
      </c>
      <c r="D1208" s="2">
        <f t="shared" si="72"/>
        <v>42551</v>
      </c>
      <c r="E1208">
        <v>0</v>
      </c>
      <c r="F1208" t="s">
        <v>62</v>
      </c>
      <c r="G1208" t="str">
        <f t="shared" si="73"/>
        <v>Other</v>
      </c>
      <c r="H1208">
        <v>26</v>
      </c>
      <c r="I1208">
        <v>10591</v>
      </c>
      <c r="J1208">
        <v>5</v>
      </c>
      <c r="K1208" t="s">
        <v>31</v>
      </c>
      <c r="L1208" t="s">
        <v>893</v>
      </c>
      <c r="M1208" t="s">
        <v>1013</v>
      </c>
      <c r="N1208" t="s">
        <v>935</v>
      </c>
      <c r="O1208">
        <v>33614</v>
      </c>
      <c r="P1208" t="s">
        <v>896</v>
      </c>
      <c r="Q1208" t="s">
        <v>931</v>
      </c>
      <c r="R1208">
        <v>26</v>
      </c>
      <c r="T1208">
        <v>565</v>
      </c>
      <c r="U1208" t="s">
        <v>1078</v>
      </c>
      <c r="V1208" s="7">
        <v>70</v>
      </c>
      <c r="W1208" s="7">
        <v>62.759999940857142</v>
      </c>
      <c r="X1208">
        <v>2</v>
      </c>
      <c r="Y1208" s="7">
        <v>12.600000380000001</v>
      </c>
      <c r="Z1208" s="7">
        <v>140</v>
      </c>
      <c r="AA1208" s="7">
        <f t="shared" si="74"/>
        <v>127.39999962</v>
      </c>
      <c r="AB1208" t="s">
        <v>66</v>
      </c>
      <c r="AC1208" t="str">
        <f t="shared" si="75"/>
        <v>Non-Cash Payments</v>
      </c>
    </row>
    <row r="1209" spans="1:29" x14ac:dyDescent="0.25">
      <c r="A1209">
        <v>39814</v>
      </c>
      <c r="B1209" s="2">
        <v>42468</v>
      </c>
      <c r="C1209">
        <v>4</v>
      </c>
      <c r="D1209" s="2">
        <f t="shared" si="72"/>
        <v>42474</v>
      </c>
      <c r="E1209">
        <v>1</v>
      </c>
      <c r="F1209" t="s">
        <v>62</v>
      </c>
      <c r="G1209" t="str">
        <f t="shared" si="73"/>
        <v>Other</v>
      </c>
      <c r="H1209">
        <v>24</v>
      </c>
      <c r="I1209">
        <v>242</v>
      </c>
      <c r="J1209">
        <v>5</v>
      </c>
      <c r="K1209" t="s">
        <v>31</v>
      </c>
      <c r="L1209" t="s">
        <v>893</v>
      </c>
      <c r="M1209" t="s">
        <v>1014</v>
      </c>
      <c r="N1209" t="s">
        <v>905</v>
      </c>
      <c r="O1209">
        <v>75034</v>
      </c>
      <c r="P1209" t="s">
        <v>896</v>
      </c>
      <c r="Q1209" t="s">
        <v>903</v>
      </c>
      <c r="R1209">
        <v>24</v>
      </c>
      <c r="T1209">
        <v>502</v>
      </c>
      <c r="U1209" t="s">
        <v>1058</v>
      </c>
      <c r="V1209" s="7">
        <v>50</v>
      </c>
      <c r="W1209" s="7">
        <v>43.678035218757444</v>
      </c>
      <c r="X1209">
        <v>2</v>
      </c>
      <c r="Y1209" s="7">
        <v>9</v>
      </c>
      <c r="Z1209" s="7">
        <v>100</v>
      </c>
      <c r="AA1209" s="7">
        <f t="shared" si="74"/>
        <v>91</v>
      </c>
      <c r="AB1209" t="s">
        <v>66</v>
      </c>
      <c r="AC1209" t="str">
        <f t="shared" si="75"/>
        <v>Non-Cash Payments</v>
      </c>
    </row>
    <row r="1210" spans="1:29" x14ac:dyDescent="0.25">
      <c r="A1210">
        <v>34834</v>
      </c>
      <c r="B1210" s="2">
        <v>42513</v>
      </c>
      <c r="C1210">
        <v>4</v>
      </c>
      <c r="D1210" s="2">
        <f t="shared" si="72"/>
        <v>42517</v>
      </c>
      <c r="E1210">
        <v>1</v>
      </c>
      <c r="F1210" t="s">
        <v>62</v>
      </c>
      <c r="G1210" t="str">
        <f t="shared" si="73"/>
        <v>Other</v>
      </c>
      <c r="H1210">
        <v>24</v>
      </c>
      <c r="I1210">
        <v>7268</v>
      </c>
      <c r="J1210">
        <v>5</v>
      </c>
      <c r="K1210" t="s">
        <v>31</v>
      </c>
      <c r="L1210" t="s">
        <v>893</v>
      </c>
      <c r="M1210" t="s">
        <v>954</v>
      </c>
      <c r="N1210" t="s">
        <v>984</v>
      </c>
      <c r="O1210">
        <v>42420</v>
      </c>
      <c r="P1210" t="s">
        <v>896</v>
      </c>
      <c r="Q1210" t="s">
        <v>931</v>
      </c>
      <c r="R1210">
        <v>24</v>
      </c>
      <c r="T1210">
        <v>502</v>
      </c>
      <c r="U1210" t="s">
        <v>1058</v>
      </c>
      <c r="V1210" s="7">
        <v>50</v>
      </c>
      <c r="W1210" s="7">
        <v>43.678035218757444</v>
      </c>
      <c r="X1210">
        <v>2</v>
      </c>
      <c r="Y1210" s="7">
        <v>12</v>
      </c>
      <c r="Z1210" s="7">
        <v>100</v>
      </c>
      <c r="AA1210" s="7">
        <f t="shared" si="74"/>
        <v>88</v>
      </c>
      <c r="AB1210" t="s">
        <v>66</v>
      </c>
      <c r="AC1210" t="str">
        <f t="shared" si="75"/>
        <v>Non-Cash Payments</v>
      </c>
    </row>
    <row r="1211" spans="1:29" x14ac:dyDescent="0.25">
      <c r="A1211">
        <v>39224</v>
      </c>
      <c r="B1211" s="2">
        <v>42577</v>
      </c>
      <c r="C1211">
        <v>4</v>
      </c>
      <c r="D1211" s="2">
        <f t="shared" si="72"/>
        <v>42583</v>
      </c>
      <c r="E1211">
        <v>1</v>
      </c>
      <c r="F1211" t="s">
        <v>62</v>
      </c>
      <c r="G1211" t="str">
        <f t="shared" si="73"/>
        <v>Other</v>
      </c>
      <c r="H1211">
        <v>24</v>
      </c>
      <c r="I1211">
        <v>3598</v>
      </c>
      <c r="J1211">
        <v>5</v>
      </c>
      <c r="K1211" t="s">
        <v>31</v>
      </c>
      <c r="L1211" t="s">
        <v>893</v>
      </c>
      <c r="M1211" t="s">
        <v>927</v>
      </c>
      <c r="N1211" t="s">
        <v>928</v>
      </c>
      <c r="O1211">
        <v>10035</v>
      </c>
      <c r="P1211" t="s">
        <v>896</v>
      </c>
      <c r="Q1211" t="s">
        <v>913</v>
      </c>
      <c r="R1211">
        <v>24</v>
      </c>
      <c r="T1211">
        <v>502</v>
      </c>
      <c r="U1211" t="s">
        <v>1058</v>
      </c>
      <c r="V1211" s="7">
        <v>50</v>
      </c>
      <c r="W1211" s="7">
        <v>43.678035218757444</v>
      </c>
      <c r="X1211">
        <v>2</v>
      </c>
      <c r="Y1211" s="7">
        <v>15</v>
      </c>
      <c r="Z1211" s="7">
        <v>100</v>
      </c>
      <c r="AA1211" s="7">
        <f t="shared" si="74"/>
        <v>85</v>
      </c>
      <c r="AB1211" t="s">
        <v>66</v>
      </c>
      <c r="AC1211" t="str">
        <f t="shared" si="75"/>
        <v>Non-Cash Payments</v>
      </c>
    </row>
    <row r="1212" spans="1:29" x14ac:dyDescent="0.25">
      <c r="A1212">
        <v>39166</v>
      </c>
      <c r="B1212" s="2">
        <v>42576</v>
      </c>
      <c r="C1212">
        <v>4</v>
      </c>
      <c r="D1212" s="2">
        <f t="shared" si="72"/>
        <v>42580</v>
      </c>
      <c r="E1212">
        <v>0</v>
      </c>
      <c r="F1212" t="s">
        <v>62</v>
      </c>
      <c r="G1212" t="str">
        <f t="shared" si="73"/>
        <v>Other</v>
      </c>
      <c r="H1212">
        <v>29</v>
      </c>
      <c r="I1212">
        <v>1958</v>
      </c>
      <c r="J1212">
        <v>5</v>
      </c>
      <c r="K1212" t="s">
        <v>31</v>
      </c>
      <c r="L1212" t="s">
        <v>893</v>
      </c>
      <c r="M1212" t="s">
        <v>934</v>
      </c>
      <c r="N1212" t="s">
        <v>930</v>
      </c>
      <c r="O1212">
        <v>28540</v>
      </c>
      <c r="P1212" t="s">
        <v>896</v>
      </c>
      <c r="Q1212" t="s">
        <v>931</v>
      </c>
      <c r="R1212">
        <v>29</v>
      </c>
      <c r="T1212">
        <v>627</v>
      </c>
      <c r="U1212" t="s">
        <v>1046</v>
      </c>
      <c r="V1212" s="7">
        <v>39.990001679999999</v>
      </c>
      <c r="W1212" s="7">
        <v>34.198098313835338</v>
      </c>
      <c r="X1212">
        <v>2</v>
      </c>
      <c r="Y1212" s="7">
        <v>12</v>
      </c>
      <c r="Z1212" s="7">
        <v>79.980003359999998</v>
      </c>
      <c r="AA1212" s="7">
        <f t="shared" si="74"/>
        <v>67.980003359999998</v>
      </c>
      <c r="AB1212" t="s">
        <v>66</v>
      </c>
      <c r="AC1212" t="str">
        <f t="shared" si="75"/>
        <v>Non-Cash Payments</v>
      </c>
    </row>
    <row r="1213" spans="1:29" x14ac:dyDescent="0.25">
      <c r="A1213">
        <v>32151</v>
      </c>
      <c r="B1213" s="2">
        <v>42474</v>
      </c>
      <c r="C1213">
        <v>4</v>
      </c>
      <c r="D1213" s="2">
        <f t="shared" si="72"/>
        <v>42480</v>
      </c>
      <c r="E1213">
        <v>0</v>
      </c>
      <c r="F1213" t="s">
        <v>62</v>
      </c>
      <c r="G1213" t="str">
        <f t="shared" si="73"/>
        <v>Other</v>
      </c>
      <c r="H1213">
        <v>24</v>
      </c>
      <c r="I1213">
        <v>9307</v>
      </c>
      <c r="J1213">
        <v>5</v>
      </c>
      <c r="K1213" t="s">
        <v>31</v>
      </c>
      <c r="L1213" t="s">
        <v>893</v>
      </c>
      <c r="M1213" t="s">
        <v>927</v>
      </c>
      <c r="N1213" t="s">
        <v>928</v>
      </c>
      <c r="O1213">
        <v>10035</v>
      </c>
      <c r="P1213" t="s">
        <v>896</v>
      </c>
      <c r="Q1213" t="s">
        <v>913</v>
      </c>
      <c r="R1213">
        <v>24</v>
      </c>
      <c r="T1213">
        <v>502</v>
      </c>
      <c r="U1213" t="s">
        <v>1058</v>
      </c>
      <c r="V1213" s="7">
        <v>50</v>
      </c>
      <c r="W1213" s="7">
        <v>43.678035218757444</v>
      </c>
      <c r="X1213">
        <v>2</v>
      </c>
      <c r="Y1213" s="7">
        <v>17</v>
      </c>
      <c r="Z1213" s="7">
        <v>100</v>
      </c>
      <c r="AA1213" s="7">
        <f t="shared" si="74"/>
        <v>83</v>
      </c>
      <c r="AB1213" t="s">
        <v>66</v>
      </c>
      <c r="AC1213" t="str">
        <f t="shared" si="75"/>
        <v>Non-Cash Payments</v>
      </c>
    </row>
    <row r="1214" spans="1:29" x14ac:dyDescent="0.25">
      <c r="A1214">
        <v>35595</v>
      </c>
      <c r="B1214" s="2">
        <v>42435</v>
      </c>
      <c r="C1214">
        <v>4</v>
      </c>
      <c r="D1214" s="2">
        <f t="shared" si="72"/>
        <v>42439</v>
      </c>
      <c r="E1214">
        <v>1</v>
      </c>
      <c r="F1214" t="s">
        <v>62</v>
      </c>
      <c r="G1214" t="str">
        <f t="shared" si="73"/>
        <v>Other</v>
      </c>
      <c r="H1214">
        <v>24</v>
      </c>
      <c r="I1214">
        <v>3995</v>
      </c>
      <c r="J1214">
        <v>5</v>
      </c>
      <c r="K1214" t="s">
        <v>31</v>
      </c>
      <c r="L1214" t="s">
        <v>893</v>
      </c>
      <c r="M1214" t="s">
        <v>1015</v>
      </c>
      <c r="N1214" t="s">
        <v>935</v>
      </c>
      <c r="O1214">
        <v>32303</v>
      </c>
      <c r="P1214" t="s">
        <v>896</v>
      </c>
      <c r="Q1214" t="s">
        <v>931</v>
      </c>
      <c r="R1214">
        <v>24</v>
      </c>
      <c r="T1214">
        <v>502</v>
      </c>
      <c r="U1214" t="s">
        <v>1058</v>
      </c>
      <c r="V1214" s="7">
        <v>50</v>
      </c>
      <c r="W1214" s="7">
        <v>43.678035218757444</v>
      </c>
      <c r="X1214">
        <v>2</v>
      </c>
      <c r="Y1214" s="7">
        <v>17</v>
      </c>
      <c r="Z1214" s="7">
        <v>100</v>
      </c>
      <c r="AA1214" s="7">
        <f t="shared" si="74"/>
        <v>83</v>
      </c>
      <c r="AB1214" t="s">
        <v>66</v>
      </c>
      <c r="AC1214" t="str">
        <f t="shared" si="75"/>
        <v>Non-Cash Payments</v>
      </c>
    </row>
    <row r="1215" spans="1:29" x14ac:dyDescent="0.25">
      <c r="A1215">
        <v>36034</v>
      </c>
      <c r="B1215" s="2">
        <v>42619</v>
      </c>
      <c r="C1215">
        <v>4</v>
      </c>
      <c r="D1215" s="2">
        <f t="shared" si="72"/>
        <v>42625</v>
      </c>
      <c r="E1215">
        <v>1</v>
      </c>
      <c r="F1215" t="s">
        <v>62</v>
      </c>
      <c r="G1215" t="str">
        <f t="shared" si="73"/>
        <v>Other</v>
      </c>
      <c r="H1215">
        <v>24</v>
      </c>
      <c r="I1215">
        <v>3485</v>
      </c>
      <c r="J1215">
        <v>5</v>
      </c>
      <c r="K1215" t="s">
        <v>31</v>
      </c>
      <c r="L1215" t="s">
        <v>893</v>
      </c>
      <c r="M1215" t="s">
        <v>1016</v>
      </c>
      <c r="N1215" t="s">
        <v>1017</v>
      </c>
      <c r="O1215">
        <v>4240</v>
      </c>
      <c r="P1215" t="s">
        <v>896</v>
      </c>
      <c r="Q1215" t="s">
        <v>913</v>
      </c>
      <c r="R1215">
        <v>24</v>
      </c>
      <c r="T1215">
        <v>502</v>
      </c>
      <c r="U1215" t="s">
        <v>1058</v>
      </c>
      <c r="V1215" s="7">
        <v>50</v>
      </c>
      <c r="W1215" s="7">
        <v>43.678035218757444</v>
      </c>
      <c r="X1215">
        <v>2</v>
      </c>
      <c r="Y1215" s="7">
        <v>18</v>
      </c>
      <c r="Z1215" s="7">
        <v>100</v>
      </c>
      <c r="AA1215" s="7">
        <f t="shared" si="74"/>
        <v>82</v>
      </c>
      <c r="AB1215" t="s">
        <v>66</v>
      </c>
      <c r="AC1215" t="str">
        <f t="shared" si="75"/>
        <v>Non-Cash Payments</v>
      </c>
    </row>
    <row r="1216" spans="1:29" x14ac:dyDescent="0.25">
      <c r="A1216">
        <v>35296</v>
      </c>
      <c r="B1216" s="2">
        <v>42520</v>
      </c>
      <c r="C1216">
        <v>4</v>
      </c>
      <c r="D1216" s="2">
        <f t="shared" si="72"/>
        <v>42524</v>
      </c>
      <c r="E1216">
        <v>0</v>
      </c>
      <c r="F1216" t="s">
        <v>62</v>
      </c>
      <c r="G1216" t="str">
        <f t="shared" si="73"/>
        <v>Other</v>
      </c>
      <c r="H1216">
        <v>24</v>
      </c>
      <c r="I1216">
        <v>5732</v>
      </c>
      <c r="J1216">
        <v>5</v>
      </c>
      <c r="K1216" t="s">
        <v>31</v>
      </c>
      <c r="L1216" t="s">
        <v>893</v>
      </c>
      <c r="M1216" t="s">
        <v>1018</v>
      </c>
      <c r="N1216" t="s">
        <v>935</v>
      </c>
      <c r="O1216">
        <v>34952</v>
      </c>
      <c r="P1216" t="s">
        <v>896</v>
      </c>
      <c r="Q1216" t="s">
        <v>931</v>
      </c>
      <c r="R1216">
        <v>24</v>
      </c>
      <c r="T1216">
        <v>502</v>
      </c>
      <c r="U1216" t="s">
        <v>1058</v>
      </c>
      <c r="V1216" s="7">
        <v>50</v>
      </c>
      <c r="W1216" s="7">
        <v>43.678035218757444</v>
      </c>
      <c r="X1216">
        <v>2</v>
      </c>
      <c r="Y1216" s="7">
        <v>18</v>
      </c>
      <c r="Z1216" s="7">
        <v>100</v>
      </c>
      <c r="AA1216" s="7">
        <f t="shared" si="74"/>
        <v>82</v>
      </c>
      <c r="AB1216" t="s">
        <v>66</v>
      </c>
      <c r="AC1216" t="str">
        <f t="shared" si="75"/>
        <v>Non-Cash Payments</v>
      </c>
    </row>
    <row r="1217" spans="1:29" x14ac:dyDescent="0.25">
      <c r="A1217">
        <v>39317</v>
      </c>
      <c r="B1217" s="2">
        <v>42578</v>
      </c>
      <c r="C1217">
        <v>4</v>
      </c>
      <c r="D1217" s="2">
        <f t="shared" si="72"/>
        <v>42584</v>
      </c>
      <c r="E1217">
        <v>0</v>
      </c>
      <c r="F1217" t="s">
        <v>62</v>
      </c>
      <c r="G1217" t="str">
        <f t="shared" si="73"/>
        <v>Other</v>
      </c>
      <c r="H1217">
        <v>40</v>
      </c>
      <c r="I1217">
        <v>8100</v>
      </c>
      <c r="J1217">
        <v>6</v>
      </c>
      <c r="K1217" t="s">
        <v>35</v>
      </c>
      <c r="L1217" t="s">
        <v>893</v>
      </c>
      <c r="M1217" t="s">
        <v>1019</v>
      </c>
      <c r="N1217" t="s">
        <v>995</v>
      </c>
      <c r="O1217">
        <v>63116</v>
      </c>
      <c r="P1217" t="s">
        <v>896</v>
      </c>
      <c r="Q1217" t="s">
        <v>903</v>
      </c>
      <c r="R1217">
        <v>40</v>
      </c>
      <c r="T1217">
        <v>905</v>
      </c>
      <c r="U1217" t="s">
        <v>1060</v>
      </c>
      <c r="V1217" s="7">
        <v>24.989999770000001</v>
      </c>
      <c r="W1217" s="7">
        <v>20.52742837007143</v>
      </c>
      <c r="X1217">
        <v>2</v>
      </c>
      <c r="Y1217" s="7">
        <v>1</v>
      </c>
      <c r="Z1217" s="7">
        <v>49.979999540000001</v>
      </c>
      <c r="AA1217" s="7">
        <f t="shared" si="74"/>
        <v>48.979999540000001</v>
      </c>
      <c r="AB1217" t="s">
        <v>66</v>
      </c>
      <c r="AC1217" t="str">
        <f t="shared" si="75"/>
        <v>Non-Cash Payments</v>
      </c>
    </row>
    <row r="1218" spans="1:29" x14ac:dyDescent="0.25">
      <c r="A1218">
        <v>32574</v>
      </c>
      <c r="B1218" s="2">
        <v>42480</v>
      </c>
      <c r="C1218">
        <v>4</v>
      </c>
      <c r="D1218" s="2">
        <f t="shared" si="72"/>
        <v>42486</v>
      </c>
      <c r="E1218">
        <v>0</v>
      </c>
      <c r="F1218" t="s">
        <v>62</v>
      </c>
      <c r="G1218" t="str">
        <f t="shared" si="73"/>
        <v>Other</v>
      </c>
      <c r="H1218">
        <v>17</v>
      </c>
      <c r="I1218">
        <v>1475</v>
      </c>
      <c r="J1218">
        <v>4</v>
      </c>
      <c r="K1218" t="s">
        <v>46</v>
      </c>
      <c r="L1218" t="s">
        <v>893</v>
      </c>
      <c r="M1218" t="s">
        <v>904</v>
      </c>
      <c r="N1218" t="s">
        <v>905</v>
      </c>
      <c r="O1218">
        <v>77070</v>
      </c>
      <c r="P1218" t="s">
        <v>896</v>
      </c>
      <c r="Q1218" t="s">
        <v>903</v>
      </c>
      <c r="R1218">
        <v>17</v>
      </c>
      <c r="T1218">
        <v>365</v>
      </c>
      <c r="U1218" t="s">
        <v>1054</v>
      </c>
      <c r="V1218" s="7">
        <v>59.990001679999999</v>
      </c>
      <c r="W1218" s="7">
        <v>54.488929209402009</v>
      </c>
      <c r="X1218">
        <v>2</v>
      </c>
      <c r="Y1218" s="7">
        <v>0</v>
      </c>
      <c r="Z1218" s="7">
        <v>119.98000336</v>
      </c>
      <c r="AA1218" s="7">
        <f t="shared" si="74"/>
        <v>119.98000336</v>
      </c>
      <c r="AB1218" t="s">
        <v>66</v>
      </c>
      <c r="AC1218" t="str">
        <f t="shared" si="75"/>
        <v>Non-Cash Payments</v>
      </c>
    </row>
    <row r="1219" spans="1:29" x14ac:dyDescent="0.25">
      <c r="A1219">
        <v>36222</v>
      </c>
      <c r="B1219" s="2">
        <v>42710</v>
      </c>
      <c r="C1219">
        <v>4</v>
      </c>
      <c r="D1219" s="2">
        <f t="shared" ref="D1219:D1270" si="76">WORKDAY(B1219,C1219)</f>
        <v>42716</v>
      </c>
      <c r="E1219">
        <v>0</v>
      </c>
      <c r="F1219" t="s">
        <v>62</v>
      </c>
      <c r="G1219" t="str">
        <f t="shared" ref="G1219:G1270" si="77">IF(AND(E1219=0,F1219="Same Day"),"Same Day - On Time","Other")</f>
        <v>Other</v>
      </c>
      <c r="H1219">
        <v>17</v>
      </c>
      <c r="I1219">
        <v>552</v>
      </c>
      <c r="J1219">
        <v>4</v>
      </c>
      <c r="K1219" t="s">
        <v>46</v>
      </c>
      <c r="L1219" t="s">
        <v>893</v>
      </c>
      <c r="M1219" t="s">
        <v>1020</v>
      </c>
      <c r="N1219" t="s">
        <v>950</v>
      </c>
      <c r="O1219">
        <v>1841</v>
      </c>
      <c r="P1219" t="s">
        <v>896</v>
      </c>
      <c r="Q1219" t="s">
        <v>913</v>
      </c>
      <c r="R1219">
        <v>17</v>
      </c>
      <c r="T1219">
        <v>365</v>
      </c>
      <c r="U1219" t="s">
        <v>1054</v>
      </c>
      <c r="V1219" s="7">
        <v>59.990001679999999</v>
      </c>
      <c r="W1219" s="7">
        <v>54.488929209402009</v>
      </c>
      <c r="X1219">
        <v>2</v>
      </c>
      <c r="Y1219" s="7">
        <v>2.4000000950000002</v>
      </c>
      <c r="Z1219" s="7">
        <v>119.98000336</v>
      </c>
      <c r="AA1219" s="7">
        <f t="shared" ref="AA1219:AA1270" si="78">Z1219-Y1219</f>
        <v>117.580003265</v>
      </c>
      <c r="AB1219" t="s">
        <v>66</v>
      </c>
      <c r="AC1219" t="str">
        <f t="shared" ref="AC1219:AC1270" si="79">IF(AND(AA1219&gt;200,AB1219="CASH"),"Cash Over 200",IF(AB1219="CASH","Cash Not Over 200","Non-Cash Payments"))</f>
        <v>Non-Cash Payments</v>
      </c>
    </row>
    <row r="1220" spans="1:29" x14ac:dyDescent="0.25">
      <c r="A1220">
        <v>48860</v>
      </c>
      <c r="B1220" s="2">
        <v>42718</v>
      </c>
      <c r="C1220">
        <v>4</v>
      </c>
      <c r="D1220" s="2">
        <f t="shared" si="76"/>
        <v>42724</v>
      </c>
      <c r="E1220">
        <v>0</v>
      </c>
      <c r="F1220" t="s">
        <v>62</v>
      </c>
      <c r="G1220" t="str">
        <f t="shared" si="77"/>
        <v>Other</v>
      </c>
      <c r="H1220">
        <v>17</v>
      </c>
      <c r="I1220">
        <v>7113</v>
      </c>
      <c r="J1220">
        <v>4</v>
      </c>
      <c r="K1220" t="s">
        <v>46</v>
      </c>
      <c r="L1220" t="s">
        <v>893</v>
      </c>
      <c r="M1220" t="s">
        <v>1021</v>
      </c>
      <c r="N1220" t="s">
        <v>1022</v>
      </c>
      <c r="P1220" t="s">
        <v>918</v>
      </c>
      <c r="Q1220" t="s">
        <v>918</v>
      </c>
      <c r="R1220">
        <v>17</v>
      </c>
      <c r="T1220">
        <v>365</v>
      </c>
      <c r="U1220" t="s">
        <v>1054</v>
      </c>
      <c r="V1220" s="7">
        <v>59.990001679999999</v>
      </c>
      <c r="W1220" s="7">
        <v>54.488929209402009</v>
      </c>
      <c r="X1220">
        <v>2</v>
      </c>
      <c r="Y1220" s="7">
        <v>19.200000760000002</v>
      </c>
      <c r="Z1220" s="7">
        <v>119.98000336</v>
      </c>
      <c r="AA1220" s="7">
        <f t="shared" si="78"/>
        <v>100.78000259999999</v>
      </c>
      <c r="AB1220" t="s">
        <v>66</v>
      </c>
      <c r="AC1220" t="str">
        <f t="shared" si="79"/>
        <v>Non-Cash Payments</v>
      </c>
    </row>
    <row r="1221" spans="1:29" x14ac:dyDescent="0.25">
      <c r="A1221">
        <v>33121</v>
      </c>
      <c r="B1221" s="2">
        <v>42488</v>
      </c>
      <c r="C1221">
        <v>4</v>
      </c>
      <c r="D1221" s="2">
        <f t="shared" si="76"/>
        <v>42494</v>
      </c>
      <c r="E1221">
        <v>0</v>
      </c>
      <c r="F1221" t="s">
        <v>62</v>
      </c>
      <c r="G1221" t="str">
        <f t="shared" si="77"/>
        <v>Other</v>
      </c>
      <c r="H1221">
        <v>17</v>
      </c>
      <c r="I1221">
        <v>10667</v>
      </c>
      <c r="J1221">
        <v>4</v>
      </c>
      <c r="K1221" t="s">
        <v>46</v>
      </c>
      <c r="L1221" t="s">
        <v>893</v>
      </c>
      <c r="M1221" t="s">
        <v>1023</v>
      </c>
      <c r="N1221" t="s">
        <v>1010</v>
      </c>
      <c r="O1221">
        <v>97756</v>
      </c>
      <c r="P1221" t="s">
        <v>896</v>
      </c>
      <c r="Q1221" t="s">
        <v>897</v>
      </c>
      <c r="R1221">
        <v>17</v>
      </c>
      <c r="T1221">
        <v>365</v>
      </c>
      <c r="U1221" t="s">
        <v>1054</v>
      </c>
      <c r="V1221" s="7">
        <v>59.990001679999999</v>
      </c>
      <c r="W1221" s="7">
        <v>54.488929209402009</v>
      </c>
      <c r="X1221">
        <v>2</v>
      </c>
      <c r="Y1221" s="7">
        <v>30</v>
      </c>
      <c r="Z1221" s="7">
        <v>119.98000336</v>
      </c>
      <c r="AA1221" s="7">
        <f t="shared" si="78"/>
        <v>89.980003359999998</v>
      </c>
      <c r="AB1221" t="s">
        <v>66</v>
      </c>
      <c r="AC1221" t="str">
        <f t="shared" si="79"/>
        <v>Non-Cash Payments</v>
      </c>
    </row>
    <row r="1222" spans="1:29" x14ac:dyDescent="0.25">
      <c r="A1222">
        <v>40412</v>
      </c>
      <c r="B1222" s="2">
        <v>42712</v>
      </c>
      <c r="C1222">
        <v>4</v>
      </c>
      <c r="D1222" s="2">
        <f t="shared" si="76"/>
        <v>42718</v>
      </c>
      <c r="E1222">
        <v>0</v>
      </c>
      <c r="F1222" t="s">
        <v>62</v>
      </c>
      <c r="G1222" t="str">
        <f t="shared" si="77"/>
        <v>Other</v>
      </c>
      <c r="H1222">
        <v>29</v>
      </c>
      <c r="I1222">
        <v>10643</v>
      </c>
      <c r="J1222">
        <v>5</v>
      </c>
      <c r="K1222" t="s">
        <v>31</v>
      </c>
      <c r="L1222" t="s">
        <v>893</v>
      </c>
      <c r="M1222" t="s">
        <v>920</v>
      </c>
      <c r="N1222" t="s">
        <v>921</v>
      </c>
      <c r="O1222">
        <v>19140</v>
      </c>
      <c r="P1222" t="s">
        <v>896</v>
      </c>
      <c r="Q1222" t="s">
        <v>913</v>
      </c>
      <c r="R1222">
        <v>29</v>
      </c>
      <c r="T1222">
        <v>627</v>
      </c>
      <c r="U1222" t="s">
        <v>1046</v>
      </c>
      <c r="V1222" s="7">
        <v>39.990001679999999</v>
      </c>
      <c r="W1222" s="7">
        <v>34.198098313835338</v>
      </c>
      <c r="X1222">
        <v>2</v>
      </c>
      <c r="Y1222" s="7">
        <v>1.6000000240000001</v>
      </c>
      <c r="Z1222" s="7">
        <v>79.980003359999998</v>
      </c>
      <c r="AA1222" s="7">
        <f t="shared" si="78"/>
        <v>78.380003336000001</v>
      </c>
      <c r="AB1222" t="s">
        <v>66</v>
      </c>
      <c r="AC1222" t="str">
        <f t="shared" si="79"/>
        <v>Non-Cash Payments</v>
      </c>
    </row>
    <row r="1223" spans="1:29" x14ac:dyDescent="0.25">
      <c r="A1223">
        <v>34814</v>
      </c>
      <c r="B1223" s="2">
        <v>42513</v>
      </c>
      <c r="C1223">
        <v>4</v>
      </c>
      <c r="D1223" s="2">
        <f t="shared" si="76"/>
        <v>42517</v>
      </c>
      <c r="E1223">
        <v>0</v>
      </c>
      <c r="F1223" t="s">
        <v>62</v>
      </c>
      <c r="G1223" t="str">
        <f t="shared" si="77"/>
        <v>Other</v>
      </c>
      <c r="H1223">
        <v>29</v>
      </c>
      <c r="I1223">
        <v>2571</v>
      </c>
      <c r="J1223">
        <v>5</v>
      </c>
      <c r="K1223" t="s">
        <v>31</v>
      </c>
      <c r="L1223" t="s">
        <v>893</v>
      </c>
      <c r="M1223" t="s">
        <v>992</v>
      </c>
      <c r="N1223" t="s">
        <v>930</v>
      </c>
      <c r="O1223">
        <v>28314</v>
      </c>
      <c r="P1223" t="s">
        <v>896</v>
      </c>
      <c r="Q1223" t="s">
        <v>931</v>
      </c>
      <c r="R1223">
        <v>29</v>
      </c>
      <c r="T1223">
        <v>627</v>
      </c>
      <c r="U1223" t="s">
        <v>1046</v>
      </c>
      <c r="V1223" s="7">
        <v>39.990001679999999</v>
      </c>
      <c r="W1223" s="7">
        <v>34.198098313835338</v>
      </c>
      <c r="X1223">
        <v>2</v>
      </c>
      <c r="Y1223" s="7">
        <v>7.1999998090000004</v>
      </c>
      <c r="Z1223" s="7">
        <v>79.980003359999998</v>
      </c>
      <c r="AA1223" s="7">
        <f t="shared" si="78"/>
        <v>72.780003550999993</v>
      </c>
      <c r="AB1223" t="s">
        <v>66</v>
      </c>
      <c r="AC1223" t="str">
        <f t="shared" si="79"/>
        <v>Non-Cash Payments</v>
      </c>
    </row>
    <row r="1224" spans="1:29" x14ac:dyDescent="0.25">
      <c r="A1224">
        <v>40412</v>
      </c>
      <c r="B1224" s="2">
        <v>42712</v>
      </c>
      <c r="C1224">
        <v>4</v>
      </c>
      <c r="D1224" s="2">
        <f t="shared" si="76"/>
        <v>42718</v>
      </c>
      <c r="E1224">
        <v>0</v>
      </c>
      <c r="F1224" t="s">
        <v>62</v>
      </c>
      <c r="G1224" t="str">
        <f t="shared" si="77"/>
        <v>Other</v>
      </c>
      <c r="H1224">
        <v>24</v>
      </c>
      <c r="I1224">
        <v>10643</v>
      </c>
      <c r="J1224">
        <v>5</v>
      </c>
      <c r="K1224" t="s">
        <v>31</v>
      </c>
      <c r="L1224" t="s">
        <v>893</v>
      </c>
      <c r="M1224" t="s">
        <v>920</v>
      </c>
      <c r="N1224" t="s">
        <v>921</v>
      </c>
      <c r="O1224">
        <v>19140</v>
      </c>
      <c r="P1224" t="s">
        <v>896</v>
      </c>
      <c r="Q1224" t="s">
        <v>913</v>
      </c>
      <c r="R1224">
        <v>24</v>
      </c>
      <c r="T1224">
        <v>502</v>
      </c>
      <c r="U1224" t="s">
        <v>1058</v>
      </c>
      <c r="V1224" s="7">
        <v>50</v>
      </c>
      <c r="W1224" s="7">
        <v>43.678035218757444</v>
      </c>
      <c r="X1224">
        <v>2</v>
      </c>
      <c r="Y1224" s="7">
        <v>10</v>
      </c>
      <c r="Z1224" s="7">
        <v>100</v>
      </c>
      <c r="AA1224" s="7">
        <f t="shared" si="78"/>
        <v>90</v>
      </c>
      <c r="AB1224" t="s">
        <v>66</v>
      </c>
      <c r="AC1224" t="str">
        <f t="shared" si="79"/>
        <v>Non-Cash Payments</v>
      </c>
    </row>
    <row r="1225" spans="1:29" x14ac:dyDescent="0.25">
      <c r="A1225">
        <v>36685</v>
      </c>
      <c r="B1225" s="2">
        <v>42540</v>
      </c>
      <c r="C1225">
        <v>4</v>
      </c>
      <c r="D1225" s="2">
        <f t="shared" si="76"/>
        <v>42544</v>
      </c>
      <c r="E1225">
        <v>0</v>
      </c>
      <c r="F1225" t="s">
        <v>62</v>
      </c>
      <c r="G1225" t="str">
        <f t="shared" si="77"/>
        <v>Other</v>
      </c>
      <c r="H1225">
        <v>40</v>
      </c>
      <c r="I1225">
        <v>8650</v>
      </c>
      <c r="J1225">
        <v>6</v>
      </c>
      <c r="K1225" t="s">
        <v>35</v>
      </c>
      <c r="L1225" t="s">
        <v>893</v>
      </c>
      <c r="M1225" t="s">
        <v>898</v>
      </c>
      <c r="N1225" t="s">
        <v>899</v>
      </c>
      <c r="O1225">
        <v>90045</v>
      </c>
      <c r="P1225" t="s">
        <v>896</v>
      </c>
      <c r="Q1225" t="s">
        <v>897</v>
      </c>
      <c r="R1225">
        <v>40</v>
      </c>
      <c r="T1225">
        <v>905</v>
      </c>
      <c r="U1225" t="s">
        <v>1060</v>
      </c>
      <c r="V1225" s="7">
        <v>24.989999770000001</v>
      </c>
      <c r="W1225" s="7">
        <v>20.52742837007143</v>
      </c>
      <c r="X1225">
        <v>2</v>
      </c>
      <c r="Y1225" s="7">
        <v>0.5</v>
      </c>
      <c r="Z1225" s="7">
        <v>49.979999540000001</v>
      </c>
      <c r="AA1225" s="7">
        <f t="shared" si="78"/>
        <v>49.479999540000001</v>
      </c>
      <c r="AB1225" t="s">
        <v>66</v>
      </c>
      <c r="AC1225" t="str">
        <f t="shared" si="79"/>
        <v>Non-Cash Payments</v>
      </c>
    </row>
    <row r="1226" spans="1:29" x14ac:dyDescent="0.25">
      <c r="A1226">
        <v>35823</v>
      </c>
      <c r="B1226" s="2">
        <v>42527</v>
      </c>
      <c r="C1226">
        <v>4</v>
      </c>
      <c r="D1226" s="2">
        <f t="shared" si="76"/>
        <v>42531</v>
      </c>
      <c r="E1226">
        <v>0</v>
      </c>
      <c r="F1226" t="s">
        <v>62</v>
      </c>
      <c r="G1226" t="str">
        <f t="shared" si="77"/>
        <v>Other</v>
      </c>
      <c r="H1226">
        <v>41</v>
      </c>
      <c r="I1226">
        <v>5674</v>
      </c>
      <c r="J1226">
        <v>6</v>
      </c>
      <c r="K1226" t="s">
        <v>35</v>
      </c>
      <c r="L1226" t="s">
        <v>893</v>
      </c>
      <c r="M1226" t="s">
        <v>368</v>
      </c>
      <c r="N1226" t="s">
        <v>928</v>
      </c>
      <c r="O1226">
        <v>13440</v>
      </c>
      <c r="P1226" t="s">
        <v>896</v>
      </c>
      <c r="Q1226" t="s">
        <v>913</v>
      </c>
      <c r="R1226">
        <v>41</v>
      </c>
      <c r="T1226">
        <v>926</v>
      </c>
      <c r="U1226" t="s">
        <v>1067</v>
      </c>
      <c r="V1226" s="7">
        <v>15.989999770000001</v>
      </c>
      <c r="W1226" s="7">
        <v>12.230249713200003</v>
      </c>
      <c r="X1226">
        <v>2</v>
      </c>
      <c r="Y1226" s="7">
        <v>1.7599999900000001</v>
      </c>
      <c r="Z1226" s="7">
        <v>31.979999540000001</v>
      </c>
      <c r="AA1226" s="7">
        <f t="shared" si="78"/>
        <v>30.219999550000001</v>
      </c>
      <c r="AB1226" t="s">
        <v>66</v>
      </c>
      <c r="AC1226" t="str">
        <f t="shared" si="79"/>
        <v>Non-Cash Payments</v>
      </c>
    </row>
    <row r="1227" spans="1:29" x14ac:dyDescent="0.25">
      <c r="A1227">
        <v>40412</v>
      </c>
      <c r="B1227" s="2">
        <v>42712</v>
      </c>
      <c r="C1227">
        <v>4</v>
      </c>
      <c r="D1227" s="2">
        <f t="shared" si="76"/>
        <v>42718</v>
      </c>
      <c r="E1227">
        <v>0</v>
      </c>
      <c r="F1227" t="s">
        <v>62</v>
      </c>
      <c r="G1227" t="str">
        <f t="shared" si="77"/>
        <v>Other</v>
      </c>
      <c r="H1227">
        <v>36</v>
      </c>
      <c r="I1227">
        <v>10643</v>
      </c>
      <c r="J1227">
        <v>6</v>
      </c>
      <c r="K1227" t="s">
        <v>35</v>
      </c>
      <c r="L1227" t="s">
        <v>893</v>
      </c>
      <c r="M1227" t="s">
        <v>920</v>
      </c>
      <c r="N1227" t="s">
        <v>921</v>
      </c>
      <c r="O1227">
        <v>19140</v>
      </c>
      <c r="P1227" t="s">
        <v>896</v>
      </c>
      <c r="Q1227" t="s">
        <v>913</v>
      </c>
      <c r="R1227">
        <v>36</v>
      </c>
      <c r="T1227">
        <v>810</v>
      </c>
      <c r="U1227" t="s">
        <v>1076</v>
      </c>
      <c r="V1227" s="7">
        <v>19.989999770000001</v>
      </c>
      <c r="W1227" s="7">
        <v>13.40499973</v>
      </c>
      <c r="X1227">
        <v>2</v>
      </c>
      <c r="Y1227" s="7">
        <v>2.7999999519999998</v>
      </c>
      <c r="Z1227" s="7">
        <v>39.979999540000001</v>
      </c>
      <c r="AA1227" s="7">
        <f t="shared" si="78"/>
        <v>37.179999588000001</v>
      </c>
      <c r="AB1227" t="s">
        <v>66</v>
      </c>
      <c r="AC1227" t="str">
        <f t="shared" si="79"/>
        <v>Non-Cash Payments</v>
      </c>
    </row>
    <row r="1228" spans="1:29" x14ac:dyDescent="0.25">
      <c r="A1228">
        <v>44910</v>
      </c>
      <c r="B1228" s="2">
        <v>42660</v>
      </c>
      <c r="C1228">
        <v>1</v>
      </c>
      <c r="D1228" s="2">
        <f t="shared" si="76"/>
        <v>42661</v>
      </c>
      <c r="E1228">
        <v>1</v>
      </c>
      <c r="F1228" t="s">
        <v>187</v>
      </c>
      <c r="G1228" t="str">
        <f t="shared" si="77"/>
        <v>Other</v>
      </c>
      <c r="H1228">
        <v>7</v>
      </c>
      <c r="I1228">
        <v>210</v>
      </c>
      <c r="J1228">
        <v>2</v>
      </c>
      <c r="K1228" t="s">
        <v>136</v>
      </c>
      <c r="L1228" t="s">
        <v>893</v>
      </c>
      <c r="M1228" t="s">
        <v>1024</v>
      </c>
      <c r="N1228" t="s">
        <v>917</v>
      </c>
      <c r="P1228" t="s">
        <v>918</v>
      </c>
      <c r="Q1228" t="s">
        <v>918</v>
      </c>
      <c r="R1228">
        <v>7</v>
      </c>
      <c r="T1228">
        <v>135</v>
      </c>
      <c r="U1228" t="s">
        <v>1082</v>
      </c>
      <c r="V1228" s="7">
        <v>22</v>
      </c>
      <c r="W1228" s="7">
        <v>19.656208341820829</v>
      </c>
      <c r="X1228">
        <v>2</v>
      </c>
      <c r="Y1228" s="7">
        <v>0</v>
      </c>
      <c r="Z1228" s="7">
        <v>44</v>
      </c>
      <c r="AA1228" s="7">
        <f t="shared" si="78"/>
        <v>44</v>
      </c>
      <c r="AB1228" t="s">
        <v>45</v>
      </c>
      <c r="AC1228" t="str">
        <f t="shared" si="79"/>
        <v>Non-Cash Payments</v>
      </c>
    </row>
    <row r="1229" spans="1:29" x14ac:dyDescent="0.25">
      <c r="A1229">
        <v>40991</v>
      </c>
      <c r="B1229" s="2">
        <v>42603</v>
      </c>
      <c r="C1229">
        <v>4</v>
      </c>
      <c r="D1229" s="2">
        <f t="shared" si="76"/>
        <v>42607</v>
      </c>
      <c r="E1229">
        <v>0</v>
      </c>
      <c r="F1229" t="s">
        <v>62</v>
      </c>
      <c r="G1229" t="str">
        <f t="shared" si="77"/>
        <v>Other</v>
      </c>
      <c r="H1229">
        <v>7</v>
      </c>
      <c r="I1229">
        <v>1153</v>
      </c>
      <c r="J1229">
        <v>2</v>
      </c>
      <c r="K1229" t="s">
        <v>136</v>
      </c>
      <c r="L1229" t="s">
        <v>893</v>
      </c>
      <c r="M1229" t="s">
        <v>900</v>
      </c>
      <c r="N1229" t="s">
        <v>899</v>
      </c>
      <c r="O1229">
        <v>94110</v>
      </c>
      <c r="P1229" t="s">
        <v>896</v>
      </c>
      <c r="Q1229" t="s">
        <v>897</v>
      </c>
      <c r="R1229">
        <v>7</v>
      </c>
      <c r="T1229">
        <v>135</v>
      </c>
      <c r="U1229" t="s">
        <v>1082</v>
      </c>
      <c r="V1229" s="7">
        <v>22</v>
      </c>
      <c r="W1229" s="7">
        <v>19.656208341820829</v>
      </c>
      <c r="X1229">
        <v>1</v>
      </c>
      <c r="Y1229" s="7">
        <v>0.87999999500000003</v>
      </c>
      <c r="Z1229" s="7">
        <v>22</v>
      </c>
      <c r="AA1229" s="7">
        <f t="shared" si="78"/>
        <v>21.120000005000001</v>
      </c>
      <c r="AB1229" t="s">
        <v>45</v>
      </c>
      <c r="AC1229" t="str">
        <f t="shared" si="79"/>
        <v>Non-Cash Payments</v>
      </c>
    </row>
    <row r="1230" spans="1:29" x14ac:dyDescent="0.25">
      <c r="A1230">
        <v>40894</v>
      </c>
      <c r="B1230" s="2">
        <v>42601</v>
      </c>
      <c r="C1230">
        <v>4</v>
      </c>
      <c r="D1230" s="2">
        <f t="shared" si="76"/>
        <v>42607</v>
      </c>
      <c r="E1230">
        <v>1</v>
      </c>
      <c r="F1230" t="s">
        <v>62</v>
      </c>
      <c r="G1230" t="str">
        <f t="shared" si="77"/>
        <v>Other</v>
      </c>
      <c r="H1230">
        <v>7</v>
      </c>
      <c r="I1230">
        <v>10499</v>
      </c>
      <c r="J1230">
        <v>2</v>
      </c>
      <c r="K1230" t="s">
        <v>136</v>
      </c>
      <c r="L1230" t="s">
        <v>893</v>
      </c>
      <c r="M1230" t="s">
        <v>908</v>
      </c>
      <c r="N1230" t="s">
        <v>899</v>
      </c>
      <c r="O1230">
        <v>95123</v>
      </c>
      <c r="P1230" t="s">
        <v>896</v>
      </c>
      <c r="Q1230" t="s">
        <v>897</v>
      </c>
      <c r="R1230">
        <v>7</v>
      </c>
      <c r="T1230">
        <v>135</v>
      </c>
      <c r="U1230" t="s">
        <v>1082</v>
      </c>
      <c r="V1230" s="7">
        <v>22</v>
      </c>
      <c r="W1230" s="7">
        <v>19.656208341820829</v>
      </c>
      <c r="X1230">
        <v>2</v>
      </c>
      <c r="Y1230" s="7">
        <v>1.7599999900000001</v>
      </c>
      <c r="Z1230" s="7">
        <v>44</v>
      </c>
      <c r="AA1230" s="7">
        <f t="shared" si="78"/>
        <v>42.240000010000003</v>
      </c>
      <c r="AB1230" t="s">
        <v>30</v>
      </c>
      <c r="AC1230" t="str">
        <f t="shared" si="79"/>
        <v>Cash Not Over 200</v>
      </c>
    </row>
    <row r="1231" spans="1:29" x14ac:dyDescent="0.25">
      <c r="A1231">
        <v>40774</v>
      </c>
      <c r="B1231" s="2">
        <v>42600</v>
      </c>
      <c r="C1231">
        <v>4</v>
      </c>
      <c r="D1231" s="2">
        <f t="shared" si="76"/>
        <v>42606</v>
      </c>
      <c r="E1231">
        <v>1</v>
      </c>
      <c r="F1231" t="s">
        <v>62</v>
      </c>
      <c r="G1231" t="str">
        <f t="shared" si="77"/>
        <v>Other</v>
      </c>
      <c r="H1231">
        <v>7</v>
      </c>
      <c r="I1231">
        <v>7687</v>
      </c>
      <c r="J1231">
        <v>2</v>
      </c>
      <c r="K1231" t="s">
        <v>136</v>
      </c>
      <c r="L1231" t="s">
        <v>893</v>
      </c>
      <c r="M1231" t="s">
        <v>981</v>
      </c>
      <c r="N1231" t="s">
        <v>923</v>
      </c>
      <c r="O1231">
        <v>60653</v>
      </c>
      <c r="P1231" t="s">
        <v>896</v>
      </c>
      <c r="Q1231" t="s">
        <v>903</v>
      </c>
      <c r="R1231">
        <v>7</v>
      </c>
      <c r="T1231">
        <v>135</v>
      </c>
      <c r="U1231" t="s">
        <v>1082</v>
      </c>
      <c r="V1231" s="7">
        <v>22</v>
      </c>
      <c r="W1231" s="7">
        <v>19.656208341820829</v>
      </c>
      <c r="X1231">
        <v>1</v>
      </c>
      <c r="Y1231" s="7">
        <v>1.1000000240000001</v>
      </c>
      <c r="Z1231" s="7">
        <v>22</v>
      </c>
      <c r="AA1231" s="7">
        <f t="shared" si="78"/>
        <v>20.899999976</v>
      </c>
      <c r="AB1231" t="s">
        <v>66</v>
      </c>
      <c r="AC1231" t="str">
        <f t="shared" si="79"/>
        <v>Non-Cash Payments</v>
      </c>
    </row>
    <row r="1232" spans="1:29" x14ac:dyDescent="0.25">
      <c r="A1232">
        <v>40278</v>
      </c>
      <c r="B1232" s="2">
        <v>42651</v>
      </c>
      <c r="C1232">
        <v>4</v>
      </c>
      <c r="D1232" s="2">
        <f t="shared" si="76"/>
        <v>42656</v>
      </c>
      <c r="E1232">
        <v>0</v>
      </c>
      <c r="F1232" t="s">
        <v>62</v>
      </c>
      <c r="G1232" t="str">
        <f t="shared" si="77"/>
        <v>Other</v>
      </c>
      <c r="H1232">
        <v>7</v>
      </c>
      <c r="I1232">
        <v>7576</v>
      </c>
      <c r="J1232">
        <v>2</v>
      </c>
      <c r="K1232" t="s">
        <v>136</v>
      </c>
      <c r="L1232" t="s">
        <v>893</v>
      </c>
      <c r="M1232" t="s">
        <v>981</v>
      </c>
      <c r="N1232" t="s">
        <v>923</v>
      </c>
      <c r="O1232">
        <v>60623</v>
      </c>
      <c r="P1232" t="s">
        <v>896</v>
      </c>
      <c r="Q1232" t="s">
        <v>903</v>
      </c>
      <c r="R1232">
        <v>7</v>
      </c>
      <c r="T1232">
        <v>135</v>
      </c>
      <c r="U1232" t="s">
        <v>1082</v>
      </c>
      <c r="V1232" s="7">
        <v>22</v>
      </c>
      <c r="W1232" s="7">
        <v>19.656208341820829</v>
      </c>
      <c r="X1232">
        <v>1</v>
      </c>
      <c r="Y1232" s="7">
        <v>1.210000038</v>
      </c>
      <c r="Z1232" s="7">
        <v>22</v>
      </c>
      <c r="AA1232" s="7">
        <f t="shared" si="78"/>
        <v>20.789999962</v>
      </c>
      <c r="AB1232" t="s">
        <v>45</v>
      </c>
      <c r="AC1232" t="str">
        <f t="shared" si="79"/>
        <v>Non-Cash Payments</v>
      </c>
    </row>
    <row r="1233" spans="1:29" x14ac:dyDescent="0.25">
      <c r="A1233">
        <v>40153</v>
      </c>
      <c r="B1233" s="2">
        <v>42621</v>
      </c>
      <c r="C1233">
        <v>4</v>
      </c>
      <c r="D1233" s="2">
        <f t="shared" si="76"/>
        <v>42627</v>
      </c>
      <c r="E1233">
        <v>0</v>
      </c>
      <c r="F1233" t="s">
        <v>62</v>
      </c>
      <c r="G1233" t="str">
        <f t="shared" si="77"/>
        <v>Other</v>
      </c>
      <c r="H1233">
        <v>7</v>
      </c>
      <c r="I1233">
        <v>11187</v>
      </c>
      <c r="J1233">
        <v>2</v>
      </c>
      <c r="K1233" t="s">
        <v>136</v>
      </c>
      <c r="L1233" t="s">
        <v>893</v>
      </c>
      <c r="M1233" t="s">
        <v>1025</v>
      </c>
      <c r="N1233" t="s">
        <v>899</v>
      </c>
      <c r="O1233">
        <v>95823</v>
      </c>
      <c r="P1233" t="s">
        <v>896</v>
      </c>
      <c r="Q1233" t="s">
        <v>897</v>
      </c>
      <c r="R1233">
        <v>7</v>
      </c>
      <c r="T1233">
        <v>135</v>
      </c>
      <c r="U1233" t="s">
        <v>1082</v>
      </c>
      <c r="V1233" s="7">
        <v>22</v>
      </c>
      <c r="W1233" s="7">
        <v>19.656208341820829</v>
      </c>
      <c r="X1233">
        <v>3</v>
      </c>
      <c r="Y1233" s="7">
        <v>3.2999999519999998</v>
      </c>
      <c r="Z1233" s="7">
        <v>66</v>
      </c>
      <c r="AA1233" s="7">
        <f t="shared" si="78"/>
        <v>62.700000048</v>
      </c>
      <c r="AB1233" t="s">
        <v>45</v>
      </c>
      <c r="AC1233" t="str">
        <f t="shared" si="79"/>
        <v>Non-Cash Payments</v>
      </c>
    </row>
    <row r="1234" spans="1:29" x14ac:dyDescent="0.25">
      <c r="A1234">
        <v>40035</v>
      </c>
      <c r="B1234" s="2">
        <v>42559</v>
      </c>
      <c r="C1234">
        <v>4</v>
      </c>
      <c r="D1234" s="2">
        <f t="shared" si="76"/>
        <v>42565</v>
      </c>
      <c r="E1234">
        <v>1</v>
      </c>
      <c r="F1234" t="s">
        <v>62</v>
      </c>
      <c r="G1234" t="str">
        <f t="shared" si="77"/>
        <v>Other</v>
      </c>
      <c r="H1234">
        <v>7</v>
      </c>
      <c r="I1234">
        <v>9742</v>
      </c>
      <c r="J1234">
        <v>2</v>
      </c>
      <c r="K1234" t="s">
        <v>136</v>
      </c>
      <c r="L1234" t="s">
        <v>893</v>
      </c>
      <c r="M1234" t="s">
        <v>920</v>
      </c>
      <c r="N1234" t="s">
        <v>921</v>
      </c>
      <c r="O1234">
        <v>19140</v>
      </c>
      <c r="P1234" t="s">
        <v>896</v>
      </c>
      <c r="Q1234" t="s">
        <v>913</v>
      </c>
      <c r="R1234">
        <v>7</v>
      </c>
      <c r="T1234">
        <v>135</v>
      </c>
      <c r="U1234" t="s">
        <v>1082</v>
      </c>
      <c r="V1234" s="7">
        <v>22</v>
      </c>
      <c r="W1234" s="7">
        <v>19.656208341820829</v>
      </c>
      <c r="X1234">
        <v>3</v>
      </c>
      <c r="Y1234" s="7">
        <v>3.630000114</v>
      </c>
      <c r="Z1234" s="7">
        <v>66</v>
      </c>
      <c r="AA1234" s="7">
        <f t="shared" si="78"/>
        <v>62.369999886000002</v>
      </c>
      <c r="AB1234" t="s">
        <v>30</v>
      </c>
      <c r="AC1234" t="str">
        <f t="shared" si="79"/>
        <v>Cash Not Over 200</v>
      </c>
    </row>
    <row r="1235" spans="1:29" x14ac:dyDescent="0.25">
      <c r="A1235">
        <v>39991</v>
      </c>
      <c r="B1235" s="2">
        <v>42529</v>
      </c>
      <c r="C1235">
        <v>4</v>
      </c>
      <c r="D1235" s="2">
        <f t="shared" si="76"/>
        <v>42535</v>
      </c>
      <c r="E1235">
        <v>0</v>
      </c>
      <c r="F1235" t="s">
        <v>62</v>
      </c>
      <c r="G1235" t="str">
        <f t="shared" si="77"/>
        <v>Other</v>
      </c>
      <c r="H1235">
        <v>7</v>
      </c>
      <c r="I1235">
        <v>3915</v>
      </c>
      <c r="J1235">
        <v>2</v>
      </c>
      <c r="K1235" t="s">
        <v>136</v>
      </c>
      <c r="L1235" t="s">
        <v>893</v>
      </c>
      <c r="M1235" t="s">
        <v>957</v>
      </c>
      <c r="N1235" t="s">
        <v>958</v>
      </c>
      <c r="O1235">
        <v>49505</v>
      </c>
      <c r="P1235" t="s">
        <v>896</v>
      </c>
      <c r="Q1235" t="s">
        <v>903</v>
      </c>
      <c r="R1235">
        <v>7</v>
      </c>
      <c r="T1235">
        <v>135</v>
      </c>
      <c r="U1235" t="s">
        <v>1082</v>
      </c>
      <c r="V1235" s="7">
        <v>22</v>
      </c>
      <c r="W1235" s="7">
        <v>19.656208341820829</v>
      </c>
      <c r="X1235">
        <v>4</v>
      </c>
      <c r="Y1235" s="7">
        <v>17.600000380000001</v>
      </c>
      <c r="Z1235" s="7">
        <v>88</v>
      </c>
      <c r="AA1235" s="7">
        <f t="shared" si="78"/>
        <v>70.399999620000003</v>
      </c>
      <c r="AB1235" t="s">
        <v>66</v>
      </c>
      <c r="AC1235" t="str">
        <f t="shared" si="79"/>
        <v>Non-Cash Payments</v>
      </c>
    </row>
    <row r="1236" spans="1:29" x14ac:dyDescent="0.25">
      <c r="A1236">
        <v>39767</v>
      </c>
      <c r="B1236" s="2">
        <v>42437</v>
      </c>
      <c r="C1236">
        <v>4</v>
      </c>
      <c r="D1236" s="2">
        <f t="shared" si="76"/>
        <v>42443</v>
      </c>
      <c r="E1236">
        <v>0</v>
      </c>
      <c r="F1236" t="s">
        <v>62</v>
      </c>
      <c r="G1236" t="str">
        <f t="shared" si="77"/>
        <v>Other</v>
      </c>
      <c r="H1236">
        <v>7</v>
      </c>
      <c r="I1236">
        <v>4316</v>
      </c>
      <c r="J1236">
        <v>2</v>
      </c>
      <c r="K1236" t="s">
        <v>136</v>
      </c>
      <c r="L1236" t="s">
        <v>893</v>
      </c>
      <c r="M1236" t="s">
        <v>1026</v>
      </c>
      <c r="N1236" t="s">
        <v>991</v>
      </c>
      <c r="O1236">
        <v>37042</v>
      </c>
      <c r="P1236" t="s">
        <v>896</v>
      </c>
      <c r="Q1236" t="s">
        <v>931</v>
      </c>
      <c r="R1236">
        <v>7</v>
      </c>
      <c r="T1236">
        <v>135</v>
      </c>
      <c r="U1236" t="s">
        <v>1082</v>
      </c>
      <c r="V1236" s="7">
        <v>22</v>
      </c>
      <c r="W1236" s="7">
        <v>19.656208341820829</v>
      </c>
      <c r="X1236">
        <v>1</v>
      </c>
      <c r="Y1236" s="7">
        <v>1.539999962</v>
      </c>
      <c r="Z1236" s="7">
        <v>22</v>
      </c>
      <c r="AA1236" s="7">
        <f t="shared" si="78"/>
        <v>20.460000038</v>
      </c>
      <c r="AB1236" t="s">
        <v>66</v>
      </c>
      <c r="AC1236" t="str">
        <f t="shared" si="79"/>
        <v>Non-Cash Payments</v>
      </c>
    </row>
    <row r="1237" spans="1:29" x14ac:dyDescent="0.25">
      <c r="A1237">
        <v>39765</v>
      </c>
      <c r="B1237" s="2">
        <v>42437</v>
      </c>
      <c r="C1237">
        <v>1</v>
      </c>
      <c r="D1237" s="2">
        <f t="shared" si="76"/>
        <v>42438</v>
      </c>
      <c r="E1237">
        <v>1</v>
      </c>
      <c r="F1237" t="s">
        <v>187</v>
      </c>
      <c r="G1237" t="str">
        <f t="shared" si="77"/>
        <v>Other</v>
      </c>
      <c r="H1237">
        <v>7</v>
      </c>
      <c r="I1237">
        <v>10582</v>
      </c>
      <c r="J1237">
        <v>2</v>
      </c>
      <c r="K1237" t="s">
        <v>136</v>
      </c>
      <c r="L1237" t="s">
        <v>893</v>
      </c>
      <c r="M1237" t="s">
        <v>1027</v>
      </c>
      <c r="N1237" t="s">
        <v>915</v>
      </c>
      <c r="O1237">
        <v>46060</v>
      </c>
      <c r="P1237" t="s">
        <v>896</v>
      </c>
      <c r="Q1237" t="s">
        <v>903</v>
      </c>
      <c r="R1237">
        <v>7</v>
      </c>
      <c r="T1237">
        <v>135</v>
      </c>
      <c r="U1237" t="s">
        <v>1082</v>
      </c>
      <c r="V1237" s="7">
        <v>22</v>
      </c>
      <c r="W1237" s="7">
        <v>19.656208341820829</v>
      </c>
      <c r="X1237">
        <v>4</v>
      </c>
      <c r="Y1237" s="7">
        <v>22</v>
      </c>
      <c r="Z1237" s="7">
        <v>88</v>
      </c>
      <c r="AA1237" s="7">
        <f t="shared" si="78"/>
        <v>66</v>
      </c>
      <c r="AB1237" t="s">
        <v>66</v>
      </c>
      <c r="AC1237" t="str">
        <f t="shared" si="79"/>
        <v>Non-Cash Payments</v>
      </c>
    </row>
    <row r="1238" spans="1:29" x14ac:dyDescent="0.25">
      <c r="A1238">
        <v>39718</v>
      </c>
      <c r="B1238" s="2">
        <v>42408</v>
      </c>
      <c r="C1238">
        <v>0</v>
      </c>
      <c r="D1238" s="2">
        <f t="shared" si="76"/>
        <v>42408</v>
      </c>
      <c r="E1238">
        <v>1</v>
      </c>
      <c r="F1238" t="s">
        <v>214</v>
      </c>
      <c r="G1238" t="str">
        <f t="shared" si="77"/>
        <v>Other</v>
      </c>
      <c r="H1238">
        <v>7</v>
      </c>
      <c r="I1238">
        <v>10893</v>
      </c>
      <c r="J1238">
        <v>2</v>
      </c>
      <c r="K1238" t="s">
        <v>136</v>
      </c>
      <c r="L1238" t="s">
        <v>893</v>
      </c>
      <c r="M1238" t="s">
        <v>1028</v>
      </c>
      <c r="N1238" t="s">
        <v>1029</v>
      </c>
      <c r="O1238">
        <v>8701</v>
      </c>
      <c r="P1238" t="s">
        <v>896</v>
      </c>
      <c r="Q1238" t="s">
        <v>913</v>
      </c>
      <c r="R1238">
        <v>7</v>
      </c>
      <c r="T1238">
        <v>135</v>
      </c>
      <c r="U1238" t="s">
        <v>1082</v>
      </c>
      <c r="V1238" s="7">
        <v>22</v>
      </c>
      <c r="W1238" s="7">
        <v>19.656208341820829</v>
      </c>
      <c r="X1238">
        <v>3</v>
      </c>
      <c r="Y1238" s="7">
        <v>4.6199998860000004</v>
      </c>
      <c r="Z1238" s="7">
        <v>66</v>
      </c>
      <c r="AA1238" s="7">
        <f t="shared" si="78"/>
        <v>61.380000113999998</v>
      </c>
      <c r="AB1238" t="s">
        <v>45</v>
      </c>
      <c r="AC1238" t="str">
        <f t="shared" si="79"/>
        <v>Non-Cash Payments</v>
      </c>
    </row>
    <row r="1239" spans="1:29" x14ac:dyDescent="0.25">
      <c r="A1239">
        <v>39606</v>
      </c>
      <c r="B1239" s="2">
        <v>42377</v>
      </c>
      <c r="C1239">
        <v>4</v>
      </c>
      <c r="D1239" s="2">
        <f t="shared" si="76"/>
        <v>42383</v>
      </c>
      <c r="E1239">
        <v>0</v>
      </c>
      <c r="F1239" t="s">
        <v>62</v>
      </c>
      <c r="G1239" t="str">
        <f t="shared" si="77"/>
        <v>Other</v>
      </c>
      <c r="H1239">
        <v>7</v>
      </c>
      <c r="I1239">
        <v>8744</v>
      </c>
      <c r="J1239">
        <v>2</v>
      </c>
      <c r="K1239" t="s">
        <v>136</v>
      </c>
      <c r="L1239" t="s">
        <v>893</v>
      </c>
      <c r="M1239" t="s">
        <v>904</v>
      </c>
      <c r="N1239" t="s">
        <v>905</v>
      </c>
      <c r="O1239">
        <v>77036</v>
      </c>
      <c r="P1239" t="s">
        <v>896</v>
      </c>
      <c r="Q1239" t="s">
        <v>903</v>
      </c>
      <c r="R1239">
        <v>7</v>
      </c>
      <c r="T1239">
        <v>135</v>
      </c>
      <c r="U1239" t="s">
        <v>1082</v>
      </c>
      <c r="V1239" s="7">
        <v>22</v>
      </c>
      <c r="W1239" s="7">
        <v>19.656208341820829</v>
      </c>
      <c r="X1239">
        <v>3</v>
      </c>
      <c r="Y1239" s="7">
        <v>5.9400000569999998</v>
      </c>
      <c r="Z1239" s="7">
        <v>66</v>
      </c>
      <c r="AA1239" s="7">
        <f t="shared" si="78"/>
        <v>60.059999943000001</v>
      </c>
      <c r="AB1239" t="s">
        <v>30</v>
      </c>
      <c r="AC1239" t="str">
        <f t="shared" si="79"/>
        <v>Cash Not Over 200</v>
      </c>
    </row>
    <row r="1240" spans="1:29" x14ac:dyDescent="0.25">
      <c r="A1240">
        <v>39562</v>
      </c>
      <c r="B1240" s="2">
        <v>42582</v>
      </c>
      <c r="C1240">
        <v>1</v>
      </c>
      <c r="D1240" s="2">
        <f t="shared" si="76"/>
        <v>42583</v>
      </c>
      <c r="E1240">
        <v>1</v>
      </c>
      <c r="F1240" t="s">
        <v>187</v>
      </c>
      <c r="G1240" t="str">
        <f t="shared" si="77"/>
        <v>Other</v>
      </c>
      <c r="H1240">
        <v>7</v>
      </c>
      <c r="I1240">
        <v>8807</v>
      </c>
      <c r="J1240">
        <v>2</v>
      </c>
      <c r="K1240" t="s">
        <v>136</v>
      </c>
      <c r="L1240" t="s">
        <v>893</v>
      </c>
      <c r="M1240" t="s">
        <v>927</v>
      </c>
      <c r="N1240" t="s">
        <v>928</v>
      </c>
      <c r="O1240">
        <v>10035</v>
      </c>
      <c r="P1240" t="s">
        <v>896</v>
      </c>
      <c r="Q1240" t="s">
        <v>913</v>
      </c>
      <c r="R1240">
        <v>7</v>
      </c>
      <c r="T1240">
        <v>135</v>
      </c>
      <c r="U1240" t="s">
        <v>1082</v>
      </c>
      <c r="V1240" s="7">
        <v>22</v>
      </c>
      <c r="W1240" s="7">
        <v>19.656208341820829</v>
      </c>
      <c r="X1240">
        <v>2</v>
      </c>
      <c r="Y1240" s="7">
        <v>2.2000000480000002</v>
      </c>
      <c r="Z1240" s="7">
        <v>44</v>
      </c>
      <c r="AA1240" s="7">
        <f t="shared" si="78"/>
        <v>41.799999952</v>
      </c>
      <c r="AB1240" t="s">
        <v>66</v>
      </c>
      <c r="AC1240" t="str">
        <f t="shared" si="79"/>
        <v>Non-Cash Payments</v>
      </c>
    </row>
    <row r="1241" spans="1:29" x14ac:dyDescent="0.25">
      <c r="A1241">
        <v>39540</v>
      </c>
      <c r="B1241" s="2">
        <v>42582</v>
      </c>
      <c r="C1241">
        <v>2</v>
      </c>
      <c r="D1241" s="2">
        <f t="shared" si="76"/>
        <v>42584</v>
      </c>
      <c r="E1241">
        <v>0</v>
      </c>
      <c r="F1241" t="s">
        <v>23</v>
      </c>
      <c r="G1241" t="str">
        <f t="shared" si="77"/>
        <v>Other</v>
      </c>
      <c r="H1241">
        <v>7</v>
      </c>
      <c r="I1241">
        <v>11616</v>
      </c>
      <c r="J1241">
        <v>2</v>
      </c>
      <c r="K1241" t="s">
        <v>136</v>
      </c>
      <c r="L1241" t="s">
        <v>893</v>
      </c>
      <c r="M1241" t="s">
        <v>900</v>
      </c>
      <c r="N1241" t="s">
        <v>899</v>
      </c>
      <c r="O1241">
        <v>94122</v>
      </c>
      <c r="P1241" t="s">
        <v>896</v>
      </c>
      <c r="Q1241" t="s">
        <v>897</v>
      </c>
      <c r="R1241">
        <v>7</v>
      </c>
      <c r="T1241">
        <v>135</v>
      </c>
      <c r="U1241" t="s">
        <v>1082</v>
      </c>
      <c r="V1241" s="7">
        <v>22</v>
      </c>
      <c r="W1241" s="7">
        <v>19.656208341820829</v>
      </c>
      <c r="X1241">
        <v>3</v>
      </c>
      <c r="Y1241" s="7">
        <v>6.5999999049999998</v>
      </c>
      <c r="Z1241" s="7">
        <v>66</v>
      </c>
      <c r="AA1241" s="7">
        <f t="shared" si="78"/>
        <v>59.400000095000003</v>
      </c>
      <c r="AB1241" t="s">
        <v>66</v>
      </c>
      <c r="AC1241" t="str">
        <f t="shared" si="79"/>
        <v>Non-Cash Payments</v>
      </c>
    </row>
    <row r="1242" spans="1:29" x14ac:dyDescent="0.25">
      <c r="A1242">
        <v>39465</v>
      </c>
      <c r="B1242" s="2">
        <v>42581</v>
      </c>
      <c r="C1242">
        <v>1</v>
      </c>
      <c r="D1242" s="2">
        <f t="shared" si="76"/>
        <v>42583</v>
      </c>
      <c r="E1242">
        <v>1</v>
      </c>
      <c r="F1242" t="s">
        <v>187</v>
      </c>
      <c r="G1242" t="str">
        <f t="shared" si="77"/>
        <v>Other</v>
      </c>
      <c r="H1242">
        <v>7</v>
      </c>
      <c r="I1242">
        <v>711</v>
      </c>
      <c r="J1242">
        <v>2</v>
      </c>
      <c r="K1242" t="s">
        <v>136</v>
      </c>
      <c r="L1242" t="s">
        <v>893</v>
      </c>
      <c r="M1242" t="s">
        <v>925</v>
      </c>
      <c r="N1242" t="s">
        <v>895</v>
      </c>
      <c r="O1242">
        <v>98105</v>
      </c>
      <c r="P1242" t="s">
        <v>896</v>
      </c>
      <c r="Q1242" t="s">
        <v>897</v>
      </c>
      <c r="R1242">
        <v>7</v>
      </c>
      <c r="T1242">
        <v>135</v>
      </c>
      <c r="U1242" t="s">
        <v>1082</v>
      </c>
      <c r="V1242" s="7">
        <v>22</v>
      </c>
      <c r="W1242" s="7">
        <v>19.656208341820829</v>
      </c>
      <c r="X1242">
        <v>3</v>
      </c>
      <c r="Y1242" s="7">
        <v>7.920000076</v>
      </c>
      <c r="Z1242" s="7">
        <v>66</v>
      </c>
      <c r="AA1242" s="7">
        <f t="shared" si="78"/>
        <v>58.079999923999999</v>
      </c>
      <c r="AB1242" t="s">
        <v>30</v>
      </c>
      <c r="AC1242" t="str">
        <f t="shared" si="79"/>
        <v>Cash Not Over 200</v>
      </c>
    </row>
    <row r="1243" spans="1:29" x14ac:dyDescent="0.25">
      <c r="A1243">
        <v>39191</v>
      </c>
      <c r="B1243" s="2">
        <v>42577</v>
      </c>
      <c r="C1243">
        <v>4</v>
      </c>
      <c r="D1243" s="2">
        <f t="shared" si="76"/>
        <v>42583</v>
      </c>
      <c r="E1243">
        <v>0</v>
      </c>
      <c r="F1243" t="s">
        <v>62</v>
      </c>
      <c r="G1243" t="str">
        <f t="shared" si="77"/>
        <v>Other</v>
      </c>
      <c r="H1243">
        <v>7</v>
      </c>
      <c r="I1243">
        <v>6499</v>
      </c>
      <c r="J1243">
        <v>2</v>
      </c>
      <c r="K1243" t="s">
        <v>136</v>
      </c>
      <c r="L1243" t="s">
        <v>893</v>
      </c>
      <c r="M1243" t="s">
        <v>1030</v>
      </c>
      <c r="N1243" t="s">
        <v>1031</v>
      </c>
      <c r="O1243">
        <v>26003</v>
      </c>
      <c r="P1243" t="s">
        <v>896</v>
      </c>
      <c r="Q1243" t="s">
        <v>913</v>
      </c>
      <c r="R1243">
        <v>7</v>
      </c>
      <c r="T1243">
        <v>135</v>
      </c>
      <c r="U1243" t="s">
        <v>1082</v>
      </c>
      <c r="V1243" s="7">
        <v>22</v>
      </c>
      <c r="W1243" s="7">
        <v>19.656208341820829</v>
      </c>
      <c r="X1243">
        <v>5</v>
      </c>
      <c r="Y1243" s="7">
        <v>19.799999239999998</v>
      </c>
      <c r="Z1243" s="7">
        <v>110</v>
      </c>
      <c r="AA1243" s="7">
        <f t="shared" si="78"/>
        <v>90.200000759999995</v>
      </c>
      <c r="AB1243" t="s">
        <v>30</v>
      </c>
      <c r="AC1243" t="str">
        <f t="shared" si="79"/>
        <v>Cash Not Over 200</v>
      </c>
    </row>
    <row r="1244" spans="1:29" x14ac:dyDescent="0.25">
      <c r="A1244">
        <v>39006</v>
      </c>
      <c r="B1244" s="2">
        <v>42574</v>
      </c>
      <c r="C1244">
        <v>0</v>
      </c>
      <c r="D1244" s="2">
        <f t="shared" si="76"/>
        <v>42574</v>
      </c>
      <c r="E1244">
        <v>0</v>
      </c>
      <c r="F1244" t="s">
        <v>214</v>
      </c>
      <c r="G1244" t="str">
        <f t="shared" si="77"/>
        <v>Same Day - On Time</v>
      </c>
      <c r="H1244">
        <v>7</v>
      </c>
      <c r="I1244">
        <v>8572</v>
      </c>
      <c r="J1244">
        <v>2</v>
      </c>
      <c r="K1244" t="s">
        <v>136</v>
      </c>
      <c r="L1244" t="s">
        <v>893</v>
      </c>
      <c r="M1244" t="s">
        <v>920</v>
      </c>
      <c r="N1244" t="s">
        <v>921</v>
      </c>
      <c r="O1244">
        <v>19120</v>
      </c>
      <c r="P1244" t="s">
        <v>896</v>
      </c>
      <c r="Q1244" t="s">
        <v>913</v>
      </c>
      <c r="R1244">
        <v>7</v>
      </c>
      <c r="T1244">
        <v>135</v>
      </c>
      <c r="U1244" t="s">
        <v>1082</v>
      </c>
      <c r="V1244" s="7">
        <v>22</v>
      </c>
      <c r="W1244" s="7">
        <v>19.656208341820829</v>
      </c>
      <c r="X1244">
        <v>1</v>
      </c>
      <c r="Y1244" s="7">
        <v>1.980000019</v>
      </c>
      <c r="Z1244" s="7">
        <v>22</v>
      </c>
      <c r="AA1244" s="7">
        <f t="shared" si="78"/>
        <v>20.019999981000002</v>
      </c>
      <c r="AB1244" t="s">
        <v>66</v>
      </c>
      <c r="AC1244" t="str">
        <f t="shared" si="79"/>
        <v>Non-Cash Payments</v>
      </c>
    </row>
    <row r="1245" spans="1:29" x14ac:dyDescent="0.25">
      <c r="A1245">
        <v>38776</v>
      </c>
      <c r="B1245" s="2">
        <v>42571</v>
      </c>
      <c r="C1245">
        <v>4</v>
      </c>
      <c r="D1245" s="2">
        <f t="shared" si="76"/>
        <v>42577</v>
      </c>
      <c r="E1245">
        <v>0</v>
      </c>
      <c r="F1245" t="s">
        <v>62</v>
      </c>
      <c r="G1245" t="str">
        <f t="shared" si="77"/>
        <v>Other</v>
      </c>
      <c r="H1245">
        <v>7</v>
      </c>
      <c r="I1245">
        <v>7994</v>
      </c>
      <c r="J1245">
        <v>2</v>
      </c>
      <c r="K1245" t="s">
        <v>136</v>
      </c>
      <c r="L1245" t="s">
        <v>893</v>
      </c>
      <c r="M1245" t="s">
        <v>954</v>
      </c>
      <c r="N1245" t="s">
        <v>984</v>
      </c>
      <c r="O1245">
        <v>42420</v>
      </c>
      <c r="P1245" t="s">
        <v>896</v>
      </c>
      <c r="Q1245" t="s">
        <v>931</v>
      </c>
      <c r="R1245">
        <v>7</v>
      </c>
      <c r="T1245">
        <v>135</v>
      </c>
      <c r="U1245" t="s">
        <v>1082</v>
      </c>
      <c r="V1245" s="7">
        <v>22</v>
      </c>
      <c r="W1245" s="7">
        <v>19.656208341820829</v>
      </c>
      <c r="X1245">
        <v>2</v>
      </c>
      <c r="Y1245" s="7">
        <v>2.420000076</v>
      </c>
      <c r="Z1245" s="7">
        <v>44</v>
      </c>
      <c r="AA1245" s="7">
        <f t="shared" si="78"/>
        <v>41.579999923999999</v>
      </c>
      <c r="AB1245" t="s">
        <v>30</v>
      </c>
      <c r="AC1245" t="str">
        <f t="shared" si="79"/>
        <v>Cash Not Over 200</v>
      </c>
    </row>
    <row r="1246" spans="1:29" x14ac:dyDescent="0.25">
      <c r="A1246">
        <v>38466</v>
      </c>
      <c r="B1246" s="2">
        <v>42566</v>
      </c>
      <c r="C1246">
        <v>2</v>
      </c>
      <c r="D1246" s="2">
        <f t="shared" si="76"/>
        <v>42570</v>
      </c>
      <c r="E1246">
        <v>0</v>
      </c>
      <c r="F1246" t="s">
        <v>23</v>
      </c>
      <c r="G1246" t="str">
        <f t="shared" si="77"/>
        <v>Other</v>
      </c>
      <c r="H1246">
        <v>7</v>
      </c>
      <c r="I1246">
        <v>8478</v>
      </c>
      <c r="J1246">
        <v>2</v>
      </c>
      <c r="K1246" t="s">
        <v>136</v>
      </c>
      <c r="L1246" t="s">
        <v>893</v>
      </c>
      <c r="M1246" t="s">
        <v>900</v>
      </c>
      <c r="N1246" t="s">
        <v>899</v>
      </c>
      <c r="O1246">
        <v>94122</v>
      </c>
      <c r="P1246" t="s">
        <v>896</v>
      </c>
      <c r="Q1246" t="s">
        <v>897</v>
      </c>
      <c r="R1246">
        <v>7</v>
      </c>
      <c r="T1246">
        <v>135</v>
      </c>
      <c r="U1246" t="s">
        <v>1082</v>
      </c>
      <c r="V1246" s="7">
        <v>22</v>
      </c>
      <c r="W1246" s="7">
        <v>19.656208341820829</v>
      </c>
      <c r="X1246">
        <v>5</v>
      </c>
      <c r="Y1246" s="7">
        <v>22</v>
      </c>
      <c r="Z1246" s="7">
        <v>110</v>
      </c>
      <c r="AA1246" s="7">
        <f t="shared" si="78"/>
        <v>88</v>
      </c>
      <c r="AB1246" t="s">
        <v>45</v>
      </c>
      <c r="AC1246" t="str">
        <f t="shared" si="79"/>
        <v>Non-Cash Payments</v>
      </c>
    </row>
    <row r="1247" spans="1:29" x14ac:dyDescent="0.25">
      <c r="A1247">
        <v>38383</v>
      </c>
      <c r="B1247" s="2">
        <v>42565</v>
      </c>
      <c r="C1247">
        <v>4</v>
      </c>
      <c r="D1247" s="2">
        <f t="shared" si="76"/>
        <v>42571</v>
      </c>
      <c r="E1247">
        <v>0</v>
      </c>
      <c r="F1247" t="s">
        <v>62</v>
      </c>
      <c r="G1247" t="str">
        <f t="shared" si="77"/>
        <v>Other</v>
      </c>
      <c r="H1247">
        <v>7</v>
      </c>
      <c r="I1247">
        <v>5845</v>
      </c>
      <c r="J1247">
        <v>2</v>
      </c>
      <c r="K1247" t="s">
        <v>136</v>
      </c>
      <c r="L1247" t="s">
        <v>893</v>
      </c>
      <c r="M1247" t="s">
        <v>1032</v>
      </c>
      <c r="N1247" t="s">
        <v>921</v>
      </c>
      <c r="O1247">
        <v>19013</v>
      </c>
      <c r="P1247" t="s">
        <v>896</v>
      </c>
      <c r="Q1247" t="s">
        <v>913</v>
      </c>
      <c r="R1247">
        <v>7</v>
      </c>
      <c r="T1247">
        <v>135</v>
      </c>
      <c r="U1247" t="s">
        <v>1082</v>
      </c>
      <c r="V1247" s="7">
        <v>22</v>
      </c>
      <c r="W1247" s="7">
        <v>19.656208341820829</v>
      </c>
      <c r="X1247">
        <v>1</v>
      </c>
      <c r="Y1247" s="7">
        <v>2.2000000480000002</v>
      </c>
      <c r="Z1247" s="7">
        <v>22</v>
      </c>
      <c r="AA1247" s="7">
        <f t="shared" si="78"/>
        <v>19.799999952</v>
      </c>
      <c r="AB1247" t="s">
        <v>45</v>
      </c>
      <c r="AC1247" t="str">
        <f t="shared" si="79"/>
        <v>Non-Cash Payments</v>
      </c>
    </row>
    <row r="1248" spans="1:29" x14ac:dyDescent="0.25">
      <c r="A1248">
        <v>38303</v>
      </c>
      <c r="B1248" s="2">
        <v>42564</v>
      </c>
      <c r="C1248">
        <v>4</v>
      </c>
      <c r="D1248" s="2">
        <f t="shared" si="76"/>
        <v>42570</v>
      </c>
      <c r="E1248">
        <v>0</v>
      </c>
      <c r="F1248" t="s">
        <v>62</v>
      </c>
      <c r="G1248" t="str">
        <f t="shared" si="77"/>
        <v>Other</v>
      </c>
      <c r="H1248">
        <v>7</v>
      </c>
      <c r="I1248">
        <v>9807</v>
      </c>
      <c r="J1248">
        <v>2</v>
      </c>
      <c r="K1248" t="s">
        <v>136</v>
      </c>
      <c r="L1248" t="s">
        <v>893</v>
      </c>
      <c r="M1248" t="s">
        <v>981</v>
      </c>
      <c r="N1248" t="s">
        <v>923</v>
      </c>
      <c r="O1248">
        <v>60623</v>
      </c>
      <c r="P1248" t="s">
        <v>896</v>
      </c>
      <c r="Q1248" t="s">
        <v>903</v>
      </c>
      <c r="R1248">
        <v>7</v>
      </c>
      <c r="T1248">
        <v>135</v>
      </c>
      <c r="U1248" t="s">
        <v>1082</v>
      </c>
      <c r="V1248" s="7">
        <v>22</v>
      </c>
      <c r="W1248" s="7">
        <v>19.656208341820829</v>
      </c>
      <c r="X1248">
        <v>1</v>
      </c>
      <c r="Y1248" s="7">
        <v>2.6400001049999999</v>
      </c>
      <c r="Z1248" s="7">
        <v>22</v>
      </c>
      <c r="AA1248" s="7">
        <f t="shared" si="78"/>
        <v>19.359999895000001</v>
      </c>
      <c r="AB1248" t="s">
        <v>66</v>
      </c>
      <c r="AC1248" t="str">
        <f t="shared" si="79"/>
        <v>Non-Cash Payments</v>
      </c>
    </row>
    <row r="1249" spans="1:29" x14ac:dyDescent="0.25">
      <c r="A1249">
        <v>38256</v>
      </c>
      <c r="B1249" s="2">
        <v>42711</v>
      </c>
      <c r="C1249">
        <v>4</v>
      </c>
      <c r="D1249" s="2">
        <f t="shared" si="76"/>
        <v>42717</v>
      </c>
      <c r="E1249">
        <v>0</v>
      </c>
      <c r="F1249" t="s">
        <v>62</v>
      </c>
      <c r="G1249" t="str">
        <f t="shared" si="77"/>
        <v>Other</v>
      </c>
      <c r="H1249">
        <v>7</v>
      </c>
      <c r="I1249">
        <v>11757</v>
      </c>
      <c r="J1249">
        <v>2</v>
      </c>
      <c r="K1249" t="s">
        <v>136</v>
      </c>
      <c r="L1249" t="s">
        <v>893</v>
      </c>
      <c r="M1249" t="s">
        <v>900</v>
      </c>
      <c r="N1249" t="s">
        <v>899</v>
      </c>
      <c r="O1249">
        <v>94110</v>
      </c>
      <c r="P1249" t="s">
        <v>896</v>
      </c>
      <c r="Q1249" t="s">
        <v>897</v>
      </c>
      <c r="R1249">
        <v>7</v>
      </c>
      <c r="T1249">
        <v>135</v>
      </c>
      <c r="U1249" t="s">
        <v>1082</v>
      </c>
      <c r="V1249" s="7">
        <v>22</v>
      </c>
      <c r="W1249" s="7">
        <v>19.656208341820829</v>
      </c>
      <c r="X1249">
        <v>2</v>
      </c>
      <c r="Y1249" s="7">
        <v>3.079999924</v>
      </c>
      <c r="Z1249" s="7">
        <v>44</v>
      </c>
      <c r="AA1249" s="7">
        <f t="shared" si="78"/>
        <v>40.920000076000001</v>
      </c>
      <c r="AB1249" t="s">
        <v>30</v>
      </c>
      <c r="AC1249" t="str">
        <f t="shared" si="79"/>
        <v>Cash Not Over 200</v>
      </c>
    </row>
    <row r="1250" spans="1:29" x14ac:dyDescent="0.25">
      <c r="A1250">
        <v>38023</v>
      </c>
      <c r="B1250" s="2">
        <v>42620</v>
      </c>
      <c r="C1250">
        <v>4</v>
      </c>
      <c r="D1250" s="2">
        <f t="shared" si="76"/>
        <v>42626</v>
      </c>
      <c r="E1250">
        <v>0</v>
      </c>
      <c r="F1250" t="s">
        <v>62</v>
      </c>
      <c r="G1250" t="str">
        <f t="shared" si="77"/>
        <v>Other</v>
      </c>
      <c r="H1250">
        <v>7</v>
      </c>
      <c r="I1250">
        <v>5785</v>
      </c>
      <c r="J1250">
        <v>2</v>
      </c>
      <c r="K1250" t="s">
        <v>136</v>
      </c>
      <c r="L1250" t="s">
        <v>893</v>
      </c>
      <c r="M1250" t="s">
        <v>925</v>
      </c>
      <c r="N1250" t="s">
        <v>895</v>
      </c>
      <c r="O1250">
        <v>98103</v>
      </c>
      <c r="P1250" t="s">
        <v>896</v>
      </c>
      <c r="Q1250" t="s">
        <v>897</v>
      </c>
      <c r="R1250">
        <v>7</v>
      </c>
      <c r="T1250">
        <v>135</v>
      </c>
      <c r="U1250" t="s">
        <v>1082</v>
      </c>
      <c r="V1250" s="7">
        <v>22</v>
      </c>
      <c r="W1250" s="7">
        <v>19.656208341820829</v>
      </c>
      <c r="X1250">
        <v>2</v>
      </c>
      <c r="Y1250" s="7">
        <v>3.960000038</v>
      </c>
      <c r="Z1250" s="7">
        <v>44</v>
      </c>
      <c r="AA1250" s="7">
        <f t="shared" si="78"/>
        <v>40.039999962000003</v>
      </c>
      <c r="AB1250" t="s">
        <v>66</v>
      </c>
      <c r="AC1250" t="str">
        <f t="shared" si="79"/>
        <v>Non-Cash Payments</v>
      </c>
    </row>
    <row r="1251" spans="1:29" x14ac:dyDescent="0.25">
      <c r="A1251">
        <v>37702</v>
      </c>
      <c r="B1251" s="2">
        <v>42467</v>
      </c>
      <c r="C1251">
        <v>1</v>
      </c>
      <c r="D1251" s="2">
        <f t="shared" si="76"/>
        <v>42468</v>
      </c>
      <c r="E1251">
        <v>1</v>
      </c>
      <c r="F1251" t="s">
        <v>187</v>
      </c>
      <c r="G1251" t="str">
        <f t="shared" si="77"/>
        <v>Other</v>
      </c>
      <c r="H1251">
        <v>7</v>
      </c>
      <c r="I1251">
        <v>9129</v>
      </c>
      <c r="J1251">
        <v>2</v>
      </c>
      <c r="K1251" t="s">
        <v>136</v>
      </c>
      <c r="L1251" t="s">
        <v>893</v>
      </c>
      <c r="M1251" t="s">
        <v>1033</v>
      </c>
      <c r="N1251" t="s">
        <v>895</v>
      </c>
      <c r="O1251">
        <v>99207</v>
      </c>
      <c r="P1251" t="s">
        <v>896</v>
      </c>
      <c r="Q1251" t="s">
        <v>897</v>
      </c>
      <c r="R1251">
        <v>7</v>
      </c>
      <c r="T1251">
        <v>135</v>
      </c>
      <c r="U1251" t="s">
        <v>1082</v>
      </c>
      <c r="V1251" s="7">
        <v>22</v>
      </c>
      <c r="W1251" s="7">
        <v>19.656208341820829</v>
      </c>
      <c r="X1251">
        <v>1</v>
      </c>
      <c r="Y1251" s="7">
        <v>2.8599998950000001</v>
      </c>
      <c r="Z1251" s="7">
        <v>22</v>
      </c>
      <c r="AA1251" s="7">
        <f t="shared" si="78"/>
        <v>19.140000104999999</v>
      </c>
      <c r="AB1251" t="s">
        <v>66</v>
      </c>
      <c r="AC1251" t="str">
        <f t="shared" si="79"/>
        <v>Non-Cash Payments</v>
      </c>
    </row>
    <row r="1252" spans="1:29" x14ac:dyDescent="0.25">
      <c r="A1252">
        <v>37565</v>
      </c>
      <c r="B1252" s="2">
        <v>42407</v>
      </c>
      <c r="C1252">
        <v>4</v>
      </c>
      <c r="D1252" s="2">
        <f t="shared" si="76"/>
        <v>42411</v>
      </c>
      <c r="E1252">
        <v>1</v>
      </c>
      <c r="F1252" t="s">
        <v>62</v>
      </c>
      <c r="G1252" t="str">
        <f t="shared" si="77"/>
        <v>Other</v>
      </c>
      <c r="H1252">
        <v>7</v>
      </c>
      <c r="I1252">
        <v>9326</v>
      </c>
      <c r="J1252">
        <v>2</v>
      </c>
      <c r="K1252" t="s">
        <v>136</v>
      </c>
      <c r="L1252" t="s">
        <v>893</v>
      </c>
      <c r="M1252" t="s">
        <v>468</v>
      </c>
      <c r="N1252" t="s">
        <v>950</v>
      </c>
      <c r="O1252">
        <v>2138</v>
      </c>
      <c r="P1252" t="s">
        <v>896</v>
      </c>
      <c r="Q1252" t="s">
        <v>913</v>
      </c>
      <c r="R1252">
        <v>7</v>
      </c>
      <c r="T1252">
        <v>135</v>
      </c>
      <c r="U1252" t="s">
        <v>1082</v>
      </c>
      <c r="V1252" s="7">
        <v>22</v>
      </c>
      <c r="W1252" s="7">
        <v>19.656208341820829</v>
      </c>
      <c r="X1252">
        <v>3</v>
      </c>
      <c r="Y1252" s="7">
        <v>8.5799999239999991</v>
      </c>
      <c r="Z1252" s="7">
        <v>66</v>
      </c>
      <c r="AA1252" s="7">
        <f t="shared" si="78"/>
        <v>57.420000076000001</v>
      </c>
      <c r="AB1252" t="s">
        <v>30</v>
      </c>
      <c r="AC1252" t="str">
        <f t="shared" si="79"/>
        <v>Cash Not Over 200</v>
      </c>
    </row>
    <row r="1253" spans="1:29" x14ac:dyDescent="0.25">
      <c r="A1253">
        <v>37186</v>
      </c>
      <c r="B1253" s="2">
        <v>42547</v>
      </c>
      <c r="C1253">
        <v>4</v>
      </c>
      <c r="D1253" s="2">
        <f t="shared" si="76"/>
        <v>42551</v>
      </c>
      <c r="E1253">
        <v>0</v>
      </c>
      <c r="F1253" t="s">
        <v>62</v>
      </c>
      <c r="G1253" t="str">
        <f t="shared" si="77"/>
        <v>Other</v>
      </c>
      <c r="H1253">
        <v>7</v>
      </c>
      <c r="I1253">
        <v>2641</v>
      </c>
      <c r="J1253">
        <v>2</v>
      </c>
      <c r="K1253" t="s">
        <v>136</v>
      </c>
      <c r="L1253" t="s">
        <v>893</v>
      </c>
      <c r="M1253" t="s">
        <v>976</v>
      </c>
      <c r="N1253" t="s">
        <v>940</v>
      </c>
      <c r="O1253">
        <v>21215</v>
      </c>
      <c r="P1253" t="s">
        <v>896</v>
      </c>
      <c r="Q1253" t="s">
        <v>913</v>
      </c>
      <c r="R1253">
        <v>7</v>
      </c>
      <c r="T1253">
        <v>135</v>
      </c>
      <c r="U1253" t="s">
        <v>1082</v>
      </c>
      <c r="V1253" s="7">
        <v>22</v>
      </c>
      <c r="W1253" s="7">
        <v>19.656208341820829</v>
      </c>
      <c r="X1253">
        <v>1</v>
      </c>
      <c r="Y1253" s="7">
        <v>3.2999999519999998</v>
      </c>
      <c r="Z1253" s="7">
        <v>22</v>
      </c>
      <c r="AA1253" s="7">
        <f t="shared" si="78"/>
        <v>18.700000048</v>
      </c>
      <c r="AB1253" t="s">
        <v>45</v>
      </c>
      <c r="AC1253" t="str">
        <f t="shared" si="79"/>
        <v>Non-Cash Payments</v>
      </c>
    </row>
    <row r="1254" spans="1:29" x14ac:dyDescent="0.25">
      <c r="A1254">
        <v>37159</v>
      </c>
      <c r="B1254" s="2">
        <v>42547</v>
      </c>
      <c r="C1254">
        <v>4</v>
      </c>
      <c r="D1254" s="2">
        <f t="shared" si="76"/>
        <v>42551</v>
      </c>
      <c r="E1254">
        <v>1</v>
      </c>
      <c r="F1254" t="s">
        <v>62</v>
      </c>
      <c r="G1254" t="str">
        <f t="shared" si="77"/>
        <v>Other</v>
      </c>
      <c r="H1254">
        <v>7</v>
      </c>
      <c r="I1254">
        <v>10245</v>
      </c>
      <c r="J1254">
        <v>2</v>
      </c>
      <c r="K1254" t="s">
        <v>136</v>
      </c>
      <c r="L1254" t="s">
        <v>893</v>
      </c>
      <c r="M1254" t="s">
        <v>1034</v>
      </c>
      <c r="N1254" t="s">
        <v>993</v>
      </c>
      <c r="O1254">
        <v>72209</v>
      </c>
      <c r="P1254" t="s">
        <v>896</v>
      </c>
      <c r="Q1254" t="s">
        <v>931</v>
      </c>
      <c r="R1254">
        <v>7</v>
      </c>
      <c r="T1254">
        <v>135</v>
      </c>
      <c r="U1254" t="s">
        <v>1082</v>
      </c>
      <c r="V1254" s="7">
        <v>22</v>
      </c>
      <c r="W1254" s="7">
        <v>19.656208341820829</v>
      </c>
      <c r="X1254">
        <v>5</v>
      </c>
      <c r="Y1254" s="7">
        <v>27.5</v>
      </c>
      <c r="Z1254" s="7">
        <v>110</v>
      </c>
      <c r="AA1254" s="7">
        <f t="shared" si="78"/>
        <v>82.5</v>
      </c>
      <c r="AB1254" t="s">
        <v>45</v>
      </c>
      <c r="AC1254" t="str">
        <f t="shared" si="79"/>
        <v>Non-Cash Payments</v>
      </c>
    </row>
    <row r="1255" spans="1:29" x14ac:dyDescent="0.25">
      <c r="A1255">
        <v>36853</v>
      </c>
      <c r="B1255" s="2">
        <v>42542</v>
      </c>
      <c r="C1255">
        <v>4</v>
      </c>
      <c r="D1255" s="2">
        <f t="shared" si="76"/>
        <v>42548</v>
      </c>
      <c r="E1255">
        <v>0</v>
      </c>
      <c r="F1255" t="s">
        <v>62</v>
      </c>
      <c r="G1255" t="str">
        <f t="shared" si="77"/>
        <v>Other</v>
      </c>
      <c r="H1255">
        <v>7</v>
      </c>
      <c r="I1255">
        <v>1168</v>
      </c>
      <c r="J1255">
        <v>2</v>
      </c>
      <c r="K1255" t="s">
        <v>136</v>
      </c>
      <c r="L1255" t="s">
        <v>893</v>
      </c>
      <c r="M1255" t="s">
        <v>980</v>
      </c>
      <c r="N1255" t="s">
        <v>1035</v>
      </c>
      <c r="O1255">
        <v>39212</v>
      </c>
      <c r="P1255" t="s">
        <v>896</v>
      </c>
      <c r="Q1255" t="s">
        <v>931</v>
      </c>
      <c r="R1255">
        <v>7</v>
      </c>
      <c r="T1255">
        <v>135</v>
      </c>
      <c r="U1255" t="s">
        <v>1082</v>
      </c>
      <c r="V1255" s="7">
        <v>22</v>
      </c>
      <c r="W1255" s="7">
        <v>19.656208341820829</v>
      </c>
      <c r="X1255">
        <v>5</v>
      </c>
      <c r="Y1255" s="7">
        <v>0</v>
      </c>
      <c r="Z1255" s="7">
        <v>110</v>
      </c>
      <c r="AA1255" s="7">
        <f t="shared" si="78"/>
        <v>110</v>
      </c>
      <c r="AB1255" t="s">
        <v>66</v>
      </c>
      <c r="AC1255" t="str">
        <f t="shared" si="79"/>
        <v>Non-Cash Payments</v>
      </c>
    </row>
    <row r="1256" spans="1:29" x14ac:dyDescent="0.25">
      <c r="A1256">
        <v>36590</v>
      </c>
      <c r="B1256" s="2">
        <v>42539</v>
      </c>
      <c r="C1256">
        <v>2</v>
      </c>
      <c r="D1256" s="2">
        <f t="shared" si="76"/>
        <v>42542</v>
      </c>
      <c r="E1256">
        <v>1</v>
      </c>
      <c r="F1256" t="s">
        <v>23</v>
      </c>
      <c r="G1256" t="str">
        <f t="shared" si="77"/>
        <v>Other</v>
      </c>
      <c r="H1256">
        <v>7</v>
      </c>
      <c r="I1256">
        <v>12363</v>
      </c>
      <c r="J1256">
        <v>2</v>
      </c>
      <c r="K1256" t="s">
        <v>136</v>
      </c>
      <c r="L1256" t="s">
        <v>893</v>
      </c>
      <c r="M1256" t="s">
        <v>1036</v>
      </c>
      <c r="N1256" t="s">
        <v>912</v>
      </c>
      <c r="O1256">
        <v>44256</v>
      </c>
      <c r="P1256" t="s">
        <v>896</v>
      </c>
      <c r="Q1256" t="s">
        <v>913</v>
      </c>
      <c r="R1256">
        <v>7</v>
      </c>
      <c r="T1256">
        <v>135</v>
      </c>
      <c r="U1256" t="s">
        <v>1082</v>
      </c>
      <c r="V1256" s="7">
        <v>22</v>
      </c>
      <c r="W1256" s="7">
        <v>19.656208341820829</v>
      </c>
      <c r="X1256">
        <v>5</v>
      </c>
      <c r="Y1256" s="7">
        <v>1.1000000240000001</v>
      </c>
      <c r="Z1256" s="7">
        <v>110</v>
      </c>
      <c r="AA1256" s="7">
        <f t="shared" si="78"/>
        <v>108.899999976</v>
      </c>
      <c r="AB1256" t="s">
        <v>45</v>
      </c>
      <c r="AC1256" t="str">
        <f t="shared" si="79"/>
        <v>Non-Cash Payments</v>
      </c>
    </row>
    <row r="1257" spans="1:29" x14ac:dyDescent="0.25">
      <c r="A1257">
        <v>36412</v>
      </c>
      <c r="B1257" s="2">
        <v>42536</v>
      </c>
      <c r="C1257">
        <v>4</v>
      </c>
      <c r="D1257" s="2">
        <f t="shared" si="76"/>
        <v>42542</v>
      </c>
      <c r="E1257">
        <v>0</v>
      </c>
      <c r="F1257" t="s">
        <v>62</v>
      </c>
      <c r="G1257" t="str">
        <f t="shared" si="77"/>
        <v>Other</v>
      </c>
      <c r="H1257">
        <v>7</v>
      </c>
      <c r="I1257">
        <v>7512</v>
      </c>
      <c r="J1257">
        <v>2</v>
      </c>
      <c r="K1257" t="s">
        <v>136</v>
      </c>
      <c r="L1257" t="s">
        <v>893</v>
      </c>
      <c r="M1257" t="s">
        <v>920</v>
      </c>
      <c r="N1257" t="s">
        <v>921</v>
      </c>
      <c r="O1257">
        <v>19134</v>
      </c>
      <c r="P1257" t="s">
        <v>896</v>
      </c>
      <c r="Q1257" t="s">
        <v>913</v>
      </c>
      <c r="R1257">
        <v>7</v>
      </c>
      <c r="T1257">
        <v>135</v>
      </c>
      <c r="U1257" t="s">
        <v>1082</v>
      </c>
      <c r="V1257" s="7">
        <v>22</v>
      </c>
      <c r="W1257" s="7">
        <v>19.656208341820829</v>
      </c>
      <c r="X1257">
        <v>1</v>
      </c>
      <c r="Y1257" s="7">
        <v>3.5199999809999998</v>
      </c>
      <c r="Z1257" s="7">
        <v>22</v>
      </c>
      <c r="AA1257" s="7">
        <f t="shared" si="78"/>
        <v>18.480000019000002</v>
      </c>
      <c r="AB1257" t="s">
        <v>45</v>
      </c>
      <c r="AC1257" t="str">
        <f t="shared" si="79"/>
        <v>Non-Cash Payments</v>
      </c>
    </row>
    <row r="1258" spans="1:29" x14ac:dyDescent="0.25">
      <c r="A1258">
        <v>36289</v>
      </c>
      <c r="B1258" s="2">
        <v>42534</v>
      </c>
      <c r="C1258">
        <v>2</v>
      </c>
      <c r="D1258" s="2">
        <f t="shared" si="76"/>
        <v>42536</v>
      </c>
      <c r="E1258">
        <v>1</v>
      </c>
      <c r="F1258" t="s">
        <v>23</v>
      </c>
      <c r="G1258" t="str">
        <f t="shared" si="77"/>
        <v>Other</v>
      </c>
      <c r="H1258">
        <v>7</v>
      </c>
      <c r="I1258">
        <v>10291</v>
      </c>
      <c r="J1258">
        <v>2</v>
      </c>
      <c r="K1258" t="s">
        <v>136</v>
      </c>
      <c r="L1258" t="s">
        <v>893</v>
      </c>
      <c r="M1258" t="s">
        <v>990</v>
      </c>
      <c r="N1258" t="s">
        <v>991</v>
      </c>
      <c r="O1258">
        <v>38109</v>
      </c>
      <c r="P1258" t="s">
        <v>896</v>
      </c>
      <c r="Q1258" t="s">
        <v>931</v>
      </c>
      <c r="R1258">
        <v>7</v>
      </c>
      <c r="T1258">
        <v>135</v>
      </c>
      <c r="U1258" t="s">
        <v>1082</v>
      </c>
      <c r="V1258" s="7">
        <v>22</v>
      </c>
      <c r="W1258" s="7">
        <v>19.656208341820829</v>
      </c>
      <c r="X1258">
        <v>4</v>
      </c>
      <c r="Y1258" s="7">
        <v>0</v>
      </c>
      <c r="Z1258" s="7">
        <v>88</v>
      </c>
      <c r="AA1258" s="7">
        <f t="shared" si="78"/>
        <v>88</v>
      </c>
      <c r="AB1258" t="s">
        <v>66</v>
      </c>
      <c r="AC1258" t="str">
        <f t="shared" si="79"/>
        <v>Non-Cash Payments</v>
      </c>
    </row>
    <row r="1259" spans="1:29" x14ac:dyDescent="0.25">
      <c r="A1259">
        <v>36238</v>
      </c>
      <c r="B1259" s="2">
        <v>42710</v>
      </c>
      <c r="C1259">
        <v>2</v>
      </c>
      <c r="D1259" s="2">
        <f t="shared" si="76"/>
        <v>42712</v>
      </c>
      <c r="E1259">
        <v>1</v>
      </c>
      <c r="F1259" t="s">
        <v>23</v>
      </c>
      <c r="G1259" t="str">
        <f t="shared" si="77"/>
        <v>Other</v>
      </c>
      <c r="H1259">
        <v>7</v>
      </c>
      <c r="I1259">
        <v>11044</v>
      </c>
      <c r="J1259">
        <v>2</v>
      </c>
      <c r="K1259" t="s">
        <v>136</v>
      </c>
      <c r="L1259" t="s">
        <v>893</v>
      </c>
      <c r="M1259" t="s">
        <v>1037</v>
      </c>
      <c r="N1259" t="s">
        <v>989</v>
      </c>
      <c r="O1259">
        <v>19805</v>
      </c>
      <c r="P1259" t="s">
        <v>896</v>
      </c>
      <c r="Q1259" t="s">
        <v>913</v>
      </c>
      <c r="R1259">
        <v>7</v>
      </c>
      <c r="T1259">
        <v>135</v>
      </c>
      <c r="U1259" t="s">
        <v>1082</v>
      </c>
      <c r="V1259" s="7">
        <v>22</v>
      </c>
      <c r="W1259" s="7">
        <v>19.656208341820829</v>
      </c>
      <c r="X1259">
        <v>5</v>
      </c>
      <c r="Y1259" s="7">
        <v>2.2000000480000002</v>
      </c>
      <c r="Z1259" s="7">
        <v>110</v>
      </c>
      <c r="AA1259" s="7">
        <f t="shared" si="78"/>
        <v>107.79999995199999</v>
      </c>
      <c r="AB1259" t="s">
        <v>45</v>
      </c>
      <c r="AC1259" t="str">
        <f t="shared" si="79"/>
        <v>Non-Cash Payments</v>
      </c>
    </row>
    <row r="1260" spans="1:29" x14ac:dyDescent="0.25">
      <c r="A1260">
        <v>36141</v>
      </c>
      <c r="B1260" s="2">
        <v>42680</v>
      </c>
      <c r="C1260">
        <v>4</v>
      </c>
      <c r="D1260" s="2">
        <f t="shared" si="76"/>
        <v>42684</v>
      </c>
      <c r="E1260">
        <v>0</v>
      </c>
      <c r="F1260" t="s">
        <v>62</v>
      </c>
      <c r="G1260" t="str">
        <f t="shared" si="77"/>
        <v>Other</v>
      </c>
      <c r="H1260">
        <v>7</v>
      </c>
      <c r="I1260">
        <v>1826</v>
      </c>
      <c r="J1260">
        <v>2</v>
      </c>
      <c r="K1260" t="s">
        <v>136</v>
      </c>
      <c r="L1260" t="s">
        <v>893</v>
      </c>
      <c r="M1260" t="s">
        <v>898</v>
      </c>
      <c r="N1260" t="s">
        <v>899</v>
      </c>
      <c r="O1260">
        <v>90008</v>
      </c>
      <c r="P1260" t="s">
        <v>896</v>
      </c>
      <c r="Q1260" t="s">
        <v>897</v>
      </c>
      <c r="R1260">
        <v>7</v>
      </c>
      <c r="T1260">
        <v>135</v>
      </c>
      <c r="U1260" t="s">
        <v>1082</v>
      </c>
      <c r="V1260" s="7">
        <v>22</v>
      </c>
      <c r="W1260" s="7">
        <v>19.656208341820829</v>
      </c>
      <c r="X1260">
        <v>4</v>
      </c>
      <c r="Y1260" s="7">
        <v>0.87999999500000003</v>
      </c>
      <c r="Z1260" s="7">
        <v>88</v>
      </c>
      <c r="AA1260" s="7">
        <f t="shared" si="78"/>
        <v>87.120000004999994</v>
      </c>
      <c r="AB1260" t="s">
        <v>30</v>
      </c>
      <c r="AC1260" t="str">
        <f t="shared" si="79"/>
        <v>Cash Not Over 200</v>
      </c>
    </row>
    <row r="1261" spans="1:29" x14ac:dyDescent="0.25">
      <c r="A1261">
        <v>35746</v>
      </c>
      <c r="B1261" s="2">
        <v>42496</v>
      </c>
      <c r="C1261">
        <v>0</v>
      </c>
      <c r="D1261" s="2">
        <f t="shared" si="76"/>
        <v>42496</v>
      </c>
      <c r="E1261">
        <v>0</v>
      </c>
      <c r="F1261" t="s">
        <v>214</v>
      </c>
      <c r="G1261" t="str">
        <f t="shared" si="77"/>
        <v>Same Day - On Time</v>
      </c>
      <c r="H1261">
        <v>7</v>
      </c>
      <c r="I1261">
        <v>1804</v>
      </c>
      <c r="J1261">
        <v>2</v>
      </c>
      <c r="K1261" t="s">
        <v>136</v>
      </c>
      <c r="L1261" t="s">
        <v>893</v>
      </c>
      <c r="M1261" t="s">
        <v>898</v>
      </c>
      <c r="N1261" t="s">
        <v>899</v>
      </c>
      <c r="O1261">
        <v>90032</v>
      </c>
      <c r="P1261" t="s">
        <v>896</v>
      </c>
      <c r="Q1261" t="s">
        <v>897</v>
      </c>
      <c r="R1261">
        <v>7</v>
      </c>
      <c r="T1261">
        <v>135</v>
      </c>
      <c r="U1261" t="s">
        <v>1082</v>
      </c>
      <c r="V1261" s="7">
        <v>22</v>
      </c>
      <c r="W1261" s="7">
        <v>19.656208341820829</v>
      </c>
      <c r="X1261">
        <v>4</v>
      </c>
      <c r="Y1261" s="7">
        <v>1.7599999900000001</v>
      </c>
      <c r="Z1261" s="7">
        <v>88</v>
      </c>
      <c r="AA1261" s="7">
        <f t="shared" si="78"/>
        <v>86.240000010000003</v>
      </c>
      <c r="AB1261" t="s">
        <v>66</v>
      </c>
      <c r="AC1261" t="str">
        <f t="shared" si="79"/>
        <v>Non-Cash Payments</v>
      </c>
    </row>
    <row r="1262" spans="1:29" x14ac:dyDescent="0.25">
      <c r="A1262">
        <v>35406</v>
      </c>
      <c r="B1262" s="2">
        <v>42521</v>
      </c>
      <c r="C1262">
        <v>4</v>
      </c>
      <c r="D1262" s="2">
        <f t="shared" si="76"/>
        <v>42527</v>
      </c>
      <c r="E1262">
        <v>0</v>
      </c>
      <c r="F1262" t="s">
        <v>62</v>
      </c>
      <c r="G1262" t="str">
        <f t="shared" si="77"/>
        <v>Other</v>
      </c>
      <c r="H1262">
        <v>7</v>
      </c>
      <c r="I1262">
        <v>11551</v>
      </c>
      <c r="J1262">
        <v>2</v>
      </c>
      <c r="K1262" t="s">
        <v>136</v>
      </c>
      <c r="L1262" t="s">
        <v>893</v>
      </c>
      <c r="M1262" t="s">
        <v>964</v>
      </c>
      <c r="N1262" t="s">
        <v>958</v>
      </c>
      <c r="O1262">
        <v>48227</v>
      </c>
      <c r="P1262" t="s">
        <v>896</v>
      </c>
      <c r="Q1262" t="s">
        <v>903</v>
      </c>
      <c r="R1262">
        <v>7</v>
      </c>
      <c r="T1262">
        <v>135</v>
      </c>
      <c r="U1262" t="s">
        <v>1082</v>
      </c>
      <c r="V1262" s="7">
        <v>22</v>
      </c>
      <c r="W1262" s="7">
        <v>19.656208341820829</v>
      </c>
      <c r="X1262">
        <v>4</v>
      </c>
      <c r="Y1262" s="7">
        <v>2.6400001049999999</v>
      </c>
      <c r="Z1262" s="7">
        <v>88</v>
      </c>
      <c r="AA1262" s="7">
        <f t="shared" si="78"/>
        <v>85.359999895000001</v>
      </c>
      <c r="AB1262" t="s">
        <v>45</v>
      </c>
      <c r="AC1262" t="str">
        <f t="shared" si="79"/>
        <v>Non-Cash Payments</v>
      </c>
    </row>
    <row r="1263" spans="1:29" x14ac:dyDescent="0.25">
      <c r="A1263">
        <v>35370</v>
      </c>
      <c r="B1263" s="2">
        <v>42521</v>
      </c>
      <c r="C1263">
        <v>4</v>
      </c>
      <c r="D1263" s="2">
        <f t="shared" si="76"/>
        <v>42527</v>
      </c>
      <c r="E1263">
        <v>1</v>
      </c>
      <c r="F1263" t="s">
        <v>62</v>
      </c>
      <c r="G1263" t="str">
        <f t="shared" si="77"/>
        <v>Other</v>
      </c>
      <c r="H1263">
        <v>7</v>
      </c>
      <c r="I1263">
        <v>11674</v>
      </c>
      <c r="J1263">
        <v>2</v>
      </c>
      <c r="K1263" t="s">
        <v>136</v>
      </c>
      <c r="L1263" t="s">
        <v>893</v>
      </c>
      <c r="M1263" t="s">
        <v>1038</v>
      </c>
      <c r="N1263" t="s">
        <v>937</v>
      </c>
      <c r="O1263">
        <v>74012</v>
      </c>
      <c r="P1263" t="s">
        <v>896</v>
      </c>
      <c r="Q1263" t="s">
        <v>903</v>
      </c>
      <c r="R1263">
        <v>7</v>
      </c>
      <c r="T1263">
        <v>135</v>
      </c>
      <c r="U1263" t="s">
        <v>1082</v>
      </c>
      <c r="V1263" s="7">
        <v>22</v>
      </c>
      <c r="W1263" s="7">
        <v>19.656208341820829</v>
      </c>
      <c r="X1263">
        <v>5</v>
      </c>
      <c r="Y1263" s="7">
        <v>3.2999999519999998</v>
      </c>
      <c r="Z1263" s="7">
        <v>110</v>
      </c>
      <c r="AA1263" s="7">
        <f t="shared" si="78"/>
        <v>106.70000004800001</v>
      </c>
      <c r="AB1263" t="s">
        <v>30</v>
      </c>
      <c r="AC1263" t="str">
        <f t="shared" si="79"/>
        <v>Cash Not Over 200</v>
      </c>
    </row>
    <row r="1264" spans="1:29" x14ac:dyDescent="0.25">
      <c r="A1264">
        <v>35343</v>
      </c>
      <c r="B1264" s="2">
        <v>42520</v>
      </c>
      <c r="C1264">
        <v>1</v>
      </c>
      <c r="D1264" s="2">
        <f t="shared" si="76"/>
        <v>42521</v>
      </c>
      <c r="E1264">
        <v>1</v>
      </c>
      <c r="F1264" t="s">
        <v>187</v>
      </c>
      <c r="G1264" t="str">
        <f t="shared" si="77"/>
        <v>Other</v>
      </c>
      <c r="H1264">
        <v>7</v>
      </c>
      <c r="I1264">
        <v>1718</v>
      </c>
      <c r="J1264">
        <v>2</v>
      </c>
      <c r="K1264" t="s">
        <v>136</v>
      </c>
      <c r="L1264" t="s">
        <v>893</v>
      </c>
      <c r="M1264" t="s">
        <v>981</v>
      </c>
      <c r="N1264" t="s">
        <v>923</v>
      </c>
      <c r="O1264">
        <v>60653</v>
      </c>
      <c r="P1264" t="s">
        <v>896</v>
      </c>
      <c r="Q1264" t="s">
        <v>903</v>
      </c>
      <c r="R1264">
        <v>7</v>
      </c>
      <c r="T1264">
        <v>135</v>
      </c>
      <c r="U1264" t="s">
        <v>1082</v>
      </c>
      <c r="V1264" s="7">
        <v>22</v>
      </c>
      <c r="W1264" s="7">
        <v>19.656208341820829</v>
      </c>
      <c r="X1264">
        <v>3</v>
      </c>
      <c r="Y1264" s="7">
        <v>9.8999996190000008</v>
      </c>
      <c r="Z1264" s="7">
        <v>66</v>
      </c>
      <c r="AA1264" s="7">
        <f t="shared" si="78"/>
        <v>56.100000381000001</v>
      </c>
      <c r="AB1264" t="s">
        <v>30</v>
      </c>
      <c r="AC1264" t="str">
        <f t="shared" si="79"/>
        <v>Cash Not Over 200</v>
      </c>
    </row>
    <row r="1265" spans="1:29" x14ac:dyDescent="0.25">
      <c r="A1265">
        <v>35193</v>
      </c>
      <c r="B1265" s="2">
        <v>42518</v>
      </c>
      <c r="C1265">
        <v>4</v>
      </c>
      <c r="D1265" s="2">
        <f t="shared" si="76"/>
        <v>42523</v>
      </c>
      <c r="E1265">
        <v>0</v>
      </c>
      <c r="F1265" t="s">
        <v>62</v>
      </c>
      <c r="G1265" t="str">
        <f t="shared" si="77"/>
        <v>Other</v>
      </c>
      <c r="H1265">
        <v>7</v>
      </c>
      <c r="I1265">
        <v>614</v>
      </c>
      <c r="J1265">
        <v>2</v>
      </c>
      <c r="K1265" t="s">
        <v>136</v>
      </c>
      <c r="L1265" t="s">
        <v>893</v>
      </c>
      <c r="M1265" t="s">
        <v>973</v>
      </c>
      <c r="N1265" t="s">
        <v>905</v>
      </c>
      <c r="O1265">
        <v>78207</v>
      </c>
      <c r="P1265" t="s">
        <v>896</v>
      </c>
      <c r="Q1265" t="s">
        <v>903</v>
      </c>
      <c r="R1265">
        <v>7</v>
      </c>
      <c r="T1265">
        <v>135</v>
      </c>
      <c r="U1265" t="s">
        <v>1082</v>
      </c>
      <c r="V1265" s="7">
        <v>22</v>
      </c>
      <c r="W1265" s="7">
        <v>19.656208341820829</v>
      </c>
      <c r="X1265">
        <v>4</v>
      </c>
      <c r="Y1265" s="7">
        <v>3.5199999809999998</v>
      </c>
      <c r="Z1265" s="7">
        <v>88</v>
      </c>
      <c r="AA1265" s="7">
        <f t="shared" si="78"/>
        <v>84.480000019000002</v>
      </c>
      <c r="AB1265" t="s">
        <v>30</v>
      </c>
      <c r="AC1265" t="str">
        <f t="shared" si="79"/>
        <v>Cash Not Over 200</v>
      </c>
    </row>
    <row r="1266" spans="1:29" x14ac:dyDescent="0.25">
      <c r="A1266">
        <v>34181</v>
      </c>
      <c r="B1266" s="2">
        <v>42503</v>
      </c>
      <c r="C1266">
        <v>2</v>
      </c>
      <c r="D1266" s="2">
        <f t="shared" si="76"/>
        <v>42507</v>
      </c>
      <c r="E1266">
        <v>0</v>
      </c>
      <c r="F1266" t="s">
        <v>23</v>
      </c>
      <c r="G1266" t="str">
        <f t="shared" si="77"/>
        <v>Other</v>
      </c>
      <c r="H1266">
        <v>7</v>
      </c>
      <c r="I1266">
        <v>2353</v>
      </c>
      <c r="J1266">
        <v>2</v>
      </c>
      <c r="K1266" t="s">
        <v>136</v>
      </c>
      <c r="L1266" t="s">
        <v>893</v>
      </c>
      <c r="M1266" t="s">
        <v>900</v>
      </c>
      <c r="N1266" t="s">
        <v>899</v>
      </c>
      <c r="O1266">
        <v>94122</v>
      </c>
      <c r="P1266" t="s">
        <v>896</v>
      </c>
      <c r="Q1266" t="s">
        <v>897</v>
      </c>
      <c r="R1266">
        <v>7</v>
      </c>
      <c r="T1266">
        <v>135</v>
      </c>
      <c r="U1266" t="s">
        <v>1082</v>
      </c>
      <c r="V1266" s="7">
        <v>22</v>
      </c>
      <c r="W1266" s="7">
        <v>19.656208341820829</v>
      </c>
      <c r="X1266">
        <v>5</v>
      </c>
      <c r="Y1266" s="7">
        <v>4.4000000950000002</v>
      </c>
      <c r="Z1266" s="7">
        <v>110</v>
      </c>
      <c r="AA1266" s="7">
        <f t="shared" si="78"/>
        <v>105.599999905</v>
      </c>
      <c r="AB1266" t="s">
        <v>66</v>
      </c>
      <c r="AC1266" t="str">
        <f t="shared" si="79"/>
        <v>Non-Cash Payments</v>
      </c>
    </row>
    <row r="1267" spans="1:29" x14ac:dyDescent="0.25">
      <c r="A1267">
        <v>34137</v>
      </c>
      <c r="B1267" s="2">
        <v>42503</v>
      </c>
      <c r="C1267">
        <v>4</v>
      </c>
      <c r="D1267" s="2">
        <f t="shared" si="76"/>
        <v>42509</v>
      </c>
      <c r="E1267">
        <v>0</v>
      </c>
      <c r="F1267" t="s">
        <v>62</v>
      </c>
      <c r="G1267" t="str">
        <f t="shared" si="77"/>
        <v>Other</v>
      </c>
      <c r="H1267">
        <v>7</v>
      </c>
      <c r="I1267">
        <v>7735</v>
      </c>
      <c r="J1267">
        <v>2</v>
      </c>
      <c r="K1267" t="s">
        <v>136</v>
      </c>
      <c r="L1267" t="s">
        <v>893</v>
      </c>
      <c r="M1267" t="s">
        <v>1039</v>
      </c>
      <c r="N1267" t="s">
        <v>953</v>
      </c>
      <c r="O1267">
        <v>23320</v>
      </c>
      <c r="P1267" t="s">
        <v>896</v>
      </c>
      <c r="Q1267" t="s">
        <v>931</v>
      </c>
      <c r="R1267">
        <v>7</v>
      </c>
      <c r="T1267">
        <v>135</v>
      </c>
      <c r="U1267" t="s">
        <v>1082</v>
      </c>
      <c r="V1267" s="7">
        <v>22</v>
      </c>
      <c r="W1267" s="7">
        <v>19.656208341820829</v>
      </c>
      <c r="X1267">
        <v>2</v>
      </c>
      <c r="Y1267" s="7">
        <v>4.4000000950000002</v>
      </c>
      <c r="Z1267" s="7">
        <v>44</v>
      </c>
      <c r="AA1267" s="7">
        <f t="shared" si="78"/>
        <v>39.599999904999997</v>
      </c>
      <c r="AB1267" t="s">
        <v>66</v>
      </c>
      <c r="AC1267" t="str">
        <f t="shared" si="79"/>
        <v>Non-Cash Payments</v>
      </c>
    </row>
    <row r="1268" spans="1:29" x14ac:dyDescent="0.25">
      <c r="A1268">
        <v>33989</v>
      </c>
      <c r="B1268" s="2">
        <v>42679</v>
      </c>
      <c r="C1268">
        <v>2</v>
      </c>
      <c r="D1268" s="2">
        <f t="shared" si="76"/>
        <v>42682</v>
      </c>
      <c r="E1268">
        <v>1</v>
      </c>
      <c r="F1268" t="s">
        <v>23</v>
      </c>
      <c r="G1268" t="str">
        <f t="shared" si="77"/>
        <v>Other</v>
      </c>
      <c r="H1268">
        <v>7</v>
      </c>
      <c r="I1268">
        <v>1445</v>
      </c>
      <c r="J1268">
        <v>2</v>
      </c>
      <c r="K1268" t="s">
        <v>136</v>
      </c>
      <c r="L1268" t="s">
        <v>893</v>
      </c>
      <c r="M1268" t="s">
        <v>1040</v>
      </c>
      <c r="N1268" t="s">
        <v>933</v>
      </c>
      <c r="O1268">
        <v>80112</v>
      </c>
      <c r="P1268" t="s">
        <v>896</v>
      </c>
      <c r="Q1268" t="s">
        <v>897</v>
      </c>
      <c r="R1268">
        <v>7</v>
      </c>
      <c r="T1268">
        <v>135</v>
      </c>
      <c r="U1268" t="s">
        <v>1082</v>
      </c>
      <c r="V1268" s="7">
        <v>22</v>
      </c>
      <c r="W1268" s="7">
        <v>19.656208341820829</v>
      </c>
      <c r="X1268">
        <v>2</v>
      </c>
      <c r="Y1268" s="7">
        <v>5.2800002099999999</v>
      </c>
      <c r="Z1268" s="7">
        <v>44</v>
      </c>
      <c r="AA1268" s="7">
        <f t="shared" si="78"/>
        <v>38.719999790000003</v>
      </c>
      <c r="AB1268" t="s">
        <v>30</v>
      </c>
      <c r="AC1268" t="str">
        <f t="shared" si="79"/>
        <v>Cash Not Over 200</v>
      </c>
    </row>
    <row r="1269" spans="1:29" x14ac:dyDescent="0.25">
      <c r="A1269">
        <v>33884</v>
      </c>
      <c r="B1269" s="2">
        <v>42618</v>
      </c>
      <c r="C1269">
        <v>4</v>
      </c>
      <c r="D1269" s="2">
        <f t="shared" si="76"/>
        <v>42622</v>
      </c>
      <c r="E1269">
        <v>1</v>
      </c>
      <c r="F1269" t="s">
        <v>62</v>
      </c>
      <c r="G1269" t="str">
        <f t="shared" si="77"/>
        <v>Other</v>
      </c>
      <c r="H1269">
        <v>7</v>
      </c>
      <c r="I1269">
        <v>6199</v>
      </c>
      <c r="J1269">
        <v>2</v>
      </c>
      <c r="K1269" t="s">
        <v>136</v>
      </c>
      <c r="L1269" t="s">
        <v>893</v>
      </c>
      <c r="M1269" t="s">
        <v>927</v>
      </c>
      <c r="N1269" t="s">
        <v>928</v>
      </c>
      <c r="O1269">
        <v>10024</v>
      </c>
      <c r="P1269" t="s">
        <v>896</v>
      </c>
      <c r="Q1269" t="s">
        <v>913</v>
      </c>
      <c r="R1269">
        <v>7</v>
      </c>
      <c r="T1269">
        <v>135</v>
      </c>
      <c r="U1269" t="s">
        <v>1082</v>
      </c>
      <c r="V1269" s="7">
        <v>22</v>
      </c>
      <c r="W1269" s="7">
        <v>19.656208341820829</v>
      </c>
      <c r="X1269">
        <v>5</v>
      </c>
      <c r="Y1269" s="7">
        <v>5.5</v>
      </c>
      <c r="Z1269" s="7">
        <v>110</v>
      </c>
      <c r="AA1269" s="7">
        <f t="shared" si="78"/>
        <v>104.5</v>
      </c>
      <c r="AB1269" t="s">
        <v>66</v>
      </c>
      <c r="AC1269" t="str">
        <f t="shared" si="79"/>
        <v>Non-Cash Payments</v>
      </c>
    </row>
    <row r="1270" spans="1:29" x14ac:dyDescent="0.25">
      <c r="A1270">
        <v>33847</v>
      </c>
      <c r="B1270" s="2">
        <v>42618</v>
      </c>
      <c r="C1270">
        <v>1</v>
      </c>
      <c r="D1270" s="2">
        <f t="shared" si="76"/>
        <v>42619</v>
      </c>
      <c r="E1270">
        <v>1</v>
      </c>
      <c r="F1270" t="s">
        <v>187</v>
      </c>
      <c r="G1270" t="str">
        <f t="shared" si="77"/>
        <v>Other</v>
      </c>
      <c r="H1270">
        <v>7</v>
      </c>
      <c r="I1270">
        <v>6817</v>
      </c>
      <c r="J1270">
        <v>2</v>
      </c>
      <c r="K1270" t="s">
        <v>136</v>
      </c>
      <c r="L1270" t="s">
        <v>893</v>
      </c>
      <c r="M1270" t="s">
        <v>1041</v>
      </c>
      <c r="N1270" t="s">
        <v>907</v>
      </c>
      <c r="O1270">
        <v>85023</v>
      </c>
      <c r="P1270" t="s">
        <v>896</v>
      </c>
      <c r="Q1270" t="s">
        <v>897</v>
      </c>
      <c r="R1270">
        <v>7</v>
      </c>
      <c r="T1270">
        <v>135</v>
      </c>
      <c r="U1270" t="s">
        <v>1082</v>
      </c>
      <c r="V1270" s="7">
        <v>22</v>
      </c>
      <c r="W1270" s="7">
        <v>19.656208341820829</v>
      </c>
      <c r="X1270">
        <v>2</v>
      </c>
      <c r="Y1270" s="7">
        <v>5.7199997900000001</v>
      </c>
      <c r="Z1270" s="7">
        <v>44</v>
      </c>
      <c r="AA1270" s="7">
        <f t="shared" si="78"/>
        <v>38.280000209999997</v>
      </c>
      <c r="AB1270" t="s">
        <v>30</v>
      </c>
      <c r="AC1270" t="str">
        <f t="shared" si="79"/>
        <v>Cash Not Over 200</v>
      </c>
    </row>
  </sheetData>
  <autoFilter ref="A1:AC1270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2025-03-23T08:49:29Z</dcterms:modified>
</cp:coreProperties>
</file>