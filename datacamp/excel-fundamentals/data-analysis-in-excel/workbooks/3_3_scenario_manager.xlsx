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activeTab="4"/>
  </bookViews>
  <sheets>
    <sheet name="PivotTable" sheetId="13" r:id="rId1"/>
    <sheet name="Account Sales History" sheetId="11" r:id="rId2"/>
    <sheet name="Sales Trends" sheetId="14" r:id="rId3"/>
    <sheet name="Scenario Summary" sheetId="16" r:id="rId4"/>
    <sheet name="Scenario Analysis" sheetId="15" r:id="rId5"/>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5" l="1"/>
  <c r="E20" i="15"/>
  <c r="F20" i="15"/>
  <c r="G20" i="15"/>
  <c r="H20" i="15" s="1"/>
  <c r="C20" i="15"/>
  <c r="F14" i="15"/>
  <c r="A20" i="15" s="1"/>
  <c r="F15" i="15"/>
  <c r="F16" i="15"/>
  <c r="F17" i="15" l="1"/>
  <c r="H10" i="16"/>
  <c r="C14" i="15" l="1"/>
  <c r="E14" i="15" s="1"/>
  <c r="C15" i="15"/>
  <c r="E15" i="15" s="1"/>
  <c r="C16" i="15"/>
  <c r="E16" i="15" s="1"/>
  <c r="E17" i="15" l="1"/>
  <c r="A10" i="15"/>
  <c r="C10" i="15" s="1"/>
  <c r="B2" i="15"/>
  <c r="D2" i="15" s="1"/>
  <c r="B3" i="15"/>
  <c r="D3" i="15" s="1"/>
  <c r="B4" i="15"/>
  <c r="D4" i="15" s="1"/>
  <c r="B5" i="15"/>
  <c r="D5" i="15" s="1"/>
  <c r="D6" i="15" l="1"/>
  <c r="K2" i="14"/>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<sst xmlns="http://schemas.openxmlformats.org/spreadsheetml/2006/main" count="2301" uniqueCount="65">
  <si>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</si>
  <si>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</si>
  <si>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</si>
  <si>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</si>
  <si>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</si>
  <si>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</si>
  <si>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</si>
  <si>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</si>
  <si>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</si>
  <si>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</si>
  <si>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</si>
  <si>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</si>
  <si>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</si>
  <si>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</si>
  <si>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</si>
  <si>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</si>
  <si>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</si>
  <si>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</si>
  <si>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</si>
  <si>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</si>
  <si>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</si>
  <si>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</si>
  <si>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</si>
  <si>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</si>
  <si>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</si>
  <si>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</si>
  <si>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</si>
  <si>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</si>
  <si>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</si>
  <si>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</si>
  <si>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</si>
  <si>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</si>
  <si>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</si>
  <si>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</si>
  <si>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</si>
  <si>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</si>
  <si>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</si>
  <si>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</si>
  <si>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</si>
  <si>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</si>
  <si>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</si>
  <si>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Projected Upsell Amount</t>
  </si>
  <si>
    <t>Conversion Rates</t>
  </si>
  <si>
    <t>Total</t>
  </si>
  <si>
    <t>Sales Last Month</t>
  </si>
  <si>
    <t>Growth Rate</t>
  </si>
  <si>
    <t>Sales Target</t>
  </si>
  <si>
    <t>License Price</t>
  </si>
  <si>
    <t>Projected Sales</t>
  </si>
  <si>
    <t>$B$14</t>
  </si>
  <si>
    <t>$B$15</t>
  </si>
  <si>
    <t>$B$16</t>
  </si>
  <si>
    <t>$D$17</t>
  </si>
  <si>
    <t>Current</t>
  </si>
  <si>
    <t>Created by iason.prassides on 11/24/2023</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</si>
  <si>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</si>
  <si>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</si>
  <si>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</si>
  <si>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</si>
  <si>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</si>
  <si>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</si>
  <si>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</si>
  <si>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</si>
  <si>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Elasticity</t>
  </si>
  <si>
    <t>Projected Sales (Elasticity)</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</si>
</sst>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2" formatCode="_-&quot;Rp&quot;* #,##0_-;\-&quot;Rp&quot;* #,##0_-;_-&quot;Rp&quot;* &quot;-&quot;_-;_-@_-"/>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409]* #,##0.00_ ;_-[$$-409]* \-#,##0.00\ ;_-[$$-409]* &quot;-&quot;_ ;_-@_ "/>
    <numFmt numFmtId="172" formatCode="_-[$$-409]* #,##0.00_ ;_-[$$-409]* \-#,##0.00\ ;_-[$$-409]* &quot;-&quot;??_ ;_-@_ "/>
  </numFmts>
  <fonts count="7" x14ac:knownFonts="1">
    <font>
      <sz val="12"/>
      <color theme="1"/>
      <name val="Calibri"/>
      <family val="2"/>
      <scheme val="minor"/>
    </font>
    <font>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33">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9" fontId="0" fillId="0" borderId="0" xfId="0" applyNumberFormat="1"/>
    <xf numFmtId="168" fontId="0" fillId="0" borderId="0" xfId="0" applyNumberFormat="1"/>
    <xf numFmtId="164" fontId="0" fillId="0" borderId="0" xfId="1" applyFont="1"/>
    <xf numFmtId="164" fontId="0" fillId="0" borderId="0" xfId="0" applyNumberFormat="1"/>
    <xf numFmtId="0" fontId="0" fillId="0" borderId="0" xfId="0" applyNumberFormat="1"/>
    <xf numFmtId="0" fontId="0" fillId="0" borderId="0" xfId="0" applyFill="1" applyBorder="1" applyAlignment="1"/>
    <xf numFmtId="164" fontId="0" fillId="0" borderId="0" xfId="0" applyNumberFormat="1" applyFill="1" applyBorder="1" applyAlignment="1"/>
    <xf numFmtId="164" fontId="0" fillId="0" borderId="2" xfId="0" applyNumberFormat="1" applyFill="1" applyBorder="1" applyAlignment="1"/>
    <xf numFmtId="0" fontId="2" fillId="2" borderId="3" xfId="0" applyFont="1" applyFill="1" applyBorder="1" applyAlignment="1">
      <alignment horizontal="left"/>
    </xf>
    <xf numFmtId="0" fontId="2" fillId="2" borderId="1" xfId="0" applyFont="1" applyFill="1" applyBorder="1" applyAlignment="1">
      <alignment horizontal="left"/>
    </xf>
    <xf numFmtId="0" fontId="0" fillId="0" borderId="4" xfId="0" applyFill="1" applyBorder="1" applyAlignment="1"/>
    <xf numFmtId="0" fontId="3" fillId="3" borderId="0" xfId="0" applyFont="1" applyFill="1" applyBorder="1" applyAlignment="1">
      <alignment horizontal="left"/>
    </xf>
    <xf numFmtId="0" fontId="4" fillId="3" borderId="4" xfId="0" applyFont="1" applyFill="1" applyBorder="1" applyAlignment="1">
      <alignment horizontal="left"/>
    </xf>
    <xf numFmtId="0" fontId="3" fillId="3" borderId="2" xfId="0" applyFont="1" applyFill="1" applyBorder="1" applyAlignment="1">
      <alignment horizontal="left"/>
    </xf>
    <xf numFmtId="0" fontId="5" fillId="2" borderId="1" xfId="0" applyFont="1" applyFill="1" applyBorder="1" applyAlignment="1">
      <alignment horizontal="right"/>
    </xf>
    <xf numFmtId="0" fontId="5" fillId="2" borderId="3" xfId="0" applyFont="1" applyFill="1" applyBorder="1" applyAlignment="1">
      <alignment horizontal="right"/>
    </xf>
    <xf numFmtId="164" fontId="0" fillId="4" borderId="0" xfId="0" applyNumberFormat="1" applyFill="1" applyBorder="1" applyAlignment="1"/>
    <xf numFmtId="0" fontId="6" fillId="0" borderId="0" xfId="0" applyFont="1" applyFill="1" applyBorder="1" applyAlignment="1">
      <alignment vertical="top" wrapText="1"/>
    </xf>
    <xf numFmtId="172" fontId="0" fillId="0" borderId="0" xfId="3" applyNumberFormat="1" applyFont="1"/>
    <xf numFmtId="172" fontId="0" fillId="0" borderId="0" xfId="0" applyNumberFormat="1"/>
    <xf numFmtId="10" fontId="0" fillId="0" borderId="0" xfId="0" applyNumberFormat="1"/>
    <xf numFmtId="10" fontId="0" fillId="0" borderId="0" xfId="2" applyNumberFormat="1" applyFont="1"/>
  </cellXfs>
  <cellStyles count="4">
    <cellStyle name="Currency" xfId="1" builtinId="4"/>
    <cellStyle name="Currency [0]" xfId="3" builtinId="7"/>
    <cellStyle name="Normal" xfId="0" builtinId="0"/>
    <cellStyle name="Percent" xfId="2" builtinId="5"/>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2" formatCode="_-[$$-409]* #,##0.00_ ;_-[$$-409]* \-#,##0.00\ ;_-[$$-409]* &quot;-&quot;??_ ;_-@_ "/>
    </dxf>
    <dxf>
      <numFmt numFmtId="164" formatCode="_(&quot;$&quot;* #,##0.00_);_(&quot;$&quot;* \(#,##0.00\);_(&quot;$&quot;* &quot;-&quot;??_);_(@_)"/>
    </dxf>
    <dxf>
      <numFmt numFmtId="0" formatCode="General"/>
    </dxf>
    <dxf>
      <numFmt numFmtId="164" formatCode="_(&quot;$&quot;* #,##0.00_);_(&quot;$&quot;* \(#,##0.00\);_(&quot;$&quot;* &quot;-&quot;??_);_(@_)"/>
    </dxf>
    <dxf>
      <numFmt numFmtId="164" formatCode="_(&quot;$&quot;* #,##0.00_);_(&quot;$&quot;* \(#,##0.00\);_(&quot;$&quot;* &quot;-&quot;??_);_(@_)"/>
    </dxf>
    <dxf>
      <numFmt numFmtId="14" formatCode="0.00%"/>
    </dxf>
    <dxf>
      <numFmt numFmtId="0" formatCode="General"/>
    </dxf>
    <dxf>
      <numFmt numFmtId="166" formatCode="_(&quot;$&quot;* #,##0_);_(&quot;$&quot;* \(#,##0\);_(&quot;$&quot;* &quot;-&quot;??_);_(@_)"/>
    </dxf>
    <dxf>
      <numFmt numFmtId="166" formatCode="_(&quot;$&quot;* #,##0_);_(&quot;$&quot;* \(#,##0\);_(&quot;$&quot;* &quot;-&quot;??_);_(@_)"/>
    </dxf>
    <dxf>
      <numFmt numFmtId="166" formatCode="_(&quot;$&quot;* #,##0_);_(&quot;$&quot;* \(#,##0\);_(&quot;$&quot;* &quot;-&quot;??_);_(@_)"/>
    </dxf>
    <dxf>
      <numFmt numFmtId="168" formatCode="_-[$$-409]* #,##0.00_ ;_-[$$-409]* \-#,##0.00\ ;_-[$$-409]* &quot;-&quot;_ ;_-@_ "/>
    </dxf>
    <dxf>
      <numFmt numFmtId="168" formatCode="_-[$$-409]* #,##0.00_ ;_-[$$-409]* \-#,##0.00\ ;_-[$$-409]* &quot;-&quot;_ ;_-@_ "/>
    </dxf>
    <dxf>
      <numFmt numFmtId="168" formatCode="_-[$$-409]* #,##0.00_ ;_-[$$-409]* \-#,##0.00\ ;_-[$$-409]* &quot;-&quot;_ ;_-@_ "/>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69"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33"/>
    <tableColumn id="9" name="Last Active" dataDxfId="32"/>
    <tableColumn id="10" name="Months Active"/>
    <tableColumn id="11" name="Months Since Last Active"/>
    <tableColumn id="12" name="Sales Month" dataDxfId="31"/>
    <tableColumn id="13" name="Sales Amount"/>
    <tableColumn id="14" name="Upsell $ per Non-Paying User" dataDxfId="30">
      <calculatedColumnFormula array="1">_xlfn.SWITCH(Sales[[#This Row],[Subscription Type]],"Basic",10,"Premium",10,"Business",25,"Enterprise",27)</calculatedColumnFormula>
    </tableColumn>
    <tableColumn id="15" name="Non-Paying Users" dataDxfId="29">
      <calculatedColumnFormula>IF(Sales[[#This Row],[Number of Users]]-Sales[[#This Row],[Licenses Bought]]&lt;0,0,Sales[[#This Row],[Number of Users]]-Sales[[#This Row],[Licenses Bought]])</calculatedColumnFormula>
    </tableColumn>
    <tableColumn id="16" name="Current Upsell $" dataDxfId="28">
      <calculatedColumnFormula>IF(Sales[[#This Row],[Sales Month]]=MAX(Sales[Sales Month]),Sales[[#This Row],[Non-Paying Users]]*Sales[[#This Row],[Upsell $ per Non-Paying User]],0)</calculatedColumnFormula>
    </tableColumn>
    <tableColumn id="17" name="Upsell Priority" dataDxfId="27">
      <calculatedColumnFormula array="1">_xlfn.IFS(Sales[[#This Row],[Current Upsell $]]=0,"",Sales[[#This Row],[Current Upsell $]]&gt;=400,"High",Sales[[#This Row],[Current Upsell $]]&gt;=100,"Medium",Sales[[#This Row],[Current Upsell $]]&lt;100,"Low")</calculatedColumnFormula>
    </tableColumn>
    <tableColumn id="18" name="Upsell Account Detail" dataDxfId="26">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25"/>
    <tableColumn id="2" name="Number of Customers" dataDxfId="24">
      <calculatedColumnFormula>COUNTIF(Sales[Sales Month],Sales_Trends[[#This Row],[Sales Month]])</calculatedColumnFormula>
    </tableColumn>
    <tableColumn id="3" name="Total Sales" dataDxfId="23" dataCellStyle="Currency">
      <calculatedColumnFormula>SUMIF(Sales[Sales Month],Sales_Trends[[#This Row],[Sales Month]],Sales[Sales Amount])</calculatedColumnFormula>
    </tableColumn>
    <tableColumn id="4" name="Avg Sales Per Customer" dataDxfId="22" dataCellStyle="Currency">
      <calculatedColumnFormula>AVERAGEIF(Sales[Sales Month],Sales_Trends[[#This Row],[Sales Month]],Sales[Sales Amount])</calculatedColumnFormula>
    </tableColumn>
    <tableColumn id="6" name="Non-Paying Customers" dataDxfId="21">
      <calculatedColumnFormula>COUNTIFS(Sales[Sales Month],Sales_Trends[[#This Row],[Sales Month]],Sales[Subscription Type],"Basic")</calculatedColumnFormula>
    </tableColumn>
    <tableColumn id="7" name="Paying Customers" dataDxfId="20">
      <calculatedColumnFormula>COUNTIFS(Sales[Sales Month],Sales_Trends[[#This Row],[Sales Month]],Sales[Subscription Type],"&lt;&gt;Basic")</calculatedColumnFormula>
    </tableColumn>
    <tableColumn id="8" name="Basic to Paying Ratio" dataDxfId="19">
      <calculatedColumnFormula>Sales_Trends[[#This Row],[Non-Paying Customers]]/Sales_Trends[[#This Row],[Paying Customers]]</calculatedColumnFormula>
    </tableColumn>
    <tableColumn id="9" name="Premium Sales" dataDxfId="18" dataCellStyle="Currency">
      <calculatedColumnFormula>SUMIFS(Sales[Sales Amount],Sales[Sales Month],Sales_Trends[[#This Row],[Sales Month]],Sales[Subscription Type],"Premium")</calculatedColumnFormula>
    </tableColumn>
    <tableColumn id="10" name="Business Sales" dataDxfId="17" dataCellStyle="Currency">
      <calculatedColumnFormula>SUMIFS(Sales[Sales Amount],Sales[Sales Month],Sales_Trends[[#This Row],[Sales Month]],Sales[Subscription Type],"Business")</calculatedColumnFormula>
    </tableColumn>
    <tableColumn id="11" name="Enterprise Sales" dataDxfId="16"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15"/>
    <tableColumn id="1" name="Upsell Opportunity" dataDxfId="14">
      <calculatedColumnFormula>SUMIF(Sales[Subscription Type],Scenario1[[#This Row],[Subscription Type]],Sales[Current Upsell $])</calculatedColumnFormula>
    </tableColumn>
    <tableColumn id="2" name="Conversion Rates"/>
    <tableColumn id="3" name="Projected Upsell Amount" totalsRowFunction="sum" dataDxfId="13">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Scenario2" displayName="Scenario2" ref="A9:C10" totalsRowShown="0" dataDxfId="12" dataCellStyle="Currency">
  <autoFilter ref="A9:C10"/>
  <tableColumns count="3">
    <tableColumn id="1" name="Sales Last Month" dataDxfId="11" dataCellStyle="Currency">
      <calculatedColumnFormula>SUMIF(Sales[Sales Month],MAX(Sales[Sales Month]),Sales[Sales Amount])</calculatedColumnFormula>
    </tableColumn>
    <tableColumn id="2" name="Growth Rate" dataCellStyle="Percent"/>
    <tableColumn id="3" name="Sales Target" dataDxfId="10" dataCellStyle="Currency">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3:F17" totalsRowCount="1">
  <autoFilter ref="A13:F16"/>
  <tableColumns count="6">
    <tableColumn id="1" name="Subscription Type" totalsRowLabel="Total"/>
    <tableColumn id="2" name="License Price" totalsRowDxfId="5" dataCellStyle="Currency"/>
    <tableColumn id="3" name="Licenses Bought" dataDxfId="9">
      <calculatedColumnFormula>SUMIFS(Sales[Licenses Bought],Sales[Sales Month],MAX(Sales[Sales Month]),Sales[Subscription Type],Table5[[#This Row],[Subscription Type]])</calculatedColumnFormula>
    </tableColumn>
    <tableColumn id="5" name="Elasticity" dataDxfId="8"/>
    <tableColumn id="4" name="Projected Sales" totalsRowFunction="sum" dataDxfId="7" totalsRowDxfId="4">
      <calculatedColumnFormula>Table5[[#This Row],[License Price]]*Table5[[#This Row],[Licenses Bought]]</calculatedColumnFormula>
    </tableColumn>
    <tableColumn id="6" name="Projected Sales (Elasticity)" totalsRowFunction="sum" dataDxfId="6" totalsRowDxfId="3">
      <calculatedColumnFormula>(Table5[[#This Row],[License Price]]*Table5[[#This Row],[Licenses Bought]])*(1+Table5[[#This Row],[Elasticity]])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D1" workbookViewId="0">
      <selection activeCell="F25" sqref="F25"/>
    </sheetView>
  </sheetViews>
  <sheetFormatPr defaultRowHeight="15.75" x14ac:dyDescent="0.25"/>
  <cols>
    <col min="1" max="1" width="13.375" customWidth="1"/>
    <col min="2" max="2" width="21.75" bestFit="1" customWidth="1"/>
    <col min="3" max="3" width="13.25" style="7" bestFit="1" customWidth="1"/>
    <col min="4" max="4" width="23.25" style="7" bestFit="1" customWidth="1"/>
    <col min="5" max="5" width="22.5" bestFit="1" customWidth="1"/>
    <col min="6" max="6" width="18.125" bestFit="1" customWidth="1"/>
    <col min="7" max="7" width="21" style="9" bestFit="1" customWidth="1"/>
    <col min="8" max="8" width="16.75" style="7" bestFit="1" customWidth="1"/>
    <col min="9" max="9" width="16.125" style="7" bestFit="1" customWidth="1"/>
    <col min="10" max="10" width="17.75" style="7" bestFit="1" customWidth="1"/>
    <col min="11" max="11" width="22" style="10" bestFit="1" customWidth="1"/>
  </cols>
  <sheetData>
    <row r="1" spans="1:11" x14ac:dyDescent="0.25">
      <c r="A1" t="s">
        <v>12</v>
      </c>
      <c r="B1" t="s">
        <v>30</v>
      </c>
      <c r="C1" s="7" t="s">
        <v>31</v>
      </c>
      <c r="D1" s="7" t="s">
        <v>32</v>
      </c>
      <c r="E1" t="s">
        <v>33</v>
      </c>
      <c r="F1" t="s">
        <v>34</v>
      </c>
      <c r="G1" s="9" t="s">
        <v>35</v>
      </c>
      <c r="H1" s="7" t="s">
        <v>36</v>
      </c>
      <c r="I1" s="7" t="s">
        <v>37</v>
      </c>
      <c r="J1" s="7"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H13"/>
  <sheetViews>
    <sheetView showGridLines="0" workbookViewId="0">
      <selection activeCell="H11" sqref="H11"/>
    </sheetView>
  </sheetViews>
  <sheetFormatPr defaultRowHeight="15.75" outlineLevelRow="1" outlineLevelCol="1" x14ac:dyDescent="0.25"/>
  <cols>
    <col min="3" max="3" width="6.125" bestFit="1" customWidth="1"/>
    <col min="4" max="6" width="13" bestFit="1" customWidth="1" outlineLevel="1"/>
    <col min="8" max="8" width="11.125" bestFit="1" customWidth="1"/>
  </cols>
  <sheetData>
    <row r="1" spans="2:8" ht="16.5" thickBot="1" x14ac:dyDescent="0.3"/>
    <row r="2" spans="2:8" ht="18.75" x14ac:dyDescent="0.3">
      <c r="B2" s="20" t="s">
        <v>56</v>
      </c>
      <c r="C2" s="20"/>
      <c r="D2" s="25"/>
      <c r="E2" s="25"/>
      <c r="F2" s="25"/>
    </row>
    <row r="3" spans="2:8" ht="18.75" x14ac:dyDescent="0.3">
      <c r="B3" s="19"/>
      <c r="C3" s="19"/>
      <c r="D3" s="26" t="s">
        <v>58</v>
      </c>
      <c r="E3" s="26" t="s">
        <v>53</v>
      </c>
      <c r="F3" s="26" t="s">
        <v>55</v>
      </c>
    </row>
    <row r="4" spans="2:8" ht="33.75" outlineLevel="1" x14ac:dyDescent="0.25">
      <c r="B4" s="22"/>
      <c r="C4" s="22"/>
      <c r="D4" s="16"/>
      <c r="E4" s="28" t="s">
        <v>54</v>
      </c>
      <c r="F4" s="28" t="s">
        <v>54</v>
      </c>
    </row>
    <row r="5" spans="2:8" x14ac:dyDescent="0.25">
      <c r="B5" s="23" t="s">
        <v>57</v>
      </c>
      <c r="C5" s="23"/>
      <c r="D5" s="21"/>
      <c r="E5" s="21"/>
      <c r="F5" s="21"/>
    </row>
    <row r="6" spans="2:8" outlineLevel="1" x14ac:dyDescent="0.25">
      <c r="B6" s="22"/>
      <c r="C6" s="22" t="s">
        <v>49</v>
      </c>
      <c r="D6" s="17">
        <v>10</v>
      </c>
      <c r="E6" s="27">
        <v>10</v>
      </c>
      <c r="F6" s="27">
        <v>15</v>
      </c>
    </row>
    <row r="7" spans="2:8" outlineLevel="1" x14ac:dyDescent="0.25">
      <c r="B7" s="22"/>
      <c r="C7" s="22" t="s">
        <v>50</v>
      </c>
      <c r="D7" s="17">
        <v>25</v>
      </c>
      <c r="E7" s="27">
        <v>25</v>
      </c>
      <c r="F7" s="27">
        <v>35</v>
      </c>
    </row>
    <row r="8" spans="2:8" outlineLevel="1" x14ac:dyDescent="0.25">
      <c r="B8" s="22"/>
      <c r="C8" s="22" t="s">
        <v>51</v>
      </c>
      <c r="D8" s="17">
        <v>23</v>
      </c>
      <c r="E8" s="27">
        <v>23</v>
      </c>
      <c r="F8" s="27">
        <v>33</v>
      </c>
    </row>
    <row r="9" spans="2:8" x14ac:dyDescent="0.25">
      <c r="B9" s="23" t="s">
        <v>59</v>
      </c>
      <c r="C9" s="23"/>
      <c r="D9" s="21"/>
      <c r="E9" s="21"/>
      <c r="F9" s="21"/>
    </row>
    <row r="10" spans="2:8" ht="16.5" outlineLevel="1" thickBot="1" x14ac:dyDescent="0.3">
      <c r="B10" s="24"/>
      <c r="C10" s="24" t="s">
        <v>52</v>
      </c>
      <c r="D10" s="18">
        <v>80305</v>
      </c>
      <c r="E10" s="18">
        <v>80305</v>
      </c>
      <c r="F10" s="18">
        <v>115695</v>
      </c>
      <c r="H10" s="14">
        <f>F10-E10</f>
        <v>35390</v>
      </c>
    </row>
    <row r="11" spans="2:8" x14ac:dyDescent="0.25">
      <c r="B11" t="s">
        <v>60</v>
      </c>
    </row>
    <row r="12" spans="2:8" x14ac:dyDescent="0.25">
      <c r="B12" t="s">
        <v>61</v>
      </c>
    </row>
    <row r="13" spans="2:8" x14ac:dyDescent="0.25">
      <c r="B13"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topLeftCell="A7" workbookViewId="0">
      <selection activeCell="F21" sqref="F21"/>
    </sheetView>
  </sheetViews>
  <sheetFormatPr defaultRowHeight="15.75" x14ac:dyDescent="0.25"/>
  <cols>
    <col min="1" max="1" width="19.5" bestFit="1" customWidth="1"/>
    <col min="2" max="2" width="19.625" bestFit="1" customWidth="1"/>
    <col min="3" max="3" width="17.75" bestFit="1" customWidth="1"/>
    <col min="4" max="4" width="14.625" customWidth="1"/>
    <col min="5" max="5" width="16.125" bestFit="1" customWidth="1"/>
    <col min="6" max="6" width="25.75" bestFit="1" customWidth="1"/>
    <col min="7" max="7" width="17.625" bestFit="1" customWidth="1"/>
    <col min="8" max="8" width="11" bestFit="1" customWidth="1"/>
  </cols>
  <sheetData>
    <row r="1" spans="1:6" x14ac:dyDescent="0.25">
      <c r="A1" t="s">
        <v>14</v>
      </c>
      <c r="B1" t="s">
        <v>40</v>
      </c>
      <c r="C1" t="s">
        <v>42</v>
      </c>
      <c r="D1" t="s">
        <v>41</v>
      </c>
    </row>
    <row r="2" spans="1:6" x14ac:dyDescent="0.25">
      <c r="A2" s="12" t="s">
        <v>3</v>
      </c>
      <c r="B2" s="12">
        <f>SUMIF(Sales[Subscription Type],Scenario1[[#This Row],[Subscription Type]],Sales[Current Upsell $])</f>
        <v>18350</v>
      </c>
      <c r="C2" s="11">
        <v>0.5</v>
      </c>
      <c r="D2" s="12">
        <f>Scenario1[[#This Row],[Upsell Opportunity]]*Scenario1[[#This Row],[Conversion Rates]]</f>
        <v>9175</v>
      </c>
    </row>
    <row r="3" spans="1:6" x14ac:dyDescent="0.25">
      <c r="A3" s="12" t="s">
        <v>0</v>
      </c>
      <c r="B3" s="12">
        <f>SUMIF(Sales[Subscription Type],Scenario1[[#This Row],[Subscription Type]],Sales[Current Upsell $])</f>
        <v>8460</v>
      </c>
      <c r="C3" s="11">
        <v>0.45</v>
      </c>
      <c r="D3" s="12">
        <f>Scenario1[[#This Row],[Upsell Opportunity]]*Scenario1[[#This Row],[Conversion Rates]]</f>
        <v>3807</v>
      </c>
    </row>
    <row r="4" spans="1:6" x14ac:dyDescent="0.25">
      <c r="A4" s="12" t="s">
        <v>1</v>
      </c>
      <c r="B4" s="12">
        <f>SUMIF(Sales[Subscription Type],Scenario1[[#This Row],[Subscription Type]],Sales[Current Upsell $])</f>
        <v>8475</v>
      </c>
      <c r="C4" s="11">
        <v>0.3</v>
      </c>
      <c r="D4" s="12">
        <f>Scenario1[[#This Row],[Upsell Opportunity]]*Scenario1[[#This Row],[Conversion Rates]]</f>
        <v>2542.5</v>
      </c>
    </row>
    <row r="5" spans="1:6" x14ac:dyDescent="0.25">
      <c r="A5" s="12" t="s">
        <v>2</v>
      </c>
      <c r="B5" s="12">
        <f>SUMIF(Sales[Subscription Type],Scenario1[[#This Row],[Subscription Type]],Sales[Current Upsell $])</f>
        <v>2808</v>
      </c>
      <c r="C5" s="11">
        <v>0.15</v>
      </c>
      <c r="D5" s="12">
        <f>Scenario1[[#This Row],[Upsell Opportunity]]*Scenario1[[#This Row],[Conversion Rates]]</f>
        <v>421.2</v>
      </c>
    </row>
    <row r="6" spans="1:6" x14ac:dyDescent="0.25">
      <c r="A6" t="s">
        <v>43</v>
      </c>
      <c r="D6" s="12">
        <f>SUBTOTAL(109,Scenario1[Projected Upsell Amount])</f>
        <v>15945.7</v>
      </c>
    </row>
    <row r="9" spans="1:6" x14ac:dyDescent="0.25">
      <c r="A9" t="s">
        <v>44</v>
      </c>
      <c r="B9" t="s">
        <v>45</v>
      </c>
      <c r="C9" t="s">
        <v>46</v>
      </c>
    </row>
    <row r="10" spans="1:6" x14ac:dyDescent="0.25">
      <c r="A10" s="7">
        <f>SUMIF(Sales[Sales Month],MAX(Sales[Sales Month]),Sales[Sales Amount])</f>
        <v>80335</v>
      </c>
      <c r="B10" s="10">
        <v>0.24478745254247847</v>
      </c>
      <c r="C10" s="7">
        <f>Scenario2[[#This Row],[Sales Last Month]]*(1+Scenario2[[#This Row],[Growth Rate]])</f>
        <v>100000.00000000001</v>
      </c>
    </row>
    <row r="13" spans="1:6" x14ac:dyDescent="0.25">
      <c r="A13" t="s">
        <v>14</v>
      </c>
      <c r="B13" t="s">
        <v>47</v>
      </c>
      <c r="C13" t="s">
        <v>4</v>
      </c>
      <c r="D13" t="s">
        <v>63</v>
      </c>
      <c r="E13" t="s">
        <v>48</v>
      </c>
      <c r="F13" t="s">
        <v>64</v>
      </c>
    </row>
    <row r="14" spans="1:6" x14ac:dyDescent="0.25">
      <c r="A14" t="s">
        <v>0</v>
      </c>
      <c r="B14" s="13">
        <v>10</v>
      </c>
      <c r="C14">
        <f>SUMIFS(Sales[Licenses Bought],Sales[Sales Month],MAX(Sales[Sales Month]),Sales[Subscription Type],Table5[[#This Row],[Subscription Type]])</f>
        <v>2212</v>
      </c>
      <c r="D14" s="31">
        <v>-0.05</v>
      </c>
      <c r="E14" s="14">
        <f>Table5[[#This Row],[License Price]]*Table5[[#This Row],[Licenses Bought]]</f>
        <v>22120</v>
      </c>
      <c r="F14" s="14">
        <f>(Table5[[#This Row],[License Price]]*Table5[[#This Row],[Licenses Bought]])*(1+Table5[[#This Row],[Elasticity]])</f>
        <v>21014</v>
      </c>
    </row>
    <row r="15" spans="1:6" x14ac:dyDescent="0.25">
      <c r="A15" t="s">
        <v>1</v>
      </c>
      <c r="B15" s="13">
        <v>25</v>
      </c>
      <c r="C15">
        <f>SUMIFS(Sales[Licenses Bought],Sales[Sales Month],MAX(Sales[Sales Month]),Sales[Subscription Type],Table5[[#This Row],[Subscription Type]])</f>
        <v>1113</v>
      </c>
      <c r="D15" s="31">
        <v>-0.03</v>
      </c>
      <c r="E15" s="14">
        <f>Table5[[#This Row],[License Price]]*Table5[[#This Row],[Licenses Bought]]</f>
        <v>27825</v>
      </c>
      <c r="F15" s="14">
        <f>(Table5[[#This Row],[License Price]]*Table5[[#This Row],[Licenses Bought]])*(1+Table5[[#This Row],[Elasticity]])</f>
        <v>26990.25</v>
      </c>
    </row>
    <row r="16" spans="1:6" x14ac:dyDescent="0.25">
      <c r="A16" t="s">
        <v>2</v>
      </c>
      <c r="B16" s="13">
        <v>23</v>
      </c>
      <c r="C16">
        <f>SUMIFS(Sales[Licenses Bought],Sales[Sales Month],MAX(Sales[Sales Month]),Sales[Subscription Type],Table5[[#This Row],[Subscription Type]])</f>
        <v>1320</v>
      </c>
      <c r="D16" s="31">
        <v>-0.02</v>
      </c>
      <c r="E16" s="14">
        <f>Table5[[#This Row],[License Price]]*Table5[[#This Row],[Licenses Bought]]</f>
        <v>30360</v>
      </c>
      <c r="F16" s="14">
        <f>(Table5[[#This Row],[License Price]]*Table5[[#This Row],[Licenses Bought]])*(1+Table5[[#This Row],[Elasticity]])</f>
        <v>29752.799999999999</v>
      </c>
    </row>
    <row r="17" spans="1:8" x14ac:dyDescent="0.25">
      <c r="A17" t="s">
        <v>43</v>
      </c>
      <c r="B17" s="15"/>
      <c r="E17" s="14">
        <f>SUBTOTAL(109,Table5[Projected Sales])</f>
        <v>80305</v>
      </c>
      <c r="F17" s="30">
        <f>SUBTOTAL(109,Table5[Projected Sales (Elasticity)])</f>
        <v>77757.05</v>
      </c>
    </row>
    <row r="20" spans="1:8" x14ac:dyDescent="0.25">
      <c r="A20" s="14">
        <f>F14</f>
        <v>21014</v>
      </c>
      <c r="B20" s="32">
        <v>-1.2500000000000001E-2</v>
      </c>
      <c r="C20" s="32">
        <f>B20*2</f>
        <v>-2.5000000000000001E-2</v>
      </c>
      <c r="D20" s="32">
        <f t="shared" ref="D20:H20" si="0">C20*2</f>
        <v>-0.05</v>
      </c>
      <c r="E20" s="32">
        <f t="shared" si="0"/>
        <v>-0.1</v>
      </c>
      <c r="F20" s="32">
        <f t="shared" si="0"/>
        <v>-0.2</v>
      </c>
      <c r="G20" s="32">
        <f t="shared" si="0"/>
        <v>-0.4</v>
      </c>
      <c r="H20" s="32">
        <f t="shared" si="0"/>
        <v>-0.8</v>
      </c>
    </row>
    <row r="21" spans="1:8" x14ac:dyDescent="0.25">
      <c r="A21" s="29">
        <v>12.5</v>
      </c>
      <c r="B21" s="30">
        <f t="dataTable" ref="B21:H23" dt2D="1" dtr="1" r1="D14" r2="B14"/>
        <v>27304.375</v>
      </c>
      <c r="C21" s="30">
        <v>26958.75</v>
      </c>
      <c r="D21" s="30">
        <v>26267.5</v>
      </c>
      <c r="E21" s="30">
        <v>24885</v>
      </c>
      <c r="F21" s="30">
        <v>22120</v>
      </c>
      <c r="G21" s="30">
        <v>16590</v>
      </c>
      <c r="H21" s="30">
        <v>5529.9999999999991</v>
      </c>
    </row>
    <row r="22" spans="1:8" x14ac:dyDescent="0.25">
      <c r="A22" s="29">
        <v>25</v>
      </c>
      <c r="B22" s="30">
        <v>54608.75</v>
      </c>
      <c r="C22" s="30">
        <v>53917.5</v>
      </c>
      <c r="D22" s="30">
        <v>52535</v>
      </c>
      <c r="E22" s="30">
        <v>49770</v>
      </c>
      <c r="F22" s="30">
        <v>44240</v>
      </c>
      <c r="G22" s="30">
        <v>33180</v>
      </c>
      <c r="H22" s="30">
        <v>11059.999999999998</v>
      </c>
    </row>
    <row r="23" spans="1:8" x14ac:dyDescent="0.25">
      <c r="A23" s="29">
        <v>2.5</v>
      </c>
      <c r="B23" s="30">
        <v>5460.875</v>
      </c>
      <c r="C23" s="30">
        <v>5391.75</v>
      </c>
      <c r="D23" s="30">
        <v>5253.5</v>
      </c>
      <c r="E23" s="30">
        <v>4977</v>
      </c>
      <c r="F23" s="30">
        <v>4424</v>
      </c>
      <c r="G23" s="30">
        <v>3318</v>
      </c>
      <c r="H23" s="30">
        <v>1105.9999999999998</v>
      </c>
    </row>
    <row r="24" spans="1:8" x14ac:dyDescent="0.25">
      <c r="A24" s="9"/>
      <c r="B24" s="30"/>
      <c r="C24" s="30"/>
      <c r="D24" s="30"/>
      <c r="E24" s="30"/>
      <c r="F24" s="30"/>
      <c r="G24" s="30"/>
      <c r="H24" s="30"/>
    </row>
  </sheetData>
  <scenarios current="1" show="0" sqref="D17">
    <scenario name="Current" locked="1" count="3" user="iason.prassides" comment="Created by iason.prassides on 11/24/2023">
      <inputCells r="B14" val="10" numFmtId="164"/>
      <inputCells r="B15" val="25" numFmtId="164"/>
      <inputCells r="B16" val="23" numFmtId="164"/>
    </scenario>
    <scenario name="High" locked="1" count="3" user="iason.prassides" comment="Created by iason.prassides on 11/24/2023">
      <inputCells r="B14" val="15" numFmtId="164"/>
      <inputCells r="B15" val="35" numFmtId="164"/>
      <inputCells r="B16" val="33" numFmtId="164"/>
    </scenario>
  </scenarios>
  <conditionalFormatting sqref="B21:H23">
    <cfRule type="cellIs" dxfId="0" priority="1" operator="lessThan">
      <formula>21014</formula>
    </cfRule>
  </conditionalFormatting>
  <pageMargins left="0.7" right="0.7" top="0.75" bottom="0.75" header="0.3" footer="0.3"/>
  <pageSetup paperSize="9"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Account Sales History</vt:lpstr>
      <vt:lpstr>Sales Trends</vt:lpstr>
      <vt:lpstr>Scenario Summary</vt:lpstr>
      <vt:lpstr>Scenario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2025-03-26T12:47:54Z</dcterms:modified>
</cp:coreProperties>
</file>