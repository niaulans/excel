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120" yWindow="-120" windowWidth="21840" windowHeight="13140" firstSheet="1" activeTab="5"/>
  </bookViews>
  <sheets>
    <sheet name="PivotTable" sheetId="13" r:id="rId1"/>
    <sheet name="Account Sales History" sheetId="11" r:id="rId2"/>
    <sheet name="Sales Trends" sheetId="14" r:id="rId3"/>
    <sheet name="Scenario Summary" sheetId="16" r:id="rId4"/>
    <sheet name="Scenario Analysis" sheetId="15" r:id="rId5"/>
    <sheet name="Forecasting" sheetId="17" r:id="rId6"/>
  </sheets>
  <definedNames>
    <definedName name="_xlnm._FilterDatabase" localSheetId="1" hidden="1">'Account Sales History'!$A$1:$M$2221</definedName>
    <definedName name="NativeTimeline_Sales_Month">#N/A</definedName>
    <definedName name="Slicer_Subscription_Typ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7" l="1"/>
  <c r="D7" i="17"/>
  <c r="D8" i="17"/>
  <c r="D9" i="17"/>
  <c r="D10" i="17"/>
  <c r="D11" i="17"/>
  <c r="D12" i="17"/>
  <c r="D13" i="17"/>
  <c r="D14" i="17"/>
  <c r="D15" i="17"/>
  <c r="D16" i="17"/>
  <c r="D17" i="17"/>
  <c r="D18" i="17"/>
  <c r="D19" i="17"/>
  <c r="D20" i="17"/>
  <c r="D21" i="17"/>
  <c r="D22" i="17"/>
  <c r="D23" i="17"/>
  <c r="D24" i="17"/>
  <c r="D25" i="17"/>
  <c r="D26" i="17"/>
  <c r="D5" i="17"/>
  <c r="B2" i="17"/>
  <c r="C5" i="17" s="1"/>
  <c r="B3" i="17"/>
  <c r="C6" i="17" s="1"/>
  <c r="B4" i="17"/>
  <c r="C7" i="17" s="1"/>
  <c r="B5" i="17"/>
  <c r="C8" i="17" s="1"/>
  <c r="B6" i="17"/>
  <c r="C9" i="17" s="1"/>
  <c r="B7" i="17"/>
  <c r="C10" i="17" s="1"/>
  <c r="B8" i="17"/>
  <c r="C11" i="17" s="1"/>
  <c r="B9" i="17"/>
  <c r="C12" i="17" s="1"/>
  <c r="B10" i="17"/>
  <c r="C13" i="17" s="1"/>
  <c r="B11" i="17"/>
  <c r="C14" i="17" s="1"/>
  <c r="B12" i="17"/>
  <c r="C15" i="17" s="1"/>
  <c r="B13" i="17"/>
  <c r="C16" i="17" s="1"/>
  <c r="B14" i="17"/>
  <c r="C17" i="17" s="1"/>
  <c r="B15" i="17"/>
  <c r="C18" i="17" s="1"/>
  <c r="B16" i="17"/>
  <c r="C19" i="17" s="1"/>
  <c r="B17" i="17"/>
  <c r="C20" i="17" s="1"/>
  <c r="B18" i="17"/>
  <c r="C21" i="17" s="1"/>
  <c r="B19" i="17"/>
  <c r="C22" i="17" s="1"/>
  <c r="B20" i="17"/>
  <c r="C23" i="17" s="1"/>
  <c r="B21" i="17"/>
  <c r="C24" i="17" s="1"/>
  <c r="B22" i="17"/>
  <c r="C25" i="17" s="1"/>
  <c r="B23" i="17"/>
  <c r="C26" i="17" s="1"/>
  <c r="B24" i="17"/>
  <c r="B25" i="17"/>
  <c r="B26" i="17"/>
  <c r="H10" i="16" l="1"/>
  <c r="C14" i="15" l="1"/>
  <c r="E14" i="15" s="1"/>
  <c r="A20" i="15" s="1"/>
  <c r="C15" i="15"/>
  <c r="E15" i="15" s="1"/>
  <c r="C16" i="15"/>
  <c r="E16" i="15" s="1"/>
  <c r="E17" i="15" l="1"/>
  <c r="A10" i="15"/>
  <c r="C10" i="15" s="1"/>
  <c r="B2" i="15"/>
  <c r="D2" i="15" s="1"/>
  <c r="B3" i="15"/>
  <c r="D3" i="15" s="1"/>
  <c r="B4" i="15"/>
  <c r="D4" i="15" s="1"/>
  <c r="B5" i="15"/>
  <c r="D5" i="15" s="1"/>
  <c r="D6" i="15" l="1"/>
  <c r="K2" i="14"/>
  <c r="K3" i="14"/>
  <c r="K4" i="14"/>
  <c r="K5" i="14"/>
  <c r="K6" i="14"/>
  <c r="K7" i="14"/>
  <c r="K8" i="14"/>
  <c r="K9" i="14"/>
  <c r="K10" i="14"/>
  <c r="K11" i="14"/>
  <c r="K12" i="14"/>
  <c r="K13" i="14"/>
  <c r="J2" i="14"/>
  <c r="J3" i="14"/>
  <c r="J4" i="14"/>
  <c r="J5" i="14"/>
  <c r="J6" i="14"/>
  <c r="J7" i="14"/>
  <c r="J8" i="14"/>
  <c r="J9" i="14"/>
  <c r="J10" i="14"/>
  <c r="J11" i="14"/>
  <c r="J12" i="14"/>
  <c r="J13" i="14"/>
  <c r="I2" i="14"/>
  <c r="I3" i="14"/>
  <c r="I4" i="14"/>
  <c r="I5" i="14"/>
  <c r="I6" i="14"/>
  <c r="I7" i="14"/>
  <c r="I8" i="14"/>
  <c r="I9" i="14"/>
  <c r="I10" i="14"/>
  <c r="I11" i="14"/>
  <c r="I12" i="14"/>
  <c r="I13" i="14"/>
  <c r="H2" i="14"/>
  <c r="H3" i="14"/>
  <c r="H4" i="14"/>
  <c r="H5" i="14"/>
  <c r="H6" i="14"/>
  <c r="H7" i="14"/>
  <c r="H8" i="14"/>
  <c r="H9" i="14"/>
  <c r="H10" i="14"/>
  <c r="H11" i="14"/>
  <c r="H12" i="14"/>
  <c r="H13" i="14"/>
  <c r="F2" i="14"/>
  <c r="F3" i="14"/>
  <c r="F4" i="14"/>
  <c r="F5" i="14"/>
  <c r="F6" i="14"/>
  <c r="F7" i="14"/>
  <c r="F8" i="14"/>
  <c r="F9" i="14"/>
  <c r="F10" i="14"/>
  <c r="F11" i="14"/>
  <c r="F12" i="14"/>
  <c r="F13" i="14"/>
  <c r="E2" i="14"/>
  <c r="G2" i="14" s="1"/>
  <c r="E3" i="14"/>
  <c r="G3" i="14" s="1"/>
  <c r="E4" i="14"/>
  <c r="G4" i="14" s="1"/>
  <c r="E5" i="14"/>
  <c r="E6" i="14"/>
  <c r="G6" i="14" s="1"/>
  <c r="E7" i="14"/>
  <c r="G7" i="14" s="1"/>
  <c r="E8" i="14"/>
  <c r="G8" i="14" s="1"/>
  <c r="E9" i="14"/>
  <c r="G9" i="14" s="1"/>
  <c r="E10" i="14"/>
  <c r="G10" i="14" s="1"/>
  <c r="E11" i="14"/>
  <c r="G11" i="14" s="1"/>
  <c r="E12" i="14"/>
  <c r="G12" i="14" s="1"/>
  <c r="E13" i="14"/>
  <c r="G13" i="14" s="1"/>
  <c r="G5" i="14" l="1"/>
  <c r="D2" i="14" l="1"/>
  <c r="D3" i="14"/>
  <c r="D4" i="14"/>
  <c r="D5" i="14"/>
  <c r="D6" i="14"/>
  <c r="D7" i="14"/>
  <c r="D8" i="14"/>
  <c r="D9" i="14"/>
  <c r="D10" i="14"/>
  <c r="D11" i="14"/>
  <c r="D12" i="14"/>
  <c r="D13" i="14"/>
  <c r="C2" i="14"/>
  <c r="C3" i="14"/>
  <c r="C4" i="14"/>
  <c r="C5" i="14"/>
  <c r="C6" i="14"/>
  <c r="C7" i="14"/>
  <c r="C8" i="14"/>
  <c r="C9" i="14"/>
  <c r="C10" i="14"/>
  <c r="C11" i="14"/>
  <c r="C12" i="14"/>
  <c r="C13" i="14"/>
  <c r="B2" i="14"/>
  <c r="B3" i="14"/>
  <c r="B4" i="14"/>
  <c r="B5" i="14"/>
  <c r="B6" i="14"/>
  <c r="B7" i="14"/>
  <c r="B8" i="14"/>
  <c r="B9" i="14"/>
  <c r="B10" i="14"/>
  <c r="B11" i="14"/>
  <c r="B12" i="14"/>
  <c r="B13" i="14"/>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6" i="11"/>
  <c r="P107" i="11"/>
  <c r="P108" i="11"/>
  <c r="P109" i="11"/>
  <c r="P110" i="11"/>
  <c r="P111" i="11"/>
  <c r="P112" i="11"/>
  <c r="P113" i="11"/>
  <c r="P114" i="11"/>
  <c r="P115" i="11"/>
  <c r="P116" i="11"/>
  <c r="P117" i="11"/>
  <c r="P118" i="11"/>
  <c r="P119" i="11"/>
  <c r="P120" i="11"/>
  <c r="P121" i="11"/>
  <c r="P122" i="11"/>
  <c r="P124" i="11"/>
  <c r="P125" i="11"/>
  <c r="P126" i="11"/>
  <c r="P127" i="11"/>
  <c r="P128" i="11"/>
  <c r="P129" i="11"/>
  <c r="P130" i="11"/>
  <c r="P131" i="11"/>
  <c r="P132" i="11"/>
  <c r="P133" i="11"/>
  <c r="P134" i="11"/>
  <c r="P135" i="11"/>
  <c r="P136" i="11"/>
  <c r="P137" i="11"/>
  <c r="P138" i="11"/>
  <c r="P139"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5" i="11"/>
  <c r="P166" i="11"/>
  <c r="P167" i="11"/>
  <c r="P168" i="11"/>
  <c r="P169" i="11"/>
  <c r="P170" i="11"/>
  <c r="P171" i="11"/>
  <c r="P172" i="11"/>
  <c r="P173" i="11"/>
  <c r="P174" i="11"/>
  <c r="P175" i="11"/>
  <c r="P176" i="11"/>
  <c r="P177" i="11"/>
  <c r="P178" i="11"/>
  <c r="P179"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7" i="11"/>
  <c r="P228" i="11"/>
  <c r="P229" i="11"/>
  <c r="P230" i="11"/>
  <c r="P231" i="11"/>
  <c r="P232" i="11"/>
  <c r="P233" i="11"/>
  <c r="P234" i="11"/>
  <c r="P235" i="11"/>
  <c r="P236" i="11"/>
  <c r="P237" i="11"/>
  <c r="P238" i="11"/>
  <c r="P239" i="11"/>
  <c r="P240" i="11"/>
  <c r="P242" i="11"/>
  <c r="P243" i="11"/>
  <c r="P244" i="11"/>
  <c r="P245" i="11"/>
  <c r="P246" i="11"/>
  <c r="P247" i="11"/>
  <c r="P248" i="11"/>
  <c r="P249" i="11"/>
  <c r="P250" i="11"/>
  <c r="P251" i="11"/>
  <c r="P252" i="11"/>
  <c r="P253" i="11"/>
  <c r="P254" i="11"/>
  <c r="P255" i="11"/>
  <c r="P257" i="11"/>
  <c r="P258" i="11"/>
  <c r="P259" i="11"/>
  <c r="P260" i="11"/>
  <c r="P261" i="11"/>
  <c r="P262" i="11"/>
  <c r="P263" i="11"/>
  <c r="P264" i="11"/>
  <c r="P265" i="11"/>
  <c r="P266" i="11"/>
  <c r="P267" i="11"/>
  <c r="P268" i="11"/>
  <c r="P269" i="11"/>
  <c r="P270" i="11"/>
  <c r="P272" i="11"/>
  <c r="P273" i="11"/>
  <c r="P274" i="11"/>
  <c r="P275" i="11"/>
  <c r="P276" i="11"/>
  <c r="P277" i="11"/>
  <c r="P278" i="11"/>
  <c r="P279" i="11"/>
  <c r="P280" i="11"/>
  <c r="P281" i="11"/>
  <c r="P282" i="11"/>
  <c r="P283" i="11"/>
  <c r="P284" i="11"/>
  <c r="P285"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8" i="11"/>
  <c r="P329" i="11"/>
  <c r="P330" i="11"/>
  <c r="P331" i="11"/>
  <c r="P332" i="11"/>
  <c r="P333" i="11"/>
  <c r="P334" i="11"/>
  <c r="P335" i="11"/>
  <c r="P336" i="11"/>
  <c r="P337" i="11"/>
  <c r="P338" i="11"/>
  <c r="P339" i="11"/>
  <c r="P340" i="11"/>
  <c r="P342" i="11"/>
  <c r="P343" i="11"/>
  <c r="P344" i="11"/>
  <c r="P345" i="11"/>
  <c r="P346" i="11"/>
  <c r="P347" i="11"/>
  <c r="P348" i="11"/>
  <c r="P349" i="11"/>
  <c r="P350" i="11"/>
  <c r="P351" i="11"/>
  <c r="P352" i="11"/>
  <c r="P353" i="11"/>
  <c r="P354" i="11"/>
  <c r="P356" i="11"/>
  <c r="P357" i="11"/>
  <c r="P358" i="11"/>
  <c r="P359" i="11"/>
  <c r="P360" i="11"/>
  <c r="P361" i="11"/>
  <c r="P362" i="11"/>
  <c r="P363" i="11"/>
  <c r="P364" i="11"/>
  <c r="P365" i="11"/>
  <c r="P366" i="11"/>
  <c r="P367" i="11"/>
  <c r="P368" i="11"/>
  <c r="P370" i="11"/>
  <c r="P371" i="11"/>
  <c r="P372" i="11"/>
  <c r="P373" i="11"/>
  <c r="P374" i="11"/>
  <c r="P375" i="11"/>
  <c r="P376" i="11"/>
  <c r="P377" i="11"/>
  <c r="P378" i="11"/>
  <c r="P379" i="11"/>
  <c r="P380" i="11"/>
  <c r="P381" i="11"/>
  <c r="P382" i="11"/>
  <c r="P383" i="11"/>
  <c r="P384" i="11"/>
  <c r="P386" i="11"/>
  <c r="P387" i="11"/>
  <c r="P388" i="11"/>
  <c r="P389" i="11"/>
  <c r="P390" i="11"/>
  <c r="P391" i="11"/>
  <c r="P392" i="11"/>
  <c r="P393" i="11"/>
  <c r="P394" i="11"/>
  <c r="P395" i="11"/>
  <c r="P396" i="11"/>
  <c r="P397" i="11"/>
  <c r="P398"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8" i="11"/>
  <c r="P459" i="11"/>
  <c r="P460" i="11"/>
  <c r="P461" i="11"/>
  <c r="P462" i="11"/>
  <c r="P463" i="11"/>
  <c r="P464" i="11"/>
  <c r="P465" i="11"/>
  <c r="P466" i="11"/>
  <c r="P467" i="11"/>
  <c r="P468" i="11"/>
  <c r="P469" i="11"/>
  <c r="P471" i="11"/>
  <c r="P472" i="11"/>
  <c r="P473" i="11"/>
  <c r="P474" i="11"/>
  <c r="P475" i="11"/>
  <c r="P476" i="11"/>
  <c r="P477" i="11"/>
  <c r="P478" i="11"/>
  <c r="P479" i="11"/>
  <c r="P480" i="11"/>
  <c r="P481" i="11"/>
  <c r="P482" i="11"/>
  <c r="P484" i="11"/>
  <c r="P485" i="11"/>
  <c r="P486" i="11"/>
  <c r="P487" i="11"/>
  <c r="P488" i="11"/>
  <c r="P489" i="11"/>
  <c r="P490" i="11"/>
  <c r="P491" i="11"/>
  <c r="P492" i="11"/>
  <c r="P493" i="11"/>
  <c r="P494" i="11"/>
  <c r="P495" i="11"/>
  <c r="P497" i="11"/>
  <c r="P498" i="11"/>
  <c r="P499" i="11"/>
  <c r="P500" i="11"/>
  <c r="P501" i="11"/>
  <c r="P502" i="11"/>
  <c r="P503" i="11"/>
  <c r="P504" i="11"/>
  <c r="P505" i="11"/>
  <c r="P506" i="11"/>
  <c r="P507" i="11"/>
  <c r="P508" i="11"/>
  <c r="P510" i="11"/>
  <c r="P511" i="11"/>
  <c r="P512" i="11"/>
  <c r="P513" i="11"/>
  <c r="P514" i="11"/>
  <c r="P515" i="11"/>
  <c r="P516" i="11"/>
  <c r="P517" i="11"/>
  <c r="P518" i="11"/>
  <c r="P519" i="11"/>
  <c r="P520" i="11"/>
  <c r="P521" i="11"/>
  <c r="P523" i="11"/>
  <c r="P524" i="11"/>
  <c r="P525" i="11"/>
  <c r="P526" i="11"/>
  <c r="P527" i="11"/>
  <c r="P528" i="11"/>
  <c r="P529" i="11"/>
  <c r="P530" i="11"/>
  <c r="P531" i="11"/>
  <c r="P532" i="11"/>
  <c r="P533" i="11"/>
  <c r="P534" i="11"/>
  <c r="P536" i="11"/>
  <c r="P537" i="11"/>
  <c r="P538" i="11"/>
  <c r="P539" i="11"/>
  <c r="P540" i="11"/>
  <c r="P541" i="11"/>
  <c r="P542" i="11"/>
  <c r="P543" i="11"/>
  <c r="P544" i="11"/>
  <c r="P545" i="11"/>
  <c r="P546" i="11"/>
  <c r="P547" i="11"/>
  <c r="P549" i="11"/>
  <c r="P550" i="11"/>
  <c r="P551" i="11"/>
  <c r="P552" i="11"/>
  <c r="P553" i="11"/>
  <c r="P554" i="11"/>
  <c r="P555" i="11"/>
  <c r="P556" i="11"/>
  <c r="P557" i="11"/>
  <c r="P558" i="11"/>
  <c r="P559" i="11"/>
  <c r="P560" i="11"/>
  <c r="P562" i="11"/>
  <c r="P563" i="11"/>
  <c r="P564" i="11"/>
  <c r="P565" i="11"/>
  <c r="P566" i="11"/>
  <c r="P567" i="11"/>
  <c r="P568" i="11"/>
  <c r="P569" i="11"/>
  <c r="P570" i="11"/>
  <c r="P571" i="11"/>
  <c r="P572" i="11"/>
  <c r="P573"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9" i="11"/>
  <c r="P600" i="11"/>
  <c r="P601" i="11"/>
  <c r="P602" i="11"/>
  <c r="P603" i="11"/>
  <c r="P604" i="11"/>
  <c r="P605" i="11"/>
  <c r="P606" i="11"/>
  <c r="P607" i="11"/>
  <c r="P608" i="11"/>
  <c r="P609" i="11"/>
  <c r="P610" i="11"/>
  <c r="P612" i="11"/>
  <c r="P613" i="11"/>
  <c r="P614" i="11"/>
  <c r="P615" i="11"/>
  <c r="P616" i="11"/>
  <c r="P617" i="11"/>
  <c r="P618" i="11"/>
  <c r="P619" i="11"/>
  <c r="P620" i="11"/>
  <c r="P621" i="11"/>
  <c r="P622" i="11"/>
  <c r="P623"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9" i="11"/>
  <c r="P670" i="11"/>
  <c r="P671" i="11"/>
  <c r="P672" i="11"/>
  <c r="P673" i="11"/>
  <c r="P674" i="11"/>
  <c r="P675" i="11"/>
  <c r="P676" i="11"/>
  <c r="P677" i="11"/>
  <c r="P678" i="11"/>
  <c r="P679" i="11"/>
  <c r="P681" i="11"/>
  <c r="P682" i="11"/>
  <c r="P683" i="11"/>
  <c r="P684" i="11"/>
  <c r="P685" i="11"/>
  <c r="P686" i="11"/>
  <c r="P687" i="11"/>
  <c r="P688" i="11"/>
  <c r="P689" i="11"/>
  <c r="P690" i="11"/>
  <c r="P691" i="11"/>
  <c r="P693" i="11"/>
  <c r="P694" i="11"/>
  <c r="P695" i="11"/>
  <c r="P696" i="11"/>
  <c r="P697" i="11"/>
  <c r="P698" i="11"/>
  <c r="P699" i="11"/>
  <c r="P700" i="11"/>
  <c r="P701" i="11"/>
  <c r="P702" i="11"/>
  <c r="P703" i="11"/>
  <c r="P705" i="11"/>
  <c r="P706" i="11"/>
  <c r="P707" i="11"/>
  <c r="P708" i="11"/>
  <c r="P709" i="11"/>
  <c r="P710" i="11"/>
  <c r="P711" i="11"/>
  <c r="P712" i="11"/>
  <c r="P713" i="11"/>
  <c r="P714" i="11"/>
  <c r="P715" i="11"/>
  <c r="P717" i="11"/>
  <c r="P718" i="11"/>
  <c r="P719" i="11"/>
  <c r="P720" i="11"/>
  <c r="P721" i="11"/>
  <c r="P722" i="11"/>
  <c r="P723" i="11"/>
  <c r="P724" i="11"/>
  <c r="P725" i="11"/>
  <c r="P726" i="11"/>
  <c r="P727" i="11"/>
  <c r="P729" i="11"/>
  <c r="P730" i="11"/>
  <c r="P731" i="11"/>
  <c r="P732" i="11"/>
  <c r="P733" i="11"/>
  <c r="P734" i="11"/>
  <c r="P735" i="11"/>
  <c r="P736" i="11"/>
  <c r="P737" i="11"/>
  <c r="P738" i="11"/>
  <c r="P739"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1" i="11"/>
  <c r="P792" i="11"/>
  <c r="P793" i="11"/>
  <c r="P794" i="11"/>
  <c r="P795" i="11"/>
  <c r="P796" i="11"/>
  <c r="P797" i="11"/>
  <c r="P798" i="11"/>
  <c r="P799" i="11"/>
  <c r="P800" i="11"/>
  <c r="P801" i="11"/>
  <c r="P803" i="11"/>
  <c r="P804" i="11"/>
  <c r="P805" i="11"/>
  <c r="P806" i="11"/>
  <c r="P807" i="11"/>
  <c r="P808" i="11"/>
  <c r="P809" i="11"/>
  <c r="P810" i="11"/>
  <c r="P811" i="11"/>
  <c r="P812" i="11"/>
  <c r="P813" i="11"/>
  <c r="P815" i="11"/>
  <c r="P816" i="11"/>
  <c r="P817" i="11"/>
  <c r="P818" i="11"/>
  <c r="P819" i="11"/>
  <c r="P820" i="11"/>
  <c r="P821" i="11"/>
  <c r="P822" i="11"/>
  <c r="P823" i="11"/>
  <c r="P824" i="11"/>
  <c r="P825" i="11"/>
  <c r="P826" i="11"/>
  <c r="P827" i="11"/>
  <c r="P828" i="11"/>
  <c r="P829" i="11"/>
  <c r="P830" i="11"/>
  <c r="P831" i="11"/>
  <c r="P832" i="11"/>
  <c r="P833" i="11"/>
  <c r="P834" i="11"/>
  <c r="P836" i="11"/>
  <c r="P837" i="11"/>
  <c r="P838" i="11"/>
  <c r="P839" i="11"/>
  <c r="P840" i="11"/>
  <c r="P841" i="11"/>
  <c r="P842" i="11"/>
  <c r="P843" i="11"/>
  <c r="P844" i="11"/>
  <c r="P845" i="11"/>
  <c r="P846"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9" i="11"/>
  <c r="P890" i="11"/>
  <c r="P891" i="11"/>
  <c r="P892" i="11"/>
  <c r="P893" i="11"/>
  <c r="P894" i="11"/>
  <c r="P895" i="11"/>
  <c r="P896" i="11"/>
  <c r="P897" i="11"/>
  <c r="P898" i="11"/>
  <c r="P899" i="11"/>
  <c r="P901" i="11"/>
  <c r="P902" i="11"/>
  <c r="P903" i="11"/>
  <c r="P904" i="11"/>
  <c r="P905" i="11"/>
  <c r="P906" i="11"/>
  <c r="P907" i="11"/>
  <c r="P908" i="11"/>
  <c r="P909" i="11"/>
  <c r="P910" i="11"/>
  <c r="P912" i="11"/>
  <c r="P913" i="11"/>
  <c r="P914" i="11"/>
  <c r="P915" i="11"/>
  <c r="P916" i="11"/>
  <c r="P917" i="11"/>
  <c r="P918" i="11"/>
  <c r="P919" i="11"/>
  <c r="P920" i="11"/>
  <c r="P921" i="11"/>
  <c r="P923" i="11"/>
  <c r="P924" i="11"/>
  <c r="P925" i="11"/>
  <c r="P926" i="11"/>
  <c r="P927" i="11"/>
  <c r="P928" i="11"/>
  <c r="P929" i="11"/>
  <c r="P930" i="11"/>
  <c r="P931" i="11"/>
  <c r="P932" i="11"/>
  <c r="P934" i="11"/>
  <c r="P935" i="11"/>
  <c r="P936" i="11"/>
  <c r="P937" i="11"/>
  <c r="P938" i="11"/>
  <c r="P939" i="11"/>
  <c r="P940" i="11"/>
  <c r="P941" i="11"/>
  <c r="P942" i="11"/>
  <c r="P943" i="11"/>
  <c r="P945" i="11"/>
  <c r="P946" i="11"/>
  <c r="P947" i="11"/>
  <c r="P948" i="11"/>
  <c r="P949" i="11"/>
  <c r="P950" i="11"/>
  <c r="P951" i="11"/>
  <c r="P952" i="11"/>
  <c r="P953" i="11"/>
  <c r="P954" i="11"/>
  <c r="P956" i="11"/>
  <c r="P957" i="11"/>
  <c r="P958" i="11"/>
  <c r="P959" i="11"/>
  <c r="P960" i="11"/>
  <c r="P961" i="11"/>
  <c r="P962" i="11"/>
  <c r="P963" i="11"/>
  <c r="P964" i="11"/>
  <c r="P965" i="11"/>
  <c r="P967" i="11"/>
  <c r="P968" i="11"/>
  <c r="P969" i="11"/>
  <c r="P970" i="11"/>
  <c r="P971" i="11"/>
  <c r="P972" i="11"/>
  <c r="P973" i="11"/>
  <c r="P974" i="11"/>
  <c r="P975" i="11"/>
  <c r="P976" i="11"/>
  <c r="P978" i="11"/>
  <c r="P979" i="11"/>
  <c r="P980" i="11"/>
  <c r="P981" i="11"/>
  <c r="P982" i="11"/>
  <c r="P983" i="11"/>
  <c r="P984" i="11"/>
  <c r="P985" i="11"/>
  <c r="P986" i="11"/>
  <c r="P987" i="11"/>
  <c r="P988" i="11"/>
  <c r="P989" i="11"/>
  <c r="P990" i="11"/>
  <c r="P991" i="11"/>
  <c r="P992" i="11"/>
  <c r="P993" i="11"/>
  <c r="P994" i="11"/>
  <c r="P995" i="11"/>
  <c r="P996" i="11"/>
  <c r="P997" i="11"/>
  <c r="P999" i="11"/>
  <c r="P1000" i="11"/>
  <c r="P1001" i="11"/>
  <c r="P1002" i="11"/>
  <c r="P1003" i="11"/>
  <c r="P1004" i="11"/>
  <c r="P1005" i="11"/>
  <c r="P1006" i="11"/>
  <c r="P1007" i="11"/>
  <c r="P1008" i="11"/>
  <c r="P1009" i="11"/>
  <c r="P1010"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7" i="11"/>
  <c r="P1118" i="11"/>
  <c r="P1119" i="11"/>
  <c r="P1120" i="11"/>
  <c r="P1121" i="11"/>
  <c r="P1122" i="11"/>
  <c r="P1123" i="11"/>
  <c r="P1124" i="11"/>
  <c r="P1125" i="11"/>
  <c r="P1126" i="11"/>
  <c r="P1128" i="11"/>
  <c r="P1129" i="11"/>
  <c r="P1130" i="11"/>
  <c r="P1131" i="11"/>
  <c r="P1132" i="11"/>
  <c r="P1133" i="11"/>
  <c r="P1134" i="11"/>
  <c r="P1135" i="11"/>
  <c r="P1136" i="11"/>
  <c r="P1138" i="11"/>
  <c r="P1139" i="11"/>
  <c r="P1140" i="11"/>
  <c r="P1141" i="11"/>
  <c r="P1142" i="11"/>
  <c r="P1143" i="11"/>
  <c r="P1144" i="11"/>
  <c r="P1145" i="11"/>
  <c r="P1146" i="11"/>
  <c r="P1148" i="11"/>
  <c r="P1149" i="11"/>
  <c r="P1150" i="11"/>
  <c r="P1151" i="11"/>
  <c r="P1152" i="11"/>
  <c r="P1153" i="11"/>
  <c r="P1154" i="11"/>
  <c r="P1155" i="11"/>
  <c r="P1156" i="11"/>
  <c r="P1158" i="11"/>
  <c r="P1159" i="11"/>
  <c r="P1160" i="11"/>
  <c r="P1161" i="11"/>
  <c r="P1162" i="11"/>
  <c r="P1163" i="11"/>
  <c r="P1164" i="11"/>
  <c r="P1165" i="11"/>
  <c r="P1166" i="11"/>
  <c r="P1168" i="11"/>
  <c r="P1169" i="11"/>
  <c r="P1170" i="11"/>
  <c r="P1171" i="11"/>
  <c r="P1172" i="11"/>
  <c r="P1173" i="11"/>
  <c r="P1174" i="11"/>
  <c r="P1175" i="11"/>
  <c r="P1176" i="11"/>
  <c r="P1178" i="11"/>
  <c r="P1179" i="11"/>
  <c r="P1180" i="11"/>
  <c r="P1181" i="11"/>
  <c r="P1182" i="11"/>
  <c r="P1183" i="11"/>
  <c r="P1184" i="11"/>
  <c r="P1185" i="11"/>
  <c r="P1186" i="11"/>
  <c r="P1188" i="11"/>
  <c r="P1189" i="11"/>
  <c r="P1190" i="11"/>
  <c r="P1191" i="11"/>
  <c r="P1192" i="11"/>
  <c r="P1193" i="11"/>
  <c r="P1194" i="11"/>
  <c r="P1195" i="11"/>
  <c r="P1196" i="11"/>
  <c r="P1198" i="11"/>
  <c r="P1199" i="11"/>
  <c r="P1200" i="11"/>
  <c r="P1201" i="11"/>
  <c r="P1202" i="11"/>
  <c r="P1203" i="11"/>
  <c r="P1204" i="11"/>
  <c r="P1205" i="11"/>
  <c r="P1206" i="11"/>
  <c r="P1208" i="11"/>
  <c r="P1209" i="11"/>
  <c r="P1210" i="11"/>
  <c r="P1211" i="11"/>
  <c r="P1212" i="11"/>
  <c r="P1213" i="11"/>
  <c r="P1214" i="11"/>
  <c r="P1215" i="11"/>
  <c r="P1216" i="11"/>
  <c r="P1218" i="11"/>
  <c r="P1219" i="11"/>
  <c r="P1220" i="11"/>
  <c r="P1221" i="11"/>
  <c r="P1222" i="11"/>
  <c r="P1223" i="11"/>
  <c r="P1224" i="11"/>
  <c r="P1225" i="11"/>
  <c r="P1226" i="11"/>
  <c r="P1228" i="11"/>
  <c r="P1229" i="11"/>
  <c r="P1230" i="11"/>
  <c r="P1231" i="11"/>
  <c r="P1232" i="11"/>
  <c r="P1233" i="11"/>
  <c r="P1234" i="11"/>
  <c r="P1235" i="11"/>
  <c r="P1236" i="11"/>
  <c r="P1238" i="11"/>
  <c r="P1239" i="11"/>
  <c r="P1240" i="11"/>
  <c r="P1241" i="11"/>
  <c r="P1242" i="11"/>
  <c r="P1243" i="11"/>
  <c r="P1244" i="11"/>
  <c r="P1245" i="11"/>
  <c r="P1246" i="11"/>
  <c r="P1248" i="11"/>
  <c r="P1249" i="11"/>
  <c r="P1250" i="11"/>
  <c r="P1251" i="11"/>
  <c r="P1252" i="11"/>
  <c r="P1253" i="11"/>
  <c r="P1254" i="11"/>
  <c r="P1255" i="11"/>
  <c r="P1256" i="11"/>
  <c r="P1258" i="11"/>
  <c r="P1259" i="11"/>
  <c r="P1260" i="11"/>
  <c r="P1261" i="11"/>
  <c r="P1262" i="11"/>
  <c r="P1263" i="11"/>
  <c r="P1264" i="11"/>
  <c r="P1265" i="11"/>
  <c r="P1266" i="11"/>
  <c r="P1267" i="11"/>
  <c r="P1268" i="11"/>
  <c r="P1269" i="11"/>
  <c r="P1271" i="11"/>
  <c r="P1272" i="11"/>
  <c r="P1273" i="11"/>
  <c r="P1274" i="11"/>
  <c r="P1275" i="11"/>
  <c r="P1276" i="11"/>
  <c r="P1277" i="11"/>
  <c r="P1278" i="11"/>
  <c r="P1279" i="11"/>
  <c r="P1281" i="11"/>
  <c r="P1282" i="11"/>
  <c r="P1283" i="11"/>
  <c r="P1284" i="11"/>
  <c r="P1285" i="11"/>
  <c r="P1286" i="11"/>
  <c r="P1287" i="11"/>
  <c r="P1288" i="11"/>
  <c r="P1289" i="11"/>
  <c r="P1291" i="11"/>
  <c r="P1292" i="11"/>
  <c r="P1293" i="11"/>
  <c r="P1294" i="11"/>
  <c r="P1295" i="11"/>
  <c r="P1296" i="11"/>
  <c r="P1297" i="11"/>
  <c r="P1298" i="11"/>
  <c r="P1299" i="11"/>
  <c r="P1301" i="11"/>
  <c r="P1302" i="11"/>
  <c r="P1303" i="11"/>
  <c r="P1304" i="11"/>
  <c r="P1305" i="11"/>
  <c r="P1306" i="11"/>
  <c r="P1307" i="11"/>
  <c r="P1308" i="11"/>
  <c r="P1309" i="11"/>
  <c r="P1310" i="11"/>
  <c r="P1311" i="11"/>
  <c r="P1312" i="11"/>
  <c r="P1313" i="11"/>
  <c r="P1314" i="11"/>
  <c r="P1315" i="11"/>
  <c r="P1316" i="11"/>
  <c r="P1318" i="11"/>
  <c r="P1319" i="11"/>
  <c r="P1320" i="11"/>
  <c r="P1321" i="11"/>
  <c r="P1322" i="11"/>
  <c r="P1323" i="11"/>
  <c r="P1324" i="11"/>
  <c r="P1325" i="11"/>
  <c r="P1326" i="11"/>
  <c r="P1327" i="11"/>
  <c r="P1328" i="11"/>
  <c r="P1329" i="11"/>
  <c r="P1330" i="11"/>
  <c r="P1331" i="11"/>
  <c r="P1332" i="11"/>
  <c r="P1333" i="11"/>
  <c r="P1334" i="11"/>
  <c r="P1335" i="11"/>
  <c r="P1337" i="11"/>
  <c r="P1338" i="11"/>
  <c r="P1339" i="11"/>
  <c r="P1340" i="11"/>
  <c r="P1341" i="11"/>
  <c r="P1342" i="11"/>
  <c r="P1343" i="11"/>
  <c r="P1344" i="11"/>
  <c r="P1345" i="11"/>
  <c r="P1347" i="11"/>
  <c r="P1348" i="11"/>
  <c r="P1349" i="11"/>
  <c r="P1350" i="11"/>
  <c r="P1351" i="11"/>
  <c r="P1352" i="11"/>
  <c r="P1353" i="11"/>
  <c r="P1354" i="11"/>
  <c r="P1355"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80" i="11"/>
  <c r="P1381" i="11"/>
  <c r="P1382" i="11"/>
  <c r="P1383" i="11"/>
  <c r="P1384" i="11"/>
  <c r="P1385" i="11"/>
  <c r="P1386" i="11"/>
  <c r="P1387" i="11"/>
  <c r="P1388" i="11"/>
  <c r="P1389" i="11"/>
  <c r="P1390" i="11"/>
  <c r="P1391" i="11"/>
  <c r="P1392" i="11"/>
  <c r="P1393" i="11"/>
  <c r="P1394" i="11"/>
  <c r="P1395" i="11"/>
  <c r="P1396" i="11"/>
  <c r="P1398" i="11"/>
  <c r="P1399" i="11"/>
  <c r="P1400" i="11"/>
  <c r="P1401" i="11"/>
  <c r="P1402" i="11"/>
  <c r="P1403" i="11"/>
  <c r="P1404" i="11"/>
  <c r="P1405" i="11"/>
  <c r="P1406" i="11"/>
  <c r="P1408" i="11"/>
  <c r="P1409" i="11"/>
  <c r="P1410" i="11"/>
  <c r="P1411" i="11"/>
  <c r="P1412" i="11"/>
  <c r="P1413" i="11"/>
  <c r="P1414" i="11"/>
  <c r="P1415" i="11"/>
  <c r="P1416" i="11"/>
  <c r="P1418" i="11"/>
  <c r="P1419" i="11"/>
  <c r="P1420" i="11"/>
  <c r="P1421" i="11"/>
  <c r="P1422" i="11"/>
  <c r="P1423" i="11"/>
  <c r="P1424" i="11"/>
  <c r="P1425" i="11"/>
  <c r="P1426" i="11"/>
  <c r="P1428" i="11"/>
  <c r="P1429" i="11"/>
  <c r="P1430" i="11"/>
  <c r="P1431" i="11"/>
  <c r="P1432" i="11"/>
  <c r="P1433" i="11"/>
  <c r="P1434" i="11"/>
  <c r="P1435" i="11"/>
  <c r="P1436" i="11"/>
  <c r="P1438" i="11"/>
  <c r="P1439" i="11"/>
  <c r="P1440" i="11"/>
  <c r="P1441" i="11"/>
  <c r="P1442" i="11"/>
  <c r="P1443" i="11"/>
  <c r="P1444" i="11"/>
  <c r="P1445" i="11"/>
  <c r="P1447" i="11"/>
  <c r="P1448" i="11"/>
  <c r="P1449" i="11"/>
  <c r="P1450" i="11"/>
  <c r="P1451" i="11"/>
  <c r="P1452" i="11"/>
  <c r="P1453" i="11"/>
  <c r="P1454" i="11"/>
  <c r="P1456" i="11"/>
  <c r="P1457" i="11"/>
  <c r="P1458" i="11"/>
  <c r="P1459" i="11"/>
  <c r="P1460" i="11"/>
  <c r="P1461" i="11"/>
  <c r="P1462" i="11"/>
  <c r="P1463" i="11"/>
  <c r="P1465" i="11"/>
  <c r="P1466" i="11"/>
  <c r="P1467" i="11"/>
  <c r="P1468" i="11"/>
  <c r="P1469" i="11"/>
  <c r="P1470" i="11"/>
  <c r="P1471" i="11"/>
  <c r="P1472" i="11"/>
  <c r="P1474" i="11"/>
  <c r="P1475" i="11"/>
  <c r="P1476" i="11"/>
  <c r="P1477" i="11"/>
  <c r="P1478" i="11"/>
  <c r="P1479" i="11"/>
  <c r="P1480" i="11"/>
  <c r="P1481" i="11"/>
  <c r="P1483" i="11"/>
  <c r="P1484" i="11"/>
  <c r="P1485" i="11"/>
  <c r="P1486" i="11"/>
  <c r="P1487" i="11"/>
  <c r="P1488" i="11"/>
  <c r="P1489" i="11"/>
  <c r="P1490" i="11"/>
  <c r="P1492" i="11"/>
  <c r="P1493" i="11"/>
  <c r="P1494" i="11"/>
  <c r="P1495" i="11"/>
  <c r="P1496" i="11"/>
  <c r="P1497" i="11"/>
  <c r="P1498" i="11"/>
  <c r="P1499" i="11"/>
  <c r="P1501" i="11"/>
  <c r="P1502" i="11"/>
  <c r="P1503" i="11"/>
  <c r="P1504" i="11"/>
  <c r="P1505" i="11"/>
  <c r="P1506" i="11"/>
  <c r="P1507" i="11"/>
  <c r="P1508" i="11"/>
  <c r="P1509" i="11"/>
  <c r="P1510" i="11"/>
  <c r="P1511" i="11"/>
  <c r="P1512" i="11"/>
  <c r="P1514" i="11"/>
  <c r="P1515" i="11"/>
  <c r="P1516" i="11"/>
  <c r="P1517" i="11"/>
  <c r="P1518" i="11"/>
  <c r="P1519" i="11"/>
  <c r="P1520" i="11"/>
  <c r="P1521" i="11"/>
  <c r="P1523" i="11"/>
  <c r="P1524" i="11"/>
  <c r="P1525" i="11"/>
  <c r="P1526" i="11"/>
  <c r="P1527" i="11"/>
  <c r="P1528" i="11"/>
  <c r="P1529" i="11"/>
  <c r="P1530" i="11"/>
  <c r="P1531" i="11"/>
  <c r="P1532" i="11"/>
  <c r="P1533" i="11"/>
  <c r="P1534" i="11"/>
  <c r="P1535" i="11"/>
  <c r="P1536" i="11"/>
  <c r="P1537" i="11"/>
  <c r="P1538" i="11"/>
  <c r="P1540" i="11"/>
  <c r="P1541" i="11"/>
  <c r="P1542" i="11"/>
  <c r="P1543" i="11"/>
  <c r="P1544" i="11"/>
  <c r="P1545" i="11"/>
  <c r="P1546" i="11"/>
  <c r="P1547" i="11"/>
  <c r="P1549" i="11"/>
  <c r="P1550" i="11"/>
  <c r="P1551" i="11"/>
  <c r="P1552" i="11"/>
  <c r="P1553" i="11"/>
  <c r="P1554" i="11"/>
  <c r="P1555" i="11"/>
  <c r="P1556" i="11"/>
  <c r="P1558" i="11"/>
  <c r="P1559" i="11"/>
  <c r="P1560" i="11"/>
  <c r="P1561" i="11"/>
  <c r="P1562" i="11"/>
  <c r="P1563" i="11"/>
  <c r="P1564" i="11"/>
  <c r="P1565" i="11"/>
  <c r="P1567" i="11"/>
  <c r="P1568" i="11"/>
  <c r="P1569" i="11"/>
  <c r="P1570" i="11"/>
  <c r="P1571" i="11"/>
  <c r="P1572" i="11"/>
  <c r="P1573" i="11"/>
  <c r="P1574" i="11"/>
  <c r="P1576" i="11"/>
  <c r="P1577" i="11"/>
  <c r="P1578" i="11"/>
  <c r="P1579" i="11"/>
  <c r="P1580" i="11"/>
  <c r="P1581" i="11"/>
  <c r="P1582" i="11"/>
  <c r="P1583" i="11"/>
  <c r="P1585" i="11"/>
  <c r="P1586" i="11"/>
  <c r="P1587" i="11"/>
  <c r="P1588" i="11"/>
  <c r="P1589" i="11"/>
  <c r="P1590" i="11"/>
  <c r="P1591" i="11"/>
  <c r="P1592" i="11"/>
  <c r="P1593" i="11"/>
  <c r="P1595" i="11"/>
  <c r="P1596" i="11"/>
  <c r="P1597" i="11"/>
  <c r="P1598" i="11"/>
  <c r="P1599" i="11"/>
  <c r="P1600" i="11"/>
  <c r="P1601" i="11"/>
  <c r="P1603" i="11"/>
  <c r="P1604" i="11"/>
  <c r="P1605" i="11"/>
  <c r="P1606" i="11"/>
  <c r="P1607" i="11"/>
  <c r="P1608" i="11"/>
  <c r="P1609" i="11"/>
  <c r="P1611" i="11"/>
  <c r="P1612" i="11"/>
  <c r="P1613" i="11"/>
  <c r="P1614" i="11"/>
  <c r="P1615" i="11"/>
  <c r="P1616" i="11"/>
  <c r="P1617" i="11"/>
  <c r="P1619" i="11"/>
  <c r="P1620" i="11"/>
  <c r="P1621" i="11"/>
  <c r="P1622" i="11"/>
  <c r="P1623" i="11"/>
  <c r="P1624" i="11"/>
  <c r="P1625" i="11"/>
  <c r="P1626" i="11"/>
  <c r="P1627" i="11"/>
  <c r="P1628" i="11"/>
  <c r="P1629" i="11"/>
  <c r="P1630" i="11"/>
  <c r="P1631" i="11"/>
  <c r="P1632" i="11"/>
  <c r="P1633" i="11"/>
  <c r="P1634" i="11"/>
  <c r="P1636" i="11"/>
  <c r="P1637" i="11"/>
  <c r="P1638" i="11"/>
  <c r="P1639" i="11"/>
  <c r="P1640" i="11"/>
  <c r="P1641" i="11"/>
  <c r="P1643" i="11"/>
  <c r="P1644" i="11"/>
  <c r="P1645" i="11"/>
  <c r="P1646" i="11"/>
  <c r="P1647" i="11"/>
  <c r="P1648" i="11"/>
  <c r="P1650" i="11"/>
  <c r="P1651" i="11"/>
  <c r="P1652" i="11"/>
  <c r="P1653" i="11"/>
  <c r="P1654" i="11"/>
  <c r="P1655" i="11"/>
  <c r="P1656" i="11"/>
  <c r="P1657" i="11"/>
  <c r="P1658" i="11"/>
  <c r="P1659" i="11"/>
  <c r="P1660" i="11"/>
  <c r="P1661" i="11"/>
  <c r="P1662" i="11"/>
  <c r="P1663" i="11"/>
  <c r="P1665" i="11"/>
  <c r="P1666" i="11"/>
  <c r="P1667" i="11"/>
  <c r="P1668" i="11"/>
  <c r="P1669" i="11"/>
  <c r="P1670" i="11"/>
  <c r="P1671" i="11"/>
  <c r="P1672" i="11"/>
  <c r="P1673" i="11"/>
  <c r="P1674" i="11"/>
  <c r="P1675" i="11"/>
  <c r="P1676" i="11"/>
  <c r="P1677" i="11"/>
  <c r="P1678" i="11"/>
  <c r="P1679"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5" i="11"/>
  <c r="P1706" i="11"/>
  <c r="P1707" i="11"/>
  <c r="P1708" i="11"/>
  <c r="P1709" i="11"/>
  <c r="P1711" i="11"/>
  <c r="P1712" i="11"/>
  <c r="P1713" i="11"/>
  <c r="P1714" i="11"/>
  <c r="P1715" i="11"/>
  <c r="P1717" i="11"/>
  <c r="P1718" i="11"/>
  <c r="P1719" i="11"/>
  <c r="P1720" i="11"/>
  <c r="P1721" i="11"/>
  <c r="P1723" i="11"/>
  <c r="P1724" i="11"/>
  <c r="P1725" i="11"/>
  <c r="P1726" i="11"/>
  <c r="P1727" i="11"/>
  <c r="P1729" i="11"/>
  <c r="P1730" i="11"/>
  <c r="P1731" i="11"/>
  <c r="P1732" i="11"/>
  <c r="P1733" i="11"/>
  <c r="P1735" i="11"/>
  <c r="P1736" i="11"/>
  <c r="P1737" i="11"/>
  <c r="P1738" i="11"/>
  <c r="P1739" i="11"/>
  <c r="P1740" i="11"/>
  <c r="P1741" i="11"/>
  <c r="P1742" i="11"/>
  <c r="P1743" i="11"/>
  <c r="P1744" i="11"/>
  <c r="P1745" i="11"/>
  <c r="P1746" i="11"/>
  <c r="P1747" i="11"/>
  <c r="P1748" i="11"/>
  <c r="P1749" i="11"/>
  <c r="P1751" i="11"/>
  <c r="P1752" i="11"/>
  <c r="P1753" i="11"/>
  <c r="P1754" i="11"/>
  <c r="P1756" i="11"/>
  <c r="P1757" i="11"/>
  <c r="P1758" i="11"/>
  <c r="P1759" i="11"/>
  <c r="P1761" i="11"/>
  <c r="P1762" i="11"/>
  <c r="P1763" i="11"/>
  <c r="P1764" i="11"/>
  <c r="P1766" i="11"/>
  <c r="P1767" i="11"/>
  <c r="P1768" i="11"/>
  <c r="P1769" i="11"/>
  <c r="P1771" i="11"/>
  <c r="P1772" i="11"/>
  <c r="P1773" i="11"/>
  <c r="P1774" i="11"/>
  <c r="P1776" i="11"/>
  <c r="P1777" i="11"/>
  <c r="P1778" i="11"/>
  <c r="P1779" i="11"/>
  <c r="P1781" i="11"/>
  <c r="P1782" i="11"/>
  <c r="P1783" i="11"/>
  <c r="P1784" i="11"/>
  <c r="P1786" i="11"/>
  <c r="P1787" i="11"/>
  <c r="P1788" i="11"/>
  <c r="P1789" i="11"/>
  <c r="P1791" i="11"/>
  <c r="P1792" i="11"/>
  <c r="P1793" i="11"/>
  <c r="P1794" i="11"/>
  <c r="P1796" i="11"/>
  <c r="P1797" i="11"/>
  <c r="P1798" i="11"/>
  <c r="P1799" i="11"/>
  <c r="P1801" i="11"/>
  <c r="P1802" i="11"/>
  <c r="P1803" i="11"/>
  <c r="P1804" i="11"/>
  <c r="P1806" i="11"/>
  <c r="P1807" i="11"/>
  <c r="P1808" i="11"/>
  <c r="P1809" i="11"/>
  <c r="P1811" i="11"/>
  <c r="P1812" i="11"/>
  <c r="P1813" i="11"/>
  <c r="P1814" i="11"/>
  <c r="P1816" i="11"/>
  <c r="P1817" i="11"/>
  <c r="P1818" i="11"/>
  <c r="P1819" i="11"/>
  <c r="P1821" i="11"/>
  <c r="P1822" i="11"/>
  <c r="P1823" i="11"/>
  <c r="P1824" i="11"/>
  <c r="P1826" i="11"/>
  <c r="P1827" i="11"/>
  <c r="P1828" i="11"/>
  <c r="P1829" i="11"/>
  <c r="P1831" i="11"/>
  <c r="P1832" i="11"/>
  <c r="P1833" i="11"/>
  <c r="P1834" i="11"/>
  <c r="P1836" i="11"/>
  <c r="P1837" i="11"/>
  <c r="P1838" i="11"/>
  <c r="P1839" i="11"/>
  <c r="P1841" i="11"/>
  <c r="P1842" i="11"/>
  <c r="P1843" i="11"/>
  <c r="P1844" i="11"/>
  <c r="P1846" i="11"/>
  <c r="P1847" i="11"/>
  <c r="P1848" i="11"/>
  <c r="P1849" i="11"/>
  <c r="P1850" i="11"/>
  <c r="P1851" i="11"/>
  <c r="P1853" i="11"/>
  <c r="P1854" i="11"/>
  <c r="P1855" i="11"/>
  <c r="P1856" i="11"/>
  <c r="P1858" i="11"/>
  <c r="P1859" i="11"/>
  <c r="P1860" i="11"/>
  <c r="P1861" i="11"/>
  <c r="P1863" i="11"/>
  <c r="P1864" i="11"/>
  <c r="P1865" i="11"/>
  <c r="P1866" i="11"/>
  <c r="P1868" i="11"/>
  <c r="P1869" i="11"/>
  <c r="P1870" i="11"/>
  <c r="P1871" i="11"/>
  <c r="P1873" i="11"/>
  <c r="P1874" i="11"/>
  <c r="P1875" i="11"/>
  <c r="P1876" i="11"/>
  <c r="P1878" i="11"/>
  <c r="P1879" i="11"/>
  <c r="P1880" i="11"/>
  <c r="P1881" i="11"/>
  <c r="P1883" i="11"/>
  <c r="P1884" i="11"/>
  <c r="P1885" i="11"/>
  <c r="P1887" i="11"/>
  <c r="P1888" i="11"/>
  <c r="P1889" i="11"/>
  <c r="P1891" i="11"/>
  <c r="P1892" i="11"/>
  <c r="P1893" i="11"/>
  <c r="P1895" i="11"/>
  <c r="P1896" i="11"/>
  <c r="P1897" i="11"/>
  <c r="P1899" i="11"/>
  <c r="P1900" i="11"/>
  <c r="P1901" i="11"/>
  <c r="P1903" i="11"/>
  <c r="P1904" i="11"/>
  <c r="P1905" i="11"/>
  <c r="P1907" i="11"/>
  <c r="P1908" i="11"/>
  <c r="P1909" i="11"/>
  <c r="P1911" i="11"/>
  <c r="P1912" i="11"/>
  <c r="P1913" i="11"/>
  <c r="P1915" i="11"/>
  <c r="P1916" i="11"/>
  <c r="P1917" i="11"/>
  <c r="P1918" i="11"/>
  <c r="P1919" i="11"/>
  <c r="P1921" i="11"/>
  <c r="P1922" i="11"/>
  <c r="P1923" i="11"/>
  <c r="P1924" i="11"/>
  <c r="P1925" i="11"/>
  <c r="P1927" i="11"/>
  <c r="P1928" i="11"/>
  <c r="P1929" i="11"/>
  <c r="P1931" i="11"/>
  <c r="P1932" i="11"/>
  <c r="P1933" i="11"/>
  <c r="P1935" i="11"/>
  <c r="P1936" i="11"/>
  <c r="P1937" i="11"/>
  <c r="P1939" i="11"/>
  <c r="P1940" i="11"/>
  <c r="P1941" i="11"/>
  <c r="P1943" i="11"/>
  <c r="P1944" i="11"/>
  <c r="P1945" i="11"/>
  <c r="P1947" i="11"/>
  <c r="P1948" i="11"/>
  <c r="P1949" i="11"/>
  <c r="P1951" i="11"/>
  <c r="P1952" i="11"/>
  <c r="P1953" i="11"/>
  <c r="P1954" i="11"/>
  <c r="P1955" i="11"/>
  <c r="P1956" i="11"/>
  <c r="P1957" i="11"/>
  <c r="P1958" i="11"/>
  <c r="P1960" i="11"/>
  <c r="P1961" i="11"/>
  <c r="P1962" i="11"/>
  <c r="P1964" i="11"/>
  <c r="P1965" i="11"/>
  <c r="P1966" i="11"/>
  <c r="P1968" i="11"/>
  <c r="P1969" i="11"/>
  <c r="P1970" i="11"/>
  <c r="P1972" i="11"/>
  <c r="P1973" i="11"/>
  <c r="P1974" i="11"/>
  <c r="P1976" i="11"/>
  <c r="P1977" i="11"/>
  <c r="P1978" i="11"/>
  <c r="P1980" i="11"/>
  <c r="P1981" i="11"/>
  <c r="P1983" i="11"/>
  <c r="P1984" i="11"/>
  <c r="P1986" i="11"/>
  <c r="P1987" i="11"/>
  <c r="P1989" i="11"/>
  <c r="P1990" i="11"/>
  <c r="P1992" i="11"/>
  <c r="P1993" i="11"/>
  <c r="P1995" i="11"/>
  <c r="P1996" i="11"/>
  <c r="P1998" i="11"/>
  <c r="P1999" i="11"/>
  <c r="P2001" i="11"/>
  <c r="P2002" i="11"/>
  <c r="P2004" i="11"/>
  <c r="P2005" i="11"/>
  <c r="P2007" i="11"/>
  <c r="P2008" i="11"/>
  <c r="P2010" i="11"/>
  <c r="P2011" i="11"/>
  <c r="P2012" i="11"/>
  <c r="P2013" i="11"/>
  <c r="P2014" i="11"/>
  <c r="P2015" i="11"/>
  <c r="P2017" i="11"/>
  <c r="P2018" i="11"/>
  <c r="P2020" i="11"/>
  <c r="P2021" i="11"/>
  <c r="P2023" i="11"/>
  <c r="P2024" i="11"/>
  <c r="P2026" i="11"/>
  <c r="P2027" i="11"/>
  <c r="P2029" i="11"/>
  <c r="P2030" i="11"/>
  <c r="P2032" i="11"/>
  <c r="P2033" i="11"/>
  <c r="P2035" i="11"/>
  <c r="P2036" i="11"/>
  <c r="P2038" i="11"/>
  <c r="P2039" i="11"/>
  <c r="P2041" i="11"/>
  <c r="P2042" i="11"/>
  <c r="P2044" i="11"/>
  <c r="P2045" i="11"/>
  <c r="P2047" i="11"/>
  <c r="P2049" i="11"/>
  <c r="P2051" i="11"/>
  <c r="P2053" i="11"/>
  <c r="P2055" i="11"/>
  <c r="P2057" i="11"/>
  <c r="P2059" i="11"/>
  <c r="P2061" i="11"/>
  <c r="P2063" i="11"/>
  <c r="P2065" i="11"/>
  <c r="P2067" i="11"/>
  <c r="P2069" i="11"/>
  <c r="P2071" i="11"/>
  <c r="P2073" i="11"/>
  <c r="P2075" i="11"/>
  <c r="P2077" i="11"/>
  <c r="P2079" i="11"/>
  <c r="P2081" i="11"/>
  <c r="P2083" i="11"/>
  <c r="P2085" i="11"/>
  <c r="P2087" i="11"/>
  <c r="P2089" i="11"/>
  <c r="P2091" i="11"/>
  <c r="P2093" i="11"/>
  <c r="P2095" i="11"/>
  <c r="P2097" i="11"/>
  <c r="P2099" i="11"/>
  <c r="P2101" i="11"/>
  <c r="P2103" i="11"/>
  <c r="P2105" i="11"/>
  <c r="P2107" i="11"/>
  <c r="P2109" i="11"/>
  <c r="P2111" i="11"/>
  <c r="P2113" i="11"/>
  <c r="P2115" i="11"/>
  <c r="P2117" i="11"/>
  <c r="P2119" i="11"/>
  <c r="P2121" i="11"/>
  <c r="P2123" i="11"/>
  <c r="P2125" i="11"/>
  <c r="P2127" i="11"/>
  <c r="P2129" i="11"/>
  <c r="P2131" i="11"/>
  <c r="P2133" i="11"/>
  <c r="P2135" i="11"/>
  <c r="P2137" i="11"/>
  <c r="P2139" i="11"/>
  <c r="P2141" i="11"/>
  <c r="P2143" i="11"/>
  <c r="P2145" i="11"/>
  <c r="P2147"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P2006" i="11" s="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P2054" i="11" s="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P2078" i="11" s="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51" i="11"/>
  <c r="O2150" i="11"/>
  <c r="O2158" i="11"/>
  <c r="O2152" i="11"/>
  <c r="O2157" i="11"/>
  <c r="O2153" i="11"/>
  <c r="O2154" i="11"/>
  <c r="O2159" i="11"/>
  <c r="O2156" i="11"/>
  <c r="O2155" i="11"/>
  <c r="O2160" i="11"/>
  <c r="O220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149"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N2" i="11" a="1"/>
  <c r="N2" i="11" s="1"/>
  <c r="N3" i="11" a="1"/>
  <c r="N3" i="11" s="1"/>
  <c r="N4" i="11" a="1"/>
  <c r="N4" i="11" s="1"/>
  <c r="N5" i="11" a="1"/>
  <c r="N5" i="11" s="1"/>
  <c r="N6" i="11" a="1"/>
  <c r="N6" i="11" s="1"/>
  <c r="N7" i="11" a="1"/>
  <c r="N7" i="11" s="1"/>
  <c r="N8" i="11" a="1"/>
  <c r="N8" i="11" s="1"/>
  <c r="N9" i="11" a="1"/>
  <c r="N9" i="11" s="1"/>
  <c r="N10" i="11" a="1"/>
  <c r="N10" i="11" s="1"/>
  <c r="N11" i="11" a="1"/>
  <c r="N11" i="11" s="1"/>
  <c r="N12" i="11" a="1"/>
  <c r="N12" i="11" s="1"/>
  <c r="N13" i="11" a="1"/>
  <c r="N13" i="11" s="1"/>
  <c r="N14" i="11" a="1"/>
  <c r="N14" i="11" s="1"/>
  <c r="N15" i="11" a="1"/>
  <c r="N15" i="11" s="1"/>
  <c r="N16" i="11" a="1"/>
  <c r="N16" i="11" s="1"/>
  <c r="N17" i="11" a="1"/>
  <c r="N17" i="11" s="1"/>
  <c r="N18" i="11" a="1"/>
  <c r="N18" i="11" s="1"/>
  <c r="N19" i="11" a="1"/>
  <c r="N19" i="11" s="1"/>
  <c r="N20" i="11" a="1"/>
  <c r="N20" i="11" s="1"/>
  <c r="N21" i="11" a="1"/>
  <c r="N21" i="11" s="1"/>
  <c r="N22" i="11" a="1"/>
  <c r="N22" i="11" s="1"/>
  <c r="N23" i="11" a="1"/>
  <c r="N23" i="11" s="1"/>
  <c r="N24" i="11" a="1"/>
  <c r="N24" i="11" s="1"/>
  <c r="N25" i="11" a="1"/>
  <c r="N25" i="11" s="1"/>
  <c r="N26" i="11" a="1"/>
  <c r="N26" i="11" s="1"/>
  <c r="N27" i="11" a="1"/>
  <c r="N27" i="11" s="1"/>
  <c r="N28" i="11" a="1"/>
  <c r="N28" i="11" s="1"/>
  <c r="N29" i="11" a="1"/>
  <c r="N29" i="11" s="1"/>
  <c r="N30" i="11" a="1"/>
  <c r="N30" i="11" s="1"/>
  <c r="N31" i="11" a="1"/>
  <c r="N31" i="11" s="1"/>
  <c r="N32" i="11" a="1"/>
  <c r="N32" i="11" s="1"/>
  <c r="N33" i="11" a="1"/>
  <c r="N33" i="11" s="1"/>
  <c r="N34" i="11" a="1"/>
  <c r="N34" i="11" s="1"/>
  <c r="N35" i="11" a="1"/>
  <c r="N35" i="11" s="1"/>
  <c r="N36" i="11" a="1"/>
  <c r="N36" i="11" s="1"/>
  <c r="N37" i="11" a="1"/>
  <c r="N37" i="11" s="1"/>
  <c r="N38" i="11" a="1"/>
  <c r="N38" i="11" s="1"/>
  <c r="N39" i="11" a="1"/>
  <c r="N39" i="11" s="1"/>
  <c r="N40" i="11" a="1"/>
  <c r="N40" i="11" s="1"/>
  <c r="N41" i="11" a="1"/>
  <c r="N41" i="11" s="1"/>
  <c r="N42" i="11" a="1"/>
  <c r="N42" i="11" s="1"/>
  <c r="N43" i="11" a="1"/>
  <c r="N43" i="11" s="1"/>
  <c r="N44" i="11" a="1"/>
  <c r="N44" i="11" s="1"/>
  <c r="N45" i="11" a="1"/>
  <c r="N45" i="11" s="1"/>
  <c r="N46" i="11" a="1"/>
  <c r="N46" i="11" s="1"/>
  <c r="N47" i="11" a="1"/>
  <c r="N47" i="11" s="1"/>
  <c r="N48" i="11" a="1"/>
  <c r="N48" i="11" s="1"/>
  <c r="N49" i="11" a="1"/>
  <c r="N49" i="11" s="1"/>
  <c r="N50" i="11" a="1"/>
  <c r="N50" i="11" s="1"/>
  <c r="N51" i="11" a="1"/>
  <c r="N51" i="11" s="1"/>
  <c r="N52" i="11" a="1"/>
  <c r="N52" i="11" s="1"/>
  <c r="N53" i="11" a="1"/>
  <c r="N53" i="11" s="1"/>
  <c r="N54" i="11" a="1"/>
  <c r="N54" i="11" s="1"/>
  <c r="N55" i="11" a="1"/>
  <c r="N55" i="11" s="1"/>
  <c r="N56" i="11" a="1"/>
  <c r="N56" i="11" s="1"/>
  <c r="N57" i="11" a="1"/>
  <c r="N57" i="11" s="1"/>
  <c r="N58" i="11" a="1"/>
  <c r="N58" i="11" s="1"/>
  <c r="N59" i="11" a="1"/>
  <c r="N59" i="11" s="1"/>
  <c r="N60" i="11" a="1"/>
  <c r="N60" i="11" s="1"/>
  <c r="N61" i="11" a="1"/>
  <c r="N61" i="11" s="1"/>
  <c r="N62" i="11" a="1"/>
  <c r="N62" i="11" s="1"/>
  <c r="N63" i="11" a="1"/>
  <c r="N63" i="11" s="1"/>
  <c r="N64" i="11" a="1"/>
  <c r="N64" i="11" s="1"/>
  <c r="N65" i="11" a="1"/>
  <c r="N65" i="11" s="1"/>
  <c r="N66" i="11" a="1"/>
  <c r="N66" i="11" s="1"/>
  <c r="N67" i="11" a="1"/>
  <c r="N67" i="11" s="1"/>
  <c r="N68" i="11" a="1"/>
  <c r="N68" i="11" s="1"/>
  <c r="N69" i="11" a="1"/>
  <c r="N69" i="11" s="1"/>
  <c r="N70" i="11" a="1"/>
  <c r="N70" i="11" s="1"/>
  <c r="N71" i="11" a="1"/>
  <c r="N71" i="11" s="1"/>
  <c r="N72" i="11" a="1"/>
  <c r="N72" i="11" s="1"/>
  <c r="N73" i="11" a="1"/>
  <c r="N73" i="11" s="1"/>
  <c r="N74" i="11" a="1"/>
  <c r="N74" i="11" s="1"/>
  <c r="N75" i="11" a="1"/>
  <c r="N75" i="11" s="1"/>
  <c r="N76" i="11" a="1"/>
  <c r="N76" i="11" s="1"/>
  <c r="N77" i="11" a="1"/>
  <c r="N77" i="11" s="1"/>
  <c r="N78" i="11" a="1"/>
  <c r="N78" i="11" s="1"/>
  <c r="N79" i="11" a="1"/>
  <c r="N79" i="11" s="1"/>
  <c r="N80" i="11" a="1"/>
  <c r="N80" i="11" s="1"/>
  <c r="N81" i="11" a="1"/>
  <c r="N81" i="11" s="1"/>
  <c r="N82" i="11" a="1"/>
  <c r="N82" i="11" s="1"/>
  <c r="N83" i="11" a="1"/>
  <c r="N83" i="11" s="1"/>
  <c r="N84" i="11" a="1"/>
  <c r="N84" i="11" s="1"/>
  <c r="N85" i="11" a="1"/>
  <c r="N85" i="11" s="1"/>
  <c r="N86" i="11" a="1"/>
  <c r="N86" i="11" s="1"/>
  <c r="N87" i="11" a="1"/>
  <c r="N87" i="11" s="1"/>
  <c r="N88" i="11" a="1"/>
  <c r="N88" i="11" s="1"/>
  <c r="N89" i="11" a="1"/>
  <c r="N89" i="11" s="1"/>
  <c r="N90" i="11" a="1"/>
  <c r="N90" i="11" s="1"/>
  <c r="N91" i="11" a="1"/>
  <c r="N91" i="11" s="1"/>
  <c r="N92" i="11" a="1"/>
  <c r="N92" i="11" s="1"/>
  <c r="N93" i="11" a="1"/>
  <c r="N93" i="11" s="1"/>
  <c r="N94" i="11" a="1"/>
  <c r="N94" i="11" s="1"/>
  <c r="N95" i="11" a="1"/>
  <c r="N95" i="11" s="1"/>
  <c r="N96" i="11" a="1"/>
  <c r="N96" i="11" s="1"/>
  <c r="N97" i="11" a="1"/>
  <c r="N97" i="11" s="1"/>
  <c r="N98" i="11" a="1"/>
  <c r="N98" i="11" s="1"/>
  <c r="N99" i="11" a="1"/>
  <c r="N99" i="11" s="1"/>
  <c r="N100" i="11" a="1"/>
  <c r="N100" i="11" s="1"/>
  <c r="N101" i="11" a="1"/>
  <c r="N101" i="11" s="1"/>
  <c r="N102" i="11" a="1"/>
  <c r="N102" i="11" s="1"/>
  <c r="N103" i="11" a="1"/>
  <c r="N103" i="11" s="1"/>
  <c r="N104" i="11" a="1"/>
  <c r="N104" i="11" s="1"/>
  <c r="N105" i="11" a="1"/>
  <c r="N105" i="11" s="1"/>
  <c r="N106" i="11" a="1"/>
  <c r="N106" i="11" s="1"/>
  <c r="N107" i="11" a="1"/>
  <c r="N107" i="11" s="1"/>
  <c r="N108" i="11" a="1"/>
  <c r="N108" i="11" s="1"/>
  <c r="N109" i="11" a="1"/>
  <c r="N109" i="11" s="1"/>
  <c r="N110" i="11" a="1"/>
  <c r="N110" i="11" s="1"/>
  <c r="N111" i="11" a="1"/>
  <c r="N111" i="11" s="1"/>
  <c r="N112" i="11" a="1"/>
  <c r="N112" i="11" s="1"/>
  <c r="N113" i="11" a="1"/>
  <c r="N113" i="11" s="1"/>
  <c r="N114" i="11" a="1"/>
  <c r="N114" i="11" s="1"/>
  <c r="N115" i="11" a="1"/>
  <c r="N115" i="11" s="1"/>
  <c r="N116" i="11" a="1"/>
  <c r="N116" i="11" s="1"/>
  <c r="N117" i="11" a="1"/>
  <c r="N117" i="11" s="1"/>
  <c r="N118" i="11" a="1"/>
  <c r="N118" i="11" s="1"/>
  <c r="N119" i="11" a="1"/>
  <c r="N119" i="11" s="1"/>
  <c r="N120" i="11" a="1"/>
  <c r="N120" i="11" s="1"/>
  <c r="N121" i="11" a="1"/>
  <c r="N121" i="11" s="1"/>
  <c r="N122" i="11" a="1"/>
  <c r="N122" i="11" s="1"/>
  <c r="N123" i="11" a="1"/>
  <c r="N123" i="11" s="1"/>
  <c r="N124" i="11" a="1"/>
  <c r="N124" i="11" s="1"/>
  <c r="N125" i="11" a="1"/>
  <c r="N125" i="11" s="1"/>
  <c r="N126" i="11" a="1"/>
  <c r="N126" i="11" s="1"/>
  <c r="N127" i="11" a="1"/>
  <c r="N127" i="11" s="1"/>
  <c r="N128" i="11" a="1"/>
  <c r="N128" i="11" s="1"/>
  <c r="N129" i="11" a="1"/>
  <c r="N129" i="11" s="1"/>
  <c r="N130" i="11" a="1"/>
  <c r="N130" i="11" s="1"/>
  <c r="N131" i="11" a="1"/>
  <c r="N131" i="11" s="1"/>
  <c r="N132" i="11" a="1"/>
  <c r="N132" i="11" s="1"/>
  <c r="N133" i="11" a="1"/>
  <c r="N133" i="11" s="1"/>
  <c r="N134" i="11" a="1"/>
  <c r="N134" i="11" s="1"/>
  <c r="N135" i="11" a="1"/>
  <c r="N135" i="11" s="1"/>
  <c r="N136" i="11" a="1"/>
  <c r="N136" i="11" s="1"/>
  <c r="N137" i="11" a="1"/>
  <c r="N137" i="11" s="1"/>
  <c r="N138" i="11" a="1"/>
  <c r="N138" i="11" s="1"/>
  <c r="N139" i="11" a="1"/>
  <c r="N139" i="11" s="1"/>
  <c r="N140" i="11" a="1"/>
  <c r="N140" i="11" s="1"/>
  <c r="N141" i="11" a="1"/>
  <c r="N141" i="11" s="1"/>
  <c r="N142" i="11" a="1"/>
  <c r="N142" i="11" s="1"/>
  <c r="N143" i="11" a="1"/>
  <c r="N143" i="11" s="1"/>
  <c r="N144" i="11" a="1"/>
  <c r="N144" i="11" s="1"/>
  <c r="N145" i="11" a="1"/>
  <c r="N145" i="11" s="1"/>
  <c r="N146" i="11" a="1"/>
  <c r="N146" i="11" s="1"/>
  <c r="N147" i="11" a="1"/>
  <c r="N147" i="11" s="1"/>
  <c r="N148" i="11" a="1"/>
  <c r="N148" i="11" s="1"/>
  <c r="N149" i="11" a="1"/>
  <c r="N149" i="11" s="1"/>
  <c r="N150" i="11" a="1"/>
  <c r="N150" i="11" s="1"/>
  <c r="N151" i="11" a="1"/>
  <c r="N151" i="11" s="1"/>
  <c r="N152" i="11" a="1"/>
  <c r="N152" i="11" s="1"/>
  <c r="N153" i="11" a="1"/>
  <c r="N153" i="11" s="1"/>
  <c r="N154" i="11" a="1"/>
  <c r="N154" i="11" s="1"/>
  <c r="N155" i="11" a="1"/>
  <c r="N155" i="11" s="1"/>
  <c r="N156" i="11" a="1"/>
  <c r="N156" i="11" s="1"/>
  <c r="N157" i="11" a="1"/>
  <c r="N157" i="11" s="1"/>
  <c r="N158" i="11" a="1"/>
  <c r="N158" i="11" s="1"/>
  <c r="N159" i="11" a="1"/>
  <c r="N159" i="11" s="1"/>
  <c r="N160" i="11" a="1"/>
  <c r="N160" i="11" s="1"/>
  <c r="N161" i="11" a="1"/>
  <c r="N161" i="11" s="1"/>
  <c r="N162" i="11" a="1"/>
  <c r="N162" i="11" s="1"/>
  <c r="N163" i="11" a="1"/>
  <c r="N163" i="11" s="1"/>
  <c r="N164" i="11" a="1"/>
  <c r="N164" i="11" s="1"/>
  <c r="N165" i="11" a="1"/>
  <c r="N165" i="11" s="1"/>
  <c r="N166" i="11" a="1"/>
  <c r="N166" i="11" s="1"/>
  <c r="N167" i="11" a="1"/>
  <c r="N167" i="11" s="1"/>
  <c r="N168" i="11" a="1"/>
  <c r="N168" i="11" s="1"/>
  <c r="N169" i="11" a="1"/>
  <c r="N169" i="11" s="1"/>
  <c r="N170" i="11" a="1"/>
  <c r="N170" i="11" s="1"/>
  <c r="N171" i="11" a="1"/>
  <c r="N171" i="11" s="1"/>
  <c r="N172" i="11" a="1"/>
  <c r="N172" i="11" s="1"/>
  <c r="N173" i="11" a="1"/>
  <c r="N173" i="11" s="1"/>
  <c r="N174" i="11" a="1"/>
  <c r="N174" i="11" s="1"/>
  <c r="N175" i="11" a="1"/>
  <c r="N175" i="11" s="1"/>
  <c r="N176" i="11" a="1"/>
  <c r="N176" i="11" s="1"/>
  <c r="N177" i="11" a="1"/>
  <c r="N177" i="11" s="1"/>
  <c r="N178" i="11" a="1"/>
  <c r="N178" i="11" s="1"/>
  <c r="N179" i="11" a="1"/>
  <c r="N179" i="11" s="1"/>
  <c r="N180" i="11" a="1"/>
  <c r="N180" i="11" s="1"/>
  <c r="N181" i="11" a="1"/>
  <c r="N181" i="11" s="1"/>
  <c r="N182" i="11" a="1"/>
  <c r="N182" i="11" s="1"/>
  <c r="N183" i="11" a="1"/>
  <c r="N183" i="11" s="1"/>
  <c r="N184" i="11" a="1"/>
  <c r="N184" i="11" s="1"/>
  <c r="N185" i="11" a="1"/>
  <c r="N185" i="11" s="1"/>
  <c r="N186" i="11" a="1"/>
  <c r="N186" i="11" s="1"/>
  <c r="N187" i="11" a="1"/>
  <c r="N187" i="11" s="1"/>
  <c r="N188" i="11" a="1"/>
  <c r="N188" i="11" s="1"/>
  <c r="N189" i="11" a="1"/>
  <c r="N189" i="11" s="1"/>
  <c r="N190" i="11" a="1"/>
  <c r="N190" i="11" s="1"/>
  <c r="N191" i="11" a="1"/>
  <c r="N191" i="11" s="1"/>
  <c r="N192" i="11" a="1"/>
  <c r="N192" i="11" s="1"/>
  <c r="N193" i="11" a="1"/>
  <c r="N193" i="11" s="1"/>
  <c r="N194" i="11" a="1"/>
  <c r="N194" i="11" s="1"/>
  <c r="N195" i="11" a="1"/>
  <c r="N195" i="11" s="1"/>
  <c r="N196" i="11" a="1"/>
  <c r="N196" i="11" s="1"/>
  <c r="N197" i="11" a="1"/>
  <c r="N197" i="11" s="1"/>
  <c r="N198" i="11" a="1"/>
  <c r="N198" i="11" s="1"/>
  <c r="N199" i="11" a="1"/>
  <c r="N199" i="11" s="1"/>
  <c r="N200" i="11" a="1"/>
  <c r="N200" i="11" s="1"/>
  <c r="N201" i="11" a="1"/>
  <c r="N201" i="11" s="1"/>
  <c r="N202" i="11" a="1"/>
  <c r="N202" i="11" s="1"/>
  <c r="N203" i="11" a="1"/>
  <c r="N203" i="11" s="1"/>
  <c r="N204" i="11" a="1"/>
  <c r="N204" i="11" s="1"/>
  <c r="N205" i="11" a="1"/>
  <c r="N205" i="11" s="1"/>
  <c r="N206" i="11" a="1"/>
  <c r="N206" i="11" s="1"/>
  <c r="N207" i="11" a="1"/>
  <c r="N207" i="11" s="1"/>
  <c r="N208" i="11" a="1"/>
  <c r="N208" i="11" s="1"/>
  <c r="N209" i="11" a="1"/>
  <c r="N209" i="11" s="1"/>
  <c r="N210" i="11" a="1"/>
  <c r="N210" i="11" s="1"/>
  <c r="N211" i="11" a="1"/>
  <c r="N211" i="11" s="1"/>
  <c r="N212" i="11" a="1"/>
  <c r="N212" i="11" s="1"/>
  <c r="N213" i="11" a="1"/>
  <c r="N213" i="11" s="1"/>
  <c r="N214" i="11" a="1"/>
  <c r="N214" i="11" s="1"/>
  <c r="N215" i="11" a="1"/>
  <c r="N215" i="11" s="1"/>
  <c r="N216" i="11" a="1"/>
  <c r="N216" i="11" s="1"/>
  <c r="N217" i="11" a="1"/>
  <c r="N217" i="11" s="1"/>
  <c r="N218" i="11" a="1"/>
  <c r="N218" i="11" s="1"/>
  <c r="N219" i="11" a="1"/>
  <c r="N219" i="11" s="1"/>
  <c r="N220" i="11" a="1"/>
  <c r="N220" i="11" s="1"/>
  <c r="N221" i="11" a="1"/>
  <c r="N221" i="11" s="1"/>
  <c r="N222" i="11" a="1"/>
  <c r="N222" i="11" s="1"/>
  <c r="N223" i="11" a="1"/>
  <c r="N223" i="11" s="1"/>
  <c r="N224" i="11" a="1"/>
  <c r="N224" i="11" s="1"/>
  <c r="N225" i="11" a="1"/>
  <c r="N225" i="11" s="1"/>
  <c r="N226" i="11" a="1"/>
  <c r="N226" i="11" s="1"/>
  <c r="N227" i="11" a="1"/>
  <c r="N227" i="11" s="1"/>
  <c r="N228" i="11" a="1"/>
  <c r="N228" i="11" s="1"/>
  <c r="N229" i="11" a="1"/>
  <c r="N229" i="11" s="1"/>
  <c r="N230" i="11" a="1"/>
  <c r="N230" i="11" s="1"/>
  <c r="N231" i="11" a="1"/>
  <c r="N231" i="11" s="1"/>
  <c r="N232" i="11" a="1"/>
  <c r="N232" i="11" s="1"/>
  <c r="N233" i="11" a="1"/>
  <c r="N233" i="11" s="1"/>
  <c r="N234" i="11" a="1"/>
  <c r="N234" i="11" s="1"/>
  <c r="N235" i="11" a="1"/>
  <c r="N235" i="11" s="1"/>
  <c r="N236" i="11" a="1"/>
  <c r="N236" i="11" s="1"/>
  <c r="N237" i="11" a="1"/>
  <c r="N237" i="11" s="1"/>
  <c r="N238" i="11" a="1"/>
  <c r="N238" i="11" s="1"/>
  <c r="N239" i="11" a="1"/>
  <c r="N239" i="11" s="1"/>
  <c r="N240" i="11" a="1"/>
  <c r="N240" i="11" s="1"/>
  <c r="N241" i="11" a="1"/>
  <c r="N241" i="11" s="1"/>
  <c r="N242" i="11" a="1"/>
  <c r="N242" i="11" s="1"/>
  <c r="N243" i="11" a="1"/>
  <c r="N243" i="11" s="1"/>
  <c r="N244" i="11" a="1"/>
  <c r="N244" i="11" s="1"/>
  <c r="N245" i="11" a="1"/>
  <c r="N245" i="11" s="1"/>
  <c r="N246" i="11" a="1"/>
  <c r="N246" i="11" s="1"/>
  <c r="N247" i="11" a="1"/>
  <c r="N247" i="11" s="1"/>
  <c r="N248" i="11" a="1"/>
  <c r="N248" i="11" s="1"/>
  <c r="N249" i="11" a="1"/>
  <c r="N249" i="11" s="1"/>
  <c r="N250" i="11" a="1"/>
  <c r="N250" i="11" s="1"/>
  <c r="N251" i="11" a="1"/>
  <c r="N251" i="11" s="1"/>
  <c r="N252" i="11" a="1"/>
  <c r="N252" i="11" s="1"/>
  <c r="N253" i="11" a="1"/>
  <c r="N253" i="11" s="1"/>
  <c r="N254" i="11" a="1"/>
  <c r="N254" i="11" s="1"/>
  <c r="N255" i="11" a="1"/>
  <c r="N255" i="11" s="1"/>
  <c r="N256" i="11" a="1"/>
  <c r="N256" i="11" s="1"/>
  <c r="N257" i="11" a="1"/>
  <c r="N257" i="11" s="1"/>
  <c r="N258" i="11" a="1"/>
  <c r="N258" i="11" s="1"/>
  <c r="N259" i="11" a="1"/>
  <c r="N259" i="11" s="1"/>
  <c r="N260" i="11" a="1"/>
  <c r="N260" i="11" s="1"/>
  <c r="N261" i="11" a="1"/>
  <c r="N261" i="11" s="1"/>
  <c r="N262" i="11" a="1"/>
  <c r="N262" i="11" s="1"/>
  <c r="N263" i="11" a="1"/>
  <c r="N263" i="11" s="1"/>
  <c r="N264" i="11" a="1"/>
  <c r="N264" i="11" s="1"/>
  <c r="N265" i="11" a="1"/>
  <c r="N265" i="11" s="1"/>
  <c r="N266" i="11" a="1"/>
  <c r="N266" i="11" s="1"/>
  <c r="N267" i="11" a="1"/>
  <c r="N267" i="11" s="1"/>
  <c r="N268" i="11" a="1"/>
  <c r="N268" i="11" s="1"/>
  <c r="N269" i="11" a="1"/>
  <c r="N269" i="11" s="1"/>
  <c r="N270" i="11" a="1"/>
  <c r="N270" i="11" s="1"/>
  <c r="N271" i="11" a="1"/>
  <c r="N271" i="11" s="1"/>
  <c r="N272" i="11" a="1"/>
  <c r="N272" i="11" s="1"/>
  <c r="N273" i="11" a="1"/>
  <c r="N273" i="11" s="1"/>
  <c r="N274" i="11" a="1"/>
  <c r="N274" i="11" s="1"/>
  <c r="N275" i="11" a="1"/>
  <c r="N275" i="11" s="1"/>
  <c r="N276" i="11" a="1"/>
  <c r="N276" i="11" s="1"/>
  <c r="N277" i="11" a="1"/>
  <c r="N277" i="11" s="1"/>
  <c r="N278" i="11" a="1"/>
  <c r="N278" i="11" s="1"/>
  <c r="N279" i="11" a="1"/>
  <c r="N279" i="11" s="1"/>
  <c r="N280" i="11" a="1"/>
  <c r="N280" i="11" s="1"/>
  <c r="N281" i="11" a="1"/>
  <c r="N281" i="11" s="1"/>
  <c r="N282" i="11" a="1"/>
  <c r="N282" i="11" s="1"/>
  <c r="N283" i="11" a="1"/>
  <c r="N283" i="11" s="1"/>
  <c r="N284" i="11" a="1"/>
  <c r="N284" i="11" s="1"/>
  <c r="N285" i="11" a="1"/>
  <c r="N285" i="11" s="1"/>
  <c r="N286" i="11" a="1"/>
  <c r="N286" i="11" s="1"/>
  <c r="N287" i="11" a="1"/>
  <c r="N287" i="11" s="1"/>
  <c r="N288" i="11" a="1"/>
  <c r="N288" i="11" s="1"/>
  <c r="N289" i="11" a="1"/>
  <c r="N289" i="11" s="1"/>
  <c r="N290" i="11" a="1"/>
  <c r="N290" i="11" s="1"/>
  <c r="N291" i="11" a="1"/>
  <c r="N291" i="11" s="1"/>
  <c r="N292" i="11" a="1"/>
  <c r="N292" i="11" s="1"/>
  <c r="N293" i="11" a="1"/>
  <c r="N293" i="11" s="1"/>
  <c r="N294" i="11" a="1"/>
  <c r="N294" i="11" s="1"/>
  <c r="N295" i="11" a="1"/>
  <c r="N295" i="11" s="1"/>
  <c r="N296" i="11" a="1"/>
  <c r="N296" i="11" s="1"/>
  <c r="N297" i="11" a="1"/>
  <c r="N297" i="11" s="1"/>
  <c r="N298" i="11" a="1"/>
  <c r="N298" i="11" s="1"/>
  <c r="N299" i="11" a="1"/>
  <c r="N299" i="11" s="1"/>
  <c r="N300" i="11" a="1"/>
  <c r="N300" i="11" s="1"/>
  <c r="N301" i="11" a="1"/>
  <c r="N301" i="11" s="1"/>
  <c r="N302" i="11" a="1"/>
  <c r="N302" i="11" s="1"/>
  <c r="N303" i="11" a="1"/>
  <c r="N303" i="11" s="1"/>
  <c r="N304" i="11" a="1"/>
  <c r="N304" i="11" s="1"/>
  <c r="N305" i="11" a="1"/>
  <c r="N305" i="11" s="1"/>
  <c r="N306" i="11" a="1"/>
  <c r="N306" i="11" s="1"/>
  <c r="N307" i="11" a="1"/>
  <c r="N307" i="11" s="1"/>
  <c r="N308" i="11" a="1"/>
  <c r="N308" i="11" s="1"/>
  <c r="N309" i="11" a="1"/>
  <c r="N309" i="11" s="1"/>
  <c r="N310" i="11" a="1"/>
  <c r="N310" i="11" s="1"/>
  <c r="N311" i="11" a="1"/>
  <c r="N311" i="11" s="1"/>
  <c r="N312" i="11" a="1"/>
  <c r="N312" i="11" s="1"/>
  <c r="N313" i="11" a="1"/>
  <c r="N313" i="11" s="1"/>
  <c r="N314" i="11" a="1"/>
  <c r="N314" i="11" s="1"/>
  <c r="N315" i="11" a="1"/>
  <c r="N315" i="11" s="1"/>
  <c r="N316" i="11" a="1"/>
  <c r="N316" i="11" s="1"/>
  <c r="N317" i="11" a="1"/>
  <c r="N317" i="11" s="1"/>
  <c r="N318" i="11" a="1"/>
  <c r="N318" i="11" s="1"/>
  <c r="N319" i="11" a="1"/>
  <c r="N319" i="11" s="1"/>
  <c r="N320" i="11" a="1"/>
  <c r="N320" i="11" s="1"/>
  <c r="N321" i="11" a="1"/>
  <c r="N321" i="11" s="1"/>
  <c r="N322" i="11" a="1"/>
  <c r="N322" i="11" s="1"/>
  <c r="N323" i="11" a="1"/>
  <c r="N323" i="11" s="1"/>
  <c r="N324" i="11" a="1"/>
  <c r="N324" i="11" s="1"/>
  <c r="N325" i="11" a="1"/>
  <c r="N325" i="11" s="1"/>
  <c r="N326" i="11" a="1"/>
  <c r="N326" i="11" s="1"/>
  <c r="N327" i="11" a="1"/>
  <c r="N327" i="11" s="1"/>
  <c r="N328" i="11" a="1"/>
  <c r="N328" i="11" s="1"/>
  <c r="N329" i="11" a="1"/>
  <c r="N329" i="11" s="1"/>
  <c r="N330" i="11" a="1"/>
  <c r="N330" i="11" s="1"/>
  <c r="N331" i="11" a="1"/>
  <c r="N331" i="11" s="1"/>
  <c r="N332" i="11" a="1"/>
  <c r="N332" i="11" s="1"/>
  <c r="N333" i="11" a="1"/>
  <c r="N333" i="11" s="1"/>
  <c r="N334" i="11" a="1"/>
  <c r="N334" i="11" s="1"/>
  <c r="N335" i="11" a="1"/>
  <c r="N335" i="11" s="1"/>
  <c r="N336" i="11" a="1"/>
  <c r="N336" i="11" s="1"/>
  <c r="N337" i="11" a="1"/>
  <c r="N337" i="11" s="1"/>
  <c r="N338" i="11" a="1"/>
  <c r="N338" i="11" s="1"/>
  <c r="N339" i="11" a="1"/>
  <c r="N339" i="11" s="1"/>
  <c r="N340" i="11" a="1"/>
  <c r="N340" i="11" s="1"/>
  <c r="N341" i="11" a="1"/>
  <c r="N341" i="11" s="1"/>
  <c r="N342" i="11" a="1"/>
  <c r="N342" i="11" s="1"/>
  <c r="N343" i="11" a="1"/>
  <c r="N343" i="11" s="1"/>
  <c r="N344" i="11" a="1"/>
  <c r="N344" i="11" s="1"/>
  <c r="N345" i="11" a="1"/>
  <c r="N345" i="11" s="1"/>
  <c r="N346" i="11" a="1"/>
  <c r="N346" i="11" s="1"/>
  <c r="N347" i="11" a="1"/>
  <c r="N347" i="11" s="1"/>
  <c r="N348" i="11" a="1"/>
  <c r="N348" i="11" s="1"/>
  <c r="N349" i="11" a="1"/>
  <c r="N349" i="11" s="1"/>
  <c r="N350" i="11" a="1"/>
  <c r="N350" i="11" s="1"/>
  <c r="N351" i="11" a="1"/>
  <c r="N351" i="11" s="1"/>
  <c r="N352" i="11" a="1"/>
  <c r="N352" i="11" s="1"/>
  <c r="N353" i="11" a="1"/>
  <c r="N353" i="11" s="1"/>
  <c r="N354" i="11" a="1"/>
  <c r="N354" i="11" s="1"/>
  <c r="N355" i="11" a="1"/>
  <c r="N355" i="11" s="1"/>
  <c r="N356" i="11" a="1"/>
  <c r="N356" i="11" s="1"/>
  <c r="N357" i="11" a="1"/>
  <c r="N357" i="11" s="1"/>
  <c r="N358" i="11" a="1"/>
  <c r="N358" i="11" s="1"/>
  <c r="N359" i="11" a="1"/>
  <c r="N359" i="11" s="1"/>
  <c r="N360" i="11" a="1"/>
  <c r="N360" i="11" s="1"/>
  <c r="N361" i="11" a="1"/>
  <c r="N361" i="11" s="1"/>
  <c r="N362" i="11" a="1"/>
  <c r="N362" i="11" s="1"/>
  <c r="N363" i="11" a="1"/>
  <c r="N363" i="11" s="1"/>
  <c r="N364" i="11" a="1"/>
  <c r="N364" i="11" s="1"/>
  <c r="N365" i="11" a="1"/>
  <c r="N365" i="11" s="1"/>
  <c r="N366" i="11" a="1"/>
  <c r="N366" i="11" s="1"/>
  <c r="N367" i="11" a="1"/>
  <c r="N367" i="11" s="1"/>
  <c r="N368" i="11" a="1"/>
  <c r="N368" i="11" s="1"/>
  <c r="N369" i="11" a="1"/>
  <c r="N369" i="11" s="1"/>
  <c r="N370" i="11" a="1"/>
  <c r="N370" i="11" s="1"/>
  <c r="N371" i="11" a="1"/>
  <c r="N371" i="11" s="1"/>
  <c r="N372" i="11" a="1"/>
  <c r="N372" i="11" s="1"/>
  <c r="N373" i="11" a="1"/>
  <c r="N373" i="11" s="1"/>
  <c r="N374" i="11" a="1"/>
  <c r="N374" i="11" s="1"/>
  <c r="N375" i="11" a="1"/>
  <c r="N375" i="11" s="1"/>
  <c r="N376" i="11" a="1"/>
  <c r="N376" i="11" s="1"/>
  <c r="N377" i="11" a="1"/>
  <c r="N377" i="11" s="1"/>
  <c r="N378" i="11" a="1"/>
  <c r="N378" i="11" s="1"/>
  <c r="N379" i="11" a="1"/>
  <c r="N379" i="11" s="1"/>
  <c r="N380" i="11" a="1"/>
  <c r="N380" i="11" s="1"/>
  <c r="N381" i="11" a="1"/>
  <c r="N381" i="11" s="1"/>
  <c r="N382" i="11" a="1"/>
  <c r="N382" i="11" s="1"/>
  <c r="N383" i="11" a="1"/>
  <c r="N383" i="11" s="1"/>
  <c r="N384" i="11" a="1"/>
  <c r="N384" i="11" s="1"/>
  <c r="N385" i="11" a="1"/>
  <c r="N385" i="11" s="1"/>
  <c r="N386" i="11" a="1"/>
  <c r="N386" i="11" s="1"/>
  <c r="N387" i="11" a="1"/>
  <c r="N387" i="11" s="1"/>
  <c r="N388" i="11" a="1"/>
  <c r="N388" i="11" s="1"/>
  <c r="N389" i="11" a="1"/>
  <c r="N389" i="11" s="1"/>
  <c r="N390" i="11" a="1"/>
  <c r="N390" i="11" s="1"/>
  <c r="N391" i="11" a="1"/>
  <c r="N391" i="11" s="1"/>
  <c r="N392" i="11" a="1"/>
  <c r="N392" i="11" s="1"/>
  <c r="N393" i="11" a="1"/>
  <c r="N393" i="11" s="1"/>
  <c r="N394" i="11" a="1"/>
  <c r="N394" i="11" s="1"/>
  <c r="N395" i="11" a="1"/>
  <c r="N395" i="11" s="1"/>
  <c r="N396" i="11" a="1"/>
  <c r="N396" i="11" s="1"/>
  <c r="N397" i="11" a="1"/>
  <c r="N397" i="11" s="1"/>
  <c r="N398" i="11" a="1"/>
  <c r="N398" i="11" s="1"/>
  <c r="N399" i="11" a="1"/>
  <c r="N399" i="11" s="1"/>
  <c r="N400" i="11" a="1"/>
  <c r="N400" i="11" s="1"/>
  <c r="N401" i="11" a="1"/>
  <c r="N401" i="11" s="1"/>
  <c r="N402" i="11" a="1"/>
  <c r="N402" i="11" s="1"/>
  <c r="N403" i="11" a="1"/>
  <c r="N403" i="11" s="1"/>
  <c r="N404" i="11" a="1"/>
  <c r="N404" i="11" s="1"/>
  <c r="N405" i="11" a="1"/>
  <c r="N405" i="11" s="1"/>
  <c r="N406" i="11" a="1"/>
  <c r="N406" i="11" s="1"/>
  <c r="N407" i="11" a="1"/>
  <c r="N407" i="11" s="1"/>
  <c r="N408" i="11" a="1"/>
  <c r="N408" i="11" s="1"/>
  <c r="N409" i="11" a="1"/>
  <c r="N409" i="11" s="1"/>
  <c r="N410" i="11" a="1"/>
  <c r="N410" i="11" s="1"/>
  <c r="N411" i="11" a="1"/>
  <c r="N411" i="11" s="1"/>
  <c r="N412" i="11" a="1"/>
  <c r="N412" i="11" s="1"/>
  <c r="N413" i="11" a="1"/>
  <c r="N413" i="11" s="1"/>
  <c r="N414" i="11" a="1"/>
  <c r="N414" i="11" s="1"/>
  <c r="N415" i="11" a="1"/>
  <c r="N415" i="11" s="1"/>
  <c r="N416" i="11" a="1"/>
  <c r="N416" i="11" s="1"/>
  <c r="N417" i="11" a="1"/>
  <c r="N417" i="11" s="1"/>
  <c r="N418" i="11" a="1"/>
  <c r="N418" i="11" s="1"/>
  <c r="N419" i="11" a="1"/>
  <c r="N419" i="11" s="1"/>
  <c r="N420" i="11" a="1"/>
  <c r="N420" i="11" s="1"/>
  <c r="N421" i="11" a="1"/>
  <c r="N421" i="11" s="1"/>
  <c r="N422" i="11" a="1"/>
  <c r="N422" i="11" s="1"/>
  <c r="N423" i="11" a="1"/>
  <c r="N423" i="11" s="1"/>
  <c r="N424" i="11" a="1"/>
  <c r="N424" i="11" s="1"/>
  <c r="N425" i="11" a="1"/>
  <c r="N425" i="11" s="1"/>
  <c r="N426" i="11" a="1"/>
  <c r="N426" i="11" s="1"/>
  <c r="N427" i="11" a="1"/>
  <c r="N427" i="11" s="1"/>
  <c r="N428" i="11" a="1"/>
  <c r="N428" i="11" s="1"/>
  <c r="N429" i="11" a="1"/>
  <c r="N429" i="11" s="1"/>
  <c r="N430" i="11" a="1"/>
  <c r="N430" i="11" s="1"/>
  <c r="N431" i="11" a="1"/>
  <c r="N431" i="11" s="1"/>
  <c r="N432" i="11" a="1"/>
  <c r="N432" i="11" s="1"/>
  <c r="N433" i="11" a="1"/>
  <c r="N433" i="11" s="1"/>
  <c r="N434" i="11" a="1"/>
  <c r="N434" i="11" s="1"/>
  <c r="N435" i="11" a="1"/>
  <c r="N435" i="11" s="1"/>
  <c r="N436" i="11" a="1"/>
  <c r="N436" i="11" s="1"/>
  <c r="N437" i="11" a="1"/>
  <c r="N437" i="11" s="1"/>
  <c r="N438" i="11" a="1"/>
  <c r="N438" i="11" s="1"/>
  <c r="N439" i="11" a="1"/>
  <c r="N439" i="11" s="1"/>
  <c r="N440" i="11" a="1"/>
  <c r="N440" i="11" s="1"/>
  <c r="N441" i="11" a="1"/>
  <c r="N441" i="11" s="1"/>
  <c r="N442" i="11" a="1"/>
  <c r="N442" i="11" s="1"/>
  <c r="N443" i="11" a="1"/>
  <c r="N443" i="11" s="1"/>
  <c r="N444" i="11" a="1"/>
  <c r="N444" i="11" s="1"/>
  <c r="N445" i="11" a="1"/>
  <c r="N445" i="11" s="1"/>
  <c r="N446" i="11" a="1"/>
  <c r="N446" i="11" s="1"/>
  <c r="N447" i="11" a="1"/>
  <c r="N447" i="11" s="1"/>
  <c r="N448" i="11" a="1"/>
  <c r="N448" i="11" s="1"/>
  <c r="N449" i="11" a="1"/>
  <c r="N449" i="11" s="1"/>
  <c r="N450" i="11" a="1"/>
  <c r="N450" i="11" s="1"/>
  <c r="N451" i="11" a="1"/>
  <c r="N451" i="11" s="1"/>
  <c r="N452" i="11" a="1"/>
  <c r="N452" i="11" s="1"/>
  <c r="N453" i="11" a="1"/>
  <c r="N453" i="11" s="1"/>
  <c r="N454" i="11" a="1"/>
  <c r="N454" i="11" s="1"/>
  <c r="N455" i="11" a="1"/>
  <c r="N455" i="11" s="1"/>
  <c r="N456" i="11" a="1"/>
  <c r="N456" i="11" s="1"/>
  <c r="N457" i="11" a="1"/>
  <c r="N457" i="11" s="1"/>
  <c r="N458" i="11" a="1"/>
  <c r="N458" i="11" s="1"/>
  <c r="N459" i="11" a="1"/>
  <c r="N459" i="11" s="1"/>
  <c r="N460" i="11" a="1"/>
  <c r="N460" i="11" s="1"/>
  <c r="N461" i="11" a="1"/>
  <c r="N461" i="11" s="1"/>
  <c r="N462" i="11" a="1"/>
  <c r="N462" i="11" s="1"/>
  <c r="N463" i="11" a="1"/>
  <c r="N463" i="11" s="1"/>
  <c r="N464" i="11" a="1"/>
  <c r="N464" i="11" s="1"/>
  <c r="N465" i="11" a="1"/>
  <c r="N465" i="11" s="1"/>
  <c r="N466" i="11" a="1"/>
  <c r="N466" i="11" s="1"/>
  <c r="N467" i="11" a="1"/>
  <c r="N467" i="11" s="1"/>
  <c r="N468" i="11" a="1"/>
  <c r="N468" i="11" s="1"/>
  <c r="N469" i="11" a="1"/>
  <c r="N469" i="11" s="1"/>
  <c r="N470" i="11" a="1"/>
  <c r="N470" i="11" s="1"/>
  <c r="N471" i="11" a="1"/>
  <c r="N471" i="11" s="1"/>
  <c r="N472" i="11" a="1"/>
  <c r="N472" i="11" s="1"/>
  <c r="N473" i="11" a="1"/>
  <c r="N473" i="11" s="1"/>
  <c r="N474" i="11" a="1"/>
  <c r="N474" i="11" s="1"/>
  <c r="N475" i="11" a="1"/>
  <c r="N475" i="11" s="1"/>
  <c r="N476" i="11" a="1"/>
  <c r="N476" i="11" s="1"/>
  <c r="N477" i="11" a="1"/>
  <c r="N477" i="11" s="1"/>
  <c r="N478" i="11" a="1"/>
  <c r="N478" i="11" s="1"/>
  <c r="N479" i="11" a="1"/>
  <c r="N479" i="11" s="1"/>
  <c r="N480" i="11" a="1"/>
  <c r="N480" i="11" s="1"/>
  <c r="N481" i="11" a="1"/>
  <c r="N481" i="11" s="1"/>
  <c r="N482" i="11" a="1"/>
  <c r="N482" i="11" s="1"/>
  <c r="N483" i="11" a="1"/>
  <c r="N483" i="11" s="1"/>
  <c r="N484" i="11" a="1"/>
  <c r="N484" i="11" s="1"/>
  <c r="N485" i="11" a="1"/>
  <c r="N485" i="11" s="1"/>
  <c r="N486" i="11" a="1"/>
  <c r="N486" i="11" s="1"/>
  <c r="N487" i="11" a="1"/>
  <c r="N487" i="11" s="1"/>
  <c r="N488" i="11" a="1"/>
  <c r="N488" i="11" s="1"/>
  <c r="N489" i="11" a="1"/>
  <c r="N489" i="11" s="1"/>
  <c r="N490" i="11" a="1"/>
  <c r="N490" i="11" s="1"/>
  <c r="N491" i="11" a="1"/>
  <c r="N491" i="11" s="1"/>
  <c r="N492" i="11" a="1"/>
  <c r="N492" i="11" s="1"/>
  <c r="N493" i="11" a="1"/>
  <c r="N493" i="11" s="1"/>
  <c r="N494" i="11" a="1"/>
  <c r="N494" i="11" s="1"/>
  <c r="N495" i="11" a="1"/>
  <c r="N495" i="11" s="1"/>
  <c r="N496" i="11" a="1"/>
  <c r="N496" i="11" s="1"/>
  <c r="N497" i="11" a="1"/>
  <c r="N497" i="11" s="1"/>
  <c r="N498" i="11" a="1"/>
  <c r="N498" i="11" s="1"/>
  <c r="N499" i="11" a="1"/>
  <c r="N499" i="11" s="1"/>
  <c r="N500" i="11" a="1"/>
  <c r="N500" i="11" s="1"/>
  <c r="N501" i="11" a="1"/>
  <c r="N501" i="11" s="1"/>
  <c r="N502" i="11" a="1"/>
  <c r="N502" i="11" s="1"/>
  <c r="N503" i="11" a="1"/>
  <c r="N503" i="11" s="1"/>
  <c r="N504" i="11" a="1"/>
  <c r="N504" i="11" s="1"/>
  <c r="N505" i="11" a="1"/>
  <c r="N505" i="11" s="1"/>
  <c r="N506" i="11" a="1"/>
  <c r="N506" i="11" s="1"/>
  <c r="N507" i="11" a="1"/>
  <c r="N507" i="11" s="1"/>
  <c r="N508" i="11" a="1"/>
  <c r="N508" i="11" s="1"/>
  <c r="N509" i="11" a="1"/>
  <c r="N509" i="11" s="1"/>
  <c r="N510" i="11" a="1"/>
  <c r="N510" i="11" s="1"/>
  <c r="N511" i="11" a="1"/>
  <c r="N511" i="11" s="1"/>
  <c r="N512" i="11" a="1"/>
  <c r="N512" i="11" s="1"/>
  <c r="N513" i="11" a="1"/>
  <c r="N513" i="11" s="1"/>
  <c r="N514" i="11" a="1"/>
  <c r="N514" i="11" s="1"/>
  <c r="N515" i="11" a="1"/>
  <c r="N515" i="11" s="1"/>
  <c r="N516" i="11" a="1"/>
  <c r="N516" i="11" s="1"/>
  <c r="N517" i="11" a="1"/>
  <c r="N517" i="11" s="1"/>
  <c r="N518" i="11" a="1"/>
  <c r="N518" i="11" s="1"/>
  <c r="N519" i="11" a="1"/>
  <c r="N519" i="11" s="1"/>
  <c r="N520" i="11" a="1"/>
  <c r="N520" i="11" s="1"/>
  <c r="N521" i="11" a="1"/>
  <c r="N521" i="11" s="1"/>
  <c r="N522" i="11" a="1"/>
  <c r="N522" i="11" s="1"/>
  <c r="N523" i="11" a="1"/>
  <c r="N523" i="11" s="1"/>
  <c r="N524" i="11" a="1"/>
  <c r="N524" i="11" s="1"/>
  <c r="N525" i="11" a="1"/>
  <c r="N525" i="11" s="1"/>
  <c r="N526" i="11" a="1"/>
  <c r="N526" i="11" s="1"/>
  <c r="N527" i="11" a="1"/>
  <c r="N527" i="11" s="1"/>
  <c r="N528" i="11" a="1"/>
  <c r="N528" i="11" s="1"/>
  <c r="N529" i="11" a="1"/>
  <c r="N529" i="11" s="1"/>
  <c r="N530" i="11" a="1"/>
  <c r="N530" i="11" s="1"/>
  <c r="N531" i="11" a="1"/>
  <c r="N531" i="11" s="1"/>
  <c r="N532" i="11" a="1"/>
  <c r="N532" i="11" s="1"/>
  <c r="N533" i="11" a="1"/>
  <c r="N533" i="11" s="1"/>
  <c r="N534" i="11" a="1"/>
  <c r="N534" i="11" s="1"/>
  <c r="N535" i="11" a="1"/>
  <c r="N535" i="11" s="1"/>
  <c r="N536" i="11" a="1"/>
  <c r="N536" i="11" s="1"/>
  <c r="N537" i="11" a="1"/>
  <c r="N537" i="11" s="1"/>
  <c r="N538" i="11" a="1"/>
  <c r="N538" i="11" s="1"/>
  <c r="N539" i="11" a="1"/>
  <c r="N539" i="11" s="1"/>
  <c r="N540" i="11" a="1"/>
  <c r="N540" i="11" s="1"/>
  <c r="N541" i="11" a="1"/>
  <c r="N541" i="11" s="1"/>
  <c r="N542" i="11" a="1"/>
  <c r="N542" i="11" s="1"/>
  <c r="N543" i="11" a="1"/>
  <c r="N543" i="11" s="1"/>
  <c r="N544" i="11" a="1"/>
  <c r="N544" i="11" s="1"/>
  <c r="N545" i="11" a="1"/>
  <c r="N545" i="11" s="1"/>
  <c r="N546" i="11" a="1"/>
  <c r="N546" i="11" s="1"/>
  <c r="N547" i="11" a="1"/>
  <c r="N547" i="11" s="1"/>
  <c r="N548" i="11" a="1"/>
  <c r="N548" i="11" s="1"/>
  <c r="N549" i="11" a="1"/>
  <c r="N549" i="11" s="1"/>
  <c r="N550" i="11" a="1"/>
  <c r="N550" i="11" s="1"/>
  <c r="N551" i="11" a="1"/>
  <c r="N551" i="11" s="1"/>
  <c r="N552" i="11" a="1"/>
  <c r="N552" i="11" s="1"/>
  <c r="N553" i="11" a="1"/>
  <c r="N553" i="11" s="1"/>
  <c r="N554" i="11" a="1"/>
  <c r="N554" i="11" s="1"/>
  <c r="N555" i="11" a="1"/>
  <c r="N555" i="11" s="1"/>
  <c r="N556" i="11" a="1"/>
  <c r="N556" i="11" s="1"/>
  <c r="N557" i="11" a="1"/>
  <c r="N557" i="11" s="1"/>
  <c r="N558" i="11" a="1"/>
  <c r="N558" i="11" s="1"/>
  <c r="N559" i="11" a="1"/>
  <c r="N559" i="11" s="1"/>
  <c r="N560" i="11" a="1"/>
  <c r="N560" i="11" s="1"/>
  <c r="N561" i="11" a="1"/>
  <c r="N561" i="11" s="1"/>
  <c r="N562" i="11" a="1"/>
  <c r="N562" i="11" s="1"/>
  <c r="N563" i="11" a="1"/>
  <c r="N563" i="11" s="1"/>
  <c r="N564" i="11" a="1"/>
  <c r="N564" i="11" s="1"/>
  <c r="N565" i="11" a="1"/>
  <c r="N565" i="11" s="1"/>
  <c r="N566" i="11" a="1"/>
  <c r="N566" i="11" s="1"/>
  <c r="N567" i="11" a="1"/>
  <c r="N567" i="11" s="1"/>
  <c r="N568" i="11" a="1"/>
  <c r="N568" i="11" s="1"/>
  <c r="N569" i="11" a="1"/>
  <c r="N569" i="11" s="1"/>
  <c r="N570" i="11" a="1"/>
  <c r="N570" i="11" s="1"/>
  <c r="N571" i="11" a="1"/>
  <c r="N571" i="11" s="1"/>
  <c r="N572" i="11" a="1"/>
  <c r="N572" i="11" s="1"/>
  <c r="N573" i="11" a="1"/>
  <c r="N573" i="11" s="1"/>
  <c r="N574" i="11" a="1"/>
  <c r="N574" i="11" s="1"/>
  <c r="N575" i="11" a="1"/>
  <c r="N575" i="11" s="1"/>
  <c r="N576" i="11" a="1"/>
  <c r="N576" i="11" s="1"/>
  <c r="N577" i="11" a="1"/>
  <c r="N577" i="11" s="1"/>
  <c r="N578" i="11" a="1"/>
  <c r="N578" i="11" s="1"/>
  <c r="N579" i="11" a="1"/>
  <c r="N579" i="11" s="1"/>
  <c r="N580" i="11" a="1"/>
  <c r="N580" i="11" s="1"/>
  <c r="N581" i="11" a="1"/>
  <c r="N581" i="11" s="1"/>
  <c r="N582" i="11" a="1"/>
  <c r="N582" i="11" s="1"/>
  <c r="N583" i="11" a="1"/>
  <c r="N583" i="11" s="1"/>
  <c r="N584" i="11" a="1"/>
  <c r="N584" i="11" s="1"/>
  <c r="N585" i="11" a="1"/>
  <c r="N585" i="11" s="1"/>
  <c r="N586" i="11" a="1"/>
  <c r="N586" i="11" s="1"/>
  <c r="N587" i="11" a="1"/>
  <c r="N587" i="11" s="1"/>
  <c r="N588" i="11" a="1"/>
  <c r="N588" i="11" s="1"/>
  <c r="N589" i="11" a="1"/>
  <c r="N589" i="11" s="1"/>
  <c r="N590" i="11" a="1"/>
  <c r="N590" i="11" s="1"/>
  <c r="N591" i="11" a="1"/>
  <c r="N591" i="11" s="1"/>
  <c r="N592" i="11" a="1"/>
  <c r="N592" i="11" s="1"/>
  <c r="N593" i="11" a="1"/>
  <c r="N593" i="11" s="1"/>
  <c r="N594" i="11" a="1"/>
  <c r="N594" i="11" s="1"/>
  <c r="N595" i="11" a="1"/>
  <c r="N595" i="11" s="1"/>
  <c r="N596" i="11" a="1"/>
  <c r="N596" i="11" s="1"/>
  <c r="N597" i="11" a="1"/>
  <c r="N597" i="11" s="1"/>
  <c r="N598" i="11" a="1"/>
  <c r="N598" i="11" s="1"/>
  <c r="N599" i="11" a="1"/>
  <c r="N599" i="11" s="1"/>
  <c r="N600" i="11" a="1"/>
  <c r="N600" i="11" s="1"/>
  <c r="N601" i="11" a="1"/>
  <c r="N601" i="11" s="1"/>
  <c r="N602" i="11" a="1"/>
  <c r="N602" i="11" s="1"/>
  <c r="N603" i="11" a="1"/>
  <c r="N603" i="11" s="1"/>
  <c r="N604" i="11" a="1"/>
  <c r="N604" i="11" s="1"/>
  <c r="N605" i="11" a="1"/>
  <c r="N605" i="11" s="1"/>
  <c r="N606" i="11" a="1"/>
  <c r="N606" i="11" s="1"/>
  <c r="N607" i="11" a="1"/>
  <c r="N607" i="11" s="1"/>
  <c r="N608" i="11" a="1"/>
  <c r="N608" i="11" s="1"/>
  <c r="N609" i="11" a="1"/>
  <c r="N609" i="11" s="1"/>
  <c r="N610" i="11" a="1"/>
  <c r="N610" i="11" s="1"/>
  <c r="N611" i="11" a="1"/>
  <c r="N611" i="11" s="1"/>
  <c r="N612" i="11" a="1"/>
  <c r="N612" i="11" s="1"/>
  <c r="N613" i="11" a="1"/>
  <c r="N613" i="11" s="1"/>
  <c r="N614" i="11" a="1"/>
  <c r="N614" i="11" s="1"/>
  <c r="N615" i="11" a="1"/>
  <c r="N615" i="11" s="1"/>
  <c r="N616" i="11" a="1"/>
  <c r="N616" i="11" s="1"/>
  <c r="N617" i="11" a="1"/>
  <c r="N617" i="11" s="1"/>
  <c r="N618" i="11" a="1"/>
  <c r="N618" i="11" s="1"/>
  <c r="N619" i="11" a="1"/>
  <c r="N619" i="11" s="1"/>
  <c r="N620" i="11" a="1"/>
  <c r="N620" i="11" s="1"/>
  <c r="N621" i="11" a="1"/>
  <c r="N621" i="11" s="1"/>
  <c r="N622" i="11" a="1"/>
  <c r="N622" i="11" s="1"/>
  <c r="N623" i="11" a="1"/>
  <c r="N623" i="11" s="1"/>
  <c r="N624" i="11" a="1"/>
  <c r="N624" i="11" s="1"/>
  <c r="N625" i="11" a="1"/>
  <c r="N625" i="11" s="1"/>
  <c r="N626" i="11" a="1"/>
  <c r="N626" i="11" s="1"/>
  <c r="N627" i="11" a="1"/>
  <c r="N627" i="11" s="1"/>
  <c r="N628" i="11" a="1"/>
  <c r="N628" i="11" s="1"/>
  <c r="N629" i="11" a="1"/>
  <c r="N629" i="11" s="1"/>
  <c r="N630" i="11" a="1"/>
  <c r="N630" i="11" s="1"/>
  <c r="N631" i="11" a="1"/>
  <c r="N631" i="11" s="1"/>
  <c r="N632" i="11" a="1"/>
  <c r="N632" i="11" s="1"/>
  <c r="N633" i="11" a="1"/>
  <c r="N633" i="11" s="1"/>
  <c r="N634" i="11" a="1"/>
  <c r="N634" i="11" s="1"/>
  <c r="N635" i="11" a="1"/>
  <c r="N635" i="11" s="1"/>
  <c r="N636" i="11" a="1"/>
  <c r="N636" i="11" s="1"/>
  <c r="N637" i="11" a="1"/>
  <c r="N637" i="11" s="1"/>
  <c r="N638" i="11" a="1"/>
  <c r="N638" i="11" s="1"/>
  <c r="N639" i="11" a="1"/>
  <c r="N639" i="11" s="1"/>
  <c r="N640" i="11" a="1"/>
  <c r="N640" i="11" s="1"/>
  <c r="N641" i="11" a="1"/>
  <c r="N641" i="11" s="1"/>
  <c r="N642" i="11" a="1"/>
  <c r="N642" i="11" s="1"/>
  <c r="N643" i="11" a="1"/>
  <c r="N643" i="11" s="1"/>
  <c r="N644" i="11" a="1"/>
  <c r="N644" i="11" s="1"/>
  <c r="N645" i="11" a="1"/>
  <c r="N645" i="11" s="1"/>
  <c r="N646" i="11" a="1"/>
  <c r="N646" i="11" s="1"/>
  <c r="N647" i="11" a="1"/>
  <c r="N647" i="11" s="1"/>
  <c r="N648" i="11" a="1"/>
  <c r="N648" i="11" s="1"/>
  <c r="N649" i="11" a="1"/>
  <c r="N649" i="11" s="1"/>
  <c r="N650" i="11" a="1"/>
  <c r="N650" i="11" s="1"/>
  <c r="N651" i="11" a="1"/>
  <c r="N651" i="11" s="1"/>
  <c r="N652" i="11" a="1"/>
  <c r="N652" i="11" s="1"/>
  <c r="N653" i="11" a="1"/>
  <c r="N653" i="11" s="1"/>
  <c r="N654" i="11" a="1"/>
  <c r="N654" i="11" s="1"/>
  <c r="N655" i="11" a="1"/>
  <c r="N655" i="11" s="1"/>
  <c r="N656" i="11" a="1"/>
  <c r="N656" i="11" s="1"/>
  <c r="N657" i="11" a="1"/>
  <c r="N657" i="11" s="1"/>
  <c r="N658" i="11" a="1"/>
  <c r="N658" i="11" s="1"/>
  <c r="N659" i="11" a="1"/>
  <c r="N659" i="11" s="1"/>
  <c r="N660" i="11" a="1"/>
  <c r="N660" i="11" s="1"/>
  <c r="N661" i="11" a="1"/>
  <c r="N661" i="11" s="1"/>
  <c r="N662" i="11" a="1"/>
  <c r="N662" i="11" s="1"/>
  <c r="N663" i="11" a="1"/>
  <c r="N663" i="11" s="1"/>
  <c r="N664" i="11" a="1"/>
  <c r="N664" i="11" s="1"/>
  <c r="N665" i="11" a="1"/>
  <c r="N665" i="11" s="1"/>
  <c r="N666" i="11" a="1"/>
  <c r="N666" i="11" s="1"/>
  <c r="N667" i="11" a="1"/>
  <c r="N667" i="11" s="1"/>
  <c r="N668" i="11" a="1"/>
  <c r="N668" i="11" s="1"/>
  <c r="N669" i="11" a="1"/>
  <c r="N669" i="11" s="1"/>
  <c r="N670" i="11" a="1"/>
  <c r="N670" i="11" s="1"/>
  <c r="N671" i="11" a="1"/>
  <c r="N671" i="11" s="1"/>
  <c r="N672" i="11" a="1"/>
  <c r="N672" i="11" s="1"/>
  <c r="N673" i="11" a="1"/>
  <c r="N673" i="11" s="1"/>
  <c r="N674" i="11" a="1"/>
  <c r="N674" i="11" s="1"/>
  <c r="N675" i="11" a="1"/>
  <c r="N675" i="11" s="1"/>
  <c r="N676" i="11" a="1"/>
  <c r="N676" i="11" s="1"/>
  <c r="N677" i="11" a="1"/>
  <c r="N677" i="11" s="1"/>
  <c r="N678" i="11" a="1"/>
  <c r="N678" i="11" s="1"/>
  <c r="N679" i="11" a="1"/>
  <c r="N679" i="11" s="1"/>
  <c r="N680" i="11" a="1"/>
  <c r="N680" i="11" s="1"/>
  <c r="N681" i="11" a="1"/>
  <c r="N681" i="11" s="1"/>
  <c r="N682" i="11" a="1"/>
  <c r="N682" i="11" s="1"/>
  <c r="N683" i="11" a="1"/>
  <c r="N683" i="11" s="1"/>
  <c r="N684" i="11" a="1"/>
  <c r="N684" i="11" s="1"/>
  <c r="N685" i="11" a="1"/>
  <c r="N685" i="11" s="1"/>
  <c r="N686" i="11" a="1"/>
  <c r="N686" i="11" s="1"/>
  <c r="N687" i="11" a="1"/>
  <c r="N687" i="11" s="1"/>
  <c r="N688" i="11" a="1"/>
  <c r="N688" i="11" s="1"/>
  <c r="N689" i="11" a="1"/>
  <c r="N689" i="11" s="1"/>
  <c r="N690" i="11" a="1"/>
  <c r="N690" i="11" s="1"/>
  <c r="N691" i="11" a="1"/>
  <c r="N691" i="11" s="1"/>
  <c r="N692" i="11" a="1"/>
  <c r="N692" i="11" s="1"/>
  <c r="N693" i="11" a="1"/>
  <c r="N693" i="11" s="1"/>
  <c r="N694" i="11" a="1"/>
  <c r="N694" i="11" s="1"/>
  <c r="N695" i="11" a="1"/>
  <c r="N695" i="11" s="1"/>
  <c r="N696" i="11" a="1"/>
  <c r="N696" i="11" s="1"/>
  <c r="N697" i="11" a="1"/>
  <c r="N697" i="11" s="1"/>
  <c r="N698" i="11" a="1"/>
  <c r="N698" i="11" s="1"/>
  <c r="N699" i="11" a="1"/>
  <c r="N699" i="11" s="1"/>
  <c r="N700" i="11" a="1"/>
  <c r="N700" i="11" s="1"/>
  <c r="N701" i="11" a="1"/>
  <c r="N701" i="11" s="1"/>
  <c r="N702" i="11" a="1"/>
  <c r="N702" i="11" s="1"/>
  <c r="N703" i="11" a="1"/>
  <c r="N703" i="11" s="1"/>
  <c r="N704" i="11" a="1"/>
  <c r="N704" i="11" s="1"/>
  <c r="N705" i="11" a="1"/>
  <c r="N705" i="11" s="1"/>
  <c r="N706" i="11" a="1"/>
  <c r="N706" i="11" s="1"/>
  <c r="N707" i="11" a="1"/>
  <c r="N707" i="11" s="1"/>
  <c r="N708" i="11" a="1"/>
  <c r="N708" i="11" s="1"/>
  <c r="N709" i="11" a="1"/>
  <c r="N709" i="11" s="1"/>
  <c r="N710" i="11" a="1"/>
  <c r="N710" i="11" s="1"/>
  <c r="N711" i="11" a="1"/>
  <c r="N711" i="11" s="1"/>
  <c r="N712" i="11" a="1"/>
  <c r="N712" i="11" s="1"/>
  <c r="N713" i="11" a="1"/>
  <c r="N713" i="11" s="1"/>
  <c r="N714" i="11" a="1"/>
  <c r="N714" i="11" s="1"/>
  <c r="N715" i="11" a="1"/>
  <c r="N715" i="11" s="1"/>
  <c r="N716" i="11" a="1"/>
  <c r="N716" i="11" s="1"/>
  <c r="N717" i="11" a="1"/>
  <c r="N717" i="11" s="1"/>
  <c r="N718" i="11" a="1"/>
  <c r="N718" i="11" s="1"/>
  <c r="N719" i="11" a="1"/>
  <c r="N719" i="11" s="1"/>
  <c r="N720" i="11" a="1"/>
  <c r="N720" i="11" s="1"/>
  <c r="N721" i="11" a="1"/>
  <c r="N721" i="11" s="1"/>
  <c r="N722" i="11" a="1"/>
  <c r="N722" i="11" s="1"/>
  <c r="N723" i="11" a="1"/>
  <c r="N723" i="11" s="1"/>
  <c r="N724" i="11" a="1"/>
  <c r="N724" i="11" s="1"/>
  <c r="N725" i="11" a="1"/>
  <c r="N725" i="11" s="1"/>
  <c r="N726" i="11" a="1"/>
  <c r="N726" i="11" s="1"/>
  <c r="N727" i="11" a="1"/>
  <c r="N727" i="11" s="1"/>
  <c r="N728" i="11" a="1"/>
  <c r="N728" i="11" s="1"/>
  <c r="N729" i="11" a="1"/>
  <c r="N729" i="11" s="1"/>
  <c r="N730" i="11" a="1"/>
  <c r="N730" i="11" s="1"/>
  <c r="N731" i="11" a="1"/>
  <c r="N731" i="11" s="1"/>
  <c r="N732" i="11" a="1"/>
  <c r="N732" i="11" s="1"/>
  <c r="N733" i="11" a="1"/>
  <c r="N733" i="11" s="1"/>
  <c r="N734" i="11" a="1"/>
  <c r="N734" i="11" s="1"/>
  <c r="N735" i="11" a="1"/>
  <c r="N735" i="11" s="1"/>
  <c r="N736" i="11" a="1"/>
  <c r="N736" i="11" s="1"/>
  <c r="N737" i="11" a="1"/>
  <c r="N737" i="11" s="1"/>
  <c r="N738" i="11" a="1"/>
  <c r="N738" i="11" s="1"/>
  <c r="N739" i="11" a="1"/>
  <c r="N739" i="11" s="1"/>
  <c r="N740" i="11" a="1"/>
  <c r="N740" i="11" s="1"/>
  <c r="N741" i="11" a="1"/>
  <c r="N741" i="11" s="1"/>
  <c r="N742" i="11" a="1"/>
  <c r="N742" i="11" s="1"/>
  <c r="N743" i="11" a="1"/>
  <c r="N743" i="11" s="1"/>
  <c r="N744" i="11" a="1"/>
  <c r="N744" i="11" s="1"/>
  <c r="N745" i="11" a="1"/>
  <c r="N745" i="11" s="1"/>
  <c r="N746" i="11" a="1"/>
  <c r="N746" i="11" s="1"/>
  <c r="N747" i="11" a="1"/>
  <c r="N747" i="11" s="1"/>
  <c r="N748" i="11" a="1"/>
  <c r="N748" i="11" s="1"/>
  <c r="N749" i="11" a="1"/>
  <c r="N749" i="11" s="1"/>
  <c r="N750" i="11" a="1"/>
  <c r="N750" i="11" s="1"/>
  <c r="N751" i="11" a="1"/>
  <c r="N751" i="11" s="1"/>
  <c r="N752" i="11" a="1"/>
  <c r="N752" i="11" s="1"/>
  <c r="N753" i="11" a="1"/>
  <c r="N753" i="11" s="1"/>
  <c r="N754" i="11" a="1"/>
  <c r="N754" i="11" s="1"/>
  <c r="N755" i="11" a="1"/>
  <c r="N755" i="11" s="1"/>
  <c r="N756" i="11" a="1"/>
  <c r="N756" i="11" s="1"/>
  <c r="N757" i="11" a="1"/>
  <c r="N757" i="11" s="1"/>
  <c r="N758" i="11" a="1"/>
  <c r="N758" i="11" s="1"/>
  <c r="N759" i="11" a="1"/>
  <c r="N759" i="11" s="1"/>
  <c r="N760" i="11" a="1"/>
  <c r="N760" i="11" s="1"/>
  <c r="N761" i="11" a="1"/>
  <c r="N761" i="11" s="1"/>
  <c r="N762" i="11" a="1"/>
  <c r="N762" i="11" s="1"/>
  <c r="N763" i="11" a="1"/>
  <c r="N763" i="11" s="1"/>
  <c r="N764" i="11" a="1"/>
  <c r="N764" i="11" s="1"/>
  <c r="N765" i="11" a="1"/>
  <c r="N765" i="11" s="1"/>
  <c r="N766" i="11" a="1"/>
  <c r="N766" i="11" s="1"/>
  <c r="N767" i="11" a="1"/>
  <c r="N767" i="11" s="1"/>
  <c r="N768" i="11" a="1"/>
  <c r="N768" i="11" s="1"/>
  <c r="N769" i="11" a="1"/>
  <c r="N769" i="11" s="1"/>
  <c r="N770" i="11" a="1"/>
  <c r="N770" i="11" s="1"/>
  <c r="N771" i="11" a="1"/>
  <c r="N771" i="11" s="1"/>
  <c r="N772" i="11" a="1"/>
  <c r="N772" i="11" s="1"/>
  <c r="N773" i="11" a="1"/>
  <c r="N773" i="11" s="1"/>
  <c r="N774" i="11" a="1"/>
  <c r="N774" i="11" s="1"/>
  <c r="N775" i="11" a="1"/>
  <c r="N775" i="11" s="1"/>
  <c r="N776" i="11" a="1"/>
  <c r="N776" i="11" s="1"/>
  <c r="N777" i="11" a="1"/>
  <c r="N777" i="11" s="1"/>
  <c r="N778" i="11" a="1"/>
  <c r="N778" i="11" s="1"/>
  <c r="N779" i="11" a="1"/>
  <c r="N779" i="11" s="1"/>
  <c r="N780" i="11" a="1"/>
  <c r="N780" i="11" s="1"/>
  <c r="N781" i="11" a="1"/>
  <c r="N781" i="11" s="1"/>
  <c r="N782" i="11" a="1"/>
  <c r="N782" i="11" s="1"/>
  <c r="N783" i="11" a="1"/>
  <c r="N783" i="11" s="1"/>
  <c r="N784" i="11" a="1"/>
  <c r="N784" i="11" s="1"/>
  <c r="N785" i="11" a="1"/>
  <c r="N785" i="11" s="1"/>
  <c r="N786" i="11" a="1"/>
  <c r="N786" i="11" s="1"/>
  <c r="N787" i="11" a="1"/>
  <c r="N787" i="11" s="1"/>
  <c r="N788" i="11" a="1"/>
  <c r="N788" i="11" s="1"/>
  <c r="N789" i="11" a="1"/>
  <c r="N789" i="11" s="1"/>
  <c r="N790" i="11" a="1"/>
  <c r="N790" i="11" s="1"/>
  <c r="N791" i="11" a="1"/>
  <c r="N791" i="11" s="1"/>
  <c r="N792" i="11" a="1"/>
  <c r="N792" i="11" s="1"/>
  <c r="N793" i="11" a="1"/>
  <c r="N793" i="11" s="1"/>
  <c r="N794" i="11" a="1"/>
  <c r="N794" i="11" s="1"/>
  <c r="N795" i="11" a="1"/>
  <c r="N795" i="11" s="1"/>
  <c r="N796" i="11" a="1"/>
  <c r="N796" i="11" s="1"/>
  <c r="N797" i="11" a="1"/>
  <c r="N797" i="11" s="1"/>
  <c r="N798" i="11" a="1"/>
  <c r="N798" i="11" s="1"/>
  <c r="N799" i="11" a="1"/>
  <c r="N799" i="11" s="1"/>
  <c r="N800" i="11" a="1"/>
  <c r="N800" i="11" s="1"/>
  <c r="N801" i="11" a="1"/>
  <c r="N801" i="11" s="1"/>
  <c r="N802" i="11" a="1"/>
  <c r="N802" i="11" s="1"/>
  <c r="N803" i="11" a="1"/>
  <c r="N803" i="11" s="1"/>
  <c r="N804" i="11" a="1"/>
  <c r="N804" i="11" s="1"/>
  <c r="N805" i="11" a="1"/>
  <c r="N805" i="11" s="1"/>
  <c r="N806" i="11" a="1"/>
  <c r="N806" i="11" s="1"/>
  <c r="N807" i="11" a="1"/>
  <c r="N807" i="11" s="1"/>
  <c r="N808" i="11" a="1"/>
  <c r="N808" i="11" s="1"/>
  <c r="N809" i="11" a="1"/>
  <c r="N809" i="11" s="1"/>
  <c r="N810" i="11" a="1"/>
  <c r="N810" i="11" s="1"/>
  <c r="N811" i="11" a="1"/>
  <c r="N811" i="11" s="1"/>
  <c r="N812" i="11" a="1"/>
  <c r="N812" i="11" s="1"/>
  <c r="N813" i="11" a="1"/>
  <c r="N813" i="11" s="1"/>
  <c r="N814" i="11" a="1"/>
  <c r="N814" i="11" s="1"/>
  <c r="N815" i="11" a="1"/>
  <c r="N815" i="11" s="1"/>
  <c r="N816" i="11" a="1"/>
  <c r="N816" i="11" s="1"/>
  <c r="N817" i="11" a="1"/>
  <c r="N817" i="11" s="1"/>
  <c r="N818" i="11" a="1"/>
  <c r="N818" i="11" s="1"/>
  <c r="N819" i="11" a="1"/>
  <c r="N819" i="11" s="1"/>
  <c r="N820" i="11" a="1"/>
  <c r="N820" i="11" s="1"/>
  <c r="N821" i="11" a="1"/>
  <c r="N821" i="11" s="1"/>
  <c r="N822" i="11" a="1"/>
  <c r="N822" i="11" s="1"/>
  <c r="N823" i="11" a="1"/>
  <c r="N823" i="11" s="1"/>
  <c r="N824" i="11" a="1"/>
  <c r="N824" i="11" s="1"/>
  <c r="N825" i="11" a="1"/>
  <c r="N825" i="11" s="1"/>
  <c r="N826" i="11" a="1"/>
  <c r="N826" i="11" s="1"/>
  <c r="N827" i="11" a="1"/>
  <c r="N827" i="11" s="1"/>
  <c r="N828" i="11" a="1"/>
  <c r="N828" i="11" s="1"/>
  <c r="N829" i="11" a="1"/>
  <c r="N829" i="11" s="1"/>
  <c r="N830" i="11" a="1"/>
  <c r="N830" i="11" s="1"/>
  <c r="N831" i="11" a="1"/>
  <c r="N831" i="11" s="1"/>
  <c r="N832" i="11" a="1"/>
  <c r="N832" i="11" s="1"/>
  <c r="N833" i="11" a="1"/>
  <c r="N833" i="11" s="1"/>
  <c r="N834" i="11" a="1"/>
  <c r="N834" i="11" s="1"/>
  <c r="N835" i="11" a="1"/>
  <c r="N835" i="11" s="1"/>
  <c r="N836" i="11" a="1"/>
  <c r="N836" i="11" s="1"/>
  <c r="N837" i="11" a="1"/>
  <c r="N837" i="11" s="1"/>
  <c r="N838" i="11" a="1"/>
  <c r="N838" i="11" s="1"/>
  <c r="N839" i="11" a="1"/>
  <c r="N839" i="11" s="1"/>
  <c r="N840" i="11" a="1"/>
  <c r="N840" i="11" s="1"/>
  <c r="N841" i="11" a="1"/>
  <c r="N841" i="11" s="1"/>
  <c r="N842" i="11" a="1"/>
  <c r="N842" i="11" s="1"/>
  <c r="N843" i="11" a="1"/>
  <c r="N843" i="11" s="1"/>
  <c r="N844" i="11" a="1"/>
  <c r="N844" i="11" s="1"/>
  <c r="N845" i="11" a="1"/>
  <c r="N845" i="11" s="1"/>
  <c r="N846" i="11" a="1"/>
  <c r="N846" i="11" s="1"/>
  <c r="N847" i="11" a="1"/>
  <c r="N847" i="11" s="1"/>
  <c r="N848" i="11" a="1"/>
  <c r="N848" i="11" s="1"/>
  <c r="N849" i="11" a="1"/>
  <c r="N849" i="11" s="1"/>
  <c r="N850" i="11" a="1"/>
  <c r="N850" i="11" s="1"/>
  <c r="N851" i="11" a="1"/>
  <c r="N851" i="11" s="1"/>
  <c r="N852" i="11" a="1"/>
  <c r="N852" i="11" s="1"/>
  <c r="N853" i="11" a="1"/>
  <c r="N853" i="11" s="1"/>
  <c r="N854" i="11" a="1"/>
  <c r="N854" i="11" s="1"/>
  <c r="N855" i="11" a="1"/>
  <c r="N855" i="11" s="1"/>
  <c r="N856" i="11" a="1"/>
  <c r="N856" i="11" s="1"/>
  <c r="N857" i="11" a="1"/>
  <c r="N857" i="11" s="1"/>
  <c r="N858" i="11" a="1"/>
  <c r="N858" i="11" s="1"/>
  <c r="N859" i="11" a="1"/>
  <c r="N859" i="11" s="1"/>
  <c r="N860" i="11" a="1"/>
  <c r="N860" i="11" s="1"/>
  <c r="N861" i="11" a="1"/>
  <c r="N861" i="11" s="1"/>
  <c r="N862" i="11" a="1"/>
  <c r="N862" i="11" s="1"/>
  <c r="N863" i="11" a="1"/>
  <c r="N863" i="11" s="1"/>
  <c r="N864" i="11" a="1"/>
  <c r="N864" i="11" s="1"/>
  <c r="N865" i="11" a="1"/>
  <c r="N865" i="11" s="1"/>
  <c r="N866" i="11" a="1"/>
  <c r="N866" i="11" s="1"/>
  <c r="N867" i="11" a="1"/>
  <c r="N867" i="11" s="1"/>
  <c r="N868" i="11" a="1"/>
  <c r="N868" i="11" s="1"/>
  <c r="N869" i="11" a="1"/>
  <c r="N869" i="11" s="1"/>
  <c r="N870" i="11" a="1"/>
  <c r="N870" i="11" s="1"/>
  <c r="N871" i="11" a="1"/>
  <c r="N871" i="11" s="1"/>
  <c r="N872" i="11" a="1"/>
  <c r="N872" i="11" s="1"/>
  <c r="N873" i="11" a="1"/>
  <c r="N873" i="11" s="1"/>
  <c r="N874" i="11" a="1"/>
  <c r="N874" i="11" s="1"/>
  <c r="N875" i="11" a="1"/>
  <c r="N875" i="11" s="1"/>
  <c r="N876" i="11" a="1"/>
  <c r="N876" i="11" s="1"/>
  <c r="N877" i="11" a="1"/>
  <c r="N877" i="11" s="1"/>
  <c r="N878" i="11" a="1"/>
  <c r="N878" i="11" s="1"/>
  <c r="N879" i="11" a="1"/>
  <c r="N879" i="11" s="1"/>
  <c r="N880" i="11" a="1"/>
  <c r="N880" i="11" s="1"/>
  <c r="N881" i="11" a="1"/>
  <c r="N881" i="11" s="1"/>
  <c r="N882" i="11" a="1"/>
  <c r="N882" i="11" s="1"/>
  <c r="N883" i="11" a="1"/>
  <c r="N883" i="11" s="1"/>
  <c r="N884" i="11" a="1"/>
  <c r="N884" i="11" s="1"/>
  <c r="N885" i="11" a="1"/>
  <c r="N885" i="11" s="1"/>
  <c r="N886" i="11" a="1"/>
  <c r="N886" i="11" s="1"/>
  <c r="N887" i="11" a="1"/>
  <c r="N887" i="11" s="1"/>
  <c r="N888" i="11" a="1"/>
  <c r="N888" i="11" s="1"/>
  <c r="N889" i="11" a="1"/>
  <c r="N889" i="11" s="1"/>
  <c r="N890" i="11" a="1"/>
  <c r="N890" i="11" s="1"/>
  <c r="N891" i="11" a="1"/>
  <c r="N891" i="11" s="1"/>
  <c r="N892" i="11" a="1"/>
  <c r="N892" i="11" s="1"/>
  <c r="N893" i="11" a="1"/>
  <c r="N893" i="11" s="1"/>
  <c r="N894" i="11" a="1"/>
  <c r="N894" i="11" s="1"/>
  <c r="N895" i="11" a="1"/>
  <c r="N895" i="11" s="1"/>
  <c r="N896" i="11" a="1"/>
  <c r="N896" i="11" s="1"/>
  <c r="N897" i="11" a="1"/>
  <c r="N897" i="11" s="1"/>
  <c r="N898" i="11" a="1"/>
  <c r="N898" i="11" s="1"/>
  <c r="N899" i="11" a="1"/>
  <c r="N899" i="11" s="1"/>
  <c r="N900" i="11" a="1"/>
  <c r="N900" i="11" s="1"/>
  <c r="N901" i="11" a="1"/>
  <c r="N901" i="11" s="1"/>
  <c r="N902" i="11" a="1"/>
  <c r="N902" i="11" s="1"/>
  <c r="N903" i="11" a="1"/>
  <c r="N903" i="11" s="1"/>
  <c r="N904" i="11" a="1"/>
  <c r="N904" i="11" s="1"/>
  <c r="N905" i="11" a="1"/>
  <c r="N905" i="11" s="1"/>
  <c r="N906" i="11" a="1"/>
  <c r="N906" i="11" s="1"/>
  <c r="N907" i="11" a="1"/>
  <c r="N907" i="11" s="1"/>
  <c r="N908" i="11" a="1"/>
  <c r="N908" i="11" s="1"/>
  <c r="N909" i="11" a="1"/>
  <c r="N909" i="11" s="1"/>
  <c r="N910" i="11" a="1"/>
  <c r="N910" i="11" s="1"/>
  <c r="N911" i="11" a="1"/>
  <c r="N911" i="11" s="1"/>
  <c r="N912" i="11" a="1"/>
  <c r="N912" i="11" s="1"/>
  <c r="N913" i="11" a="1"/>
  <c r="N913" i="11" s="1"/>
  <c r="N914" i="11" a="1"/>
  <c r="N914" i="11" s="1"/>
  <c r="N915" i="11" a="1"/>
  <c r="N915" i="11" s="1"/>
  <c r="N916" i="11" a="1"/>
  <c r="N916" i="11" s="1"/>
  <c r="N917" i="11" a="1"/>
  <c r="N917" i="11" s="1"/>
  <c r="N918" i="11" a="1"/>
  <c r="N918" i="11" s="1"/>
  <c r="N919" i="11" a="1"/>
  <c r="N919" i="11" s="1"/>
  <c r="N920" i="11" a="1"/>
  <c r="N920" i="11" s="1"/>
  <c r="N921" i="11" a="1"/>
  <c r="N921" i="11" s="1"/>
  <c r="N922" i="11" a="1"/>
  <c r="N922" i="11" s="1"/>
  <c r="N923" i="11" a="1"/>
  <c r="N923" i="11" s="1"/>
  <c r="N924" i="11" a="1"/>
  <c r="N924" i="11" s="1"/>
  <c r="N925" i="11" a="1"/>
  <c r="N925" i="11" s="1"/>
  <c r="N926" i="11" a="1"/>
  <c r="N926" i="11" s="1"/>
  <c r="N927" i="11" a="1"/>
  <c r="N927" i="11" s="1"/>
  <c r="N928" i="11" a="1"/>
  <c r="N928" i="11" s="1"/>
  <c r="N929" i="11" a="1"/>
  <c r="N929" i="11" s="1"/>
  <c r="N930" i="11" a="1"/>
  <c r="N930" i="11" s="1"/>
  <c r="N931" i="11" a="1"/>
  <c r="N931" i="11" s="1"/>
  <c r="N932" i="11" a="1"/>
  <c r="N932" i="11" s="1"/>
  <c r="N933" i="11" a="1"/>
  <c r="N933" i="11" s="1"/>
  <c r="N934" i="11" a="1"/>
  <c r="N934" i="11" s="1"/>
  <c r="N935" i="11" a="1"/>
  <c r="N935" i="11" s="1"/>
  <c r="N936" i="11" a="1"/>
  <c r="N936" i="11" s="1"/>
  <c r="N937" i="11" a="1"/>
  <c r="N937" i="11" s="1"/>
  <c r="N938" i="11" a="1"/>
  <c r="N938" i="11" s="1"/>
  <c r="N939" i="11" a="1"/>
  <c r="N939" i="11" s="1"/>
  <c r="N940" i="11" a="1"/>
  <c r="N940" i="11" s="1"/>
  <c r="N941" i="11" a="1"/>
  <c r="N941" i="11" s="1"/>
  <c r="N942" i="11" a="1"/>
  <c r="N942" i="11" s="1"/>
  <c r="N943" i="11" a="1"/>
  <c r="N943" i="11" s="1"/>
  <c r="N944" i="11" a="1"/>
  <c r="N944" i="11" s="1"/>
  <c r="N945" i="11" a="1"/>
  <c r="N945" i="11" s="1"/>
  <c r="N946" i="11" a="1"/>
  <c r="N946" i="11" s="1"/>
  <c r="N947" i="11" a="1"/>
  <c r="N947" i="11" s="1"/>
  <c r="N948" i="11" a="1"/>
  <c r="N948" i="11" s="1"/>
  <c r="N949" i="11" a="1"/>
  <c r="N949" i="11" s="1"/>
  <c r="N950" i="11" a="1"/>
  <c r="N950" i="11" s="1"/>
  <c r="N951" i="11" a="1"/>
  <c r="N951" i="11" s="1"/>
  <c r="N952" i="11" a="1"/>
  <c r="N952" i="11" s="1"/>
  <c r="N953" i="11" a="1"/>
  <c r="N953" i="11" s="1"/>
  <c r="N954" i="11" a="1"/>
  <c r="N954" i="11" s="1"/>
  <c r="N955" i="11" a="1"/>
  <c r="N955" i="11" s="1"/>
  <c r="N956" i="11" a="1"/>
  <c r="N956" i="11" s="1"/>
  <c r="N957" i="11" a="1"/>
  <c r="N957" i="11" s="1"/>
  <c r="N958" i="11" a="1"/>
  <c r="N958" i="11" s="1"/>
  <c r="N959" i="11" a="1"/>
  <c r="N959" i="11" s="1"/>
  <c r="N960" i="11" a="1"/>
  <c r="N960" i="11" s="1"/>
  <c r="N961" i="11" a="1"/>
  <c r="N961" i="11" s="1"/>
  <c r="N962" i="11" a="1"/>
  <c r="N962" i="11" s="1"/>
  <c r="N963" i="11" a="1"/>
  <c r="N963" i="11" s="1"/>
  <c r="N964" i="11" a="1"/>
  <c r="N964" i="11" s="1"/>
  <c r="N965" i="11" a="1"/>
  <c r="N965" i="11" s="1"/>
  <c r="N966" i="11" a="1"/>
  <c r="N966" i="11" s="1"/>
  <c r="N967" i="11" a="1"/>
  <c r="N967" i="11" s="1"/>
  <c r="N968" i="11" a="1"/>
  <c r="N968" i="11" s="1"/>
  <c r="N969" i="11" a="1"/>
  <c r="N969" i="11" s="1"/>
  <c r="N970" i="11" a="1"/>
  <c r="N970" i="11" s="1"/>
  <c r="N971" i="11" a="1"/>
  <c r="N971" i="11" s="1"/>
  <c r="N972" i="11" a="1"/>
  <c r="N972" i="11" s="1"/>
  <c r="N973" i="11" a="1"/>
  <c r="N973" i="11" s="1"/>
  <c r="N974" i="11" a="1"/>
  <c r="N974" i="11" s="1"/>
  <c r="N975" i="11" a="1"/>
  <c r="N975" i="11" s="1"/>
  <c r="N976" i="11" a="1"/>
  <c r="N976" i="11" s="1"/>
  <c r="N977" i="11" a="1"/>
  <c r="N977" i="11" s="1"/>
  <c r="N978" i="11" a="1"/>
  <c r="N978" i="11" s="1"/>
  <c r="N979" i="11" a="1"/>
  <c r="N979" i="11" s="1"/>
  <c r="N980" i="11" a="1"/>
  <c r="N980" i="11" s="1"/>
  <c r="N981" i="11" a="1"/>
  <c r="N981" i="11" s="1"/>
  <c r="N982" i="11" a="1"/>
  <c r="N982" i="11" s="1"/>
  <c r="N983" i="11" a="1"/>
  <c r="N983" i="11" s="1"/>
  <c r="N984" i="11" a="1"/>
  <c r="N984" i="11" s="1"/>
  <c r="N985" i="11" a="1"/>
  <c r="N985" i="11" s="1"/>
  <c r="N986" i="11" a="1"/>
  <c r="N986" i="11" s="1"/>
  <c r="N987" i="11" a="1"/>
  <c r="N987" i="11" s="1"/>
  <c r="N988" i="11" a="1"/>
  <c r="N988" i="11" s="1"/>
  <c r="N989" i="11" a="1"/>
  <c r="N989" i="11" s="1"/>
  <c r="N990" i="11" a="1"/>
  <c r="N990" i="11" s="1"/>
  <c r="N991" i="11" a="1"/>
  <c r="N991" i="11" s="1"/>
  <c r="N992" i="11" a="1"/>
  <c r="N992" i="11" s="1"/>
  <c r="N993" i="11" a="1"/>
  <c r="N993" i="11" s="1"/>
  <c r="N994" i="11" a="1"/>
  <c r="N994" i="11" s="1"/>
  <c r="N995" i="11" a="1"/>
  <c r="N995" i="11" s="1"/>
  <c r="N996" i="11" a="1"/>
  <c r="N996" i="11" s="1"/>
  <c r="N997" i="11" a="1"/>
  <c r="N997" i="11" s="1"/>
  <c r="N998" i="11" a="1"/>
  <c r="N998" i="11" s="1"/>
  <c r="N999" i="11" a="1"/>
  <c r="N999" i="11" s="1"/>
  <c r="N1000" i="11" a="1"/>
  <c r="N1000" i="11" s="1"/>
  <c r="N1001" i="11" a="1"/>
  <c r="N1001" i="11" s="1"/>
  <c r="N1002" i="11" a="1"/>
  <c r="N1002" i="11" s="1"/>
  <c r="N1003" i="11" a="1"/>
  <c r="N1003" i="11" s="1"/>
  <c r="N1004" i="11" a="1"/>
  <c r="N1004" i="11" s="1"/>
  <c r="N1005" i="11" a="1"/>
  <c r="N1005" i="11" s="1"/>
  <c r="N1006" i="11" a="1"/>
  <c r="N1006" i="11" s="1"/>
  <c r="N1007" i="11" a="1"/>
  <c r="N1007" i="11" s="1"/>
  <c r="N1008" i="11" a="1"/>
  <c r="N1008" i="11" s="1"/>
  <c r="N1009" i="11" a="1"/>
  <c r="N1009" i="11" s="1"/>
  <c r="N1010" i="11" a="1"/>
  <c r="N1010" i="11" s="1"/>
  <c r="N1011" i="11" a="1"/>
  <c r="N1011" i="11" s="1"/>
  <c r="N1012" i="11" a="1"/>
  <c r="N1012" i="11" s="1"/>
  <c r="N1013" i="11" a="1"/>
  <c r="N1013" i="11" s="1"/>
  <c r="N1014" i="11" a="1"/>
  <c r="N1014" i="11" s="1"/>
  <c r="N1015" i="11" a="1"/>
  <c r="N1015" i="11" s="1"/>
  <c r="N1016" i="11" a="1"/>
  <c r="N1016" i="11" s="1"/>
  <c r="N1017" i="11" a="1"/>
  <c r="N1017" i="11" s="1"/>
  <c r="N1018" i="11" a="1"/>
  <c r="N1018" i="11" s="1"/>
  <c r="N1019" i="11" a="1"/>
  <c r="N1019" i="11" s="1"/>
  <c r="N1020" i="11" a="1"/>
  <c r="N1020" i="11" s="1"/>
  <c r="N1021" i="11" a="1"/>
  <c r="N1021" i="11" s="1"/>
  <c r="N1022" i="11" a="1"/>
  <c r="N1022" i="11" s="1"/>
  <c r="N1023" i="11" a="1"/>
  <c r="N1023" i="11" s="1"/>
  <c r="N1024" i="11" a="1"/>
  <c r="N1024" i="11" s="1"/>
  <c r="N1025" i="11" a="1"/>
  <c r="N1025" i="11" s="1"/>
  <c r="N1026" i="11" a="1"/>
  <c r="N1026" i="11" s="1"/>
  <c r="N1027" i="11" a="1"/>
  <c r="N1027" i="11" s="1"/>
  <c r="N1028" i="11" a="1"/>
  <c r="N1028" i="11" s="1"/>
  <c r="N1029" i="11" a="1"/>
  <c r="N1029" i="11" s="1"/>
  <c r="N1030" i="11" a="1"/>
  <c r="N1030" i="11" s="1"/>
  <c r="N1031" i="11" a="1"/>
  <c r="N1031" i="11" s="1"/>
  <c r="N1032" i="11" a="1"/>
  <c r="N1032" i="11" s="1"/>
  <c r="N1033" i="11" a="1"/>
  <c r="N1033" i="11" s="1"/>
  <c r="N1034" i="11" a="1"/>
  <c r="N1034" i="11" s="1"/>
  <c r="N1035" i="11" a="1"/>
  <c r="N1035" i="11" s="1"/>
  <c r="N1036" i="11" a="1"/>
  <c r="N1036" i="11" s="1"/>
  <c r="N1037" i="11" a="1"/>
  <c r="N1037" i="11" s="1"/>
  <c r="N1038" i="11" a="1"/>
  <c r="N1038" i="11" s="1"/>
  <c r="N1039" i="11" a="1"/>
  <c r="N1039" i="11" s="1"/>
  <c r="N1040" i="11" a="1"/>
  <c r="N1040" i="11" s="1"/>
  <c r="N1041" i="11" a="1"/>
  <c r="N1041" i="11" s="1"/>
  <c r="N1042" i="11" a="1"/>
  <c r="N1042" i="11" s="1"/>
  <c r="N1043" i="11" a="1"/>
  <c r="N1043" i="11" s="1"/>
  <c r="N1044" i="11" a="1"/>
  <c r="N1044" i="11" s="1"/>
  <c r="N1045" i="11" a="1"/>
  <c r="N1045" i="11" s="1"/>
  <c r="N1046" i="11" a="1"/>
  <c r="N1046" i="11" s="1"/>
  <c r="N1047" i="11" a="1"/>
  <c r="N1047" i="11" s="1"/>
  <c r="N1048" i="11" a="1"/>
  <c r="N1048" i="11" s="1"/>
  <c r="N1049" i="11" a="1"/>
  <c r="N1049" i="11" s="1"/>
  <c r="N1050" i="11" a="1"/>
  <c r="N1050" i="11" s="1"/>
  <c r="N1051" i="11" a="1"/>
  <c r="N1051" i="11" s="1"/>
  <c r="N1052" i="11" a="1"/>
  <c r="N1052" i="11" s="1"/>
  <c r="N1053" i="11" a="1"/>
  <c r="N1053" i="11" s="1"/>
  <c r="N1054" i="11" a="1"/>
  <c r="N1054" i="11" s="1"/>
  <c r="N1055" i="11" a="1"/>
  <c r="N1055" i="11" s="1"/>
  <c r="N1056" i="11" a="1"/>
  <c r="N1056" i="11" s="1"/>
  <c r="N1057" i="11" a="1"/>
  <c r="N1057" i="11" s="1"/>
  <c r="N1058" i="11" a="1"/>
  <c r="N1058" i="11" s="1"/>
  <c r="N1059" i="11" a="1"/>
  <c r="N1059" i="11" s="1"/>
  <c r="N1060" i="11" a="1"/>
  <c r="N1060" i="11" s="1"/>
  <c r="N1061" i="11" a="1"/>
  <c r="N1061" i="11" s="1"/>
  <c r="N1062" i="11" a="1"/>
  <c r="N1062" i="11" s="1"/>
  <c r="N1063" i="11" a="1"/>
  <c r="N1063" i="11" s="1"/>
  <c r="N1064" i="11" a="1"/>
  <c r="N1064" i="11" s="1"/>
  <c r="N1065" i="11" a="1"/>
  <c r="N1065" i="11" s="1"/>
  <c r="N1066" i="11" a="1"/>
  <c r="N1066" i="11" s="1"/>
  <c r="N1067" i="11" a="1"/>
  <c r="N1067" i="11" s="1"/>
  <c r="N1068" i="11" a="1"/>
  <c r="N1068" i="11" s="1"/>
  <c r="N1069" i="11" a="1"/>
  <c r="N1069" i="11" s="1"/>
  <c r="N1070" i="11" a="1"/>
  <c r="N1070" i="11" s="1"/>
  <c r="N1071" i="11" a="1"/>
  <c r="N1071" i="11" s="1"/>
  <c r="N1072" i="11" a="1"/>
  <c r="N1072" i="11" s="1"/>
  <c r="N1073" i="11" a="1"/>
  <c r="N1073" i="11" s="1"/>
  <c r="N1074" i="11" a="1"/>
  <c r="N1074" i="11" s="1"/>
  <c r="N1075" i="11" a="1"/>
  <c r="N1075" i="11" s="1"/>
  <c r="N1076" i="11" a="1"/>
  <c r="N1076" i="11" s="1"/>
  <c r="N1077" i="11" a="1"/>
  <c r="N1077" i="11" s="1"/>
  <c r="N1078" i="11" a="1"/>
  <c r="N1078" i="11" s="1"/>
  <c r="N1079" i="11" a="1"/>
  <c r="N1079" i="11" s="1"/>
  <c r="N1080" i="11" a="1"/>
  <c r="N1080" i="11" s="1"/>
  <c r="N1081" i="11" a="1"/>
  <c r="N1081" i="11" s="1"/>
  <c r="N1082" i="11" a="1"/>
  <c r="N1082" i="11" s="1"/>
  <c r="N1083" i="11" a="1"/>
  <c r="N1083" i="11" s="1"/>
  <c r="N1084" i="11" a="1"/>
  <c r="N1084" i="11" s="1"/>
  <c r="N1085" i="11" a="1"/>
  <c r="N1085" i="11" s="1"/>
  <c r="N1086" i="11" a="1"/>
  <c r="N1086" i="11" s="1"/>
  <c r="N1087" i="11" a="1"/>
  <c r="N1087" i="11" s="1"/>
  <c r="N1088" i="11" a="1"/>
  <c r="N1088" i="11" s="1"/>
  <c r="N1089" i="11" a="1"/>
  <c r="N1089" i="11" s="1"/>
  <c r="N1090" i="11" a="1"/>
  <c r="N1090" i="11" s="1"/>
  <c r="N1091" i="11" a="1"/>
  <c r="N1091" i="11" s="1"/>
  <c r="N1092" i="11" a="1"/>
  <c r="N1092" i="11" s="1"/>
  <c r="N1093" i="11" a="1"/>
  <c r="N1093" i="11" s="1"/>
  <c r="N1094" i="11" a="1"/>
  <c r="N1094" i="11" s="1"/>
  <c r="N1095" i="11" a="1"/>
  <c r="N1095" i="11" s="1"/>
  <c r="N1096" i="11" a="1"/>
  <c r="N1096" i="11" s="1"/>
  <c r="N1097" i="11" a="1"/>
  <c r="N1097" i="11" s="1"/>
  <c r="N1098" i="11" a="1"/>
  <c r="N1098" i="11" s="1"/>
  <c r="N1099" i="11" a="1"/>
  <c r="N1099" i="11" s="1"/>
  <c r="N1100" i="11" a="1"/>
  <c r="N1100" i="11" s="1"/>
  <c r="N1101" i="11" a="1"/>
  <c r="N1101" i="11" s="1"/>
  <c r="N1102" i="11" a="1"/>
  <c r="N1102" i="11" s="1"/>
  <c r="N1103" i="11" a="1"/>
  <c r="N1103" i="11" s="1"/>
  <c r="N1104" i="11" a="1"/>
  <c r="N1104" i="11" s="1"/>
  <c r="N1105" i="11" a="1"/>
  <c r="N1105" i="11" s="1"/>
  <c r="N1106" i="11" a="1"/>
  <c r="N1106" i="11" s="1"/>
  <c r="N1107" i="11" a="1"/>
  <c r="N1107" i="11" s="1"/>
  <c r="N1108" i="11" a="1"/>
  <c r="N1108" i="11" s="1"/>
  <c r="N1109" i="11" a="1"/>
  <c r="N1109" i="11" s="1"/>
  <c r="N1110" i="11" a="1"/>
  <c r="N1110" i="11" s="1"/>
  <c r="N1111" i="11" a="1"/>
  <c r="N1111" i="11" s="1"/>
  <c r="N1112" i="11" a="1"/>
  <c r="N1112" i="11" s="1"/>
  <c r="N1113" i="11" a="1"/>
  <c r="N1113" i="11" s="1"/>
  <c r="N1114" i="11" a="1"/>
  <c r="N1114" i="11" s="1"/>
  <c r="N1115" i="11" a="1"/>
  <c r="N1115" i="11" s="1"/>
  <c r="N1116" i="11" a="1"/>
  <c r="N1116" i="11" s="1"/>
  <c r="N1117" i="11" a="1"/>
  <c r="N1117" i="11" s="1"/>
  <c r="N1118" i="11" a="1"/>
  <c r="N1118" i="11" s="1"/>
  <c r="N1119" i="11" a="1"/>
  <c r="N1119" i="11" s="1"/>
  <c r="N1120" i="11" a="1"/>
  <c r="N1120" i="11" s="1"/>
  <c r="N1121" i="11" a="1"/>
  <c r="N1121" i="11" s="1"/>
  <c r="N1122" i="11" a="1"/>
  <c r="N1122" i="11" s="1"/>
  <c r="N1123" i="11" a="1"/>
  <c r="N1123" i="11" s="1"/>
  <c r="N1124" i="11" a="1"/>
  <c r="N1124" i="11" s="1"/>
  <c r="N1125" i="11" a="1"/>
  <c r="N1125" i="11" s="1"/>
  <c r="N1126" i="11" a="1"/>
  <c r="N1126" i="11" s="1"/>
  <c r="N1127" i="11" a="1"/>
  <c r="N1127" i="11" s="1"/>
  <c r="N1128" i="11" a="1"/>
  <c r="N1128" i="11" s="1"/>
  <c r="N1129" i="11" a="1"/>
  <c r="N1129" i="11" s="1"/>
  <c r="N1130" i="11" a="1"/>
  <c r="N1130" i="11" s="1"/>
  <c r="N1131" i="11" a="1"/>
  <c r="N1131" i="11" s="1"/>
  <c r="N1132" i="11" a="1"/>
  <c r="N1132" i="11" s="1"/>
  <c r="N1133" i="11" a="1"/>
  <c r="N1133" i="11" s="1"/>
  <c r="N1134" i="11" a="1"/>
  <c r="N1134" i="11" s="1"/>
  <c r="N1135" i="11" a="1"/>
  <c r="N1135" i="11" s="1"/>
  <c r="N1136" i="11" a="1"/>
  <c r="N1136" i="11" s="1"/>
  <c r="N1137" i="11" a="1"/>
  <c r="N1137" i="11" s="1"/>
  <c r="N1138" i="11" a="1"/>
  <c r="N1138" i="11" s="1"/>
  <c r="N1139" i="11" a="1"/>
  <c r="N1139" i="11" s="1"/>
  <c r="N1140" i="11" a="1"/>
  <c r="N1140" i="11" s="1"/>
  <c r="N1141" i="11" a="1"/>
  <c r="N1141" i="11" s="1"/>
  <c r="N1142" i="11" a="1"/>
  <c r="N1142" i="11" s="1"/>
  <c r="N1143" i="11" a="1"/>
  <c r="N1143" i="11" s="1"/>
  <c r="N1144" i="11" a="1"/>
  <c r="N1144" i="11" s="1"/>
  <c r="N1145" i="11" a="1"/>
  <c r="N1145" i="11" s="1"/>
  <c r="N1146" i="11" a="1"/>
  <c r="N1146" i="11" s="1"/>
  <c r="N1147" i="11" a="1"/>
  <c r="N1147" i="11" s="1"/>
  <c r="N1148" i="11" a="1"/>
  <c r="N1148" i="11" s="1"/>
  <c r="N1149" i="11" a="1"/>
  <c r="N1149" i="11" s="1"/>
  <c r="N1150" i="11" a="1"/>
  <c r="N1150" i="11" s="1"/>
  <c r="N1151" i="11" a="1"/>
  <c r="N1151" i="11" s="1"/>
  <c r="N1152" i="11" a="1"/>
  <c r="N1152" i="11" s="1"/>
  <c r="N1153" i="11" a="1"/>
  <c r="N1153" i="11" s="1"/>
  <c r="N1154" i="11" a="1"/>
  <c r="N1154" i="11" s="1"/>
  <c r="N1155" i="11" a="1"/>
  <c r="N1155" i="11" s="1"/>
  <c r="N1156" i="11" a="1"/>
  <c r="N1156" i="11" s="1"/>
  <c r="N1157" i="11" a="1"/>
  <c r="N1157" i="11" s="1"/>
  <c r="N1158" i="11" a="1"/>
  <c r="N1158" i="11" s="1"/>
  <c r="N1159" i="11" a="1"/>
  <c r="N1159" i="11" s="1"/>
  <c r="N1160" i="11" a="1"/>
  <c r="N1160" i="11" s="1"/>
  <c r="N1161" i="11" a="1"/>
  <c r="N1161" i="11" s="1"/>
  <c r="N1162" i="11" a="1"/>
  <c r="N1162" i="11" s="1"/>
  <c r="N1163" i="11" a="1"/>
  <c r="N1163" i="11" s="1"/>
  <c r="N1164" i="11" a="1"/>
  <c r="N1164" i="11" s="1"/>
  <c r="N1165" i="11" a="1"/>
  <c r="N1165" i="11" s="1"/>
  <c r="N1166" i="11" a="1"/>
  <c r="N1166" i="11" s="1"/>
  <c r="N1167" i="11" a="1"/>
  <c r="N1167" i="11" s="1"/>
  <c r="N1168" i="11" a="1"/>
  <c r="N1168" i="11" s="1"/>
  <c r="N1169" i="11" a="1"/>
  <c r="N1169" i="11" s="1"/>
  <c r="N1170" i="11" a="1"/>
  <c r="N1170" i="11" s="1"/>
  <c r="N1171" i="11" a="1"/>
  <c r="N1171" i="11" s="1"/>
  <c r="N1172" i="11" a="1"/>
  <c r="N1172" i="11" s="1"/>
  <c r="N1173" i="11" a="1"/>
  <c r="N1173" i="11" s="1"/>
  <c r="N1174" i="11" a="1"/>
  <c r="N1174" i="11" s="1"/>
  <c r="N1175" i="11" a="1"/>
  <c r="N1175" i="11" s="1"/>
  <c r="N1176" i="11" a="1"/>
  <c r="N1176" i="11" s="1"/>
  <c r="N1177" i="11" a="1"/>
  <c r="N1177" i="11" s="1"/>
  <c r="N1178" i="11" a="1"/>
  <c r="N1178" i="11" s="1"/>
  <c r="N1179" i="11" a="1"/>
  <c r="N1179" i="11" s="1"/>
  <c r="N1180" i="11" a="1"/>
  <c r="N1180" i="11" s="1"/>
  <c r="N1181" i="11" a="1"/>
  <c r="N1181" i="11" s="1"/>
  <c r="N1182" i="11" a="1"/>
  <c r="N1182" i="11" s="1"/>
  <c r="N1183" i="11" a="1"/>
  <c r="N1183" i="11" s="1"/>
  <c r="N1184" i="11" a="1"/>
  <c r="N1184" i="11" s="1"/>
  <c r="N1185" i="11" a="1"/>
  <c r="N1185" i="11" s="1"/>
  <c r="N1186" i="11" a="1"/>
  <c r="N1186" i="11" s="1"/>
  <c r="N1187" i="11" a="1"/>
  <c r="N1187" i="11" s="1"/>
  <c r="N1188" i="11" a="1"/>
  <c r="N1188" i="11" s="1"/>
  <c r="N1189" i="11" a="1"/>
  <c r="N1189" i="11" s="1"/>
  <c r="N1190" i="11" a="1"/>
  <c r="N1190" i="11" s="1"/>
  <c r="N1191" i="11" a="1"/>
  <c r="N1191" i="11" s="1"/>
  <c r="N1192" i="11" a="1"/>
  <c r="N1192" i="11" s="1"/>
  <c r="N1193" i="11" a="1"/>
  <c r="N1193" i="11" s="1"/>
  <c r="N1194" i="11" a="1"/>
  <c r="N1194" i="11" s="1"/>
  <c r="N1195" i="11" a="1"/>
  <c r="N1195" i="11" s="1"/>
  <c r="N1196" i="11" a="1"/>
  <c r="N1196" i="11" s="1"/>
  <c r="N1197" i="11" a="1"/>
  <c r="N1197" i="11" s="1"/>
  <c r="N1198" i="11" a="1"/>
  <c r="N1198" i="11" s="1"/>
  <c r="N1199" i="11" a="1"/>
  <c r="N1199" i="11" s="1"/>
  <c r="N1200" i="11" a="1"/>
  <c r="N1200" i="11" s="1"/>
  <c r="N1201" i="11" a="1"/>
  <c r="N1201" i="11" s="1"/>
  <c r="N1202" i="11" a="1"/>
  <c r="N1202" i="11" s="1"/>
  <c r="N1203" i="11" a="1"/>
  <c r="N1203" i="11" s="1"/>
  <c r="N1204" i="11" a="1"/>
  <c r="N1204" i="11" s="1"/>
  <c r="N1205" i="11" a="1"/>
  <c r="N1205" i="11" s="1"/>
  <c r="N1206" i="11" a="1"/>
  <c r="N1206" i="11" s="1"/>
  <c r="N1207" i="11" a="1"/>
  <c r="N1207" i="11" s="1"/>
  <c r="N1208" i="11" a="1"/>
  <c r="N1208" i="11" s="1"/>
  <c r="N1209" i="11" a="1"/>
  <c r="N1209" i="11" s="1"/>
  <c r="N1210" i="11" a="1"/>
  <c r="N1210" i="11" s="1"/>
  <c r="N1211" i="11" a="1"/>
  <c r="N1211" i="11" s="1"/>
  <c r="N1212" i="11" a="1"/>
  <c r="N1212" i="11" s="1"/>
  <c r="N1213" i="11" a="1"/>
  <c r="N1213" i="11" s="1"/>
  <c r="N1214" i="11" a="1"/>
  <c r="N1214" i="11" s="1"/>
  <c r="N1215" i="11" a="1"/>
  <c r="N1215" i="11" s="1"/>
  <c r="N1216" i="11" a="1"/>
  <c r="N1216" i="11" s="1"/>
  <c r="N1217" i="11" a="1"/>
  <c r="N1217" i="11" s="1"/>
  <c r="N1218" i="11" a="1"/>
  <c r="N1218" i="11" s="1"/>
  <c r="N1219" i="11" a="1"/>
  <c r="N1219" i="11" s="1"/>
  <c r="N1220" i="11" a="1"/>
  <c r="N1220" i="11" s="1"/>
  <c r="N1221" i="11" a="1"/>
  <c r="N1221" i="11" s="1"/>
  <c r="N1222" i="11" a="1"/>
  <c r="N1222" i="11" s="1"/>
  <c r="N1223" i="11" a="1"/>
  <c r="N1223" i="11" s="1"/>
  <c r="N1224" i="11" a="1"/>
  <c r="N1224" i="11" s="1"/>
  <c r="N1225" i="11" a="1"/>
  <c r="N1225" i="11" s="1"/>
  <c r="N1226" i="11" a="1"/>
  <c r="N1226" i="11" s="1"/>
  <c r="N1227" i="11" a="1"/>
  <c r="N1227" i="11" s="1"/>
  <c r="N1228" i="11" a="1"/>
  <c r="N1228" i="11" s="1"/>
  <c r="N1229" i="11" a="1"/>
  <c r="N1229" i="11" s="1"/>
  <c r="N1230" i="11" a="1"/>
  <c r="N1230" i="11" s="1"/>
  <c r="N1231" i="11" a="1"/>
  <c r="N1231" i="11" s="1"/>
  <c r="N1232" i="11" a="1"/>
  <c r="N1232" i="11" s="1"/>
  <c r="N1233" i="11" a="1"/>
  <c r="N1233" i="11" s="1"/>
  <c r="N1234" i="11" a="1"/>
  <c r="N1234" i="11" s="1"/>
  <c r="N1235" i="11" a="1"/>
  <c r="N1235" i="11" s="1"/>
  <c r="N1236" i="11" a="1"/>
  <c r="N1236" i="11" s="1"/>
  <c r="N1237" i="11" a="1"/>
  <c r="N1237" i="11" s="1"/>
  <c r="N1238" i="11" a="1"/>
  <c r="N1238" i="11" s="1"/>
  <c r="N1239" i="11" a="1"/>
  <c r="N1239" i="11" s="1"/>
  <c r="N1240" i="11" a="1"/>
  <c r="N1240" i="11" s="1"/>
  <c r="N1241" i="11" a="1"/>
  <c r="N1241" i="11" s="1"/>
  <c r="N1242" i="11" a="1"/>
  <c r="N1242" i="11" s="1"/>
  <c r="N1243" i="11" a="1"/>
  <c r="N1243" i="11" s="1"/>
  <c r="N1244" i="11" a="1"/>
  <c r="N1244" i="11" s="1"/>
  <c r="N1245" i="11" a="1"/>
  <c r="N1245" i="11" s="1"/>
  <c r="N1246" i="11" a="1"/>
  <c r="N1246" i="11" s="1"/>
  <c r="N1247" i="11" a="1"/>
  <c r="N1247" i="11" s="1"/>
  <c r="N1248" i="11" a="1"/>
  <c r="N1248" i="11" s="1"/>
  <c r="N1249" i="11" a="1"/>
  <c r="N1249" i="11" s="1"/>
  <c r="N1250" i="11" a="1"/>
  <c r="N1250" i="11" s="1"/>
  <c r="N1251" i="11" a="1"/>
  <c r="N1251" i="11" s="1"/>
  <c r="N1252" i="11" a="1"/>
  <c r="N1252" i="11" s="1"/>
  <c r="N1253" i="11" a="1"/>
  <c r="N1253" i="11" s="1"/>
  <c r="N1254" i="11" a="1"/>
  <c r="N1254" i="11" s="1"/>
  <c r="N1255" i="11" a="1"/>
  <c r="N1255" i="11" s="1"/>
  <c r="N1256" i="11" a="1"/>
  <c r="N1256" i="11" s="1"/>
  <c r="N1257" i="11" a="1"/>
  <c r="N1257" i="11" s="1"/>
  <c r="N1258" i="11" a="1"/>
  <c r="N1258" i="11" s="1"/>
  <c r="N1259" i="11" a="1"/>
  <c r="N1259" i="11" s="1"/>
  <c r="N1260" i="11" a="1"/>
  <c r="N1260" i="11" s="1"/>
  <c r="N1261" i="11" a="1"/>
  <c r="N1261" i="11" s="1"/>
  <c r="N1262" i="11" a="1"/>
  <c r="N1262" i="11" s="1"/>
  <c r="N1263" i="11" a="1"/>
  <c r="N1263" i="11" s="1"/>
  <c r="N1264" i="11" a="1"/>
  <c r="N1264" i="11" s="1"/>
  <c r="N1265" i="11" a="1"/>
  <c r="N1265" i="11" s="1"/>
  <c r="N1266" i="11" a="1"/>
  <c r="N1266" i="11" s="1"/>
  <c r="N1267" i="11" a="1"/>
  <c r="N1267" i="11" s="1"/>
  <c r="N1268" i="11" a="1"/>
  <c r="N1268" i="11" s="1"/>
  <c r="N1269" i="11" a="1"/>
  <c r="N1269" i="11" s="1"/>
  <c r="N1270" i="11" a="1"/>
  <c r="N1270" i="11" s="1"/>
  <c r="N1271" i="11" a="1"/>
  <c r="N1271" i="11" s="1"/>
  <c r="N1272" i="11" a="1"/>
  <c r="N1272" i="11" s="1"/>
  <c r="N1273" i="11" a="1"/>
  <c r="N1273" i="11" s="1"/>
  <c r="N1274" i="11" a="1"/>
  <c r="N1274" i="11" s="1"/>
  <c r="N1275" i="11" a="1"/>
  <c r="N1275" i="11" s="1"/>
  <c r="N1276" i="11" a="1"/>
  <c r="N1276" i="11" s="1"/>
  <c r="N1277" i="11" a="1"/>
  <c r="N1277" i="11" s="1"/>
  <c r="N1278" i="11" a="1"/>
  <c r="N1278" i="11" s="1"/>
  <c r="N1279" i="11" a="1"/>
  <c r="N1279" i="11" s="1"/>
  <c r="N1280" i="11" a="1"/>
  <c r="N1280" i="11" s="1"/>
  <c r="N1281" i="11" a="1"/>
  <c r="N1281" i="11" s="1"/>
  <c r="N1282" i="11" a="1"/>
  <c r="N1282" i="11" s="1"/>
  <c r="N1283" i="11" a="1"/>
  <c r="N1283" i="11" s="1"/>
  <c r="N1284" i="11" a="1"/>
  <c r="N1284" i="11" s="1"/>
  <c r="N1285" i="11" a="1"/>
  <c r="N1285" i="11" s="1"/>
  <c r="N1286" i="11" a="1"/>
  <c r="N1286" i="11" s="1"/>
  <c r="N1287" i="11" a="1"/>
  <c r="N1287" i="11" s="1"/>
  <c r="N1288" i="11" a="1"/>
  <c r="N1288" i="11" s="1"/>
  <c r="N1289" i="11" a="1"/>
  <c r="N1289" i="11" s="1"/>
  <c r="N1290" i="11" a="1"/>
  <c r="N1290" i="11" s="1"/>
  <c r="N1291" i="11" a="1"/>
  <c r="N1291" i="11" s="1"/>
  <c r="N1292" i="11" a="1"/>
  <c r="N1292" i="11" s="1"/>
  <c r="N1293" i="11" a="1"/>
  <c r="N1293" i="11" s="1"/>
  <c r="N1294" i="11" a="1"/>
  <c r="N1294" i="11" s="1"/>
  <c r="N1295" i="11" a="1"/>
  <c r="N1295" i="11" s="1"/>
  <c r="N1296" i="11" a="1"/>
  <c r="N1296" i="11" s="1"/>
  <c r="N1297" i="11" a="1"/>
  <c r="N1297" i="11" s="1"/>
  <c r="N1298" i="11" a="1"/>
  <c r="N1298" i="11" s="1"/>
  <c r="N1299" i="11" a="1"/>
  <c r="N1299" i="11" s="1"/>
  <c r="N1300" i="11" a="1"/>
  <c r="N1300" i="11" s="1"/>
  <c r="N1301" i="11" a="1"/>
  <c r="N1301" i="11" s="1"/>
  <c r="N1302" i="11" a="1"/>
  <c r="N1302" i="11" s="1"/>
  <c r="N1303" i="11" a="1"/>
  <c r="N1303" i="11" s="1"/>
  <c r="N1304" i="11" a="1"/>
  <c r="N1304" i="11" s="1"/>
  <c r="N1305" i="11" a="1"/>
  <c r="N1305" i="11" s="1"/>
  <c r="N1306" i="11" a="1"/>
  <c r="N1306" i="11" s="1"/>
  <c r="N1307" i="11" a="1"/>
  <c r="N1307" i="11" s="1"/>
  <c r="N1308" i="11" a="1"/>
  <c r="N1308" i="11" s="1"/>
  <c r="N1309" i="11" a="1"/>
  <c r="N1309" i="11" s="1"/>
  <c r="N1310" i="11" a="1"/>
  <c r="N1310" i="11" s="1"/>
  <c r="N1311" i="11" a="1"/>
  <c r="N1311" i="11" s="1"/>
  <c r="N1312" i="11" a="1"/>
  <c r="N1312" i="11" s="1"/>
  <c r="N1313" i="11" a="1"/>
  <c r="N1313" i="11" s="1"/>
  <c r="N1314" i="11" a="1"/>
  <c r="N1314" i="11" s="1"/>
  <c r="N1315" i="11" a="1"/>
  <c r="N1315" i="11" s="1"/>
  <c r="N1316" i="11" a="1"/>
  <c r="N1316" i="11" s="1"/>
  <c r="N1317" i="11" a="1"/>
  <c r="N1317" i="11" s="1"/>
  <c r="N1318" i="11" a="1"/>
  <c r="N1318" i="11" s="1"/>
  <c r="N1319" i="11" a="1"/>
  <c r="N1319" i="11" s="1"/>
  <c r="N1320" i="11" a="1"/>
  <c r="N1320" i="11" s="1"/>
  <c r="N1321" i="11" a="1"/>
  <c r="N1321" i="11" s="1"/>
  <c r="N1322" i="11" a="1"/>
  <c r="N1322" i="11" s="1"/>
  <c r="N1323" i="11" a="1"/>
  <c r="N1323" i="11" s="1"/>
  <c r="N1324" i="11" a="1"/>
  <c r="N1324" i="11" s="1"/>
  <c r="N1325" i="11" a="1"/>
  <c r="N1325" i="11" s="1"/>
  <c r="N1326" i="11" a="1"/>
  <c r="N1326" i="11" s="1"/>
  <c r="N1327" i="11" a="1"/>
  <c r="N1327" i="11" s="1"/>
  <c r="N1328" i="11" a="1"/>
  <c r="N1328" i="11" s="1"/>
  <c r="N1329" i="11" a="1"/>
  <c r="N1329" i="11" s="1"/>
  <c r="N1330" i="11" a="1"/>
  <c r="N1330" i="11" s="1"/>
  <c r="N1331" i="11" a="1"/>
  <c r="N1331" i="11" s="1"/>
  <c r="N1332" i="11" a="1"/>
  <c r="N1332" i="11" s="1"/>
  <c r="N1333" i="11" a="1"/>
  <c r="N1333" i="11" s="1"/>
  <c r="N1334" i="11" a="1"/>
  <c r="N1334" i="11" s="1"/>
  <c r="N1335" i="11" a="1"/>
  <c r="N1335" i="11" s="1"/>
  <c r="N1336" i="11" a="1"/>
  <c r="N1336" i="11" s="1"/>
  <c r="N1337" i="11" a="1"/>
  <c r="N1337" i="11" s="1"/>
  <c r="N1338" i="11" a="1"/>
  <c r="N1338" i="11" s="1"/>
  <c r="N1339" i="11" a="1"/>
  <c r="N1339" i="11" s="1"/>
  <c r="N1340" i="11" a="1"/>
  <c r="N1340" i="11" s="1"/>
  <c r="N1341" i="11" a="1"/>
  <c r="N1341" i="11" s="1"/>
  <c r="N1342" i="11" a="1"/>
  <c r="N1342" i="11" s="1"/>
  <c r="N1343" i="11" a="1"/>
  <c r="N1343" i="11" s="1"/>
  <c r="N1344" i="11" a="1"/>
  <c r="N1344" i="11" s="1"/>
  <c r="N1345" i="11" a="1"/>
  <c r="N1345" i="11" s="1"/>
  <c r="N1346" i="11" a="1"/>
  <c r="N1346" i="11" s="1"/>
  <c r="N1347" i="11" a="1"/>
  <c r="N1347" i="11" s="1"/>
  <c r="N1348" i="11" a="1"/>
  <c r="N1348" i="11" s="1"/>
  <c r="N1349" i="11" a="1"/>
  <c r="N1349" i="11" s="1"/>
  <c r="N1350" i="11" a="1"/>
  <c r="N1350" i="11" s="1"/>
  <c r="N1351" i="11" a="1"/>
  <c r="N1351" i="11" s="1"/>
  <c r="N1352" i="11" a="1"/>
  <c r="N1352" i="11" s="1"/>
  <c r="N1353" i="11" a="1"/>
  <c r="N1353" i="11" s="1"/>
  <c r="N1354" i="11" a="1"/>
  <c r="N1354" i="11" s="1"/>
  <c r="N1355" i="11" a="1"/>
  <c r="N1355" i="11" s="1"/>
  <c r="N1356" i="11" a="1"/>
  <c r="N1356" i="11" s="1"/>
  <c r="N1357" i="11" a="1"/>
  <c r="N1357" i="11" s="1"/>
  <c r="N1358" i="11" a="1"/>
  <c r="N1358" i="11" s="1"/>
  <c r="N1359" i="11" a="1"/>
  <c r="N1359" i="11" s="1"/>
  <c r="N1360" i="11" a="1"/>
  <c r="N1360" i="11" s="1"/>
  <c r="N1361" i="11" a="1"/>
  <c r="N1361" i="11" s="1"/>
  <c r="N1362" i="11" a="1"/>
  <c r="N1362" i="11" s="1"/>
  <c r="N1363" i="11" a="1"/>
  <c r="N1363" i="11" s="1"/>
  <c r="N1364" i="11" a="1"/>
  <c r="N1364" i="11" s="1"/>
  <c r="N1365" i="11" a="1"/>
  <c r="N1365" i="11" s="1"/>
  <c r="N1366" i="11" a="1"/>
  <c r="N1366" i="11" s="1"/>
  <c r="N1367" i="11" a="1"/>
  <c r="N1367" i="11" s="1"/>
  <c r="N1368" i="11" a="1"/>
  <c r="N1368" i="11" s="1"/>
  <c r="N1369" i="11" a="1"/>
  <c r="N1369" i="11" s="1"/>
  <c r="N1370" i="11" a="1"/>
  <c r="N1370" i="11" s="1"/>
  <c r="N1371" i="11" a="1"/>
  <c r="N1371" i="11" s="1"/>
  <c r="N1372" i="11" a="1"/>
  <c r="N1372" i="11" s="1"/>
  <c r="N1373" i="11" a="1"/>
  <c r="N1373" i="11" s="1"/>
  <c r="N1374" i="11" a="1"/>
  <c r="N1374" i="11" s="1"/>
  <c r="N1375" i="11" a="1"/>
  <c r="N1375" i="11" s="1"/>
  <c r="N1376" i="11" a="1"/>
  <c r="N1376" i="11" s="1"/>
  <c r="N1377" i="11" a="1"/>
  <c r="N1377" i="11" s="1"/>
  <c r="N1378" i="11" a="1"/>
  <c r="N1378" i="11" s="1"/>
  <c r="N1379" i="11" a="1"/>
  <c r="N1379" i="11" s="1"/>
  <c r="N1380" i="11" a="1"/>
  <c r="N1380" i="11" s="1"/>
  <c r="N1381" i="11" a="1"/>
  <c r="N1381" i="11" s="1"/>
  <c r="N1382" i="11" a="1"/>
  <c r="N1382" i="11" s="1"/>
  <c r="N1383" i="11" a="1"/>
  <c r="N1383" i="11" s="1"/>
  <c r="N1384" i="11" a="1"/>
  <c r="N1384" i="11" s="1"/>
  <c r="N1385" i="11" a="1"/>
  <c r="N1385" i="11" s="1"/>
  <c r="N1386" i="11" a="1"/>
  <c r="N1386" i="11" s="1"/>
  <c r="N1387" i="11" a="1"/>
  <c r="N1387" i="11" s="1"/>
  <c r="N1388" i="11" a="1"/>
  <c r="N1388" i="11" s="1"/>
  <c r="N1389" i="11" a="1"/>
  <c r="N1389" i="11" s="1"/>
  <c r="N1390" i="11" a="1"/>
  <c r="N1390" i="11" s="1"/>
  <c r="N1391" i="11" a="1"/>
  <c r="N1391" i="11" s="1"/>
  <c r="N1392" i="11" a="1"/>
  <c r="N1392" i="11" s="1"/>
  <c r="N1393" i="11" a="1"/>
  <c r="N1393" i="11" s="1"/>
  <c r="N1394" i="11" a="1"/>
  <c r="N1394" i="11" s="1"/>
  <c r="N1395" i="11" a="1"/>
  <c r="N1395" i="11" s="1"/>
  <c r="N1396" i="11" a="1"/>
  <c r="N1396" i="11" s="1"/>
  <c r="N1397" i="11" a="1"/>
  <c r="N1397" i="11" s="1"/>
  <c r="N1398" i="11" a="1"/>
  <c r="N1398" i="11" s="1"/>
  <c r="N1399" i="11" a="1"/>
  <c r="N1399" i="11" s="1"/>
  <c r="N1400" i="11" a="1"/>
  <c r="N1400" i="11" s="1"/>
  <c r="N1401" i="11" a="1"/>
  <c r="N1401" i="11" s="1"/>
  <c r="N1402" i="11" a="1"/>
  <c r="N1402" i="11" s="1"/>
  <c r="N1403" i="11" a="1"/>
  <c r="N1403" i="11" s="1"/>
  <c r="N1404" i="11" a="1"/>
  <c r="N1404" i="11" s="1"/>
  <c r="N1405" i="11" a="1"/>
  <c r="N1405" i="11" s="1"/>
  <c r="N1406" i="11" a="1"/>
  <c r="N1406" i="11" s="1"/>
  <c r="N1407" i="11" a="1"/>
  <c r="N1407" i="11" s="1"/>
  <c r="N1408" i="11" a="1"/>
  <c r="N1408" i="11" s="1"/>
  <c r="N1409" i="11" a="1"/>
  <c r="N1409" i="11" s="1"/>
  <c r="N1410" i="11" a="1"/>
  <c r="N1410" i="11" s="1"/>
  <c r="N1411" i="11" a="1"/>
  <c r="N1411" i="11" s="1"/>
  <c r="N1412" i="11" a="1"/>
  <c r="N1412" i="11" s="1"/>
  <c r="N1413" i="11" a="1"/>
  <c r="N1413" i="11" s="1"/>
  <c r="N1414" i="11" a="1"/>
  <c r="N1414" i="11" s="1"/>
  <c r="N1415" i="11" a="1"/>
  <c r="N1415" i="11" s="1"/>
  <c r="N1416" i="11" a="1"/>
  <c r="N1416" i="11" s="1"/>
  <c r="N1417" i="11" a="1"/>
  <c r="N1417" i="11" s="1"/>
  <c r="N1418" i="11" a="1"/>
  <c r="N1418" i="11" s="1"/>
  <c r="N1419" i="11" a="1"/>
  <c r="N1419" i="11" s="1"/>
  <c r="N1420" i="11" a="1"/>
  <c r="N1420" i="11" s="1"/>
  <c r="N1421" i="11" a="1"/>
  <c r="N1421" i="11" s="1"/>
  <c r="N1422" i="11" a="1"/>
  <c r="N1422" i="11" s="1"/>
  <c r="N1423" i="11" a="1"/>
  <c r="N1423" i="11" s="1"/>
  <c r="N1424" i="11" a="1"/>
  <c r="N1424" i="11" s="1"/>
  <c r="N1425" i="11" a="1"/>
  <c r="N1425" i="11" s="1"/>
  <c r="N1426" i="11" a="1"/>
  <c r="N1426" i="11" s="1"/>
  <c r="N1427" i="11" a="1"/>
  <c r="N1427" i="11" s="1"/>
  <c r="N1428" i="11" a="1"/>
  <c r="N1428" i="11" s="1"/>
  <c r="N1429" i="11" a="1"/>
  <c r="N1429" i="11" s="1"/>
  <c r="N1430" i="11" a="1"/>
  <c r="N1430" i="11" s="1"/>
  <c r="N1431" i="11" a="1"/>
  <c r="N1431" i="11" s="1"/>
  <c r="N1432" i="11" a="1"/>
  <c r="N1432" i="11" s="1"/>
  <c r="N1433" i="11" a="1"/>
  <c r="N1433" i="11" s="1"/>
  <c r="N1434" i="11" a="1"/>
  <c r="N1434" i="11" s="1"/>
  <c r="N1435" i="11" a="1"/>
  <c r="N1435" i="11" s="1"/>
  <c r="N1436" i="11" a="1"/>
  <c r="N1436" i="11" s="1"/>
  <c r="N1437" i="11" a="1"/>
  <c r="N1437" i="11" s="1"/>
  <c r="N1438" i="11" a="1"/>
  <c r="N1438" i="11" s="1"/>
  <c r="N1439" i="11" a="1"/>
  <c r="N1439" i="11" s="1"/>
  <c r="N1440" i="11" a="1"/>
  <c r="N1440" i="11" s="1"/>
  <c r="N1441" i="11" a="1"/>
  <c r="N1441" i="11" s="1"/>
  <c r="N1442" i="11" a="1"/>
  <c r="N1442" i="11" s="1"/>
  <c r="N1443" i="11" a="1"/>
  <c r="N1443" i="11" s="1"/>
  <c r="N1444" i="11" a="1"/>
  <c r="N1444" i="11" s="1"/>
  <c r="N1445" i="11" a="1"/>
  <c r="N1445" i="11" s="1"/>
  <c r="N1446" i="11" a="1"/>
  <c r="N1446" i="11" s="1"/>
  <c r="N1447" i="11" a="1"/>
  <c r="N1447" i="11" s="1"/>
  <c r="N1448" i="11" a="1"/>
  <c r="N1448" i="11" s="1"/>
  <c r="N1449" i="11" a="1"/>
  <c r="N1449" i="11" s="1"/>
  <c r="N1450" i="11" a="1"/>
  <c r="N1450" i="11" s="1"/>
  <c r="N1451" i="11" a="1"/>
  <c r="N1451" i="11" s="1"/>
  <c r="N1452" i="11" a="1"/>
  <c r="N1452" i="11" s="1"/>
  <c r="N1453" i="11" a="1"/>
  <c r="N1453" i="11" s="1"/>
  <c r="N1454" i="11" a="1"/>
  <c r="N1454" i="11" s="1"/>
  <c r="N1455" i="11" a="1"/>
  <c r="N1455" i="11" s="1"/>
  <c r="N1456" i="11" a="1"/>
  <c r="N1456" i="11" s="1"/>
  <c r="N1457" i="11" a="1"/>
  <c r="N1457" i="11" s="1"/>
  <c r="N1458" i="11" a="1"/>
  <c r="N1458" i="11" s="1"/>
  <c r="N1459" i="11" a="1"/>
  <c r="N1459" i="11" s="1"/>
  <c r="N1460" i="11" a="1"/>
  <c r="N1460" i="11" s="1"/>
  <c r="N1461" i="11" a="1"/>
  <c r="N1461" i="11" s="1"/>
  <c r="N1462" i="11" a="1"/>
  <c r="N1462" i="11" s="1"/>
  <c r="N1463" i="11" a="1"/>
  <c r="N1463" i="11" s="1"/>
  <c r="N1464" i="11" a="1"/>
  <c r="N1464" i="11" s="1"/>
  <c r="N1465" i="11" a="1"/>
  <c r="N1465" i="11" s="1"/>
  <c r="N1466" i="11" a="1"/>
  <c r="N1466" i="11" s="1"/>
  <c r="N1467" i="11" a="1"/>
  <c r="N1467" i="11" s="1"/>
  <c r="N1468" i="11" a="1"/>
  <c r="N1468" i="11" s="1"/>
  <c r="N1469" i="11" a="1"/>
  <c r="N1469" i="11" s="1"/>
  <c r="N1470" i="11" a="1"/>
  <c r="N1470" i="11" s="1"/>
  <c r="N1471" i="11" a="1"/>
  <c r="N1471" i="11" s="1"/>
  <c r="N1472" i="11" a="1"/>
  <c r="N1472" i="11" s="1"/>
  <c r="N1473" i="11" a="1"/>
  <c r="N1473" i="11" s="1"/>
  <c r="N1474" i="11" a="1"/>
  <c r="N1474" i="11" s="1"/>
  <c r="N1475" i="11" a="1"/>
  <c r="N1475" i="11" s="1"/>
  <c r="N1476" i="11" a="1"/>
  <c r="N1476" i="11" s="1"/>
  <c r="N1477" i="11" a="1"/>
  <c r="N1477" i="11" s="1"/>
  <c r="N1478" i="11" a="1"/>
  <c r="N1478" i="11" s="1"/>
  <c r="N1479" i="11" a="1"/>
  <c r="N1479" i="11" s="1"/>
  <c r="N1480" i="11" a="1"/>
  <c r="N1480" i="11" s="1"/>
  <c r="N1481" i="11" a="1"/>
  <c r="N1481" i="11" s="1"/>
  <c r="N1482" i="11" a="1"/>
  <c r="N1482" i="11" s="1"/>
  <c r="N1483" i="11" a="1"/>
  <c r="N1483" i="11" s="1"/>
  <c r="N1484" i="11" a="1"/>
  <c r="N1484" i="11" s="1"/>
  <c r="N1485" i="11" a="1"/>
  <c r="N1485" i="11" s="1"/>
  <c r="N1486" i="11" a="1"/>
  <c r="N1486" i="11" s="1"/>
  <c r="N1487" i="11" a="1"/>
  <c r="N1487" i="11" s="1"/>
  <c r="N1488" i="11" a="1"/>
  <c r="N1488" i="11" s="1"/>
  <c r="N1489" i="11" a="1"/>
  <c r="N1489" i="11" s="1"/>
  <c r="N1490" i="11" a="1"/>
  <c r="N1490" i="11" s="1"/>
  <c r="N1491" i="11" a="1"/>
  <c r="N1491" i="11" s="1"/>
  <c r="N1492" i="11" a="1"/>
  <c r="N1492" i="11" s="1"/>
  <c r="N1493" i="11" a="1"/>
  <c r="N1493" i="11" s="1"/>
  <c r="N1494" i="11" a="1"/>
  <c r="N1494" i="11" s="1"/>
  <c r="N1495" i="11" a="1"/>
  <c r="N1495" i="11" s="1"/>
  <c r="N1496" i="11" a="1"/>
  <c r="N1496" i="11" s="1"/>
  <c r="N1497" i="11" a="1"/>
  <c r="N1497" i="11" s="1"/>
  <c r="N1498" i="11" a="1"/>
  <c r="N1498" i="11" s="1"/>
  <c r="N1499" i="11" a="1"/>
  <c r="N1499" i="11" s="1"/>
  <c r="N1500" i="11" a="1"/>
  <c r="N1500" i="11" s="1"/>
  <c r="N1501" i="11" a="1"/>
  <c r="N1501" i="11" s="1"/>
  <c r="N1502" i="11" a="1"/>
  <c r="N1502" i="11" s="1"/>
  <c r="N1503" i="11" a="1"/>
  <c r="N1503" i="11" s="1"/>
  <c r="N1504" i="11" a="1"/>
  <c r="N1504" i="11" s="1"/>
  <c r="N1505" i="11" a="1"/>
  <c r="N1505" i="11" s="1"/>
  <c r="N1506" i="11" a="1"/>
  <c r="N1506" i="11" s="1"/>
  <c r="N1507" i="11" a="1"/>
  <c r="N1507" i="11" s="1"/>
  <c r="N1508" i="11" a="1"/>
  <c r="N1508" i="11" s="1"/>
  <c r="N1509" i="11" a="1"/>
  <c r="N1509" i="11" s="1"/>
  <c r="N1510" i="11" a="1"/>
  <c r="N1510" i="11" s="1"/>
  <c r="N1511" i="11" a="1"/>
  <c r="N1511" i="11" s="1"/>
  <c r="N1512" i="11" a="1"/>
  <c r="N1512" i="11" s="1"/>
  <c r="N1513" i="11" a="1"/>
  <c r="N1513" i="11" s="1"/>
  <c r="N1514" i="11" a="1"/>
  <c r="N1514" i="11" s="1"/>
  <c r="N1515" i="11" a="1"/>
  <c r="N1515" i="11" s="1"/>
  <c r="N1516" i="11" a="1"/>
  <c r="N1516" i="11" s="1"/>
  <c r="N1517" i="11" a="1"/>
  <c r="N1517" i="11" s="1"/>
  <c r="N1518" i="11" a="1"/>
  <c r="N1518" i="11" s="1"/>
  <c r="N1519" i="11" a="1"/>
  <c r="N1519" i="11" s="1"/>
  <c r="N1520" i="11" a="1"/>
  <c r="N1520" i="11" s="1"/>
  <c r="N1521" i="11" a="1"/>
  <c r="N1521" i="11" s="1"/>
  <c r="N1522" i="11" a="1"/>
  <c r="N1522" i="11" s="1"/>
  <c r="N1523" i="11" a="1"/>
  <c r="N1523" i="11" s="1"/>
  <c r="N1524" i="11" a="1"/>
  <c r="N1524" i="11" s="1"/>
  <c r="N1525" i="11" a="1"/>
  <c r="N1525" i="11" s="1"/>
  <c r="N1526" i="11" a="1"/>
  <c r="N1526" i="11" s="1"/>
  <c r="N1527" i="11" a="1"/>
  <c r="N1527" i="11" s="1"/>
  <c r="N1528" i="11" a="1"/>
  <c r="N1528" i="11" s="1"/>
  <c r="N1529" i="11" a="1"/>
  <c r="N1529" i="11" s="1"/>
  <c r="N1530" i="11" a="1"/>
  <c r="N1530" i="11" s="1"/>
  <c r="N1531" i="11" a="1"/>
  <c r="N1531" i="11" s="1"/>
  <c r="N1532" i="11" a="1"/>
  <c r="N1532" i="11" s="1"/>
  <c r="N1533" i="11" a="1"/>
  <c r="N1533" i="11" s="1"/>
  <c r="N1534" i="11" a="1"/>
  <c r="N1534" i="11" s="1"/>
  <c r="N1535" i="11" a="1"/>
  <c r="N1535" i="11" s="1"/>
  <c r="N1536" i="11" a="1"/>
  <c r="N1536" i="11" s="1"/>
  <c r="N1537" i="11" a="1"/>
  <c r="N1537" i="11" s="1"/>
  <c r="N1538" i="11" a="1"/>
  <c r="N1538" i="11" s="1"/>
  <c r="N1539" i="11" a="1"/>
  <c r="N1539" i="11" s="1"/>
  <c r="N1540" i="11" a="1"/>
  <c r="N1540" i="11" s="1"/>
  <c r="N1541" i="11" a="1"/>
  <c r="N1541" i="11" s="1"/>
  <c r="N1542" i="11" a="1"/>
  <c r="N1542" i="11" s="1"/>
  <c r="N1543" i="11" a="1"/>
  <c r="N1543" i="11" s="1"/>
  <c r="N1544" i="11" a="1"/>
  <c r="N1544" i="11" s="1"/>
  <c r="N1545" i="11" a="1"/>
  <c r="N1545" i="11" s="1"/>
  <c r="N1546" i="11" a="1"/>
  <c r="N1546" i="11" s="1"/>
  <c r="N1547" i="11" a="1"/>
  <c r="N1547" i="11" s="1"/>
  <c r="N1548" i="11" a="1"/>
  <c r="N1548" i="11" s="1"/>
  <c r="N1549" i="11" a="1"/>
  <c r="N1549" i="11" s="1"/>
  <c r="N1550" i="11" a="1"/>
  <c r="N1550" i="11" s="1"/>
  <c r="N1551" i="11" a="1"/>
  <c r="N1551" i="11" s="1"/>
  <c r="N1552" i="11" a="1"/>
  <c r="N1552" i="11" s="1"/>
  <c r="N1553" i="11" a="1"/>
  <c r="N1553" i="11" s="1"/>
  <c r="N1554" i="11" a="1"/>
  <c r="N1554" i="11" s="1"/>
  <c r="N1555" i="11" a="1"/>
  <c r="N1555" i="11" s="1"/>
  <c r="N1556" i="11" a="1"/>
  <c r="N1556" i="11" s="1"/>
  <c r="N1557" i="11" a="1"/>
  <c r="N1557" i="11" s="1"/>
  <c r="N1558" i="11" a="1"/>
  <c r="N1558" i="11" s="1"/>
  <c r="N1559" i="11" a="1"/>
  <c r="N1559" i="11" s="1"/>
  <c r="N1560" i="11" a="1"/>
  <c r="N1560" i="11" s="1"/>
  <c r="N1561" i="11" a="1"/>
  <c r="N1561" i="11" s="1"/>
  <c r="N1562" i="11" a="1"/>
  <c r="N1562" i="11" s="1"/>
  <c r="N1563" i="11" a="1"/>
  <c r="N1563" i="11" s="1"/>
  <c r="N1564" i="11" a="1"/>
  <c r="N1564" i="11" s="1"/>
  <c r="N1565" i="11" a="1"/>
  <c r="N1565" i="11" s="1"/>
  <c r="N1566" i="11" a="1"/>
  <c r="N1566" i="11" s="1"/>
  <c r="N1567" i="11" a="1"/>
  <c r="N1567" i="11" s="1"/>
  <c r="N1568" i="11" a="1"/>
  <c r="N1568" i="11" s="1"/>
  <c r="N1569" i="11" a="1"/>
  <c r="N1569" i="11" s="1"/>
  <c r="N1570" i="11" a="1"/>
  <c r="N1570" i="11" s="1"/>
  <c r="N1571" i="11" a="1"/>
  <c r="N1571" i="11" s="1"/>
  <c r="N1572" i="11" a="1"/>
  <c r="N1572" i="11" s="1"/>
  <c r="N1573" i="11" a="1"/>
  <c r="N1573" i="11" s="1"/>
  <c r="N1574" i="11" a="1"/>
  <c r="N1574" i="11" s="1"/>
  <c r="N1575" i="11" a="1"/>
  <c r="N1575" i="11" s="1"/>
  <c r="N1576" i="11" a="1"/>
  <c r="N1576" i="11" s="1"/>
  <c r="N1577" i="11" a="1"/>
  <c r="N1577" i="11" s="1"/>
  <c r="N1578" i="11" a="1"/>
  <c r="N1578" i="11" s="1"/>
  <c r="N1579" i="11" a="1"/>
  <c r="N1579" i="11" s="1"/>
  <c r="N1580" i="11" a="1"/>
  <c r="N1580" i="11" s="1"/>
  <c r="N1581" i="11" a="1"/>
  <c r="N1581" i="11" s="1"/>
  <c r="N1582" i="11" a="1"/>
  <c r="N1582" i="11" s="1"/>
  <c r="N1583" i="11" a="1"/>
  <c r="N1583" i="11" s="1"/>
  <c r="N1584" i="11" a="1"/>
  <c r="N1584" i="11" s="1"/>
  <c r="N1585" i="11" a="1"/>
  <c r="N1585" i="11" s="1"/>
  <c r="N1586" i="11" a="1"/>
  <c r="N1586" i="11" s="1"/>
  <c r="N1587" i="11" a="1"/>
  <c r="N1587" i="11" s="1"/>
  <c r="N1588" i="11" a="1"/>
  <c r="N1588" i="11" s="1"/>
  <c r="N1589" i="11" a="1"/>
  <c r="N1589" i="11" s="1"/>
  <c r="N1590" i="11" a="1"/>
  <c r="N1590" i="11" s="1"/>
  <c r="N1591" i="11" a="1"/>
  <c r="N1591" i="11" s="1"/>
  <c r="N1592" i="11" a="1"/>
  <c r="N1592" i="11" s="1"/>
  <c r="N1593" i="11" a="1"/>
  <c r="N1593" i="11" s="1"/>
  <c r="N1594" i="11" a="1"/>
  <c r="N1594" i="11" s="1"/>
  <c r="N1595" i="11" a="1"/>
  <c r="N1595" i="11" s="1"/>
  <c r="N1596" i="11" a="1"/>
  <c r="N1596" i="11" s="1"/>
  <c r="N1597" i="11" a="1"/>
  <c r="N1597" i="11" s="1"/>
  <c r="N1598" i="11" a="1"/>
  <c r="N1598" i="11" s="1"/>
  <c r="N1599" i="11" a="1"/>
  <c r="N1599" i="11" s="1"/>
  <c r="N1600" i="11" a="1"/>
  <c r="N1600" i="11" s="1"/>
  <c r="N1601" i="11" a="1"/>
  <c r="N1601" i="11" s="1"/>
  <c r="N1602" i="11" a="1"/>
  <c r="N1602" i="11" s="1"/>
  <c r="N1603" i="11" a="1"/>
  <c r="N1603" i="11" s="1"/>
  <c r="N1604" i="11" a="1"/>
  <c r="N1604" i="11" s="1"/>
  <c r="N1605" i="11" a="1"/>
  <c r="N1605" i="11" s="1"/>
  <c r="N1606" i="11" a="1"/>
  <c r="N1606" i="11" s="1"/>
  <c r="N1607" i="11" a="1"/>
  <c r="N1607" i="11" s="1"/>
  <c r="N1608" i="11" a="1"/>
  <c r="N1608" i="11" s="1"/>
  <c r="N1609" i="11" a="1"/>
  <c r="N1609" i="11" s="1"/>
  <c r="N1610" i="11" a="1"/>
  <c r="N1610" i="11" s="1"/>
  <c r="N1611" i="11" a="1"/>
  <c r="N1611" i="11" s="1"/>
  <c r="N1612" i="11" a="1"/>
  <c r="N1612" i="11" s="1"/>
  <c r="N1613" i="11" a="1"/>
  <c r="N1613" i="11" s="1"/>
  <c r="N1614" i="11" a="1"/>
  <c r="N1614" i="11" s="1"/>
  <c r="N1615" i="11" a="1"/>
  <c r="N1615" i="11" s="1"/>
  <c r="N1616" i="11" a="1"/>
  <c r="N1616" i="11" s="1"/>
  <c r="N1617" i="11" a="1"/>
  <c r="N1617" i="11" s="1"/>
  <c r="N1618" i="11" a="1"/>
  <c r="N1618" i="11" s="1"/>
  <c r="N1619" i="11" a="1"/>
  <c r="N1619" i="11" s="1"/>
  <c r="N1620" i="11" a="1"/>
  <c r="N1620" i="11" s="1"/>
  <c r="N1621" i="11" a="1"/>
  <c r="N1621" i="11" s="1"/>
  <c r="N1622" i="11" a="1"/>
  <c r="N1622" i="11" s="1"/>
  <c r="N1623" i="11" a="1"/>
  <c r="N1623" i="11" s="1"/>
  <c r="N1624" i="11" a="1"/>
  <c r="N1624" i="11" s="1"/>
  <c r="N1625" i="11" a="1"/>
  <c r="N1625" i="11" s="1"/>
  <c r="N1626" i="11" a="1"/>
  <c r="N1626" i="11" s="1"/>
  <c r="N1627" i="11" a="1"/>
  <c r="N1627" i="11" s="1"/>
  <c r="N1628" i="11" a="1"/>
  <c r="N1628" i="11" s="1"/>
  <c r="N1629" i="11" a="1"/>
  <c r="N1629" i="11" s="1"/>
  <c r="N1630" i="11" a="1"/>
  <c r="N1630" i="11" s="1"/>
  <c r="N1631" i="11" a="1"/>
  <c r="N1631" i="11" s="1"/>
  <c r="N1632" i="11" a="1"/>
  <c r="N1632" i="11" s="1"/>
  <c r="N1633" i="11" a="1"/>
  <c r="N1633" i="11" s="1"/>
  <c r="N1634" i="11" a="1"/>
  <c r="N1634" i="11" s="1"/>
  <c r="N1635" i="11" a="1"/>
  <c r="N1635" i="11" s="1"/>
  <c r="N1636" i="11" a="1"/>
  <c r="N1636" i="11" s="1"/>
  <c r="N1637" i="11" a="1"/>
  <c r="N1637" i="11" s="1"/>
  <c r="N1638" i="11" a="1"/>
  <c r="N1638" i="11" s="1"/>
  <c r="N1639" i="11" a="1"/>
  <c r="N1639" i="11" s="1"/>
  <c r="N1640" i="11" a="1"/>
  <c r="N1640" i="11" s="1"/>
  <c r="N1641" i="11" a="1"/>
  <c r="N1641" i="11" s="1"/>
  <c r="N1642" i="11" a="1"/>
  <c r="N1642" i="11" s="1"/>
  <c r="N1643" i="11" a="1"/>
  <c r="N1643" i="11" s="1"/>
  <c r="N1644" i="11" a="1"/>
  <c r="N1644" i="11" s="1"/>
  <c r="N1645" i="11" a="1"/>
  <c r="N1645" i="11" s="1"/>
  <c r="N1646" i="11" a="1"/>
  <c r="N1646" i="11" s="1"/>
  <c r="N1647" i="11" a="1"/>
  <c r="N1647" i="11" s="1"/>
  <c r="N1648" i="11" a="1"/>
  <c r="N1648" i="11" s="1"/>
  <c r="N1649" i="11" a="1"/>
  <c r="N1649" i="11" s="1"/>
  <c r="N1650" i="11" a="1"/>
  <c r="N1650" i="11" s="1"/>
  <c r="N1651" i="11" a="1"/>
  <c r="N1651" i="11" s="1"/>
  <c r="N1652" i="11" a="1"/>
  <c r="N1652" i="11" s="1"/>
  <c r="N1653" i="11" a="1"/>
  <c r="N1653" i="11" s="1"/>
  <c r="N1654" i="11" a="1"/>
  <c r="N1654" i="11" s="1"/>
  <c r="N1655" i="11" a="1"/>
  <c r="N1655" i="11" s="1"/>
  <c r="N1656" i="11" a="1"/>
  <c r="N1656" i="11" s="1"/>
  <c r="N1657" i="11" a="1"/>
  <c r="N1657" i="11" s="1"/>
  <c r="N1658" i="11" a="1"/>
  <c r="N1658" i="11" s="1"/>
  <c r="N1659" i="11" a="1"/>
  <c r="N1659" i="11" s="1"/>
  <c r="N1660" i="11" a="1"/>
  <c r="N1660" i="11" s="1"/>
  <c r="N1661" i="11" a="1"/>
  <c r="N1661" i="11" s="1"/>
  <c r="N1662" i="11" a="1"/>
  <c r="N1662" i="11" s="1"/>
  <c r="N1663" i="11" a="1"/>
  <c r="N1663" i="11" s="1"/>
  <c r="N1664" i="11" a="1"/>
  <c r="N1664" i="11" s="1"/>
  <c r="P1664" i="11" s="1"/>
  <c r="N1665" i="11" a="1"/>
  <c r="N1665" i="11" s="1"/>
  <c r="N1666" i="11" a="1"/>
  <c r="N1666" i="11" s="1"/>
  <c r="N1667" i="11" a="1"/>
  <c r="N1667" i="11" s="1"/>
  <c r="N1668" i="11" a="1"/>
  <c r="N1668" i="11" s="1"/>
  <c r="N1669" i="11" a="1"/>
  <c r="N1669" i="11" s="1"/>
  <c r="N1670" i="11" a="1"/>
  <c r="N1670" i="11" s="1"/>
  <c r="N1671" i="11" a="1"/>
  <c r="N1671" i="11" s="1"/>
  <c r="N1672" i="11" a="1"/>
  <c r="N1672" i="11" s="1"/>
  <c r="N1673" i="11" a="1"/>
  <c r="N1673" i="11" s="1"/>
  <c r="N1674" i="11" a="1"/>
  <c r="N1674" i="11" s="1"/>
  <c r="N1675" i="11" a="1"/>
  <c r="N1675" i="11" s="1"/>
  <c r="N1676" i="11" a="1"/>
  <c r="N1676" i="11" s="1"/>
  <c r="N1677" i="11" a="1"/>
  <c r="N1677" i="11" s="1"/>
  <c r="N1678" i="11" a="1"/>
  <c r="N1678" i="11" s="1"/>
  <c r="N1679" i="11" a="1"/>
  <c r="N1679" i="11" s="1"/>
  <c r="N1680" i="11" a="1"/>
  <c r="N1680" i="11" s="1"/>
  <c r="N1681" i="11" a="1"/>
  <c r="N1681" i="11" s="1"/>
  <c r="N1682" i="11" a="1"/>
  <c r="N1682" i="11" s="1"/>
  <c r="N1683" i="11" a="1"/>
  <c r="N1683" i="11" s="1"/>
  <c r="N1684" i="11" a="1"/>
  <c r="N1684" i="11" s="1"/>
  <c r="N1685" i="11" a="1"/>
  <c r="N1685" i="11" s="1"/>
  <c r="N1686" i="11" a="1"/>
  <c r="N1686" i="11" s="1"/>
  <c r="N1687" i="11" a="1"/>
  <c r="N1687" i="11" s="1"/>
  <c r="N1688" i="11" a="1"/>
  <c r="N1688" i="11" s="1"/>
  <c r="N1689" i="11" a="1"/>
  <c r="N1689" i="11" s="1"/>
  <c r="N1690" i="11" a="1"/>
  <c r="N1690" i="11" s="1"/>
  <c r="N1691" i="11" a="1"/>
  <c r="N1691" i="11" s="1"/>
  <c r="N1692" i="11" a="1"/>
  <c r="N1692" i="11" s="1"/>
  <c r="N1693" i="11" a="1"/>
  <c r="N1693" i="11" s="1"/>
  <c r="N1694" i="11" a="1"/>
  <c r="N1694" i="11" s="1"/>
  <c r="N1695" i="11" a="1"/>
  <c r="N1695" i="11" s="1"/>
  <c r="N1696" i="11" a="1"/>
  <c r="N1696" i="11" s="1"/>
  <c r="N1697" i="11" a="1"/>
  <c r="N1697" i="11" s="1"/>
  <c r="N1698" i="11" a="1"/>
  <c r="N1698" i="11" s="1"/>
  <c r="N1699" i="11" a="1"/>
  <c r="N1699" i="11" s="1"/>
  <c r="N1700" i="11" a="1"/>
  <c r="N1700" i="11" s="1"/>
  <c r="N1701" i="11" a="1"/>
  <c r="N1701" i="11" s="1"/>
  <c r="N1702" i="11" a="1"/>
  <c r="N1702" i="11" s="1"/>
  <c r="N1703" i="11" a="1"/>
  <c r="N1703" i="11" s="1"/>
  <c r="N1704" i="11" a="1"/>
  <c r="N1704" i="11" s="1"/>
  <c r="N1705" i="11" a="1"/>
  <c r="N1705" i="11" s="1"/>
  <c r="N1706" i="11" a="1"/>
  <c r="N1706" i="11" s="1"/>
  <c r="N1707" i="11" a="1"/>
  <c r="N1707" i="11" s="1"/>
  <c r="N1708" i="11" a="1"/>
  <c r="N1708" i="11" s="1"/>
  <c r="N1709" i="11" a="1"/>
  <c r="N1709" i="11" s="1"/>
  <c r="N1710" i="11" a="1"/>
  <c r="N1710" i="11" s="1"/>
  <c r="N1711" i="11" a="1"/>
  <c r="N1711" i="11" s="1"/>
  <c r="N1712" i="11" a="1"/>
  <c r="N1712" i="11" s="1"/>
  <c r="N1713" i="11" a="1"/>
  <c r="N1713" i="11" s="1"/>
  <c r="N1714" i="11" a="1"/>
  <c r="N1714" i="11" s="1"/>
  <c r="N1715" i="11" a="1"/>
  <c r="N1715" i="11" s="1"/>
  <c r="N1716" i="11" a="1"/>
  <c r="N1716" i="11" s="1"/>
  <c r="N1717" i="11" a="1"/>
  <c r="N1717" i="11" s="1"/>
  <c r="N1718" i="11" a="1"/>
  <c r="N1718" i="11" s="1"/>
  <c r="N1719" i="11" a="1"/>
  <c r="N1719" i="11" s="1"/>
  <c r="N1720" i="11" a="1"/>
  <c r="N1720" i="11" s="1"/>
  <c r="N1721" i="11" a="1"/>
  <c r="N1721" i="11" s="1"/>
  <c r="N1722" i="11" a="1"/>
  <c r="N1722" i="11" s="1"/>
  <c r="N1723" i="11" a="1"/>
  <c r="N1723" i="11" s="1"/>
  <c r="N1724" i="11" a="1"/>
  <c r="N1724" i="11" s="1"/>
  <c r="N1725" i="11" a="1"/>
  <c r="N1725" i="11" s="1"/>
  <c r="N1726" i="11" a="1"/>
  <c r="N1726" i="11" s="1"/>
  <c r="N1727" i="11" a="1"/>
  <c r="N1727" i="11" s="1"/>
  <c r="N1728" i="11" a="1"/>
  <c r="N1728" i="11" s="1"/>
  <c r="N1729" i="11" a="1"/>
  <c r="N1729" i="11" s="1"/>
  <c r="N1730" i="11" a="1"/>
  <c r="N1730" i="11" s="1"/>
  <c r="N1731" i="11" a="1"/>
  <c r="N1731" i="11" s="1"/>
  <c r="N1732" i="11" a="1"/>
  <c r="N1732" i="11" s="1"/>
  <c r="N1733" i="11" a="1"/>
  <c r="N1733" i="11" s="1"/>
  <c r="N1734" i="11" a="1"/>
  <c r="N1734" i="11" s="1"/>
  <c r="N1735" i="11" a="1"/>
  <c r="N1735" i="11" s="1"/>
  <c r="N1736" i="11" a="1"/>
  <c r="N1736" i="11" s="1"/>
  <c r="N1737" i="11" a="1"/>
  <c r="N1737" i="11" s="1"/>
  <c r="N1738" i="11" a="1"/>
  <c r="N1738" i="11" s="1"/>
  <c r="N1739" i="11" a="1"/>
  <c r="N1739" i="11" s="1"/>
  <c r="N1740" i="11" a="1"/>
  <c r="N1740" i="11" s="1"/>
  <c r="N1741" i="11" a="1"/>
  <c r="N1741" i="11" s="1"/>
  <c r="N1742" i="11" a="1"/>
  <c r="N1742" i="11" s="1"/>
  <c r="N1743" i="11" a="1"/>
  <c r="N1743" i="11" s="1"/>
  <c r="N1744" i="11" a="1"/>
  <c r="N1744" i="11" s="1"/>
  <c r="N1745" i="11" a="1"/>
  <c r="N1745" i="11" s="1"/>
  <c r="N1746" i="11" a="1"/>
  <c r="N1746" i="11" s="1"/>
  <c r="N1747" i="11" a="1"/>
  <c r="N1747" i="11" s="1"/>
  <c r="N1748" i="11" a="1"/>
  <c r="N1748" i="11" s="1"/>
  <c r="N1749" i="11" a="1"/>
  <c r="N1749" i="11" s="1"/>
  <c r="N1750" i="11" a="1"/>
  <c r="N1750" i="11" s="1"/>
  <c r="N1751" i="11" a="1"/>
  <c r="N1751" i="11" s="1"/>
  <c r="N1752" i="11" a="1"/>
  <c r="N1752" i="11" s="1"/>
  <c r="N1753" i="11" a="1"/>
  <c r="N1753" i="11" s="1"/>
  <c r="N1754" i="11" a="1"/>
  <c r="N1754" i="11" s="1"/>
  <c r="N1755" i="11" a="1"/>
  <c r="N1755" i="11" s="1"/>
  <c r="N1756" i="11" a="1"/>
  <c r="N1756" i="11" s="1"/>
  <c r="N1757" i="11" a="1"/>
  <c r="N1757" i="11" s="1"/>
  <c r="N1758" i="11" a="1"/>
  <c r="N1758" i="11" s="1"/>
  <c r="N1759" i="11" a="1"/>
  <c r="N1759" i="11" s="1"/>
  <c r="N1760" i="11" a="1"/>
  <c r="N1760" i="11" s="1"/>
  <c r="N1761" i="11" a="1"/>
  <c r="N1761" i="11" s="1"/>
  <c r="N1762" i="11" a="1"/>
  <c r="N1762" i="11" s="1"/>
  <c r="N1763" i="11" a="1"/>
  <c r="N1763" i="11" s="1"/>
  <c r="N1764" i="11" a="1"/>
  <c r="N1764" i="11" s="1"/>
  <c r="N1765" i="11" a="1"/>
  <c r="N1765" i="11" s="1"/>
  <c r="N1766" i="11" a="1"/>
  <c r="N1766" i="11" s="1"/>
  <c r="N1767" i="11" a="1"/>
  <c r="N1767" i="11" s="1"/>
  <c r="N1768" i="11" a="1"/>
  <c r="N1768" i="11" s="1"/>
  <c r="N1769" i="11" a="1"/>
  <c r="N1769" i="11" s="1"/>
  <c r="N1770" i="11" a="1"/>
  <c r="N1770" i="11" s="1"/>
  <c r="N1771" i="11" a="1"/>
  <c r="N1771" i="11" s="1"/>
  <c r="N1772" i="11" a="1"/>
  <c r="N1772" i="11" s="1"/>
  <c r="N1773" i="11" a="1"/>
  <c r="N1773" i="11" s="1"/>
  <c r="N1774" i="11" a="1"/>
  <c r="N1774" i="11" s="1"/>
  <c r="N1775" i="11" a="1"/>
  <c r="N1775" i="11" s="1"/>
  <c r="N1776" i="11" a="1"/>
  <c r="N1776" i="11" s="1"/>
  <c r="N1777" i="11" a="1"/>
  <c r="N1777" i="11" s="1"/>
  <c r="N1778" i="11" a="1"/>
  <c r="N1778" i="11" s="1"/>
  <c r="N1779" i="11" a="1"/>
  <c r="N1779" i="11" s="1"/>
  <c r="N1780" i="11" a="1"/>
  <c r="N1780" i="11" s="1"/>
  <c r="N1781" i="11" a="1"/>
  <c r="N1781" i="11" s="1"/>
  <c r="N1782" i="11" a="1"/>
  <c r="N1782" i="11" s="1"/>
  <c r="N1783" i="11" a="1"/>
  <c r="N1783" i="11" s="1"/>
  <c r="N1784" i="11" a="1"/>
  <c r="N1784" i="11" s="1"/>
  <c r="N1785" i="11" a="1"/>
  <c r="N1785" i="11" s="1"/>
  <c r="N1786" i="11" a="1"/>
  <c r="N1786" i="11" s="1"/>
  <c r="N1787" i="11" a="1"/>
  <c r="N1787" i="11" s="1"/>
  <c r="N1788" i="11" a="1"/>
  <c r="N1788" i="11" s="1"/>
  <c r="N1789" i="11" a="1"/>
  <c r="N1789" i="11" s="1"/>
  <c r="N1790" i="11" a="1"/>
  <c r="N1790" i="11" s="1"/>
  <c r="N1791" i="11" a="1"/>
  <c r="N1791" i="11" s="1"/>
  <c r="N1792" i="11" a="1"/>
  <c r="N1792" i="11" s="1"/>
  <c r="N1793" i="11" a="1"/>
  <c r="N1793" i="11" s="1"/>
  <c r="N1794" i="11" a="1"/>
  <c r="N1794" i="11" s="1"/>
  <c r="N1795" i="11" a="1"/>
  <c r="N1795" i="11" s="1"/>
  <c r="N1796" i="11" a="1"/>
  <c r="N1796" i="11" s="1"/>
  <c r="N1797" i="11" a="1"/>
  <c r="N1797" i="11" s="1"/>
  <c r="N1798" i="11" a="1"/>
  <c r="N1798" i="11" s="1"/>
  <c r="N1799" i="11" a="1"/>
  <c r="N1799" i="11" s="1"/>
  <c r="N1800" i="11" a="1"/>
  <c r="N1800" i="11" s="1"/>
  <c r="N1801" i="11" a="1"/>
  <c r="N1801" i="11" s="1"/>
  <c r="N1802" i="11" a="1"/>
  <c r="N1802" i="11" s="1"/>
  <c r="N1803" i="11" a="1"/>
  <c r="N1803" i="11" s="1"/>
  <c r="N1804" i="11" a="1"/>
  <c r="N1804" i="11" s="1"/>
  <c r="N1805" i="11" a="1"/>
  <c r="N1805" i="11" s="1"/>
  <c r="N1806" i="11" a="1"/>
  <c r="N1806" i="11" s="1"/>
  <c r="N1807" i="11" a="1"/>
  <c r="N1807" i="11" s="1"/>
  <c r="N1808" i="11" a="1"/>
  <c r="N1808" i="11" s="1"/>
  <c r="N1809" i="11" a="1"/>
  <c r="N1809" i="11" s="1"/>
  <c r="N1810" i="11" a="1"/>
  <c r="N1810" i="11" s="1"/>
  <c r="N1811" i="11" a="1"/>
  <c r="N1811" i="11" s="1"/>
  <c r="N1812" i="11" a="1"/>
  <c r="N1812" i="11" s="1"/>
  <c r="N1813" i="11" a="1"/>
  <c r="N1813" i="11" s="1"/>
  <c r="N1814" i="11" a="1"/>
  <c r="N1814" i="11" s="1"/>
  <c r="N1815" i="11" a="1"/>
  <c r="N1815" i="11" s="1"/>
  <c r="N1816" i="11" a="1"/>
  <c r="N1816" i="11" s="1"/>
  <c r="N1817" i="11" a="1"/>
  <c r="N1817" i="11" s="1"/>
  <c r="N1818" i="11" a="1"/>
  <c r="N1818" i="11" s="1"/>
  <c r="N1819" i="11" a="1"/>
  <c r="N1819" i="11" s="1"/>
  <c r="N1820" i="11" a="1"/>
  <c r="N1820" i="11" s="1"/>
  <c r="N1821" i="11" a="1"/>
  <c r="N1821" i="11" s="1"/>
  <c r="N1822" i="11" a="1"/>
  <c r="N1822" i="11" s="1"/>
  <c r="N1823" i="11" a="1"/>
  <c r="N1823" i="11" s="1"/>
  <c r="N1824" i="11" a="1"/>
  <c r="N1824" i="11" s="1"/>
  <c r="N1825" i="11" a="1"/>
  <c r="N1825" i="11" s="1"/>
  <c r="N1826" i="11" a="1"/>
  <c r="N1826" i="11" s="1"/>
  <c r="N1827" i="11" a="1"/>
  <c r="N1827" i="11" s="1"/>
  <c r="N1828" i="11" a="1"/>
  <c r="N1828" i="11" s="1"/>
  <c r="N1829" i="11" a="1"/>
  <c r="N1829" i="11" s="1"/>
  <c r="N1830" i="11" a="1"/>
  <c r="N1830" i="11" s="1"/>
  <c r="N1831" i="11" a="1"/>
  <c r="N1831" i="11" s="1"/>
  <c r="N1832" i="11" a="1"/>
  <c r="N1832" i="11" s="1"/>
  <c r="N1833" i="11" a="1"/>
  <c r="N1833" i="11" s="1"/>
  <c r="N1834" i="11" a="1"/>
  <c r="N1834" i="11" s="1"/>
  <c r="N1835" i="11" a="1"/>
  <c r="N1835" i="11" s="1"/>
  <c r="N1836" i="11" a="1"/>
  <c r="N1836" i="11" s="1"/>
  <c r="N1837" i="11" a="1"/>
  <c r="N1837" i="11" s="1"/>
  <c r="N1838" i="11" a="1"/>
  <c r="N1838" i="11" s="1"/>
  <c r="N1839" i="11" a="1"/>
  <c r="N1839" i="11" s="1"/>
  <c r="N1840" i="11" a="1"/>
  <c r="N1840" i="11" s="1"/>
  <c r="N1841" i="11" a="1"/>
  <c r="N1841" i="11" s="1"/>
  <c r="N1842" i="11" a="1"/>
  <c r="N1842" i="11" s="1"/>
  <c r="N1843" i="11" a="1"/>
  <c r="N1843" i="11" s="1"/>
  <c r="N1844" i="11" a="1"/>
  <c r="N1844" i="11" s="1"/>
  <c r="N1845" i="11" a="1"/>
  <c r="N1845" i="11" s="1"/>
  <c r="N1846" i="11" a="1"/>
  <c r="N1846" i="11" s="1"/>
  <c r="N1847" i="11" a="1"/>
  <c r="N1847" i="11" s="1"/>
  <c r="N1848" i="11" a="1"/>
  <c r="N1848" i="11" s="1"/>
  <c r="N1849" i="11" a="1"/>
  <c r="N1849" i="11" s="1"/>
  <c r="N1850" i="11" a="1"/>
  <c r="N1850" i="11" s="1"/>
  <c r="N1851" i="11" a="1"/>
  <c r="N1851" i="11" s="1"/>
  <c r="N1852" i="11" a="1"/>
  <c r="N1852" i="11" s="1"/>
  <c r="N1853" i="11" a="1"/>
  <c r="N1853" i="11" s="1"/>
  <c r="N1854" i="11" a="1"/>
  <c r="N1854" i="11" s="1"/>
  <c r="N1855" i="11" a="1"/>
  <c r="N1855" i="11" s="1"/>
  <c r="N1856" i="11" a="1"/>
  <c r="N1856" i="11" s="1"/>
  <c r="N1857" i="11" a="1"/>
  <c r="N1857" i="11" s="1"/>
  <c r="N1858" i="11" a="1"/>
  <c r="N1858" i="11" s="1"/>
  <c r="N1859" i="11" a="1"/>
  <c r="N1859" i="11" s="1"/>
  <c r="N1860" i="11" a="1"/>
  <c r="N1860" i="11" s="1"/>
  <c r="N1861" i="11" a="1"/>
  <c r="N1861" i="11" s="1"/>
  <c r="N1862" i="11" a="1"/>
  <c r="N1862" i="11" s="1"/>
  <c r="N1863" i="11" a="1"/>
  <c r="N1863" i="11" s="1"/>
  <c r="N1864" i="11" a="1"/>
  <c r="N1864" i="11" s="1"/>
  <c r="N1865" i="11" a="1"/>
  <c r="N1865" i="11" s="1"/>
  <c r="N1866" i="11" a="1"/>
  <c r="N1866" i="11" s="1"/>
  <c r="N1867" i="11" a="1"/>
  <c r="N1867" i="11" s="1"/>
  <c r="N1868" i="11" a="1"/>
  <c r="N1868" i="11" s="1"/>
  <c r="N1869" i="11" a="1"/>
  <c r="N1869" i="11" s="1"/>
  <c r="N1870" i="11" a="1"/>
  <c r="N1870" i="11" s="1"/>
  <c r="N1871" i="11" a="1"/>
  <c r="N1871" i="11" s="1"/>
  <c r="N1872" i="11" a="1"/>
  <c r="N1872" i="11" s="1"/>
  <c r="P1872" i="11" s="1"/>
  <c r="N1873" i="11" a="1"/>
  <c r="N1873" i="11" s="1"/>
  <c r="N1874" i="11" a="1"/>
  <c r="N1874" i="11" s="1"/>
  <c r="N1875" i="11" a="1"/>
  <c r="N1875" i="11" s="1"/>
  <c r="N1876" i="11" a="1"/>
  <c r="N1876" i="11" s="1"/>
  <c r="N1877" i="11" a="1"/>
  <c r="N1877" i="11" s="1"/>
  <c r="N1878" i="11" a="1"/>
  <c r="N1878" i="11" s="1"/>
  <c r="N1879" i="11" a="1"/>
  <c r="N1879" i="11" s="1"/>
  <c r="N1880" i="11" a="1"/>
  <c r="N1880" i="11" s="1"/>
  <c r="N1881" i="11" a="1"/>
  <c r="N1881" i="11" s="1"/>
  <c r="N1882" i="11" a="1"/>
  <c r="N1882" i="11" s="1"/>
  <c r="N1883" i="11" a="1"/>
  <c r="N1883" i="11" s="1"/>
  <c r="N1884" i="11" a="1"/>
  <c r="N1884" i="11" s="1"/>
  <c r="N1885" i="11" a="1"/>
  <c r="N1885" i="11" s="1"/>
  <c r="N1886" i="11" a="1"/>
  <c r="N1886" i="11" s="1"/>
  <c r="N1887" i="11" a="1"/>
  <c r="N1887" i="11" s="1"/>
  <c r="N1888" i="11" a="1"/>
  <c r="N1888" i="11" s="1"/>
  <c r="N1889" i="11" a="1"/>
  <c r="N1889" i="11" s="1"/>
  <c r="N1890" i="11" a="1"/>
  <c r="N1890" i="11" s="1"/>
  <c r="N1891" i="11" a="1"/>
  <c r="N1891" i="11" s="1"/>
  <c r="N1892" i="11" a="1"/>
  <c r="N1892" i="11" s="1"/>
  <c r="N1893" i="11" a="1"/>
  <c r="N1893" i="11" s="1"/>
  <c r="N1894" i="11" a="1"/>
  <c r="N1894" i="11" s="1"/>
  <c r="N1895" i="11" a="1"/>
  <c r="N1895" i="11" s="1"/>
  <c r="N1896" i="11" a="1"/>
  <c r="N1896" i="11" s="1"/>
  <c r="N1897" i="11" a="1"/>
  <c r="N1897" i="11" s="1"/>
  <c r="N1898" i="11" a="1"/>
  <c r="N1898" i="11" s="1"/>
  <c r="N1899" i="11" a="1"/>
  <c r="N1899" i="11" s="1"/>
  <c r="N1900" i="11" a="1"/>
  <c r="N1900" i="11" s="1"/>
  <c r="N1901" i="11" a="1"/>
  <c r="N1901" i="11" s="1"/>
  <c r="N1902" i="11" a="1"/>
  <c r="N1902" i="11" s="1"/>
  <c r="N1903" i="11" a="1"/>
  <c r="N1903" i="11" s="1"/>
  <c r="N1904" i="11" a="1"/>
  <c r="N1904" i="11" s="1"/>
  <c r="N1905" i="11" a="1"/>
  <c r="N1905" i="11" s="1"/>
  <c r="N1906" i="11" a="1"/>
  <c r="N1906" i="11" s="1"/>
  <c r="N1907" i="11" a="1"/>
  <c r="N1907" i="11" s="1"/>
  <c r="N1908" i="11" a="1"/>
  <c r="N1908" i="11" s="1"/>
  <c r="N1909" i="11" a="1"/>
  <c r="N1909" i="11" s="1"/>
  <c r="N1910" i="11" a="1"/>
  <c r="N1910" i="11" s="1"/>
  <c r="N1911" i="11" a="1"/>
  <c r="N1911" i="11" s="1"/>
  <c r="N1912" i="11" a="1"/>
  <c r="N1912" i="11" s="1"/>
  <c r="N1913" i="11" a="1"/>
  <c r="N1913" i="11" s="1"/>
  <c r="N1914" i="11" a="1"/>
  <c r="N1914" i="11" s="1"/>
  <c r="N1915" i="11" a="1"/>
  <c r="N1915" i="11" s="1"/>
  <c r="N1916" i="11" a="1"/>
  <c r="N1916" i="11" s="1"/>
  <c r="N1917" i="11" a="1"/>
  <c r="N1917" i="11" s="1"/>
  <c r="N1918" i="11" a="1"/>
  <c r="N1918" i="11" s="1"/>
  <c r="N1919" i="11" a="1"/>
  <c r="N1919" i="11" s="1"/>
  <c r="N1920" i="11" a="1"/>
  <c r="N1920" i="11" s="1"/>
  <c r="N1921" i="11" a="1"/>
  <c r="N1921" i="11" s="1"/>
  <c r="N1922" i="11" a="1"/>
  <c r="N1922" i="11" s="1"/>
  <c r="N1923" i="11" a="1"/>
  <c r="N1923" i="11" s="1"/>
  <c r="N1924" i="11" a="1"/>
  <c r="N1924" i="11" s="1"/>
  <c r="N1925" i="11" a="1"/>
  <c r="N1925" i="11" s="1"/>
  <c r="N1926" i="11" a="1"/>
  <c r="N1926" i="11" s="1"/>
  <c r="N1927" i="11" a="1"/>
  <c r="N1927" i="11" s="1"/>
  <c r="N1928" i="11" a="1"/>
  <c r="N1928" i="11" s="1"/>
  <c r="N1929" i="11" a="1"/>
  <c r="N1929" i="11" s="1"/>
  <c r="N1930" i="11" a="1"/>
  <c r="N1930" i="11" s="1"/>
  <c r="N1931" i="11" a="1"/>
  <c r="N1931" i="11" s="1"/>
  <c r="N1932" i="11" a="1"/>
  <c r="N1932" i="11" s="1"/>
  <c r="N1933" i="11" a="1"/>
  <c r="N1933" i="11" s="1"/>
  <c r="N1934" i="11" a="1"/>
  <c r="N1934" i="11" s="1"/>
  <c r="N1935" i="11" a="1"/>
  <c r="N1935" i="11" s="1"/>
  <c r="N1936" i="11" a="1"/>
  <c r="N1936" i="11" s="1"/>
  <c r="N1937" i="11" a="1"/>
  <c r="N1937" i="11" s="1"/>
  <c r="N1938" i="11" a="1"/>
  <c r="N1938" i="11" s="1"/>
  <c r="N1939" i="11" a="1"/>
  <c r="N1939" i="11" s="1"/>
  <c r="N1940" i="11" a="1"/>
  <c r="N1940" i="11" s="1"/>
  <c r="N1941" i="11" a="1"/>
  <c r="N1941" i="11" s="1"/>
  <c r="N1942" i="11" a="1"/>
  <c r="N1942" i="11" s="1"/>
  <c r="N1943" i="11" a="1"/>
  <c r="N1943" i="11" s="1"/>
  <c r="N1944" i="11" a="1"/>
  <c r="N1944" i="11" s="1"/>
  <c r="N1945" i="11" a="1"/>
  <c r="N1945" i="11" s="1"/>
  <c r="N1946" i="11" a="1"/>
  <c r="N1946" i="11" s="1"/>
  <c r="N1947" i="11" a="1"/>
  <c r="N1947" i="11" s="1"/>
  <c r="N1948" i="11" a="1"/>
  <c r="N1948" i="11" s="1"/>
  <c r="N1949" i="11" a="1"/>
  <c r="N1949" i="11" s="1"/>
  <c r="N1950" i="11" a="1"/>
  <c r="N1950" i="11" s="1"/>
  <c r="N1951" i="11" a="1"/>
  <c r="N1951" i="11" s="1"/>
  <c r="N1952" i="11" a="1"/>
  <c r="N1952" i="11" s="1"/>
  <c r="N1953" i="11" a="1"/>
  <c r="N1953" i="11" s="1"/>
  <c r="N1954" i="11" a="1"/>
  <c r="N1954" i="11" s="1"/>
  <c r="N1955" i="11" a="1"/>
  <c r="N1955" i="11" s="1"/>
  <c r="N1956" i="11" a="1"/>
  <c r="N1956" i="11" s="1"/>
  <c r="N1957" i="11" a="1"/>
  <c r="N1957" i="11" s="1"/>
  <c r="N1958" i="11" a="1"/>
  <c r="N1958" i="11" s="1"/>
  <c r="N1959" i="11" a="1"/>
  <c r="N1959" i="11" s="1"/>
  <c r="N1960" i="11" a="1"/>
  <c r="N1960" i="11" s="1"/>
  <c r="N1961" i="11" a="1"/>
  <c r="N1961" i="11" s="1"/>
  <c r="N1962" i="11" a="1"/>
  <c r="N1962" i="11" s="1"/>
  <c r="N1963" i="11" a="1"/>
  <c r="N1963" i="11" s="1"/>
  <c r="N1964" i="11" a="1"/>
  <c r="N1964" i="11" s="1"/>
  <c r="N1965" i="11" a="1"/>
  <c r="N1965" i="11" s="1"/>
  <c r="N1966" i="11" a="1"/>
  <c r="N1966" i="11" s="1"/>
  <c r="N1967" i="11" a="1"/>
  <c r="N1967" i="11" s="1"/>
  <c r="N1968" i="11" a="1"/>
  <c r="N1968" i="11" s="1"/>
  <c r="N1969" i="11" a="1"/>
  <c r="N1969" i="11" s="1"/>
  <c r="N1970" i="11" a="1"/>
  <c r="N1970" i="11" s="1"/>
  <c r="N1971" i="11" a="1"/>
  <c r="N1971" i="11" s="1"/>
  <c r="N1972" i="11" a="1"/>
  <c r="N1972" i="11" s="1"/>
  <c r="N1973" i="11" a="1"/>
  <c r="N1973" i="11" s="1"/>
  <c r="N1974" i="11" a="1"/>
  <c r="N1974" i="11" s="1"/>
  <c r="N1975" i="11" a="1"/>
  <c r="N1975" i="11" s="1"/>
  <c r="N1976" i="11" a="1"/>
  <c r="N1976" i="11" s="1"/>
  <c r="N1977" i="11" a="1"/>
  <c r="N1977" i="11" s="1"/>
  <c r="N1978" i="11" a="1"/>
  <c r="N1978" i="11" s="1"/>
  <c r="N1979" i="11" a="1"/>
  <c r="N1979" i="11" s="1"/>
  <c r="N1980" i="11" a="1"/>
  <c r="N1980" i="11" s="1"/>
  <c r="N1981" i="11" a="1"/>
  <c r="N1981" i="11" s="1"/>
  <c r="N1982" i="11" a="1"/>
  <c r="N1982" i="11" s="1"/>
  <c r="N1983" i="11" a="1"/>
  <c r="N1983" i="11" s="1"/>
  <c r="N1984" i="11" a="1"/>
  <c r="N1984" i="11" s="1"/>
  <c r="N1985" i="11" a="1"/>
  <c r="N1985" i="11" s="1"/>
  <c r="N1986" i="11" a="1"/>
  <c r="N1986" i="11" s="1"/>
  <c r="N1987" i="11" a="1"/>
  <c r="N1987" i="11" s="1"/>
  <c r="N1988" i="11" a="1"/>
  <c r="N1988" i="11" s="1"/>
  <c r="N1989" i="11" a="1"/>
  <c r="N1989" i="11" s="1"/>
  <c r="N1990" i="11" a="1"/>
  <c r="N1990" i="11" s="1"/>
  <c r="N1991" i="11" a="1"/>
  <c r="N1991" i="11" s="1"/>
  <c r="N1992" i="11" a="1"/>
  <c r="N1992" i="11" s="1"/>
  <c r="N1993" i="11" a="1"/>
  <c r="N1993" i="11" s="1"/>
  <c r="N1994" i="11" a="1"/>
  <c r="N1994" i="11" s="1"/>
  <c r="N1995" i="11" a="1"/>
  <c r="N1995" i="11" s="1"/>
  <c r="N1996" i="11" a="1"/>
  <c r="N1996" i="11" s="1"/>
  <c r="N1997" i="11" a="1"/>
  <c r="N1997" i="11" s="1"/>
  <c r="N1998" i="11" a="1"/>
  <c r="N1998" i="11" s="1"/>
  <c r="N1999" i="11" a="1"/>
  <c r="N1999" i="11" s="1"/>
  <c r="N2000" i="11" a="1"/>
  <c r="N2000" i="11"/>
  <c r="N2001" i="11" a="1"/>
  <c r="N2001" i="11" s="1"/>
  <c r="N2002" i="11" a="1"/>
  <c r="N2002" i="11" s="1"/>
  <c r="N2003" i="11" a="1"/>
  <c r="N2003" i="11" s="1"/>
  <c r="N2004" i="11" a="1"/>
  <c r="N2004" i="11" s="1"/>
  <c r="N2005" i="11" a="1"/>
  <c r="N2005" i="11" s="1"/>
  <c r="N2006" i="11" a="1"/>
  <c r="N2006" i="11" s="1"/>
  <c r="N2007" i="11" a="1"/>
  <c r="N2007" i="11" s="1"/>
  <c r="N2008" i="11" a="1"/>
  <c r="N2008" i="11" s="1"/>
  <c r="N2009" i="11" a="1"/>
  <c r="N2009" i="11" s="1"/>
  <c r="N2010" i="11" a="1"/>
  <c r="N2010" i="11" s="1"/>
  <c r="N2011" i="11" a="1"/>
  <c r="N2011" i="11" s="1"/>
  <c r="N2012" i="11" a="1"/>
  <c r="N2012" i="11" s="1"/>
  <c r="N2013" i="11" a="1"/>
  <c r="N2013" i="11" s="1"/>
  <c r="N2014" i="11" a="1"/>
  <c r="N2014" i="11" s="1"/>
  <c r="N2015" i="11" a="1"/>
  <c r="N2015" i="11" s="1"/>
  <c r="N2016" i="11" a="1"/>
  <c r="N2016" i="11" s="1"/>
  <c r="N2017" i="11" a="1"/>
  <c r="N2017" i="11" s="1"/>
  <c r="N2018" i="11" a="1"/>
  <c r="N2018" i="11" s="1"/>
  <c r="N2019" i="11" a="1"/>
  <c r="N2019" i="11" s="1"/>
  <c r="N2020" i="11" a="1"/>
  <c r="N2020" i="11" s="1"/>
  <c r="N2021" i="11" a="1"/>
  <c r="N2021" i="11" s="1"/>
  <c r="N2022" i="11" a="1"/>
  <c r="N2022" i="11" s="1"/>
  <c r="N2023" i="11" a="1"/>
  <c r="N2023" i="11" s="1"/>
  <c r="N2024" i="11" a="1"/>
  <c r="N2024" i="11" s="1"/>
  <c r="N2025" i="11" a="1"/>
  <c r="N2025" i="11" s="1"/>
  <c r="N2026" i="11" a="1"/>
  <c r="N2026" i="11" s="1"/>
  <c r="N2027" i="11" a="1"/>
  <c r="N2027" i="11" s="1"/>
  <c r="N2028" i="11" a="1"/>
  <c r="N2028" i="11" s="1"/>
  <c r="N2029" i="11" a="1"/>
  <c r="N2029" i="11" s="1"/>
  <c r="N2030" i="11" a="1"/>
  <c r="N2030" i="11" s="1"/>
  <c r="N2031" i="11" a="1"/>
  <c r="N2031" i="11" s="1"/>
  <c r="N2032" i="11" a="1"/>
  <c r="N2032" i="11" s="1"/>
  <c r="N2033" i="11" a="1"/>
  <c r="N2033" i="11" s="1"/>
  <c r="N2034" i="11" a="1"/>
  <c r="N2034" i="11" s="1"/>
  <c r="N2035" i="11" a="1"/>
  <c r="N2035" i="11" s="1"/>
  <c r="N2036" i="11" a="1"/>
  <c r="N2036" i="11" s="1"/>
  <c r="N2037" i="11" a="1"/>
  <c r="N2037" i="11"/>
  <c r="N2038" i="11" a="1"/>
  <c r="N2038" i="11" s="1"/>
  <c r="N2039" i="11" a="1"/>
  <c r="N2039" i="11" s="1"/>
  <c r="N2040" i="11" a="1"/>
  <c r="N2040" i="11" s="1"/>
  <c r="N2041" i="11" a="1"/>
  <c r="N2041" i="11" s="1"/>
  <c r="N2042" i="11" a="1"/>
  <c r="N2042" i="11" s="1"/>
  <c r="N2043" i="11" a="1"/>
  <c r="N2043" i="11" s="1"/>
  <c r="N2044" i="11" a="1"/>
  <c r="N2044" i="11"/>
  <c r="N2045" i="11" a="1"/>
  <c r="N2045" i="11" s="1"/>
  <c r="N2046" i="11" a="1"/>
  <c r="N2046" i="11" s="1"/>
  <c r="N2047" i="11" a="1"/>
  <c r="N2047" i="11" s="1"/>
  <c r="N2048" i="11" a="1"/>
  <c r="N2048" i="11" s="1"/>
  <c r="N2049" i="11" a="1"/>
  <c r="N2049" i="11" s="1"/>
  <c r="N2050" i="11" a="1"/>
  <c r="N2050" i="11" s="1"/>
  <c r="N2051" i="11" a="1"/>
  <c r="N2051" i="11"/>
  <c r="N2052" i="11" a="1"/>
  <c r="N2052" i="11" s="1"/>
  <c r="N2053" i="11" a="1"/>
  <c r="N2053" i="11" s="1"/>
  <c r="N2054" i="11" a="1"/>
  <c r="N2054" i="11" s="1"/>
  <c r="N2055" i="11" a="1"/>
  <c r="N2055" i="11" s="1"/>
  <c r="N2056" i="11" a="1"/>
  <c r="N2056" i="11" s="1"/>
  <c r="N2057" i="11" a="1"/>
  <c r="N2057" i="11" s="1"/>
  <c r="N2058" i="11" a="1"/>
  <c r="N2058" i="11" s="1"/>
  <c r="N2059" i="11" a="1"/>
  <c r="N2059" i="11" s="1"/>
  <c r="N2060" i="11" a="1"/>
  <c r="N2060" i="11" s="1"/>
  <c r="N2061" i="11" a="1"/>
  <c r="N2061" i="11" s="1"/>
  <c r="N2062" i="11" a="1"/>
  <c r="N2062" i="11" s="1"/>
  <c r="N2063" i="11" a="1"/>
  <c r="N2063" i="11" s="1"/>
  <c r="N2064" i="11" a="1"/>
  <c r="N2064" i="11" s="1"/>
  <c r="N2065" i="11" a="1"/>
  <c r="N2065" i="11" s="1"/>
  <c r="N2066" i="11" a="1"/>
  <c r="N2066" i="11"/>
  <c r="N2067" i="11" a="1"/>
  <c r="N2067" i="11" s="1"/>
  <c r="N2068" i="11" a="1"/>
  <c r="N2068" i="11" s="1"/>
  <c r="N2069" i="11" a="1"/>
  <c r="N2069" i="11" s="1"/>
  <c r="N2070" i="11" a="1"/>
  <c r="N2070" i="11" s="1"/>
  <c r="N2071" i="11" a="1"/>
  <c r="N2071" i="11" s="1"/>
  <c r="N2072" i="11" a="1"/>
  <c r="N2072" i="11" s="1"/>
  <c r="N2073" i="11" a="1"/>
  <c r="N2073" i="11" s="1"/>
  <c r="N2074" i="11" a="1"/>
  <c r="N2074" i="11" s="1"/>
  <c r="N2075" i="11" a="1"/>
  <c r="N2075" i="11" s="1"/>
  <c r="N2076" i="11" a="1"/>
  <c r="N2076" i="11" s="1"/>
  <c r="N2077" i="11" a="1"/>
  <c r="N2077" i="11" s="1"/>
  <c r="N2078" i="11" a="1"/>
  <c r="N2078" i="11" s="1"/>
  <c r="N2079" i="11" a="1"/>
  <c r="N2079" i="11" s="1"/>
  <c r="N2080" i="11" a="1"/>
  <c r="N2080" i="11" s="1"/>
  <c r="N2081" i="11" a="1"/>
  <c r="N2081" i="11"/>
  <c r="N2082" i="11" a="1"/>
  <c r="N2082" i="11" s="1"/>
  <c r="N2083" i="11" a="1"/>
  <c r="N2083" i="11" s="1"/>
  <c r="N2084" i="11" a="1"/>
  <c r="N2084" i="11" s="1"/>
  <c r="N2085" i="11" a="1"/>
  <c r="N2085" i="11" s="1"/>
  <c r="N2086" i="11" a="1"/>
  <c r="N2086" i="11" s="1"/>
  <c r="N2087" i="11" a="1"/>
  <c r="N2087" i="11" s="1"/>
  <c r="N2088" i="11" a="1"/>
  <c r="N2088" i="11" s="1"/>
  <c r="P2088" i="11" s="1"/>
  <c r="N2089" i="11" a="1"/>
  <c r="N2089" i="11" s="1"/>
  <c r="N2090" i="11" a="1"/>
  <c r="N2090" i="11" s="1"/>
  <c r="N2091" i="11" a="1"/>
  <c r="N2091" i="11" s="1"/>
  <c r="N2092" i="11" a="1"/>
  <c r="N2092" i="11" s="1"/>
  <c r="N2093" i="11" a="1"/>
  <c r="N2093" i="11" s="1"/>
  <c r="N2094" i="11" a="1"/>
  <c r="N2094" i="11" s="1"/>
  <c r="N2095" i="11" a="1"/>
  <c r="N2095" i="11" s="1"/>
  <c r="N2096" i="11" a="1"/>
  <c r="N2096" i="11" s="1"/>
  <c r="N2097" i="11" a="1"/>
  <c r="N2097" i="11" s="1"/>
  <c r="N2098" i="11" a="1"/>
  <c r="N2098" i="11" s="1"/>
  <c r="N2099" i="11" a="1"/>
  <c r="N2099" i="11" s="1"/>
  <c r="N2100" i="11" a="1"/>
  <c r="N2100" i="11" s="1"/>
  <c r="N2101" i="11" a="1"/>
  <c r="N2101" i="11" s="1"/>
  <c r="N2102" i="11" a="1"/>
  <c r="N2102" i="11" s="1"/>
  <c r="N2103" i="11" a="1"/>
  <c r="N2103" i="11" s="1"/>
  <c r="N2104" i="11" a="1"/>
  <c r="N2104" i="11" s="1"/>
  <c r="N2105" i="11" a="1"/>
  <c r="N2105" i="11" s="1"/>
  <c r="N2106" i="11" a="1"/>
  <c r="N2106" i="11" s="1"/>
  <c r="N2107" i="11" a="1"/>
  <c r="N2107" i="11" s="1"/>
  <c r="N2108" i="11" a="1"/>
  <c r="N2108" i="11" s="1"/>
  <c r="N2109" i="11" a="1"/>
  <c r="N2109" i="11" s="1"/>
  <c r="N2110" i="11" a="1"/>
  <c r="N2110" i="11" s="1"/>
  <c r="N2111" i="11" a="1"/>
  <c r="N2111" i="11" s="1"/>
  <c r="N2112" i="11" a="1"/>
  <c r="N2112" i="11" s="1"/>
  <c r="N2113" i="11" a="1"/>
  <c r="N2113" i="11" s="1"/>
  <c r="N2114" i="11" a="1"/>
  <c r="N2114" i="11" s="1"/>
  <c r="N2115" i="11" a="1"/>
  <c r="N2115" i="11" s="1"/>
  <c r="N2116" i="11" a="1"/>
  <c r="N2116" i="11" s="1"/>
  <c r="N2117" i="11" a="1"/>
  <c r="N2117" i="11" s="1"/>
  <c r="N2118" i="11" a="1"/>
  <c r="N2118" i="11" s="1"/>
  <c r="N2119" i="11" a="1"/>
  <c r="N2119" i="11" s="1"/>
  <c r="N2120" i="11" a="1"/>
  <c r="N2120" i="11" s="1"/>
  <c r="N2121" i="11" a="1"/>
  <c r="N2121" i="11" s="1"/>
  <c r="N2122" i="11" a="1"/>
  <c r="N2122" i="11" s="1"/>
  <c r="N2123" i="11" a="1"/>
  <c r="N2123" i="11" s="1"/>
  <c r="N2124" i="11" a="1"/>
  <c r="N2124" i="11" s="1"/>
  <c r="N2125" i="11" a="1"/>
  <c r="N2125" i="11" s="1"/>
  <c r="N2126" i="11" a="1"/>
  <c r="N2126" i="11" s="1"/>
  <c r="N2127" i="11" a="1"/>
  <c r="N2127" i="11" s="1"/>
  <c r="N2128" i="11" a="1"/>
  <c r="N2128" i="11" s="1"/>
  <c r="N2129" i="11" a="1"/>
  <c r="N2129" i="11" s="1"/>
  <c r="N2130" i="11" a="1"/>
  <c r="N2130" i="11" s="1"/>
  <c r="N2131" i="11" a="1"/>
  <c r="N2131" i="11" s="1"/>
  <c r="N2132" i="11" a="1"/>
  <c r="N2132" i="11" s="1"/>
  <c r="N2133" i="11" a="1"/>
  <c r="N2133" i="11" s="1"/>
  <c r="N2134" i="11" a="1"/>
  <c r="N2134" i="11"/>
  <c r="N2135" i="11" a="1"/>
  <c r="N2135" i="11" s="1"/>
  <c r="N2136" i="11" a="1"/>
  <c r="N2136" i="11" s="1"/>
  <c r="N2137" i="11" a="1"/>
  <c r="N2137" i="11" s="1"/>
  <c r="N2138" i="11" a="1"/>
  <c r="N2138" i="11" s="1"/>
  <c r="N2139" i="11" a="1"/>
  <c r="N2139" i="11" s="1"/>
  <c r="N2140" i="11" a="1"/>
  <c r="N2140" i="11" s="1"/>
  <c r="N2141" i="11" a="1"/>
  <c r="N2141" i="11" s="1"/>
  <c r="N2142" i="11" a="1"/>
  <c r="N2142" i="11" s="1"/>
  <c r="N2143" i="11" a="1"/>
  <c r="N2143" i="11" s="1"/>
  <c r="N2144" i="11" a="1"/>
  <c r="N2144" i="11" s="1"/>
  <c r="N2145" i="11" a="1"/>
  <c r="N2145" i="11" s="1"/>
  <c r="N2146" i="11" a="1"/>
  <c r="N2146" i="11" s="1"/>
  <c r="N2147" i="11" a="1"/>
  <c r="N2147" i="11" s="1"/>
  <c r="N2148" i="11" a="1"/>
  <c r="N2148" i="11" s="1"/>
  <c r="N2151" i="11" a="1"/>
  <c r="N2151" i="11" s="1"/>
  <c r="N2150" i="11" a="1"/>
  <c r="N2150" i="11" s="1"/>
  <c r="N2158" i="11" a="1"/>
  <c r="N2158" i="11" s="1"/>
  <c r="N2152" i="11" a="1"/>
  <c r="N2152" i="11" s="1"/>
  <c r="N2157" i="11" a="1"/>
  <c r="N2157" i="11" s="1"/>
  <c r="N2153" i="11" a="1"/>
  <c r="N2153" i="11" s="1"/>
  <c r="N2154" i="11" a="1"/>
  <c r="N2154" i="11" s="1"/>
  <c r="N2159" i="11" a="1"/>
  <c r="N2159" i="11" s="1"/>
  <c r="N2156" i="11" a="1"/>
  <c r="N2156" i="11" s="1"/>
  <c r="N2155" i="11" a="1"/>
  <c r="N2155" i="11" s="1"/>
  <c r="N2160" i="11" a="1"/>
  <c r="N2160" i="11" s="1"/>
  <c r="N2200" i="11" a="1"/>
  <c r="N2200" i="11" s="1"/>
  <c r="N2161" i="11" a="1"/>
  <c r="N2161" i="11" s="1"/>
  <c r="N2162" i="11" a="1"/>
  <c r="N2162" i="11" s="1"/>
  <c r="N2163" i="11" a="1"/>
  <c r="N2163" i="11" s="1"/>
  <c r="N2164" i="11" a="1"/>
  <c r="N2164" i="11" s="1"/>
  <c r="N2165" i="11" a="1"/>
  <c r="N2165" i="11" s="1"/>
  <c r="N2166" i="11" a="1"/>
  <c r="N2166" i="11" s="1"/>
  <c r="N2167" i="11" a="1"/>
  <c r="N2167" i="11" s="1"/>
  <c r="N2168" i="11" a="1"/>
  <c r="N2168" i="11" s="1"/>
  <c r="N2169" i="11" a="1"/>
  <c r="N2169" i="11" s="1"/>
  <c r="N2170" i="11" a="1"/>
  <c r="N2170" i="11" s="1"/>
  <c r="N2171" i="11" a="1"/>
  <c r="N2171" i="11" s="1"/>
  <c r="N2172" i="11" a="1"/>
  <c r="N2172" i="11" s="1"/>
  <c r="N2173" i="11" a="1"/>
  <c r="N2173" i="11" s="1"/>
  <c r="N2174" i="11" a="1"/>
  <c r="N2174" i="11" s="1"/>
  <c r="N2175" i="11" a="1"/>
  <c r="N2175" i="11" s="1"/>
  <c r="N2176" i="11" a="1"/>
  <c r="N2176" i="11" s="1"/>
  <c r="N2177" i="11" a="1"/>
  <c r="N2177" i="11" s="1"/>
  <c r="N2178" i="11" a="1"/>
  <c r="N2178" i="11" s="1"/>
  <c r="N2179" i="11" a="1"/>
  <c r="N2179" i="11" s="1"/>
  <c r="N2180" i="11" a="1"/>
  <c r="N2180" i="11" s="1"/>
  <c r="N2181" i="11" a="1"/>
  <c r="N2181" i="11" s="1"/>
  <c r="N2182" i="11" a="1"/>
  <c r="N2182" i="11" s="1"/>
  <c r="N2183" i="11" a="1"/>
  <c r="N2183" i="11" s="1"/>
  <c r="N2184" i="11" a="1"/>
  <c r="N2184" i="11" s="1"/>
  <c r="N2185" i="11" a="1"/>
  <c r="N2185" i="11" s="1"/>
  <c r="N2186" i="11" a="1"/>
  <c r="N2186" i="11" s="1"/>
  <c r="N2187" i="11" a="1"/>
  <c r="N2187" i="11" s="1"/>
  <c r="N2188" i="11" a="1"/>
  <c r="N2188" i="11" s="1"/>
  <c r="N2189" i="11" a="1"/>
  <c r="N2189" i="11" s="1"/>
  <c r="N2190" i="11" a="1"/>
  <c r="N2190" i="11" s="1"/>
  <c r="N2191" i="11" a="1"/>
  <c r="N2191" i="11" s="1"/>
  <c r="N2192" i="11" a="1"/>
  <c r="N2192" i="11" s="1"/>
  <c r="N2193" i="11" a="1"/>
  <c r="N2193" i="11" s="1"/>
  <c r="N2194" i="11" a="1"/>
  <c r="N2194" i="11" s="1"/>
  <c r="N2195" i="11" a="1"/>
  <c r="N2195" i="11" s="1"/>
  <c r="N2196" i="11" a="1"/>
  <c r="N2196" i="11" s="1"/>
  <c r="N2197" i="11" a="1"/>
  <c r="N2197" i="11" s="1"/>
  <c r="N2198" i="11" a="1"/>
  <c r="N2198" i="11" s="1"/>
  <c r="N2199" i="11" a="1"/>
  <c r="N2199" i="11" s="1"/>
  <c r="N2149" i="11" a="1"/>
  <c r="N2149" i="11" s="1"/>
  <c r="N2201" i="11" a="1"/>
  <c r="N2201" i="11" s="1"/>
  <c r="N2202" i="11" a="1"/>
  <c r="N2202" i="11" s="1"/>
  <c r="N2203" i="11" a="1"/>
  <c r="N2203" i="11" s="1"/>
  <c r="N2204" i="11" a="1"/>
  <c r="N2204" i="11" s="1"/>
  <c r="N2205" i="11" a="1"/>
  <c r="N2205" i="11" s="1"/>
  <c r="N2206" i="11" a="1"/>
  <c r="N2206" i="11" s="1"/>
  <c r="N2207" i="11" a="1"/>
  <c r="N2207" i="11" s="1"/>
  <c r="N2208" i="11" a="1"/>
  <c r="N2208" i="11" s="1"/>
  <c r="N2209" i="11" a="1"/>
  <c r="N2209" i="11" s="1"/>
  <c r="N2210" i="11" a="1"/>
  <c r="N2210" i="11" s="1"/>
  <c r="N2211" i="11" a="1"/>
  <c r="N2211" i="11" s="1"/>
  <c r="N2212" i="11" a="1"/>
  <c r="N2212" i="11" s="1"/>
  <c r="N2213" i="11" a="1"/>
  <c r="N2213" i="11" s="1"/>
  <c r="N2214" i="11" a="1"/>
  <c r="N2214" i="11" s="1"/>
  <c r="N2215" i="11" a="1"/>
  <c r="N2215" i="11" s="1"/>
  <c r="N2216" i="11" a="1"/>
  <c r="N2216" i="11" s="1"/>
  <c r="N2217" i="11" a="1"/>
  <c r="N2217" i="11"/>
  <c r="N2218" i="11" a="1"/>
  <c r="N2218" i="11" s="1"/>
  <c r="N2219" i="11" a="1"/>
  <c r="N2219" i="11" s="1"/>
  <c r="N2220" i="11" a="1"/>
  <c r="N2220" i="11" s="1"/>
  <c r="N2221" i="11" a="1"/>
  <c r="N2221" i="11" s="1"/>
  <c r="P1750" i="11" l="1"/>
  <c r="P1734" i="11"/>
  <c r="P1942" i="11"/>
  <c r="P1886" i="11"/>
  <c r="P1910" i="11"/>
  <c r="P2174" i="11"/>
  <c r="P2046" i="11"/>
  <c r="P2199" i="11"/>
  <c r="P1950" i="11"/>
  <c r="Q1950" i="11" s="1" a="1"/>
  <c r="Q1950" i="11" s="1"/>
  <c r="P2126" i="11"/>
  <c r="P1397" i="11"/>
  <c r="P2207" i="11"/>
  <c r="P2037" i="11"/>
  <c r="P1902" i="11"/>
  <c r="P2215" i="11"/>
  <c r="P2191" i="11"/>
  <c r="P2167" i="11"/>
  <c r="P2158" i="11"/>
  <c r="P2031" i="11"/>
  <c r="P1775" i="11"/>
  <c r="P2206" i="11"/>
  <c r="P2118" i="11"/>
  <c r="P1437" i="11"/>
  <c r="P2155" i="11"/>
  <c r="P1710" i="11"/>
  <c r="P2110" i="11"/>
  <c r="P2086" i="11"/>
  <c r="P2150" i="11"/>
  <c r="P2217" i="11"/>
  <c r="Q2217" i="11" s="1" a="1"/>
  <c r="Q2217" i="11" s="1"/>
  <c r="P2193" i="11"/>
  <c r="P2025" i="11"/>
  <c r="P1985" i="11"/>
  <c r="P1825" i="11"/>
  <c r="P1513" i="11"/>
  <c r="P1177" i="11"/>
  <c r="P561" i="11"/>
  <c r="P105" i="11"/>
  <c r="P2198" i="11"/>
  <c r="P1845" i="11"/>
  <c r="P2189" i="11"/>
  <c r="P2221" i="11"/>
  <c r="Q2221" i="11" s="1" a="1"/>
  <c r="Q2221" i="11" s="1"/>
  <c r="R2221" i="11" s="1"/>
  <c r="P1894" i="11"/>
  <c r="P2208" i="11"/>
  <c r="P2192" i="11"/>
  <c r="P2176" i="11"/>
  <c r="P2168" i="11"/>
  <c r="P2200" i="11"/>
  <c r="Q2200" i="11" s="1" a="1"/>
  <c r="Q2200" i="11" s="1"/>
  <c r="P2128" i="11"/>
  <c r="P2120" i="11"/>
  <c r="Q2120" i="11" s="1" a="1"/>
  <c r="Q2120" i="11" s="1"/>
  <c r="R2120" i="11" s="1"/>
  <c r="P2104" i="11"/>
  <c r="P2080" i="11"/>
  <c r="P2072" i="11"/>
  <c r="P2056" i="11"/>
  <c r="P2040" i="11"/>
  <c r="Q2040" i="11" s="1" a="1"/>
  <c r="Q2040" i="11" s="1"/>
  <c r="R2040" i="11" s="1"/>
  <c r="P2016" i="11"/>
  <c r="Q2016" i="11" s="1" a="1"/>
  <c r="Q2016" i="11" s="1"/>
  <c r="R2016" i="11" s="1"/>
  <c r="P1920" i="11"/>
  <c r="P1840" i="11"/>
  <c r="Q1840" i="11" s="1" a="1"/>
  <c r="Q1840" i="11" s="1"/>
  <c r="R1840" i="11" s="1"/>
  <c r="P1760" i="11"/>
  <c r="Q1760" i="11" s="1" a="1"/>
  <c r="Q1760" i="11" s="1"/>
  <c r="P1728" i="11"/>
  <c r="Q1728" i="11" s="1" a="1"/>
  <c r="Q1728" i="11" s="1"/>
  <c r="R1728" i="11" s="1"/>
  <c r="P1704" i="11"/>
  <c r="Q2158" i="11" a="1"/>
  <c r="Q2158" i="11" s="1"/>
  <c r="R2158" i="11" s="1"/>
  <c r="Q2031" i="11" a="1"/>
  <c r="Q2031" i="11" s="1"/>
  <c r="R2031" i="11" s="1"/>
  <c r="Q1775" i="11" a="1"/>
  <c r="Q1775" i="11" s="1"/>
  <c r="R1775" i="11" s="1"/>
  <c r="Q2174" i="11" a="1"/>
  <c r="Q2174" i="11" s="1"/>
  <c r="R2174" i="11" s="1"/>
  <c r="Q1942" i="11" a="1"/>
  <c r="Q1942" i="11" s="1"/>
  <c r="R1942" i="11" s="1"/>
  <c r="Q1750" i="11" a="1"/>
  <c r="Q1750" i="11" s="1"/>
  <c r="R1750" i="11" s="1"/>
  <c r="Q1734" i="11" a="1"/>
  <c r="Q1734" i="11" s="1"/>
  <c r="R1734" i="11" s="1"/>
  <c r="Q2198" i="11" a="1"/>
  <c r="Q2198" i="11" s="1"/>
  <c r="R2198" i="11" s="1"/>
  <c r="Q1910" i="11" a="1"/>
  <c r="Q1910" i="11" s="1"/>
  <c r="R1910" i="11" s="1"/>
  <c r="Q2199" i="11" a="1"/>
  <c r="Q2199" i="11" s="1"/>
  <c r="R2199" i="11" s="1"/>
  <c r="Q1886" i="11" a="1"/>
  <c r="Q1886" i="11" s="1"/>
  <c r="R1886" i="11" s="1"/>
  <c r="Q2054" i="11" a="1"/>
  <c r="Q2054" i="11" s="1"/>
  <c r="R2054" i="11" s="1"/>
  <c r="Q2208" i="11" a="1"/>
  <c r="Q2208" i="11" s="1"/>
  <c r="R2208" i="11" s="1"/>
  <c r="Q2128" i="11" a="1"/>
  <c r="Q2128" i="11" s="1"/>
  <c r="R2128" i="11" s="1"/>
  <c r="Q1664" i="11" a="1"/>
  <c r="Q1664" i="11" s="1"/>
  <c r="R1664" i="11" s="1"/>
  <c r="Q2088" i="11" a="1"/>
  <c r="Q2088" i="11" s="1"/>
  <c r="R2088" i="11" s="1"/>
  <c r="P2144" i="11"/>
  <c r="Q2141" i="11" a="1"/>
  <c r="Q2141" i="11" s="1"/>
  <c r="R2141" i="11"/>
  <c r="Q2039" i="11" a="1"/>
  <c r="Q2039" i="11" s="1"/>
  <c r="R2039" i="11"/>
  <c r="Q1952" i="11" a="1"/>
  <c r="Q1952" i="11" s="1"/>
  <c r="R1952" i="11"/>
  <c r="P2136" i="11"/>
  <c r="P1975" i="11"/>
  <c r="Q2086" i="11" a="1"/>
  <c r="Q2086" i="11" s="1"/>
  <c r="R2086" i="11" s="1"/>
  <c r="P2160" i="11"/>
  <c r="Q2118" i="11" a="1"/>
  <c r="Q2118" i="11" s="1"/>
  <c r="R2118" i="11" s="1"/>
  <c r="Q2110" i="11" a="1"/>
  <c r="Q2110" i="11" s="1"/>
  <c r="R2110" i="11" s="1"/>
  <c r="P1991" i="11"/>
  <c r="P1680" i="11"/>
  <c r="P2218" i="11"/>
  <c r="P2194" i="11"/>
  <c r="P2170" i="11"/>
  <c r="P2162" i="11"/>
  <c r="P2146" i="11"/>
  <c r="P2130" i="11"/>
  <c r="P2122" i="11"/>
  <c r="P2106" i="11"/>
  <c r="P2090" i="11"/>
  <c r="P2066" i="11"/>
  <c r="P2058" i="11"/>
  <c r="P2034" i="11"/>
  <c r="P1930" i="11"/>
  <c r="P1914" i="11"/>
  <c r="P1906" i="11"/>
  <c r="P1898" i="11"/>
  <c r="P1882" i="11"/>
  <c r="P1810" i="11"/>
  <c r="P1770" i="11"/>
  <c r="P1642" i="11"/>
  <c r="P1618" i="11"/>
  <c r="P1594" i="11"/>
  <c r="P1522" i="11"/>
  <c r="P1482" i="11"/>
  <c r="P1346" i="11"/>
  <c r="P802" i="11"/>
  <c r="P522" i="11"/>
  <c r="P226" i="11"/>
  <c r="Q2145" i="11" a="1"/>
  <c r="Q2145" i="11" s="1"/>
  <c r="R2145" i="11"/>
  <c r="Q2129" i="11" a="1"/>
  <c r="Q2129" i="11" s="1"/>
  <c r="R2129" i="11"/>
  <c r="Q2117" i="11" a="1"/>
  <c r="Q2117" i="11" s="1"/>
  <c r="R2117" i="11"/>
  <c r="Q2101" i="11" a="1"/>
  <c r="Q2101" i="11" s="1"/>
  <c r="R2101" i="11"/>
  <c r="Q2085" i="11" a="1"/>
  <c r="Q2085" i="11" s="1"/>
  <c r="R2085" i="11"/>
  <c r="Q2069" i="11" a="1"/>
  <c r="Q2069" i="11" s="1"/>
  <c r="R2069" i="11"/>
  <c r="Q2041" i="11" a="1"/>
  <c r="Q2041" i="11" s="1"/>
  <c r="R2041" i="11"/>
  <c r="Q2020" i="11" a="1"/>
  <c r="Q2020" i="11" s="1"/>
  <c r="R2020" i="11"/>
  <c r="Q2010" i="11" a="1"/>
  <c r="Q2010" i="11" s="1"/>
  <c r="R2010" i="11"/>
  <c r="Q1998" i="11" a="1"/>
  <c r="Q1998" i="11" s="1"/>
  <c r="R1998" i="11"/>
  <c r="Q1986" i="11" a="1"/>
  <c r="Q1986" i="11" s="1"/>
  <c r="R1986" i="11"/>
  <c r="Q1974" i="11" a="1"/>
  <c r="Q1974" i="11" s="1"/>
  <c r="R1974" i="11"/>
  <c r="Q1964" i="11" a="1"/>
  <c r="Q1964" i="11" s="1"/>
  <c r="R1964" i="11"/>
  <c r="Q1954" i="11" a="1"/>
  <c r="Q1954" i="11" s="1"/>
  <c r="R1954" i="11"/>
  <c r="Q1945" i="11" a="1"/>
  <c r="Q1945" i="11" s="1"/>
  <c r="R1945" i="11"/>
  <c r="Q1936" i="11" a="1"/>
  <c r="Q1936" i="11" s="1"/>
  <c r="R1936" i="11"/>
  <c r="Q1925" i="11" a="1"/>
  <c r="Q1925" i="11" s="1"/>
  <c r="R1925" i="11"/>
  <c r="Q1916" i="11" a="1"/>
  <c r="Q1916" i="11" s="1"/>
  <c r="R1916" i="11"/>
  <c r="Q1907" i="11" a="1"/>
  <c r="Q1907" i="11" s="1"/>
  <c r="R1907" i="11"/>
  <c r="Q1896" i="11" a="1"/>
  <c r="Q1896" i="11" s="1"/>
  <c r="R1896" i="11"/>
  <c r="Q1876" i="11" a="1"/>
  <c r="Q1876" i="11" s="1"/>
  <c r="R1876" i="11"/>
  <c r="Q1866" i="11" a="1"/>
  <c r="Q1866" i="11" s="1"/>
  <c r="R1866" i="11"/>
  <c r="Q1856" i="11" a="1"/>
  <c r="Q1856" i="11" s="1"/>
  <c r="R1856" i="11"/>
  <c r="Q1847" i="11" a="1"/>
  <c r="Q1847" i="11" s="1"/>
  <c r="R1847" i="11"/>
  <c r="Q1838" i="11" a="1"/>
  <c r="Q1838" i="11" s="1"/>
  <c r="R1838" i="11"/>
  <c r="Q1828" i="11" a="1"/>
  <c r="Q1828" i="11" s="1"/>
  <c r="R1828" i="11"/>
  <c r="Q1818" i="11" a="1"/>
  <c r="Q1818" i="11" s="1"/>
  <c r="R1818" i="11"/>
  <c r="Q1808" i="11" a="1"/>
  <c r="Q1808" i="11" s="1"/>
  <c r="R1808" i="11"/>
  <c r="Q1798" i="11" a="1"/>
  <c r="Q1798" i="11" s="1"/>
  <c r="R1798" i="11"/>
  <c r="Q1788" i="11" a="1"/>
  <c r="Q1788" i="11" s="1"/>
  <c r="R1788" i="11"/>
  <c r="Q1778" i="11" a="1"/>
  <c r="Q1778" i="11" s="1"/>
  <c r="R1778" i="11"/>
  <c r="Q1769" i="11" a="1"/>
  <c r="Q1769" i="11" s="1"/>
  <c r="R1769" i="11"/>
  <c r="Q1759" i="11" a="1"/>
  <c r="Q1759" i="11" s="1"/>
  <c r="R1759" i="11"/>
  <c r="Q1742" i="11" a="1"/>
  <c r="Q1742" i="11" s="1"/>
  <c r="R1742" i="11"/>
  <c r="Q1726" i="11" a="1"/>
  <c r="Q1726" i="11" s="1"/>
  <c r="R1726" i="11"/>
  <c r="Q1717" i="11" a="1"/>
  <c r="Q1717" i="11" s="1"/>
  <c r="R1717" i="11"/>
  <c r="Q1707" i="11" a="1"/>
  <c r="Q1707" i="11" s="1"/>
  <c r="R1707" i="11"/>
  <c r="Q1698" i="11" a="1"/>
  <c r="Q1698" i="11" s="1"/>
  <c r="R1698" i="11"/>
  <c r="Q1690" i="11" a="1"/>
  <c r="Q1690" i="11" s="1"/>
  <c r="R1690" i="11"/>
  <c r="Q1682" i="11" a="1"/>
  <c r="Q1682" i="11" s="1"/>
  <c r="R1682" i="11"/>
  <c r="Q1673" i="11" a="1"/>
  <c r="Q1673" i="11" s="1"/>
  <c r="R1673" i="11"/>
  <c r="Q1665" i="11" a="1"/>
  <c r="Q1665" i="11" s="1"/>
  <c r="R1665" i="11"/>
  <c r="Q1656" i="11" a="1"/>
  <c r="Q1656" i="11" s="1"/>
  <c r="R1656" i="11"/>
  <c r="Q1647" i="11" a="1"/>
  <c r="Q1647" i="11" s="1"/>
  <c r="R1647" i="11"/>
  <c r="Q1638" i="11" a="1"/>
  <c r="Q1638" i="11" s="1"/>
  <c r="R1638" i="11"/>
  <c r="Q1629" i="11" a="1"/>
  <c r="Q1629" i="11" s="1"/>
  <c r="R1629" i="11"/>
  <c r="Q1621" i="11" a="1"/>
  <c r="Q1621" i="11" s="1"/>
  <c r="R1621" i="11"/>
  <c r="Q1612" i="11" a="1"/>
  <c r="Q1612" i="11" s="1"/>
  <c r="R1612" i="11"/>
  <c r="Q1603" i="11" a="1"/>
  <c r="Q1603" i="11" s="1"/>
  <c r="R1603" i="11"/>
  <c r="Q1593" i="11" a="1"/>
  <c r="Q1593" i="11" s="1"/>
  <c r="R1593" i="11"/>
  <c r="Q1585" i="11" a="1"/>
  <c r="Q1585" i="11" s="1"/>
  <c r="R1585" i="11"/>
  <c r="Q1576" i="11" a="1"/>
  <c r="Q1576" i="11" s="1"/>
  <c r="R1576" i="11"/>
  <c r="Q1567" i="11" a="1"/>
  <c r="Q1567" i="11" s="1"/>
  <c r="R1567" i="11"/>
  <c r="Q1558" i="11" a="1"/>
  <c r="Q1558" i="11" s="1"/>
  <c r="R1558" i="11"/>
  <c r="Q1549" i="11" a="1"/>
  <c r="Q1549" i="11" s="1"/>
  <c r="R1549" i="11"/>
  <c r="Q1540" i="11" a="1"/>
  <c r="Q1540" i="11" s="1"/>
  <c r="R1540" i="11"/>
  <c r="Q1531" i="11" a="1"/>
  <c r="Q1531" i="11" s="1"/>
  <c r="R1531" i="11"/>
  <c r="Q1523" i="11" a="1"/>
  <c r="Q1523" i="11" s="1"/>
  <c r="R1523" i="11"/>
  <c r="Q1514" i="11" a="1"/>
  <c r="Q1514" i="11" s="1"/>
  <c r="R1514" i="11"/>
  <c r="Q1505" i="11" a="1"/>
  <c r="Q1505" i="11" s="1"/>
  <c r="R1505" i="11"/>
  <c r="Q1496" i="11" a="1"/>
  <c r="Q1496" i="11" s="1"/>
  <c r="R1496" i="11"/>
  <c r="Q1487" i="11" a="1"/>
  <c r="Q1487" i="11" s="1"/>
  <c r="R1487" i="11"/>
  <c r="Q1478" i="11" a="1"/>
  <c r="Q1478" i="11" s="1"/>
  <c r="R1478" i="11"/>
  <c r="Q1469" i="11" a="1"/>
  <c r="Q1469" i="11" s="1"/>
  <c r="R1469" i="11"/>
  <c r="Q1460" i="11" a="1"/>
  <c r="Q1460" i="11" s="1"/>
  <c r="R1460" i="11"/>
  <c r="Q1451" i="11" a="1"/>
  <c r="Q1451" i="11" s="1"/>
  <c r="R1451" i="11"/>
  <c r="Q1442" i="11" a="1"/>
  <c r="Q1442" i="11" s="1"/>
  <c r="R1442" i="11"/>
  <c r="Q1433" i="11" a="1"/>
  <c r="Q1433" i="11" s="1"/>
  <c r="R1433" i="11"/>
  <c r="Q1424" i="11" a="1"/>
  <c r="Q1424" i="11" s="1"/>
  <c r="R1424" i="11"/>
  <c r="Q1415" i="11" a="1"/>
  <c r="Q1415" i="11" s="1"/>
  <c r="R1415" i="11"/>
  <c r="Q1406" i="11" a="1"/>
  <c r="Q1406" i="11" s="1"/>
  <c r="R1406" i="11"/>
  <c r="Q1398" i="11" a="1"/>
  <c r="Q1398" i="11" s="1"/>
  <c r="R1398" i="11"/>
  <c r="Q1389" i="11" a="1"/>
  <c r="Q1389" i="11" s="1"/>
  <c r="R1389" i="11"/>
  <c r="Q1381" i="11" a="1"/>
  <c r="Q1381" i="11" s="1"/>
  <c r="R1381" i="11"/>
  <c r="Q1372" i="11" a="1"/>
  <c r="Q1372" i="11" s="1"/>
  <c r="R1372" i="11"/>
  <c r="Q1364" i="11" a="1"/>
  <c r="Q1364" i="11" s="1"/>
  <c r="R1364" i="11"/>
  <c r="Q1355" i="11" a="1"/>
  <c r="Q1355" i="11" s="1"/>
  <c r="R1355" i="11"/>
  <c r="Q1347" i="11" a="1"/>
  <c r="Q1347" i="11" s="1"/>
  <c r="R1347" i="11"/>
  <c r="Q1338" i="11" a="1"/>
  <c r="Q1338" i="11" s="1"/>
  <c r="R1338" i="11"/>
  <c r="Q1329" i="11" a="1"/>
  <c r="Q1329" i="11" s="1"/>
  <c r="R1329" i="11"/>
  <c r="Q1321" i="11" a="1"/>
  <c r="Q1321" i="11" s="1"/>
  <c r="R1321" i="11"/>
  <c r="Q1312" i="11" a="1"/>
  <c r="Q1312" i="11" s="1"/>
  <c r="R1312" i="11"/>
  <c r="Q1304" i="11" a="1"/>
  <c r="Q1304" i="11" s="1"/>
  <c r="R1304" i="11"/>
  <c r="Q1295" i="11" a="1"/>
  <c r="Q1295" i="11" s="1"/>
  <c r="R1295" i="11"/>
  <c r="Q1286" i="11" a="1"/>
  <c r="Q1286" i="11" s="1"/>
  <c r="R1286" i="11"/>
  <c r="Q1277" i="11" a="1"/>
  <c r="Q1277" i="11" s="1"/>
  <c r="R1277" i="11"/>
  <c r="Q1268" i="11" a="1"/>
  <c r="Q1268" i="11" s="1"/>
  <c r="R1268" i="11"/>
  <c r="Q1260" i="11" a="1"/>
  <c r="Q1260" i="11" s="1"/>
  <c r="R1260" i="11"/>
  <c r="Q1251" i="11" a="1"/>
  <c r="Q1251" i="11" s="1"/>
  <c r="R1251" i="11"/>
  <c r="Q1242" i="11" a="1"/>
  <c r="Q1242" i="11" s="1"/>
  <c r="R1242" i="11"/>
  <c r="Q1233" i="11" a="1"/>
  <c r="Q1233" i="11" s="1"/>
  <c r="R1233" i="11"/>
  <c r="Q1224" i="11" a="1"/>
  <c r="Q1224" i="11" s="1"/>
  <c r="R1224" i="11"/>
  <c r="Q1215" i="11" a="1"/>
  <c r="Q1215" i="11" s="1"/>
  <c r="R1215" i="11"/>
  <c r="Q1206" i="11" a="1"/>
  <c r="Q1206" i="11" s="1"/>
  <c r="R1206" i="11"/>
  <c r="Q1198" i="11" a="1"/>
  <c r="Q1198" i="11" s="1"/>
  <c r="R1198" i="11"/>
  <c r="Q1189" i="11" a="1"/>
  <c r="Q1189" i="11" s="1"/>
  <c r="R1189" i="11"/>
  <c r="Q1180" i="11" a="1"/>
  <c r="Q1180" i="11" s="1"/>
  <c r="R1180" i="11"/>
  <c r="Q1171" i="11" a="1"/>
  <c r="Q1171" i="11" s="1"/>
  <c r="R1171" i="11"/>
  <c r="Q1162" i="11" a="1"/>
  <c r="Q1162" i="11" s="1"/>
  <c r="R1162" i="11"/>
  <c r="Q1153" i="11" a="1"/>
  <c r="Q1153" i="11" s="1"/>
  <c r="R1153" i="11"/>
  <c r="Q1144" i="11" a="1"/>
  <c r="Q1144" i="11" s="1"/>
  <c r="R1144" i="11"/>
  <c r="Q1135" i="11" a="1"/>
  <c r="Q1135" i="11" s="1"/>
  <c r="R1135" i="11"/>
  <c r="Q1126" i="11" a="1"/>
  <c r="Q1126" i="11" s="1"/>
  <c r="R1126" i="11"/>
  <c r="Q1118" i="11" a="1"/>
  <c r="Q1118" i="11" s="1"/>
  <c r="R1118" i="11"/>
  <c r="Q1109" i="11" a="1"/>
  <c r="Q1109" i="11" s="1"/>
  <c r="R1109" i="11"/>
  <c r="Q1101" i="11" a="1"/>
  <c r="Q1101" i="11" s="1"/>
  <c r="R1101" i="11"/>
  <c r="Q1093" i="11" a="1"/>
  <c r="Q1093" i="11" s="1"/>
  <c r="R1093" i="11"/>
  <c r="Q1085" i="11" a="1"/>
  <c r="Q1085" i="11" s="1"/>
  <c r="R1085" i="11"/>
  <c r="Q1077" i="11" a="1"/>
  <c r="Q1077" i="11" s="1"/>
  <c r="R1077" i="11"/>
  <c r="Q1069" i="11" a="1"/>
  <c r="Q1069" i="11" s="1"/>
  <c r="R1069" i="11"/>
  <c r="Q1061" i="11" a="1"/>
  <c r="Q1061" i="11" s="1"/>
  <c r="R1061" i="11"/>
  <c r="Q1052" i="11" a="1"/>
  <c r="Q1052" i="11" s="1"/>
  <c r="R1052" i="11"/>
  <c r="Q1044" i="11" a="1"/>
  <c r="Q1044" i="11" s="1"/>
  <c r="R1044" i="11"/>
  <c r="Q1036" i="11" a="1"/>
  <c r="Q1036" i="11" s="1"/>
  <c r="R1036" i="11"/>
  <c r="Q1028" i="11" a="1"/>
  <c r="Q1028" i="11" s="1"/>
  <c r="R1028" i="11"/>
  <c r="Q1020" i="11" a="1"/>
  <c r="Q1020" i="11" s="1"/>
  <c r="R1020" i="11"/>
  <c r="Q1012" i="11" a="1"/>
  <c r="Q1012" i="11" s="1"/>
  <c r="R1012" i="11"/>
  <c r="Q1003" i="11" a="1"/>
  <c r="Q1003" i="11" s="1"/>
  <c r="R1003" i="11"/>
  <c r="Q994" i="11" a="1"/>
  <c r="Q994" i="11" s="1"/>
  <c r="R994" i="11"/>
  <c r="Q986" i="11" a="1"/>
  <c r="Q986" i="11" s="1"/>
  <c r="R986" i="11"/>
  <c r="Q978" i="11" a="1"/>
  <c r="Q978" i="11" s="1"/>
  <c r="R978" i="11"/>
  <c r="Q969" i="11" a="1"/>
  <c r="Q969" i="11" s="1"/>
  <c r="R969" i="11"/>
  <c r="Q960" i="11" a="1"/>
  <c r="Q960" i="11" s="1"/>
  <c r="R960" i="11"/>
  <c r="Q951" i="11" a="1"/>
  <c r="Q951" i="11" s="1"/>
  <c r="R951" i="11"/>
  <c r="Q942" i="11" a="1"/>
  <c r="Q942" i="11" s="1"/>
  <c r="R942" i="11"/>
  <c r="Q934" i="11" a="1"/>
  <c r="Q934" i="11" s="1"/>
  <c r="R934" i="11"/>
  <c r="Q925" i="11" a="1"/>
  <c r="Q925" i="11" s="1"/>
  <c r="R925" i="11"/>
  <c r="Q916" i="11" a="1"/>
  <c r="Q916" i="11" s="1"/>
  <c r="R916" i="11"/>
  <c r="Q907" i="11" a="1"/>
  <c r="Q907" i="11" s="1"/>
  <c r="R907" i="11"/>
  <c r="Q898" i="11" a="1"/>
  <c r="Q898" i="11" s="1"/>
  <c r="R898" i="11"/>
  <c r="Q890" i="11" a="1"/>
  <c r="Q890" i="11" s="1"/>
  <c r="R890" i="11"/>
  <c r="Q881" i="11" a="1"/>
  <c r="Q881" i="11" s="1"/>
  <c r="R881" i="11"/>
  <c r="Q873" i="11" a="1"/>
  <c r="Q873" i="11" s="1"/>
  <c r="R873" i="11"/>
  <c r="Q865" i="11" a="1"/>
  <c r="Q865" i="11" s="1"/>
  <c r="R865" i="11"/>
  <c r="Q857" i="11" a="1"/>
  <c r="Q857" i="11" s="1"/>
  <c r="R857" i="11"/>
  <c r="Q849" i="11" a="1"/>
  <c r="Q849" i="11" s="1"/>
  <c r="R849" i="11"/>
  <c r="Q840" i="11" a="1"/>
  <c r="Q840" i="11" s="1"/>
  <c r="R840" i="11"/>
  <c r="Q831" i="11" a="1"/>
  <c r="Q831" i="11" s="1"/>
  <c r="R831" i="11"/>
  <c r="Q823" i="11" a="1"/>
  <c r="Q823" i="11" s="1"/>
  <c r="R823" i="11"/>
  <c r="Q815" i="11" a="1"/>
  <c r="Q815" i="11" s="1"/>
  <c r="R815" i="11"/>
  <c r="Q806" i="11" a="1"/>
  <c r="Q806" i="11" s="1"/>
  <c r="R806" i="11"/>
  <c r="Q797" i="11" a="1"/>
  <c r="Q797" i="11" s="1"/>
  <c r="R797" i="11"/>
  <c r="Q788" i="11" a="1"/>
  <c r="Q788" i="11" s="1"/>
  <c r="R788" i="11"/>
  <c r="Q780" i="11" a="1"/>
  <c r="Q780" i="11" s="1"/>
  <c r="R780" i="11"/>
  <c r="Q772" i="11" a="1"/>
  <c r="Q772" i="11" s="1"/>
  <c r="R772" i="11"/>
  <c r="Q764" i="11" a="1"/>
  <c r="Q764" i="11" s="1"/>
  <c r="R764" i="11"/>
  <c r="Q756" i="11" a="1"/>
  <c r="Q756" i="11" s="1"/>
  <c r="R756" i="11"/>
  <c r="Q748" i="11" a="1"/>
  <c r="Q748" i="11" s="1"/>
  <c r="R748" i="11"/>
  <c r="Q739" i="11" a="1"/>
  <c r="Q739" i="11" s="1"/>
  <c r="R739" i="11"/>
  <c r="Q731" i="11" a="1"/>
  <c r="Q731" i="11" s="1"/>
  <c r="R731" i="11"/>
  <c r="Q722" i="11" a="1"/>
  <c r="Q722" i="11" s="1"/>
  <c r="R722" i="11"/>
  <c r="Q713" i="11" a="1"/>
  <c r="Q713" i="11" s="1"/>
  <c r="R713" i="11"/>
  <c r="Q705" i="11" a="1"/>
  <c r="Q705" i="11" s="1"/>
  <c r="R705" i="11"/>
  <c r="Q696" i="11" a="1"/>
  <c r="Q696" i="11" s="1"/>
  <c r="R696" i="11"/>
  <c r="Q687" i="11" a="1"/>
  <c r="Q687" i="11" s="1"/>
  <c r="R687" i="11"/>
  <c r="Q678" i="11" a="1"/>
  <c r="Q678" i="11" s="1"/>
  <c r="R678" i="11"/>
  <c r="Q670" i="11" a="1"/>
  <c r="Q670" i="11" s="1"/>
  <c r="R670" i="11"/>
  <c r="Q661" i="11" a="1"/>
  <c r="Q661" i="11" s="1"/>
  <c r="R661" i="11"/>
  <c r="Q653" i="11" a="1"/>
  <c r="Q653" i="11" s="1"/>
  <c r="R653" i="11"/>
  <c r="Q645" i="11" a="1"/>
  <c r="Q645" i="11" s="1"/>
  <c r="R645" i="11"/>
  <c r="Q637" i="11" a="1"/>
  <c r="Q637" i="11" s="1"/>
  <c r="R637" i="11"/>
  <c r="Q629" i="11" a="1"/>
  <c r="Q629" i="11" s="1"/>
  <c r="R629" i="11"/>
  <c r="Q620" i="11" a="1"/>
  <c r="Q620" i="11" s="1"/>
  <c r="R620" i="11"/>
  <c r="Q612" i="11" a="1"/>
  <c r="Q612" i="11" s="1"/>
  <c r="R612" i="11"/>
  <c r="Q603" i="11" a="1"/>
  <c r="Q603" i="11" s="1"/>
  <c r="R603" i="11"/>
  <c r="Q594" i="11" a="1"/>
  <c r="Q594" i="11" s="1"/>
  <c r="R594" i="11"/>
  <c r="Q586" i="11" a="1"/>
  <c r="Q586" i="11" s="1"/>
  <c r="R586" i="11"/>
  <c r="Q578" i="11" a="1"/>
  <c r="Q578" i="11" s="1"/>
  <c r="R578" i="11"/>
  <c r="Q569" i="11" a="1"/>
  <c r="Q569" i="11" s="1"/>
  <c r="R569" i="11"/>
  <c r="Q560" i="11" a="1"/>
  <c r="Q560" i="11" s="1"/>
  <c r="R560" i="11"/>
  <c r="Q552" i="11" a="1"/>
  <c r="Q552" i="11" s="1"/>
  <c r="R552" i="11"/>
  <c r="Q543" i="11" a="1"/>
  <c r="Q543" i="11" s="1"/>
  <c r="R543" i="11"/>
  <c r="Q534" i="11" a="1"/>
  <c r="Q534" i="11" s="1"/>
  <c r="R534" i="11"/>
  <c r="Q526" i="11" a="1"/>
  <c r="Q526" i="11" s="1"/>
  <c r="R526" i="11"/>
  <c r="Q517" i="11" a="1"/>
  <c r="Q517" i="11" s="1"/>
  <c r="R517" i="11"/>
  <c r="Q508" i="11" a="1"/>
  <c r="Q508" i="11" s="1"/>
  <c r="R508" i="11"/>
  <c r="Q500" i="11" a="1"/>
  <c r="Q500" i="11" s="1"/>
  <c r="R500" i="11"/>
  <c r="Q491" i="11" a="1"/>
  <c r="Q491" i="11" s="1"/>
  <c r="R491" i="11"/>
  <c r="Q482" i="11" a="1"/>
  <c r="Q482" i="11" s="1"/>
  <c r="R482" i="11"/>
  <c r="Q474" i="11" a="1"/>
  <c r="Q474" i="11" s="1"/>
  <c r="R474" i="11"/>
  <c r="Q465" i="11" a="1"/>
  <c r="Q465" i="11" s="1"/>
  <c r="R465" i="11"/>
  <c r="Q456" i="11" a="1"/>
  <c r="Q456" i="11" s="1"/>
  <c r="R456" i="11"/>
  <c r="Q448" i="11" a="1"/>
  <c r="Q448" i="11" s="1"/>
  <c r="R448" i="11"/>
  <c r="Q440" i="11" a="1"/>
  <c r="Q440" i="11" s="1"/>
  <c r="R440" i="11"/>
  <c r="Q432" i="11" a="1"/>
  <c r="Q432" i="11" s="1"/>
  <c r="R432" i="11"/>
  <c r="Q424" i="11" a="1"/>
  <c r="Q424" i="11" s="1"/>
  <c r="R424" i="11"/>
  <c r="Q416" i="11" a="1"/>
  <c r="Q416" i="11" s="1"/>
  <c r="R416" i="11"/>
  <c r="Q408" i="11" a="1"/>
  <c r="Q408" i="11" s="1"/>
  <c r="R408" i="11"/>
  <c r="Q400" i="11" a="1"/>
  <c r="Q400" i="11" s="1"/>
  <c r="R400" i="11"/>
  <c r="Q391" i="11" a="1"/>
  <c r="Q391" i="11" s="1"/>
  <c r="R391" i="11"/>
  <c r="Q382" i="11" a="1"/>
  <c r="Q382" i="11" s="1"/>
  <c r="R382" i="11"/>
  <c r="Q374" i="11" a="1"/>
  <c r="Q374" i="11" s="1"/>
  <c r="R374" i="11"/>
  <c r="Q365" i="11" a="1"/>
  <c r="Q365" i="11" s="1"/>
  <c r="R365" i="11"/>
  <c r="Q357" i="11" a="1"/>
  <c r="Q357" i="11" s="1"/>
  <c r="R357" i="11"/>
  <c r="Q348" i="11" a="1"/>
  <c r="Q348" i="11" s="1"/>
  <c r="R348" i="11"/>
  <c r="Q339" i="11" a="1"/>
  <c r="Q339" i="11" s="1"/>
  <c r="R339" i="11"/>
  <c r="Q331" i="11" a="1"/>
  <c r="Q331" i="11" s="1"/>
  <c r="R331" i="11"/>
  <c r="Q322" i="11" a="1"/>
  <c r="Q322" i="11" s="1"/>
  <c r="R322" i="11"/>
  <c r="Q314" i="11" a="1"/>
  <c r="Q314" i="11" s="1"/>
  <c r="R314" i="11"/>
  <c r="Q306" i="11" a="1"/>
  <c r="Q306" i="11" s="1"/>
  <c r="R306" i="11"/>
  <c r="Q298" i="11" a="1"/>
  <c r="Q298" i="11" s="1"/>
  <c r="R298" i="11"/>
  <c r="Q290" i="11" a="1"/>
  <c r="Q290" i="11" s="1"/>
  <c r="R290" i="11"/>
  <c r="Q281" i="11" a="1"/>
  <c r="Q281" i="11" s="1"/>
  <c r="R281" i="11"/>
  <c r="Q273" i="11" a="1"/>
  <c r="Q273" i="11" s="1"/>
  <c r="R273" i="11"/>
  <c r="Q264" i="11" a="1"/>
  <c r="Q264" i="11" s="1"/>
  <c r="R264" i="11"/>
  <c r="Q255" i="11" a="1"/>
  <c r="Q255" i="11" s="1"/>
  <c r="R255" i="11"/>
  <c r="Q247" i="11" a="1"/>
  <c r="Q247" i="11" s="1"/>
  <c r="R247" i="11"/>
  <c r="Q238" i="11" a="1"/>
  <c r="Q238" i="11" s="1"/>
  <c r="R238" i="11"/>
  <c r="Q230" i="11" a="1"/>
  <c r="Q230" i="11" s="1"/>
  <c r="R230" i="11"/>
  <c r="Q221" i="11" a="1"/>
  <c r="Q221" i="11" s="1"/>
  <c r="R221" i="11"/>
  <c r="Q213" i="11" a="1"/>
  <c r="Q213" i="11" s="1"/>
  <c r="R213" i="11"/>
  <c r="Q205" i="11" a="1"/>
  <c r="Q205" i="11" s="1"/>
  <c r="R205" i="11"/>
  <c r="Q197" i="11" a="1"/>
  <c r="Q197" i="11" s="1"/>
  <c r="R197" i="11"/>
  <c r="Q189" i="11" a="1"/>
  <c r="Q189" i="11" s="1"/>
  <c r="R189" i="11"/>
  <c r="Q181" i="11" a="1"/>
  <c r="Q181" i="11" s="1"/>
  <c r="R181" i="11"/>
  <c r="Q172" i="11" a="1"/>
  <c r="Q172" i="11" s="1"/>
  <c r="R172" i="11"/>
  <c r="Q163" i="11" a="1"/>
  <c r="Q163" i="11" s="1"/>
  <c r="R163" i="11"/>
  <c r="Q155" i="11" a="1"/>
  <c r="Q155" i="11" s="1"/>
  <c r="R155" i="11"/>
  <c r="Q147" i="11" a="1"/>
  <c r="Q147" i="11" s="1"/>
  <c r="R147" i="11"/>
  <c r="Q138" i="11" a="1"/>
  <c r="Q138" i="11" s="1"/>
  <c r="R138" i="11"/>
  <c r="Q130" i="11" a="1"/>
  <c r="Q130" i="11" s="1"/>
  <c r="R130" i="11"/>
  <c r="Q121" i="11" a="1"/>
  <c r="Q121" i="11" s="1"/>
  <c r="R121" i="11"/>
  <c r="Q113" i="11" a="1"/>
  <c r="Q113" i="11" s="1"/>
  <c r="R113" i="11"/>
  <c r="Q104" i="11" a="1"/>
  <c r="Q104" i="11" s="1"/>
  <c r="R104" i="11"/>
  <c r="Q96" i="11" a="1"/>
  <c r="Q96" i="11" s="1"/>
  <c r="R96" i="11"/>
  <c r="Q88" i="11" a="1"/>
  <c r="Q88" i="11" s="1"/>
  <c r="R88" i="11"/>
  <c r="Q80" i="11" a="1"/>
  <c r="Q80" i="11" s="1"/>
  <c r="R80" i="11"/>
  <c r="Q72" i="11" a="1"/>
  <c r="Q72" i="11" s="1"/>
  <c r="R72" i="11"/>
  <c r="Q63" i="11" a="1"/>
  <c r="Q63" i="11" s="1"/>
  <c r="R63" i="11"/>
  <c r="Q55" i="11" a="1"/>
  <c r="Q55" i="11" s="1"/>
  <c r="R55" i="11"/>
  <c r="Q47" i="11" a="1"/>
  <c r="Q47" i="11" s="1"/>
  <c r="R47" i="11"/>
  <c r="Q39" i="11" a="1"/>
  <c r="Q39" i="11" s="1"/>
  <c r="R39" i="11"/>
  <c r="Q31" i="11" a="1"/>
  <c r="Q31" i="11" s="1"/>
  <c r="R31" i="11"/>
  <c r="Q2155" i="11" a="1"/>
  <c r="Q2155" i="11" s="1"/>
  <c r="R2155" i="11" s="1"/>
  <c r="Q1985" i="11" a="1"/>
  <c r="Q1985" i="11" s="1"/>
  <c r="R1985" i="11" s="1"/>
  <c r="Q1825" i="11" a="1"/>
  <c r="Q1825" i="11" s="1"/>
  <c r="R1825" i="11" s="1"/>
  <c r="Q1513" i="11" a="1"/>
  <c r="Q1513" i="11" s="1"/>
  <c r="R1513" i="11" s="1"/>
  <c r="Q1177" i="11" a="1"/>
  <c r="Q1177" i="11" s="1"/>
  <c r="R1177" i="11" s="1"/>
  <c r="Q561" i="11" a="1"/>
  <c r="Q561" i="11" s="1"/>
  <c r="R561" i="11" s="1"/>
  <c r="P241" i="11"/>
  <c r="Q105" i="11" a="1"/>
  <c r="Q105" i="11" s="1"/>
  <c r="R105" i="11" s="1"/>
  <c r="Q2143" i="11" a="1"/>
  <c r="Q2143" i="11" s="1"/>
  <c r="R2143" i="11"/>
  <c r="Q2115" i="11" a="1"/>
  <c r="Q2115" i="11" s="1"/>
  <c r="R2115" i="11"/>
  <c r="Q2099" i="11" a="1"/>
  <c r="Q2099" i="11" s="1"/>
  <c r="R2099" i="11"/>
  <c r="Q2083" i="11" a="1"/>
  <c r="Q2083" i="11" s="1"/>
  <c r="R2083" i="11"/>
  <c r="Q2067" i="11" a="1"/>
  <c r="Q2067" i="11" s="1"/>
  <c r="R2067" i="11"/>
  <c r="Q2053" i="11" a="1"/>
  <c r="Q2053" i="11" s="1"/>
  <c r="R2053" i="11"/>
  <c r="Q2030" i="11" a="1"/>
  <c r="Q2030" i="11" s="1"/>
  <c r="R2030" i="11"/>
  <c r="Q2018" i="11" a="1"/>
  <c r="Q2018" i="11" s="1"/>
  <c r="R2018" i="11"/>
  <c r="Q2008" i="11" a="1"/>
  <c r="Q2008" i="11" s="1"/>
  <c r="R2008" i="11"/>
  <c r="Q1996" i="11" a="1"/>
  <c r="Q1996" i="11" s="1"/>
  <c r="R1996" i="11"/>
  <c r="Q1984" i="11" a="1"/>
  <c r="Q1984" i="11" s="1"/>
  <c r="R1984" i="11"/>
  <c r="Q1973" i="11" a="1"/>
  <c r="Q1973" i="11" s="1"/>
  <c r="R1973" i="11"/>
  <c r="Q1962" i="11" a="1"/>
  <c r="Q1962" i="11" s="1"/>
  <c r="R1962" i="11"/>
  <c r="Q1953" i="11" a="1"/>
  <c r="Q1953" i="11" s="1"/>
  <c r="R1953" i="11"/>
  <c r="Q1944" i="11" a="1"/>
  <c r="Q1944" i="11" s="1"/>
  <c r="R1944" i="11"/>
  <c r="Q1935" i="11" a="1"/>
  <c r="Q1935" i="11" s="1"/>
  <c r="R1935" i="11"/>
  <c r="Q1924" i="11" a="1"/>
  <c r="Q1924" i="11" s="1"/>
  <c r="R1924" i="11"/>
  <c r="Q1915" i="11" a="1"/>
  <c r="Q1915" i="11" s="1"/>
  <c r="R1915" i="11"/>
  <c r="Q1905" i="11" a="1"/>
  <c r="Q1905" i="11" s="1"/>
  <c r="R1905" i="11"/>
  <c r="Q1895" i="11" a="1"/>
  <c r="Q1895" i="11" s="1"/>
  <c r="R1895" i="11"/>
  <c r="Q1885" i="11" a="1"/>
  <c r="Q1885" i="11" s="1"/>
  <c r="R1885" i="11"/>
  <c r="Q1875" i="11" a="1"/>
  <c r="Q1875" i="11" s="1"/>
  <c r="R1875" i="11"/>
  <c r="Q1865" i="11" a="1"/>
  <c r="Q1865" i="11" s="1"/>
  <c r="R1865" i="11"/>
  <c r="Q1855" i="11" a="1"/>
  <c r="Q1855" i="11" s="1"/>
  <c r="R1855" i="11"/>
  <c r="Q1846" i="11" a="1"/>
  <c r="Q1846" i="11" s="1"/>
  <c r="R1846" i="11"/>
  <c r="Q1837" i="11" a="1"/>
  <c r="Q1837" i="11" s="1"/>
  <c r="R1837" i="11"/>
  <c r="Q1827" i="11" a="1"/>
  <c r="Q1827" i="11" s="1"/>
  <c r="R1827" i="11"/>
  <c r="Q1817" i="11" a="1"/>
  <c r="Q1817" i="11" s="1"/>
  <c r="R1817" i="11"/>
  <c r="Q1807" i="11" a="1"/>
  <c r="Q1807" i="11" s="1"/>
  <c r="R1807" i="11"/>
  <c r="Q1797" i="11" a="1"/>
  <c r="Q1797" i="11" s="1"/>
  <c r="R1797" i="11"/>
  <c r="Q1787" i="11" a="1"/>
  <c r="Q1787" i="11" s="1"/>
  <c r="R1787" i="11"/>
  <c r="Q1777" i="11" a="1"/>
  <c r="Q1777" i="11" s="1"/>
  <c r="R1777" i="11"/>
  <c r="Q1768" i="11" a="1"/>
  <c r="Q1768" i="11" s="1"/>
  <c r="R1768" i="11"/>
  <c r="Q1758" i="11" a="1"/>
  <c r="Q1758" i="11" s="1"/>
  <c r="R1758" i="11"/>
  <c r="Q1749" i="11" a="1"/>
  <c r="Q1749" i="11" s="1"/>
  <c r="R1749" i="11"/>
  <c r="Q1741" i="11" a="1"/>
  <c r="Q1741" i="11" s="1"/>
  <c r="R1741" i="11"/>
  <c r="Q1733" i="11" a="1"/>
  <c r="Q1733" i="11" s="1"/>
  <c r="R1733" i="11"/>
  <c r="Q1725" i="11" a="1"/>
  <c r="Q1725" i="11" s="1"/>
  <c r="R1725" i="11"/>
  <c r="Q1715" i="11" a="1"/>
  <c r="Q1715" i="11" s="1"/>
  <c r="R1715" i="11"/>
  <c r="Q1706" i="11" a="1"/>
  <c r="Q1706" i="11" s="1"/>
  <c r="R1706" i="11"/>
  <c r="Q1697" i="11" a="1"/>
  <c r="Q1697" i="11" s="1"/>
  <c r="R1697" i="11"/>
  <c r="Q1689" i="11" a="1"/>
  <c r="Q1689" i="11" s="1"/>
  <c r="R1689" i="11"/>
  <c r="Q1681" i="11" a="1"/>
  <c r="Q1681" i="11" s="1"/>
  <c r="R1681" i="11"/>
  <c r="Q1672" i="11" a="1"/>
  <c r="Q1672" i="11" s="1"/>
  <c r="R1672" i="11"/>
  <c r="Q1663" i="11" a="1"/>
  <c r="Q1663" i="11" s="1"/>
  <c r="R1663" i="11"/>
  <c r="Q1655" i="11" a="1"/>
  <c r="Q1655" i="11" s="1"/>
  <c r="R1655" i="11"/>
  <c r="Q1646" i="11" a="1"/>
  <c r="Q1646" i="11" s="1"/>
  <c r="R1646" i="11"/>
  <c r="Q1637" i="11" a="1"/>
  <c r="Q1637" i="11" s="1"/>
  <c r="R1637" i="11"/>
  <c r="Q1628" i="11" a="1"/>
  <c r="Q1628" i="11" s="1"/>
  <c r="R1628" i="11"/>
  <c r="Q1620" i="11" a="1"/>
  <c r="Q1620" i="11" s="1"/>
  <c r="R1620" i="11"/>
  <c r="Q1611" i="11" a="1"/>
  <c r="Q1611" i="11" s="1"/>
  <c r="R1611" i="11"/>
  <c r="Q1601" i="11" a="1"/>
  <c r="Q1601" i="11" s="1"/>
  <c r="R1601" i="11"/>
  <c r="Q1592" i="11" a="1"/>
  <c r="Q1592" i="11" s="1"/>
  <c r="R1592" i="11"/>
  <c r="Q1583" i="11" a="1"/>
  <c r="Q1583" i="11" s="1"/>
  <c r="R1583" i="11"/>
  <c r="Q1574" i="11" a="1"/>
  <c r="Q1574" i="11" s="1"/>
  <c r="R1574" i="11"/>
  <c r="Q1565" i="11" a="1"/>
  <c r="Q1565" i="11" s="1"/>
  <c r="R1565" i="11"/>
  <c r="Q1556" i="11" a="1"/>
  <c r="Q1556" i="11" s="1"/>
  <c r="R1556" i="11"/>
  <c r="Q1547" i="11" a="1"/>
  <c r="Q1547" i="11" s="1"/>
  <c r="R1547" i="11"/>
  <c r="Q1538" i="11" a="1"/>
  <c r="Q1538" i="11" s="1"/>
  <c r="R1538" i="11"/>
  <c r="Q1530" i="11" a="1"/>
  <c r="Q1530" i="11" s="1"/>
  <c r="R1530" i="11"/>
  <c r="Q1521" i="11" a="1"/>
  <c r="Q1521" i="11" s="1"/>
  <c r="R1521" i="11"/>
  <c r="Q1512" i="11" a="1"/>
  <c r="Q1512" i="11" s="1"/>
  <c r="R1512" i="11"/>
  <c r="Q1504" i="11" a="1"/>
  <c r="Q1504" i="11" s="1"/>
  <c r="R1504" i="11"/>
  <c r="Q1495" i="11" a="1"/>
  <c r="Q1495" i="11" s="1"/>
  <c r="R1495" i="11"/>
  <c r="Q1486" i="11" a="1"/>
  <c r="Q1486" i="11" s="1"/>
  <c r="R1486" i="11"/>
  <c r="Q1477" i="11" a="1"/>
  <c r="Q1477" i="11" s="1"/>
  <c r="R1477" i="11"/>
  <c r="Q1468" i="11" a="1"/>
  <c r="Q1468" i="11" s="1"/>
  <c r="R1468" i="11"/>
  <c r="Q1459" i="11" a="1"/>
  <c r="Q1459" i="11" s="1"/>
  <c r="R1459" i="11"/>
  <c r="Q1450" i="11" a="1"/>
  <c r="Q1450" i="11" s="1"/>
  <c r="R1450" i="11"/>
  <c r="Q1441" i="11" a="1"/>
  <c r="Q1441" i="11" s="1"/>
  <c r="R1441" i="11"/>
  <c r="Q1432" i="11" a="1"/>
  <c r="Q1432" i="11" s="1"/>
  <c r="R1432" i="11"/>
  <c r="Q1423" i="11" a="1"/>
  <c r="Q1423" i="11" s="1"/>
  <c r="R1423" i="11"/>
  <c r="Q1414" i="11" a="1"/>
  <c r="Q1414" i="11" s="1"/>
  <c r="R1414" i="11"/>
  <c r="Q1405" i="11" a="1"/>
  <c r="Q1405" i="11" s="1"/>
  <c r="R1405" i="11"/>
  <c r="Q1396" i="11" a="1"/>
  <c r="Q1396" i="11" s="1"/>
  <c r="R1396" i="11"/>
  <c r="Q1388" i="11" a="1"/>
  <c r="Q1388" i="11" s="1"/>
  <c r="R1388" i="11"/>
  <c r="Q1380" i="11" a="1"/>
  <c r="Q1380" i="11" s="1"/>
  <c r="R1380" i="11"/>
  <c r="Q1371" i="11" a="1"/>
  <c r="Q1371" i="11" s="1"/>
  <c r="R1371" i="11"/>
  <c r="Q1363" i="11" a="1"/>
  <c r="Q1363" i="11" s="1"/>
  <c r="R1363" i="11"/>
  <c r="Q1354" i="11" a="1"/>
  <c r="Q1354" i="11" s="1"/>
  <c r="R1354" i="11"/>
  <c r="Q1345" i="11" a="1"/>
  <c r="Q1345" i="11" s="1"/>
  <c r="R1345" i="11"/>
  <c r="Q1337" i="11" a="1"/>
  <c r="Q1337" i="11" s="1"/>
  <c r="R1337" i="11"/>
  <c r="Q1328" i="11" a="1"/>
  <c r="Q1328" i="11" s="1"/>
  <c r="R1328" i="11"/>
  <c r="Q1320" i="11" a="1"/>
  <c r="Q1320" i="11" s="1"/>
  <c r="R1320" i="11"/>
  <c r="Q1311" i="11" a="1"/>
  <c r="Q1311" i="11" s="1"/>
  <c r="R1311" i="11"/>
  <c r="Q1303" i="11" a="1"/>
  <c r="Q1303" i="11" s="1"/>
  <c r="R1303" i="11"/>
  <c r="Q1294" i="11" a="1"/>
  <c r="Q1294" i="11" s="1"/>
  <c r="R1294" i="11"/>
  <c r="Q1285" i="11" a="1"/>
  <c r="Q1285" i="11" s="1"/>
  <c r="R1285" i="11"/>
  <c r="Q1276" i="11" a="1"/>
  <c r="Q1276" i="11" s="1"/>
  <c r="R1276" i="11"/>
  <c r="Q1267" i="11" a="1"/>
  <c r="Q1267" i="11" s="1"/>
  <c r="R1267" i="11"/>
  <c r="Q1259" i="11" a="1"/>
  <c r="Q1259" i="11" s="1"/>
  <c r="R1259" i="11"/>
  <c r="Q1250" i="11" a="1"/>
  <c r="Q1250" i="11" s="1"/>
  <c r="R1250" i="11"/>
  <c r="Q1241" i="11" a="1"/>
  <c r="Q1241" i="11" s="1"/>
  <c r="R1241" i="11"/>
  <c r="Q1232" i="11" a="1"/>
  <c r="Q1232" i="11" s="1"/>
  <c r="R1232" i="11"/>
  <c r="Q1223" i="11" a="1"/>
  <c r="Q1223" i="11" s="1"/>
  <c r="R1223" i="11"/>
  <c r="Q1214" i="11" a="1"/>
  <c r="Q1214" i="11" s="1"/>
  <c r="R1214" i="11"/>
  <c r="Q1205" i="11" a="1"/>
  <c r="Q1205" i="11" s="1"/>
  <c r="R1205" i="11"/>
  <c r="Q1196" i="11" a="1"/>
  <c r="Q1196" i="11" s="1"/>
  <c r="R1196" i="11"/>
  <c r="Q1188" i="11" a="1"/>
  <c r="Q1188" i="11" s="1"/>
  <c r="R1188" i="11"/>
  <c r="Q1179" i="11" a="1"/>
  <c r="Q1179" i="11" s="1"/>
  <c r="R1179" i="11"/>
  <c r="Q1170" i="11" a="1"/>
  <c r="Q1170" i="11" s="1"/>
  <c r="R1170" i="11"/>
  <c r="Q1161" i="11" a="1"/>
  <c r="Q1161" i="11" s="1"/>
  <c r="R1161" i="11"/>
  <c r="Q1152" i="11" a="1"/>
  <c r="Q1152" i="11" s="1"/>
  <c r="R1152" i="11"/>
  <c r="Q1143" i="11" a="1"/>
  <c r="Q1143" i="11" s="1"/>
  <c r="R1143" i="11"/>
  <c r="Q1134" i="11" a="1"/>
  <c r="Q1134" i="11" s="1"/>
  <c r="R1134" i="11"/>
  <c r="Q1125" i="11" a="1"/>
  <c r="Q1125" i="11" s="1"/>
  <c r="R1125" i="11"/>
  <c r="Q1117" i="11" a="1"/>
  <c r="Q1117" i="11" s="1"/>
  <c r="R1117" i="11"/>
  <c r="Q1108" i="11" a="1"/>
  <c r="Q1108" i="11" s="1"/>
  <c r="R1108" i="11"/>
  <c r="Q1100" i="11" a="1"/>
  <c r="Q1100" i="11" s="1"/>
  <c r="R1100" i="11"/>
  <c r="Q1092" i="11" a="1"/>
  <c r="Q1092" i="11" s="1"/>
  <c r="R1092" i="11"/>
  <c r="Q1084" i="11" a="1"/>
  <c r="Q1084" i="11" s="1"/>
  <c r="R1084" i="11"/>
  <c r="Q1076" i="11" a="1"/>
  <c r="Q1076" i="11" s="1"/>
  <c r="R1076" i="11"/>
  <c r="Q1068" i="11" a="1"/>
  <c r="Q1068" i="11" s="1"/>
  <c r="R1068" i="11"/>
  <c r="Q1060" i="11" a="1"/>
  <c r="Q1060" i="11" s="1"/>
  <c r="R1060" i="11"/>
  <c r="Q1051" i="11" a="1"/>
  <c r="Q1051" i="11" s="1"/>
  <c r="R1051" i="11"/>
  <c r="Q1043" i="11" a="1"/>
  <c r="Q1043" i="11" s="1"/>
  <c r="R1043" i="11"/>
  <c r="Q1035" i="11" a="1"/>
  <c r="Q1035" i="11" s="1"/>
  <c r="R1035" i="11"/>
  <c r="Q1027" i="11" a="1"/>
  <c r="Q1027" i="11" s="1"/>
  <c r="R1027" i="11"/>
  <c r="Q1019" i="11" a="1"/>
  <c r="Q1019" i="11" s="1"/>
  <c r="R1019" i="11"/>
  <c r="Q1010" i="11" a="1"/>
  <c r="Q1010" i="11" s="1"/>
  <c r="R1010" i="11"/>
  <c r="Q1002" i="11" a="1"/>
  <c r="Q1002" i="11" s="1"/>
  <c r="R1002" i="11"/>
  <c r="Q993" i="11" a="1"/>
  <c r="Q993" i="11" s="1"/>
  <c r="R993" i="11"/>
  <c r="Q985" i="11" a="1"/>
  <c r="Q985" i="11" s="1"/>
  <c r="R985" i="11"/>
  <c r="Q976" i="11" a="1"/>
  <c r="Q976" i="11" s="1"/>
  <c r="R976" i="11"/>
  <c r="Q968" i="11" a="1"/>
  <c r="Q968" i="11" s="1"/>
  <c r="R968" i="11"/>
  <c r="Q959" i="11" a="1"/>
  <c r="Q959" i="11" s="1"/>
  <c r="R959" i="11"/>
  <c r="Q950" i="11" a="1"/>
  <c r="Q950" i="11" s="1"/>
  <c r="R950" i="11"/>
  <c r="Q941" i="11" a="1"/>
  <c r="Q941" i="11" s="1"/>
  <c r="R941" i="11"/>
  <c r="Q932" i="11" a="1"/>
  <c r="Q932" i="11" s="1"/>
  <c r="R932" i="11"/>
  <c r="Q924" i="11" a="1"/>
  <c r="Q924" i="11" s="1"/>
  <c r="R924" i="11"/>
  <c r="Q915" i="11" a="1"/>
  <c r="Q915" i="11" s="1"/>
  <c r="R915" i="11"/>
  <c r="Q906" i="11" a="1"/>
  <c r="Q906" i="11" s="1"/>
  <c r="R906" i="11"/>
  <c r="Q897" i="11" a="1"/>
  <c r="Q897" i="11" s="1"/>
  <c r="R897" i="11"/>
  <c r="Q889" i="11" a="1"/>
  <c r="Q889" i="11" s="1"/>
  <c r="R889" i="11"/>
  <c r="Q880" i="11" a="1"/>
  <c r="Q880" i="11" s="1"/>
  <c r="R880" i="11"/>
  <c r="Q872" i="11" a="1"/>
  <c r="Q872" i="11" s="1"/>
  <c r="R872" i="11"/>
  <c r="Q864" i="11" a="1"/>
  <c r="Q864" i="11" s="1"/>
  <c r="R864" i="11"/>
  <c r="Q856" i="11" a="1"/>
  <c r="Q856" i="11" s="1"/>
  <c r="R856" i="11"/>
  <c r="Q848" i="11" a="1"/>
  <c r="Q848" i="11" s="1"/>
  <c r="R848" i="11"/>
  <c r="Q839" i="11" a="1"/>
  <c r="Q839" i="11" s="1"/>
  <c r="R839" i="11"/>
  <c r="Q830" i="11" a="1"/>
  <c r="Q830" i="11" s="1"/>
  <c r="R830" i="11"/>
  <c r="Q822" i="11" a="1"/>
  <c r="Q822" i="11" s="1"/>
  <c r="R822" i="11"/>
  <c r="Q813" i="11" a="1"/>
  <c r="Q813" i="11" s="1"/>
  <c r="R813" i="11"/>
  <c r="Q805" i="11" a="1"/>
  <c r="Q805" i="11" s="1"/>
  <c r="R805" i="11"/>
  <c r="Q796" i="11" a="1"/>
  <c r="Q796" i="11" s="1"/>
  <c r="R796" i="11"/>
  <c r="Q787" i="11" a="1"/>
  <c r="Q787" i="11" s="1"/>
  <c r="R787" i="11"/>
  <c r="Q779" i="11" a="1"/>
  <c r="Q779" i="11" s="1"/>
  <c r="R779" i="11"/>
  <c r="Q771" i="11" a="1"/>
  <c r="Q771" i="11" s="1"/>
  <c r="R771" i="11"/>
  <c r="Q763" i="11" a="1"/>
  <c r="Q763" i="11" s="1"/>
  <c r="R763" i="11"/>
  <c r="Q755" i="11" a="1"/>
  <c r="Q755" i="11" s="1"/>
  <c r="R755" i="11"/>
  <c r="Q747" i="11" a="1"/>
  <c r="Q747" i="11" s="1"/>
  <c r="R747" i="11"/>
  <c r="Q738" i="11" a="1"/>
  <c r="Q738" i="11" s="1"/>
  <c r="R738" i="11"/>
  <c r="Q730" i="11" a="1"/>
  <c r="Q730" i="11" s="1"/>
  <c r="R730" i="11"/>
  <c r="Q721" i="11" a="1"/>
  <c r="Q721" i="11" s="1"/>
  <c r="R721" i="11"/>
  <c r="Q712" i="11" a="1"/>
  <c r="Q712" i="11" s="1"/>
  <c r="R712" i="11"/>
  <c r="Q703" i="11" a="1"/>
  <c r="Q703" i="11" s="1"/>
  <c r="R703" i="11"/>
  <c r="Q695" i="11" a="1"/>
  <c r="Q695" i="11" s="1"/>
  <c r="R695" i="11"/>
  <c r="Q686" i="11" a="1"/>
  <c r="Q686" i="11" s="1"/>
  <c r="R686" i="11"/>
  <c r="Q677" i="11" a="1"/>
  <c r="Q677" i="11" s="1"/>
  <c r="R677" i="11"/>
  <c r="Q669" i="11" a="1"/>
  <c r="Q669" i="11" s="1"/>
  <c r="R669" i="11"/>
  <c r="Q660" i="11" a="1"/>
  <c r="Q660" i="11" s="1"/>
  <c r="R660" i="11"/>
  <c r="Q652" i="11" a="1"/>
  <c r="Q652" i="11" s="1"/>
  <c r="R652" i="11"/>
  <c r="Q644" i="11" a="1"/>
  <c r="Q644" i="11" s="1"/>
  <c r="R644" i="11"/>
  <c r="Q636" i="11" a="1"/>
  <c r="Q636" i="11" s="1"/>
  <c r="R636" i="11"/>
  <c r="Q628" i="11" a="1"/>
  <c r="Q628" i="11" s="1"/>
  <c r="R628" i="11"/>
  <c r="Q619" i="11" a="1"/>
  <c r="Q619" i="11" s="1"/>
  <c r="R619" i="11"/>
  <c r="Q610" i="11" a="1"/>
  <c r="Q610" i="11" s="1"/>
  <c r="R610" i="11"/>
  <c r="Q602" i="11" a="1"/>
  <c r="Q602" i="11" s="1"/>
  <c r="R602" i="11"/>
  <c r="Q593" i="11" a="1"/>
  <c r="Q593" i="11" s="1"/>
  <c r="R593" i="11"/>
  <c r="Q585" i="11" a="1"/>
  <c r="Q585" i="11" s="1"/>
  <c r="R585" i="11"/>
  <c r="Q577" i="11" a="1"/>
  <c r="Q577" i="11" s="1"/>
  <c r="R577" i="11"/>
  <c r="Q568" i="11" a="1"/>
  <c r="Q568" i="11" s="1"/>
  <c r="R568" i="11"/>
  <c r="Q559" i="11" a="1"/>
  <c r="Q559" i="11" s="1"/>
  <c r="R559" i="11"/>
  <c r="Q551" i="11" a="1"/>
  <c r="Q551" i="11" s="1"/>
  <c r="R551" i="11"/>
  <c r="Q542" i="11" a="1"/>
  <c r="Q542" i="11" s="1"/>
  <c r="R542" i="11"/>
  <c r="Q533" i="11" a="1"/>
  <c r="Q533" i="11" s="1"/>
  <c r="R533" i="11"/>
  <c r="Q525" i="11" a="1"/>
  <c r="Q525" i="11" s="1"/>
  <c r="R525" i="11"/>
  <c r="Q516" i="11" a="1"/>
  <c r="Q516" i="11" s="1"/>
  <c r="R516" i="11"/>
  <c r="Q507" i="11" a="1"/>
  <c r="Q507" i="11" s="1"/>
  <c r="R507" i="11"/>
  <c r="Q499" i="11" a="1"/>
  <c r="Q499" i="11" s="1"/>
  <c r="R499" i="11"/>
  <c r="Q490" i="11" a="1"/>
  <c r="Q490" i="11" s="1"/>
  <c r="R490" i="11"/>
  <c r="Q481" i="11" a="1"/>
  <c r="Q481" i="11" s="1"/>
  <c r="R481" i="11"/>
  <c r="Q473" i="11" a="1"/>
  <c r="Q473" i="11" s="1"/>
  <c r="R473" i="11"/>
  <c r="Q464" i="11" a="1"/>
  <c r="Q464" i="11" s="1"/>
  <c r="R464" i="11"/>
  <c r="Q455" i="11" a="1"/>
  <c r="Q455" i="11" s="1"/>
  <c r="R455" i="11"/>
  <c r="Q447" i="11" a="1"/>
  <c r="Q447" i="11" s="1"/>
  <c r="R447" i="11"/>
  <c r="Q439" i="11" a="1"/>
  <c r="Q439" i="11" s="1"/>
  <c r="R439" i="11"/>
  <c r="Q431" i="11" a="1"/>
  <c r="Q431" i="11" s="1"/>
  <c r="R431" i="11"/>
  <c r="Q423" i="11" a="1"/>
  <c r="Q423" i="11" s="1"/>
  <c r="R423" i="11"/>
  <c r="Q415" i="11" a="1"/>
  <c r="Q415" i="11" s="1"/>
  <c r="R415" i="11"/>
  <c r="Q407" i="11" a="1"/>
  <c r="Q407" i="11" s="1"/>
  <c r="R407" i="11"/>
  <c r="Q398" i="11" a="1"/>
  <c r="Q398" i="11" s="1"/>
  <c r="R398" i="11"/>
  <c r="Q390" i="11" a="1"/>
  <c r="Q390" i="11" s="1"/>
  <c r="R390" i="11"/>
  <c r="Q381" i="11" a="1"/>
  <c r="Q381" i="11" s="1"/>
  <c r="R381" i="11"/>
  <c r="Q373" i="11" a="1"/>
  <c r="Q373" i="11" s="1"/>
  <c r="R373" i="11"/>
  <c r="Q364" i="11" a="1"/>
  <c r="Q364" i="11" s="1"/>
  <c r="R364" i="11"/>
  <c r="Q356" i="11" a="1"/>
  <c r="Q356" i="11" s="1"/>
  <c r="R356" i="11"/>
  <c r="Q347" i="11" a="1"/>
  <c r="Q347" i="11" s="1"/>
  <c r="R347" i="11"/>
  <c r="Q338" i="11" a="1"/>
  <c r="Q338" i="11" s="1"/>
  <c r="R338" i="11"/>
  <c r="Q330" i="11" a="1"/>
  <c r="Q330" i="11" s="1"/>
  <c r="R330" i="11"/>
  <c r="Q321" i="11" a="1"/>
  <c r="Q321" i="11" s="1"/>
  <c r="R321" i="11"/>
  <c r="Q313" i="11" a="1"/>
  <c r="Q313" i="11" s="1"/>
  <c r="R313" i="11"/>
  <c r="Q305" i="11" a="1"/>
  <c r="Q305" i="11" s="1"/>
  <c r="R305" i="11"/>
  <c r="Q297" i="11" a="1"/>
  <c r="Q297" i="11" s="1"/>
  <c r="R297" i="11"/>
  <c r="Q289" i="11" a="1"/>
  <c r="Q289" i="11" s="1"/>
  <c r="R289" i="11"/>
  <c r="Q280" i="11" a="1"/>
  <c r="Q280" i="11" s="1"/>
  <c r="R280" i="11"/>
  <c r="Q272" i="11" a="1"/>
  <c r="Q272" i="11" s="1"/>
  <c r="R272" i="11"/>
  <c r="Q263" i="11" a="1"/>
  <c r="Q263" i="11" s="1"/>
  <c r="R263" i="11"/>
  <c r="Q254" i="11" a="1"/>
  <c r="Q254" i="11" s="1"/>
  <c r="R254" i="11"/>
  <c r="Q246" i="11" a="1"/>
  <c r="Q246" i="11" s="1"/>
  <c r="R246" i="11"/>
  <c r="Q237" i="11" a="1"/>
  <c r="Q237" i="11" s="1"/>
  <c r="R237" i="11"/>
  <c r="Q229" i="11" a="1"/>
  <c r="Q229" i="11" s="1"/>
  <c r="R229" i="11"/>
  <c r="Q220" i="11" a="1"/>
  <c r="Q220" i="11" s="1"/>
  <c r="R220" i="11"/>
  <c r="Q212" i="11" a="1"/>
  <c r="Q212" i="11" s="1"/>
  <c r="R212" i="11"/>
  <c r="Q204" i="11" a="1"/>
  <c r="Q204" i="11" s="1"/>
  <c r="R204" i="11"/>
  <c r="Q196" i="11" a="1"/>
  <c r="Q196" i="11" s="1"/>
  <c r="R196" i="11"/>
  <c r="Q188" i="11" a="1"/>
  <c r="Q188" i="11" s="1"/>
  <c r="R188" i="11"/>
  <c r="Q179" i="11" a="1"/>
  <c r="Q179" i="11" s="1"/>
  <c r="R179" i="11"/>
  <c r="Q171" i="11" a="1"/>
  <c r="Q171" i="11" s="1"/>
  <c r="R171" i="11"/>
  <c r="Q162" i="11" a="1"/>
  <c r="Q162" i="11" s="1"/>
  <c r="R162" i="11"/>
  <c r="Q154" i="11" a="1"/>
  <c r="Q154" i="11" s="1"/>
  <c r="R154" i="11"/>
  <c r="Q146" i="11" a="1"/>
  <c r="Q146" i="11" s="1"/>
  <c r="R146" i="11"/>
  <c r="Q137" i="11" a="1"/>
  <c r="Q137" i="11" s="1"/>
  <c r="R137" i="11"/>
  <c r="Q129" i="11" a="1"/>
  <c r="Q129" i="11" s="1"/>
  <c r="R129" i="11"/>
  <c r="Q120" i="11" a="1"/>
  <c r="Q120" i="11" s="1"/>
  <c r="R120" i="11"/>
  <c r="Q112" i="11" a="1"/>
  <c r="Q112" i="11" s="1"/>
  <c r="R112" i="11"/>
  <c r="Q103" i="11" a="1"/>
  <c r="Q103" i="11" s="1"/>
  <c r="R103" i="11"/>
  <c r="Q95" i="11" a="1"/>
  <c r="Q95" i="11" s="1"/>
  <c r="R95" i="11"/>
  <c r="Q87" i="11" a="1"/>
  <c r="Q87" i="11" s="1"/>
  <c r="R87" i="11"/>
  <c r="Q79" i="11" a="1"/>
  <c r="Q79" i="11" s="1"/>
  <c r="R79" i="11"/>
  <c r="Q71" i="11" a="1"/>
  <c r="Q71" i="11" s="1"/>
  <c r="R71" i="11"/>
  <c r="Q62" i="11" a="1"/>
  <c r="Q62" i="11" s="1"/>
  <c r="R62" i="11"/>
  <c r="Q54" i="11" a="1"/>
  <c r="Q54" i="11" s="1"/>
  <c r="R54" i="11"/>
  <c r="Q46" i="11" a="1"/>
  <c r="Q46" i="11" s="1"/>
  <c r="R46" i="11"/>
  <c r="Q38" i="11" a="1"/>
  <c r="Q38" i="11" s="1"/>
  <c r="R38" i="11"/>
  <c r="Q30" i="11" a="1"/>
  <c r="Q30" i="11" s="1"/>
  <c r="R30" i="11"/>
  <c r="Q22" i="11" a="1"/>
  <c r="Q22" i="11" s="1"/>
  <c r="R22" i="11"/>
  <c r="Q14" i="11" a="1"/>
  <c r="Q14" i="11" s="1"/>
  <c r="R14" i="11"/>
  <c r="Q6" i="11" a="1"/>
  <c r="Q6" i="11" s="1"/>
  <c r="R6" i="11"/>
  <c r="Q2207" i="11" a="1"/>
  <c r="Q2207" i="11" s="1"/>
  <c r="R2207" i="11" s="1"/>
  <c r="Q2168" i="11" a="1"/>
  <c r="Q2168" i="11" s="1"/>
  <c r="R2168" i="11" s="1"/>
  <c r="Q2080" i="11" a="1"/>
  <c r="Q2080" i="11" s="1"/>
  <c r="R2080" i="11" s="1"/>
  <c r="Q2065" i="11" a="1"/>
  <c r="Q2065" i="11" s="1"/>
  <c r="R2065" i="11"/>
  <c r="Q1983" i="11" a="1"/>
  <c r="Q1983" i="11" s="1"/>
  <c r="R1983" i="11"/>
  <c r="Q1943" i="11" a="1"/>
  <c r="Q1943" i="11" s="1"/>
  <c r="R1943" i="11"/>
  <c r="Q1904" i="11" a="1"/>
  <c r="Q1904" i="11" s="1"/>
  <c r="R1904" i="11"/>
  <c r="Q1893" i="11" a="1"/>
  <c r="Q1893" i="11" s="1"/>
  <c r="R1893" i="11"/>
  <c r="Q1884" i="11" a="1"/>
  <c r="Q1884" i="11" s="1"/>
  <c r="R1884" i="11"/>
  <c r="Q1874" i="11" a="1"/>
  <c r="Q1874" i="11" s="1"/>
  <c r="R1874" i="11"/>
  <c r="Q1864" i="11" a="1"/>
  <c r="Q1864" i="11" s="1"/>
  <c r="R1864" i="11"/>
  <c r="Q1854" i="11" a="1"/>
  <c r="Q1854" i="11" s="1"/>
  <c r="R1854" i="11"/>
  <c r="Q1844" i="11" a="1"/>
  <c r="Q1844" i="11" s="1"/>
  <c r="R1844" i="11"/>
  <c r="Q1836" i="11" a="1"/>
  <c r="Q1836" i="11" s="1"/>
  <c r="R1836" i="11"/>
  <c r="Q1826" i="11" a="1"/>
  <c r="Q1826" i="11" s="1"/>
  <c r="R1826" i="11"/>
  <c r="Q1816" i="11" a="1"/>
  <c r="Q1816" i="11" s="1"/>
  <c r="R1816" i="11"/>
  <c r="Q1806" i="11" a="1"/>
  <c r="Q1806" i="11" s="1"/>
  <c r="R1806" i="11"/>
  <c r="Q1796" i="11" a="1"/>
  <c r="Q1796" i="11" s="1"/>
  <c r="R1796" i="11"/>
  <c r="Q1786" i="11" a="1"/>
  <c r="Q1786" i="11" s="1"/>
  <c r="R1786" i="11"/>
  <c r="Q1776" i="11" a="1"/>
  <c r="Q1776" i="11" s="1"/>
  <c r="R1776" i="11"/>
  <c r="Q1767" i="11" a="1"/>
  <c r="Q1767" i="11" s="1"/>
  <c r="R1767" i="11"/>
  <c r="Q1757" i="11" a="1"/>
  <c r="Q1757" i="11" s="1"/>
  <c r="R1757" i="11"/>
  <c r="Q1748" i="11" a="1"/>
  <c r="Q1748" i="11" s="1"/>
  <c r="R1748" i="11"/>
  <c r="Q1740" i="11" a="1"/>
  <c r="Q1740" i="11" s="1"/>
  <c r="R1740" i="11"/>
  <c r="Q1732" i="11" a="1"/>
  <c r="Q1732" i="11" s="1"/>
  <c r="R1732" i="11"/>
  <c r="Q1724" i="11" a="1"/>
  <c r="Q1724" i="11" s="1"/>
  <c r="R1724" i="11"/>
  <c r="Q1714" i="11" a="1"/>
  <c r="Q1714" i="11" s="1"/>
  <c r="R1714" i="11"/>
  <c r="Q1705" i="11" a="1"/>
  <c r="Q1705" i="11" s="1"/>
  <c r="R1705" i="11"/>
  <c r="Q1696" i="11" a="1"/>
  <c r="Q1696" i="11" s="1"/>
  <c r="R1696" i="11"/>
  <c r="Q1688" i="11" a="1"/>
  <c r="Q1688" i="11" s="1"/>
  <c r="R1688" i="11"/>
  <c r="Q1679" i="11" a="1"/>
  <c r="Q1679" i="11" s="1"/>
  <c r="R1679" i="11"/>
  <c r="Q1671" i="11" a="1"/>
  <c r="Q1671" i="11" s="1"/>
  <c r="R1671" i="11"/>
  <c r="Q1662" i="11" a="1"/>
  <c r="Q1662" i="11" s="1"/>
  <c r="R1662" i="11"/>
  <c r="Q1654" i="11" a="1"/>
  <c r="Q1654" i="11" s="1"/>
  <c r="R1654" i="11"/>
  <c r="Q1645" i="11" a="1"/>
  <c r="Q1645" i="11" s="1"/>
  <c r="R1645" i="11"/>
  <c r="Q1636" i="11" a="1"/>
  <c r="Q1636" i="11" s="1"/>
  <c r="R1636" i="11"/>
  <c r="Q1627" i="11" a="1"/>
  <c r="Q1627" i="11" s="1"/>
  <c r="R1627" i="11"/>
  <c r="Q1619" i="11" a="1"/>
  <c r="Q1619" i="11" s="1"/>
  <c r="R1619" i="11"/>
  <c r="Q1609" i="11" a="1"/>
  <c r="Q1609" i="11" s="1"/>
  <c r="R1609" i="11"/>
  <c r="Q1600" i="11" a="1"/>
  <c r="Q1600" i="11" s="1"/>
  <c r="R1600" i="11"/>
  <c r="Q1591" i="11" a="1"/>
  <c r="Q1591" i="11" s="1"/>
  <c r="R1591" i="11"/>
  <c r="Q1582" i="11" a="1"/>
  <c r="Q1582" i="11" s="1"/>
  <c r="R1582" i="11"/>
  <c r="Q1573" i="11" a="1"/>
  <c r="Q1573" i="11" s="1"/>
  <c r="R1573" i="11"/>
  <c r="Q1564" i="11" a="1"/>
  <c r="Q1564" i="11" s="1"/>
  <c r="R1564" i="11"/>
  <c r="Q1555" i="11" a="1"/>
  <c r="Q1555" i="11" s="1"/>
  <c r="R1555" i="11"/>
  <c r="Q1546" i="11" a="1"/>
  <c r="Q1546" i="11" s="1"/>
  <c r="R1546" i="11"/>
  <c r="Q1537" i="11" a="1"/>
  <c r="Q1537" i="11" s="1"/>
  <c r="R1537" i="11"/>
  <c r="Q1529" i="11" a="1"/>
  <c r="Q1529" i="11" s="1"/>
  <c r="R1529" i="11"/>
  <c r="Q1520" i="11" a="1"/>
  <c r="Q1520" i="11" s="1"/>
  <c r="R1520" i="11"/>
  <c r="Q1511" i="11" a="1"/>
  <c r="Q1511" i="11" s="1"/>
  <c r="R1511" i="11"/>
  <c r="Q1503" i="11" a="1"/>
  <c r="Q1503" i="11" s="1"/>
  <c r="R1503" i="11"/>
  <c r="Q1494" i="11" a="1"/>
  <c r="Q1494" i="11" s="1"/>
  <c r="R1494" i="11"/>
  <c r="Q1485" i="11" a="1"/>
  <c r="Q1485" i="11" s="1"/>
  <c r="R1485" i="11"/>
  <c r="Q1476" i="11" a="1"/>
  <c r="Q1476" i="11" s="1"/>
  <c r="R1476" i="11"/>
  <c r="Q1467" i="11" a="1"/>
  <c r="Q1467" i="11" s="1"/>
  <c r="R1467" i="11"/>
  <c r="Q1458" i="11" a="1"/>
  <c r="Q1458" i="11" s="1"/>
  <c r="R1458" i="11"/>
  <c r="Q1449" i="11" a="1"/>
  <c r="Q1449" i="11" s="1"/>
  <c r="R1449" i="11"/>
  <c r="Q1440" i="11" a="1"/>
  <c r="Q1440" i="11" s="1"/>
  <c r="R1440" i="11"/>
  <c r="Q1431" i="11" a="1"/>
  <c r="Q1431" i="11" s="1"/>
  <c r="R1431" i="11"/>
  <c r="Q1422" i="11" a="1"/>
  <c r="Q1422" i="11" s="1"/>
  <c r="R1422" i="11"/>
  <c r="Q1413" i="11" a="1"/>
  <c r="Q1413" i="11" s="1"/>
  <c r="R1413" i="11"/>
  <c r="Q1404" i="11" a="1"/>
  <c r="Q1404" i="11" s="1"/>
  <c r="R1404" i="11"/>
  <c r="Q1395" i="11" a="1"/>
  <c r="Q1395" i="11" s="1"/>
  <c r="R1395" i="11"/>
  <c r="Q1387" i="11" a="1"/>
  <c r="Q1387" i="11" s="1"/>
  <c r="R1387" i="11"/>
  <c r="Q1378" i="11" a="1"/>
  <c r="Q1378" i="11" s="1"/>
  <c r="R1378" i="11"/>
  <c r="Q1370" i="11" a="1"/>
  <c r="Q1370" i="11" s="1"/>
  <c r="R1370" i="11"/>
  <c r="Q1362" i="11" a="1"/>
  <c r="Q1362" i="11" s="1"/>
  <c r="R1362" i="11"/>
  <c r="Q1353" i="11" a="1"/>
  <c r="Q1353" i="11" s="1"/>
  <c r="R1353" i="11"/>
  <c r="Q1344" i="11" a="1"/>
  <c r="Q1344" i="11" s="1"/>
  <c r="R1344" i="11"/>
  <c r="Q1335" i="11" a="1"/>
  <c r="Q1335" i="11" s="1"/>
  <c r="R1335" i="11"/>
  <c r="Q1327" i="11" a="1"/>
  <c r="Q1327" i="11" s="1"/>
  <c r="R1327" i="11"/>
  <c r="Q1319" i="11" a="1"/>
  <c r="Q1319" i="11" s="1"/>
  <c r="R1319" i="11"/>
  <c r="Q1310" i="11" a="1"/>
  <c r="Q1310" i="11" s="1"/>
  <c r="R1310" i="11"/>
  <c r="Q1302" i="11" a="1"/>
  <c r="Q1302" i="11" s="1"/>
  <c r="R1302" i="11"/>
  <c r="Q1293" i="11" a="1"/>
  <c r="Q1293" i="11" s="1"/>
  <c r="R1293" i="11"/>
  <c r="Q1284" i="11" a="1"/>
  <c r="Q1284" i="11" s="1"/>
  <c r="R1284" i="11"/>
  <c r="Q1275" i="11" a="1"/>
  <c r="Q1275" i="11" s="1"/>
  <c r="R1275" i="11"/>
  <c r="Q1266" i="11" a="1"/>
  <c r="Q1266" i="11" s="1"/>
  <c r="R1266" i="11"/>
  <c r="Q1258" i="11" a="1"/>
  <c r="Q1258" i="11" s="1"/>
  <c r="R1258" i="11"/>
  <c r="Q1249" i="11" a="1"/>
  <c r="Q1249" i="11" s="1"/>
  <c r="R1249" i="11"/>
  <c r="Q1240" i="11" a="1"/>
  <c r="Q1240" i="11" s="1"/>
  <c r="R1240" i="11"/>
  <c r="Q1231" i="11" a="1"/>
  <c r="Q1231" i="11" s="1"/>
  <c r="R1231" i="11"/>
  <c r="Q1222" i="11" a="1"/>
  <c r="Q1222" i="11" s="1"/>
  <c r="R1222" i="11"/>
  <c r="Q1213" i="11" a="1"/>
  <c r="Q1213" i="11" s="1"/>
  <c r="R1213" i="11"/>
  <c r="Q1204" i="11" a="1"/>
  <c r="Q1204" i="11" s="1"/>
  <c r="R1204" i="11"/>
  <c r="Q1195" i="11" a="1"/>
  <c r="Q1195" i="11" s="1"/>
  <c r="R1195" i="11"/>
  <c r="Q1186" i="11" a="1"/>
  <c r="Q1186" i="11" s="1"/>
  <c r="R1186" i="11"/>
  <c r="Q1178" i="11" a="1"/>
  <c r="Q1178" i="11" s="1"/>
  <c r="R1178" i="11"/>
  <c r="Q1169" i="11" a="1"/>
  <c r="Q1169" i="11" s="1"/>
  <c r="R1169" i="11"/>
  <c r="Q1160" i="11" a="1"/>
  <c r="Q1160" i="11" s="1"/>
  <c r="R1160" i="11"/>
  <c r="Q1151" i="11" a="1"/>
  <c r="Q1151" i="11" s="1"/>
  <c r="R1151" i="11"/>
  <c r="Q1142" i="11" a="1"/>
  <c r="Q1142" i="11" s="1"/>
  <c r="R1142" i="11"/>
  <c r="Q1133" i="11" a="1"/>
  <c r="Q1133" i="11" s="1"/>
  <c r="R1133" i="11"/>
  <c r="Q1124" i="11" a="1"/>
  <c r="Q1124" i="11" s="1"/>
  <c r="R1124" i="11"/>
  <c r="Q1115" i="11" a="1"/>
  <c r="Q1115" i="11" s="1"/>
  <c r="R1115" i="11"/>
  <c r="Q1107" i="11" a="1"/>
  <c r="Q1107" i="11" s="1"/>
  <c r="R1107" i="11"/>
  <c r="Q1099" i="11" a="1"/>
  <c r="Q1099" i="11" s="1"/>
  <c r="R1099" i="11"/>
  <c r="Q1091" i="11" a="1"/>
  <c r="Q1091" i="11" s="1"/>
  <c r="R1091" i="11"/>
  <c r="Q1083" i="11" a="1"/>
  <c r="Q1083" i="11" s="1"/>
  <c r="R1083" i="11"/>
  <c r="Q1075" i="11" a="1"/>
  <c r="Q1075" i="11" s="1"/>
  <c r="R1075" i="11"/>
  <c r="Q1067" i="11" a="1"/>
  <c r="Q1067" i="11" s="1"/>
  <c r="R1067" i="11"/>
  <c r="Q1059" i="11" a="1"/>
  <c r="Q1059" i="11" s="1"/>
  <c r="R1059" i="11"/>
  <c r="Q1050" i="11" a="1"/>
  <c r="Q1050" i="11" s="1"/>
  <c r="R1050" i="11"/>
  <c r="Q1042" i="11" a="1"/>
  <c r="Q1042" i="11" s="1"/>
  <c r="R1042" i="11"/>
  <c r="Q1034" i="11" a="1"/>
  <c r="Q1034" i="11" s="1"/>
  <c r="R1034" i="11"/>
  <c r="Q1026" i="11" a="1"/>
  <c r="Q1026" i="11" s="1"/>
  <c r="R1026" i="11"/>
  <c r="Q1018" i="11" a="1"/>
  <c r="Q1018" i="11" s="1"/>
  <c r="R1018" i="11"/>
  <c r="Q1009" i="11" a="1"/>
  <c r="Q1009" i="11" s="1"/>
  <c r="R1009" i="11"/>
  <c r="Q1001" i="11" a="1"/>
  <c r="Q1001" i="11" s="1"/>
  <c r="R1001" i="11"/>
  <c r="Q992" i="11" a="1"/>
  <c r="Q992" i="11" s="1"/>
  <c r="R992" i="11"/>
  <c r="Q984" i="11" a="1"/>
  <c r="Q984" i="11" s="1"/>
  <c r="R984" i="11"/>
  <c r="Q975" i="11" a="1"/>
  <c r="Q975" i="11" s="1"/>
  <c r="R975" i="11"/>
  <c r="Q967" i="11" a="1"/>
  <c r="Q967" i="11" s="1"/>
  <c r="R967" i="11"/>
  <c r="Q958" i="11" a="1"/>
  <c r="Q958" i="11" s="1"/>
  <c r="R958" i="11"/>
  <c r="Q949" i="11" a="1"/>
  <c r="Q949" i="11" s="1"/>
  <c r="R949" i="11"/>
  <c r="Q940" i="11" a="1"/>
  <c r="Q940" i="11" s="1"/>
  <c r="R940" i="11"/>
  <c r="Q931" i="11" a="1"/>
  <c r="Q931" i="11" s="1"/>
  <c r="R931" i="11"/>
  <c r="Q923" i="11" a="1"/>
  <c r="Q923" i="11" s="1"/>
  <c r="R923" i="11"/>
  <c r="Q914" i="11" a="1"/>
  <c r="Q914" i="11" s="1"/>
  <c r="R914" i="11"/>
  <c r="Q905" i="11" a="1"/>
  <c r="Q905" i="11" s="1"/>
  <c r="R905" i="11"/>
  <c r="Q896" i="11" a="1"/>
  <c r="Q896" i="11" s="1"/>
  <c r="R896" i="11"/>
  <c r="Q887" i="11" a="1"/>
  <c r="Q887" i="11" s="1"/>
  <c r="R887" i="11"/>
  <c r="Q879" i="11" a="1"/>
  <c r="Q879" i="11" s="1"/>
  <c r="R879" i="11"/>
  <c r="Q871" i="11" a="1"/>
  <c r="Q871" i="11" s="1"/>
  <c r="R871" i="11"/>
  <c r="Q863" i="11" a="1"/>
  <c r="Q863" i="11" s="1"/>
  <c r="R863" i="11"/>
  <c r="Q855" i="11" a="1"/>
  <c r="Q855" i="11" s="1"/>
  <c r="R855" i="11"/>
  <c r="Q846" i="11" a="1"/>
  <c r="Q846" i="11" s="1"/>
  <c r="R846" i="11"/>
  <c r="Q838" i="11" a="1"/>
  <c r="Q838" i="11" s="1"/>
  <c r="R838" i="11"/>
  <c r="Q829" i="11" a="1"/>
  <c r="Q829" i="11" s="1"/>
  <c r="R829" i="11"/>
  <c r="Q821" i="11" a="1"/>
  <c r="Q821" i="11" s="1"/>
  <c r="R821" i="11"/>
  <c r="Q812" i="11" a="1"/>
  <c r="Q812" i="11" s="1"/>
  <c r="R812" i="11"/>
  <c r="Q804" i="11" a="1"/>
  <c r="Q804" i="11" s="1"/>
  <c r="R804" i="11"/>
  <c r="Q795" i="11" a="1"/>
  <c r="Q795" i="11" s="1"/>
  <c r="R795" i="11"/>
  <c r="Q786" i="11" a="1"/>
  <c r="Q786" i="11" s="1"/>
  <c r="R786" i="11"/>
  <c r="Q778" i="11" a="1"/>
  <c r="Q778" i="11" s="1"/>
  <c r="R778" i="11"/>
  <c r="Q770" i="11" a="1"/>
  <c r="Q770" i="11" s="1"/>
  <c r="R770" i="11"/>
  <c r="Q762" i="11" a="1"/>
  <c r="Q762" i="11" s="1"/>
  <c r="R762" i="11"/>
  <c r="Q754" i="11" a="1"/>
  <c r="Q754" i="11" s="1"/>
  <c r="R754" i="11"/>
  <c r="Q746" i="11" a="1"/>
  <c r="Q746" i="11" s="1"/>
  <c r="R746" i="11"/>
  <c r="Q737" i="11" a="1"/>
  <c r="Q737" i="11" s="1"/>
  <c r="R737" i="11"/>
  <c r="Q729" i="11" a="1"/>
  <c r="Q729" i="11" s="1"/>
  <c r="R729" i="11"/>
  <c r="Q720" i="11" a="1"/>
  <c r="Q720" i="11" s="1"/>
  <c r="R720" i="11"/>
  <c r="Q711" i="11" a="1"/>
  <c r="Q711" i="11" s="1"/>
  <c r="R711" i="11"/>
  <c r="Q702" i="11" a="1"/>
  <c r="Q702" i="11" s="1"/>
  <c r="R702" i="11"/>
  <c r="Q694" i="11" a="1"/>
  <c r="Q694" i="11" s="1"/>
  <c r="R694" i="11"/>
  <c r="Q685" i="11" a="1"/>
  <c r="Q685" i="11" s="1"/>
  <c r="R685" i="11"/>
  <c r="Q676" i="11" a="1"/>
  <c r="Q676" i="11" s="1"/>
  <c r="R676" i="11"/>
  <c r="Q667" i="11" a="1"/>
  <c r="Q667" i="11" s="1"/>
  <c r="R667" i="11"/>
  <c r="Q659" i="11" a="1"/>
  <c r="Q659" i="11" s="1"/>
  <c r="R659" i="11"/>
  <c r="Q651" i="11" a="1"/>
  <c r="Q651" i="11" s="1"/>
  <c r="R651" i="11"/>
  <c r="Q643" i="11" a="1"/>
  <c r="Q643" i="11" s="1"/>
  <c r="R643" i="11"/>
  <c r="Q635" i="11" a="1"/>
  <c r="Q635" i="11" s="1"/>
  <c r="R635" i="11"/>
  <c r="Q627" i="11" a="1"/>
  <c r="Q627" i="11" s="1"/>
  <c r="R627" i="11"/>
  <c r="Q618" i="11" a="1"/>
  <c r="Q618" i="11" s="1"/>
  <c r="R618" i="11"/>
  <c r="Q609" i="11" a="1"/>
  <c r="Q609" i="11" s="1"/>
  <c r="R609" i="11"/>
  <c r="Q601" i="11" a="1"/>
  <c r="Q601" i="11" s="1"/>
  <c r="R601" i="11"/>
  <c r="Q592" i="11" a="1"/>
  <c r="Q592" i="11" s="1"/>
  <c r="R592" i="11"/>
  <c r="Q584" i="11" a="1"/>
  <c r="Q584" i="11" s="1"/>
  <c r="R584" i="11"/>
  <c r="Q576" i="11" a="1"/>
  <c r="Q576" i="11" s="1"/>
  <c r="R576" i="11"/>
  <c r="Q567" i="11" a="1"/>
  <c r="Q567" i="11" s="1"/>
  <c r="R567" i="11"/>
  <c r="Q558" i="11" a="1"/>
  <c r="Q558" i="11" s="1"/>
  <c r="R558" i="11"/>
  <c r="Q550" i="11" a="1"/>
  <c r="Q550" i="11" s="1"/>
  <c r="R550" i="11"/>
  <c r="Q541" i="11" a="1"/>
  <c r="Q541" i="11" s="1"/>
  <c r="R541" i="11"/>
  <c r="Q532" i="11" a="1"/>
  <c r="Q532" i="11" s="1"/>
  <c r="R532" i="11"/>
  <c r="Q524" i="11" a="1"/>
  <c r="Q524" i="11" s="1"/>
  <c r="R524" i="11"/>
  <c r="Q515" i="11" a="1"/>
  <c r="Q515" i="11" s="1"/>
  <c r="R515" i="11"/>
  <c r="Q506" i="11" a="1"/>
  <c r="Q506" i="11" s="1"/>
  <c r="R506" i="11"/>
  <c r="Q498" i="11" a="1"/>
  <c r="Q498" i="11" s="1"/>
  <c r="R498" i="11"/>
  <c r="Q489" i="11" a="1"/>
  <c r="Q489" i="11" s="1"/>
  <c r="R489" i="11"/>
  <c r="Q480" i="11" a="1"/>
  <c r="Q480" i="11" s="1"/>
  <c r="R480" i="11"/>
  <c r="Q472" i="11" a="1"/>
  <c r="Q472" i="11" s="1"/>
  <c r="R472" i="11"/>
  <c r="Q463" i="11" a="1"/>
  <c r="Q463" i="11" s="1"/>
  <c r="R463" i="11"/>
  <c r="Q454" i="11" a="1"/>
  <c r="Q454" i="11" s="1"/>
  <c r="R454" i="11"/>
  <c r="Q446" i="11" a="1"/>
  <c r="Q446" i="11" s="1"/>
  <c r="R446" i="11"/>
  <c r="Q438" i="11" a="1"/>
  <c r="Q438" i="11" s="1"/>
  <c r="R438" i="11"/>
  <c r="Q430" i="11" a="1"/>
  <c r="Q430" i="11" s="1"/>
  <c r="R430" i="11"/>
  <c r="Q422" i="11" a="1"/>
  <c r="Q422" i="11" s="1"/>
  <c r="R422" i="11"/>
  <c r="Q414" i="11" a="1"/>
  <c r="Q414" i="11" s="1"/>
  <c r="R414" i="11"/>
  <c r="Q406" i="11" a="1"/>
  <c r="Q406" i="11" s="1"/>
  <c r="R406" i="11"/>
  <c r="Q397" i="11" a="1"/>
  <c r="Q397" i="11" s="1"/>
  <c r="R397" i="11"/>
  <c r="Q389" i="11" a="1"/>
  <c r="Q389" i="11" s="1"/>
  <c r="R389" i="11"/>
  <c r="Q380" i="11" a="1"/>
  <c r="Q380" i="11" s="1"/>
  <c r="R380" i="11"/>
  <c r="Q372" i="11" a="1"/>
  <c r="Q372" i="11" s="1"/>
  <c r="R372" i="11"/>
  <c r="Q363" i="11" a="1"/>
  <c r="Q363" i="11" s="1"/>
  <c r="R363" i="11"/>
  <c r="Q354" i="11" a="1"/>
  <c r="Q354" i="11" s="1"/>
  <c r="R354" i="11"/>
  <c r="Q346" i="11" a="1"/>
  <c r="Q346" i="11" s="1"/>
  <c r="R346" i="11"/>
  <c r="Q337" i="11" a="1"/>
  <c r="Q337" i="11" s="1"/>
  <c r="R337" i="11"/>
  <c r="Q329" i="11" a="1"/>
  <c r="Q329" i="11" s="1"/>
  <c r="R329" i="11"/>
  <c r="Q320" i="11" a="1"/>
  <c r="Q320" i="11" s="1"/>
  <c r="R320" i="11"/>
  <c r="Q312" i="11" a="1"/>
  <c r="Q312" i="11" s="1"/>
  <c r="R312" i="11"/>
  <c r="Q304" i="11" a="1"/>
  <c r="Q304" i="11" s="1"/>
  <c r="R304" i="11"/>
  <c r="Q296" i="11" a="1"/>
  <c r="Q296" i="11" s="1"/>
  <c r="R296" i="11"/>
  <c r="Q288" i="11" a="1"/>
  <c r="Q288" i="11" s="1"/>
  <c r="R288" i="11"/>
  <c r="Q279" i="11" a="1"/>
  <c r="Q279" i="11" s="1"/>
  <c r="R279" i="11"/>
  <c r="Q270" i="11" a="1"/>
  <c r="Q270" i="11" s="1"/>
  <c r="R270" i="11"/>
  <c r="Q262" i="11" a="1"/>
  <c r="Q262" i="11" s="1"/>
  <c r="R262" i="11"/>
  <c r="Q253" i="11" a="1"/>
  <c r="Q253" i="11" s="1"/>
  <c r="R253" i="11"/>
  <c r="Q245" i="11" a="1"/>
  <c r="Q245" i="11" s="1"/>
  <c r="R245" i="11"/>
  <c r="Q236" i="11" a="1"/>
  <c r="Q236" i="11" s="1"/>
  <c r="R236" i="11"/>
  <c r="Q228" i="11" a="1"/>
  <c r="Q228" i="11" s="1"/>
  <c r="R228" i="11"/>
  <c r="Q219" i="11" a="1"/>
  <c r="Q219" i="11" s="1"/>
  <c r="R219" i="11"/>
  <c r="Q211" i="11" a="1"/>
  <c r="Q211" i="11" s="1"/>
  <c r="R211" i="11"/>
  <c r="Q203" i="11" a="1"/>
  <c r="Q203" i="11" s="1"/>
  <c r="R203" i="11"/>
  <c r="Q195" i="11" a="1"/>
  <c r="Q195" i="11" s="1"/>
  <c r="R195" i="11"/>
  <c r="Q187" i="11" a="1"/>
  <c r="Q187" i="11" s="1"/>
  <c r="R187" i="11"/>
  <c r="Q178" i="11" a="1"/>
  <c r="Q178" i="11" s="1"/>
  <c r="R178" i="11"/>
  <c r="Q170" i="11" a="1"/>
  <c r="Q170" i="11" s="1"/>
  <c r="R170" i="11"/>
  <c r="Q161" i="11" a="1"/>
  <c r="Q161" i="11" s="1"/>
  <c r="R161" i="11"/>
  <c r="Q153" i="11" a="1"/>
  <c r="Q153" i="11" s="1"/>
  <c r="R153" i="11"/>
  <c r="Q145" i="11" a="1"/>
  <c r="Q145" i="11" s="1"/>
  <c r="R145" i="11"/>
  <c r="Q136" i="11" a="1"/>
  <c r="Q136" i="11" s="1"/>
  <c r="R136" i="11"/>
  <c r="Q128" i="11" a="1"/>
  <c r="Q128" i="11" s="1"/>
  <c r="R128" i="11"/>
  <c r="Q119" i="11" a="1"/>
  <c r="Q119" i="11" s="1"/>
  <c r="R119" i="11"/>
  <c r="Q111" i="11" a="1"/>
  <c r="Q111" i="11" s="1"/>
  <c r="R111" i="11"/>
  <c r="Q102" i="11" a="1"/>
  <c r="Q102" i="11" s="1"/>
  <c r="R102" i="11"/>
  <c r="Q94" i="11" a="1"/>
  <c r="Q94" i="11" s="1"/>
  <c r="R94" i="11"/>
  <c r="Q86" i="11" a="1"/>
  <c r="Q86" i="11" s="1"/>
  <c r="R86" i="11"/>
  <c r="Q78" i="11" a="1"/>
  <c r="Q78" i="11" s="1"/>
  <c r="R78" i="11"/>
  <c r="Q69" i="11" a="1"/>
  <c r="Q69" i="11" s="1"/>
  <c r="R69" i="11"/>
  <c r="Q61" i="11" a="1"/>
  <c r="Q61" i="11" s="1"/>
  <c r="R61" i="11"/>
  <c r="Q53" i="11" a="1"/>
  <c r="Q53" i="11" s="1"/>
  <c r="R53" i="11"/>
  <c r="Q45" i="11" a="1"/>
  <c r="Q45" i="11" s="1"/>
  <c r="R45" i="11"/>
  <c r="Q37" i="11" a="1"/>
  <c r="Q37" i="11" s="1"/>
  <c r="R37" i="11"/>
  <c r="Q29" i="11" a="1"/>
  <c r="Q29" i="11" s="1"/>
  <c r="R29" i="11"/>
  <c r="Q21" i="11" a="1"/>
  <c r="Q21" i="11" s="1"/>
  <c r="R21" i="11"/>
  <c r="Q13" i="11" a="1"/>
  <c r="Q13" i="11" s="1"/>
  <c r="R13" i="11"/>
  <c r="Q5" i="11" a="1"/>
  <c r="Q5" i="11" s="1"/>
  <c r="R5" i="11"/>
  <c r="Q1437" i="11" a="1"/>
  <c r="Q1437" i="11" s="1"/>
  <c r="R1437" i="11" s="1"/>
  <c r="Q1894" i="11" a="1"/>
  <c r="Q1894" i="11" s="1"/>
  <c r="R1894" i="11" s="1"/>
  <c r="Q2104" i="11" a="1"/>
  <c r="Q2104" i="11" s="1"/>
  <c r="R2104" i="11" s="1"/>
  <c r="R1760" i="11"/>
  <c r="Q2097" i="11" a="1"/>
  <c r="Q2097" i="11" s="1"/>
  <c r="R2097" i="11"/>
  <c r="Q1995" i="11" a="1"/>
  <c r="Q1995" i="11" s="1"/>
  <c r="R1995" i="11"/>
  <c r="Q1923" i="11" a="1"/>
  <c r="Q1923" i="11" s="1"/>
  <c r="R1923" i="11"/>
  <c r="Q2139" i="11" a="1"/>
  <c r="Q2139" i="11" s="1"/>
  <c r="R2139" i="11"/>
  <c r="Q2126" i="11" a="1"/>
  <c r="Q2126" i="11" s="1"/>
  <c r="R2126" i="11" s="1"/>
  <c r="Q2111" i="11" a="1"/>
  <c r="Q2111" i="11" s="1"/>
  <c r="R2111" i="11"/>
  <c r="Q2095" i="11" a="1"/>
  <c r="Q2095" i="11" s="1"/>
  <c r="R2095" i="11"/>
  <c r="Q2079" i="11" a="1"/>
  <c r="Q2079" i="11" s="1"/>
  <c r="R2079" i="11"/>
  <c r="Q2063" i="11" a="1"/>
  <c r="Q2063" i="11" s="1"/>
  <c r="R2063" i="11"/>
  <c r="Q2049" i="11" a="1"/>
  <c r="Q2049" i="11" s="1"/>
  <c r="R2049" i="11"/>
  <c r="Q2038" i="11" a="1"/>
  <c r="Q2038" i="11" s="1"/>
  <c r="R2038" i="11"/>
  <c r="Q2027" i="11" a="1"/>
  <c r="Q2027" i="11" s="1"/>
  <c r="R2027" i="11"/>
  <c r="Q2015" i="11" a="1"/>
  <c r="Q2015" i="11" s="1"/>
  <c r="R2015" i="11"/>
  <c r="Q2005" i="11" a="1"/>
  <c r="Q2005" i="11" s="1"/>
  <c r="R2005" i="11"/>
  <c r="Q1993" i="11" a="1"/>
  <c r="Q1993" i="11" s="1"/>
  <c r="R1993" i="11"/>
  <c r="Q1981" i="11" a="1"/>
  <c r="Q1981" i="11" s="1"/>
  <c r="R1981" i="11"/>
  <c r="Q1970" i="11" a="1"/>
  <c r="Q1970" i="11" s="1"/>
  <c r="R1970" i="11"/>
  <c r="Q1960" i="11" a="1"/>
  <c r="Q1960" i="11" s="1"/>
  <c r="R1960" i="11"/>
  <c r="Q1951" i="11" a="1"/>
  <c r="Q1951" i="11" s="1"/>
  <c r="R1951" i="11"/>
  <c r="Q1932" i="11" a="1"/>
  <c r="Q1932" i="11" s="1"/>
  <c r="R1932" i="11"/>
  <c r="Q1922" i="11" a="1"/>
  <c r="Q1922" i="11" s="1"/>
  <c r="R1922" i="11"/>
  <c r="Q1912" i="11" a="1"/>
  <c r="Q1912" i="11" s="1"/>
  <c r="R1912" i="11"/>
  <c r="Q1903" i="11" a="1"/>
  <c r="Q1903" i="11" s="1"/>
  <c r="R1903" i="11"/>
  <c r="Q1892" i="11" a="1"/>
  <c r="Q1892" i="11" s="1"/>
  <c r="R1892" i="11"/>
  <c r="Q1883" i="11" a="1"/>
  <c r="Q1883" i="11" s="1"/>
  <c r="R1883" i="11"/>
  <c r="Q1873" i="11" a="1"/>
  <c r="Q1873" i="11" s="1"/>
  <c r="R1873" i="11"/>
  <c r="Q1863" i="11" a="1"/>
  <c r="Q1863" i="11" s="1"/>
  <c r="R1863" i="11"/>
  <c r="Q1853" i="11" a="1"/>
  <c r="Q1853" i="11" s="1"/>
  <c r="R1853" i="11"/>
  <c r="Q1843" i="11" a="1"/>
  <c r="Q1843" i="11" s="1"/>
  <c r="R1843" i="11"/>
  <c r="Q1834" i="11" a="1"/>
  <c r="Q1834" i="11" s="1"/>
  <c r="R1834" i="11"/>
  <c r="Q1824" i="11" a="1"/>
  <c r="Q1824" i="11" s="1"/>
  <c r="R1824" i="11"/>
  <c r="Q1814" i="11" a="1"/>
  <c r="Q1814" i="11" s="1"/>
  <c r="R1814" i="11"/>
  <c r="Q1804" i="11" a="1"/>
  <c r="Q1804" i="11" s="1"/>
  <c r="R1804" i="11"/>
  <c r="Q1794" i="11" a="1"/>
  <c r="Q1794" i="11" s="1"/>
  <c r="R1794" i="11"/>
  <c r="Q1784" i="11" a="1"/>
  <c r="Q1784" i="11" s="1"/>
  <c r="R1784" i="11"/>
  <c r="Q1766" i="11" a="1"/>
  <c r="Q1766" i="11" s="1"/>
  <c r="R1766" i="11"/>
  <c r="Q1756" i="11" a="1"/>
  <c r="Q1756" i="11" s="1"/>
  <c r="R1756" i="11"/>
  <c r="Q1747" i="11" a="1"/>
  <c r="Q1747" i="11" s="1"/>
  <c r="R1747" i="11"/>
  <c r="Q1739" i="11" a="1"/>
  <c r="Q1739" i="11" s="1"/>
  <c r="R1739" i="11"/>
  <c r="Q1731" i="11" a="1"/>
  <c r="Q1731" i="11" s="1"/>
  <c r="R1731" i="11"/>
  <c r="Q1723" i="11" a="1"/>
  <c r="Q1723" i="11" s="1"/>
  <c r="R1723" i="11"/>
  <c r="Q1713" i="11" a="1"/>
  <c r="Q1713" i="11" s="1"/>
  <c r="R1713" i="11"/>
  <c r="Q1703" i="11" a="1"/>
  <c r="Q1703" i="11" s="1"/>
  <c r="R1703" i="11"/>
  <c r="Q1695" i="11" a="1"/>
  <c r="Q1695" i="11" s="1"/>
  <c r="R1695" i="11"/>
  <c r="Q1687" i="11" a="1"/>
  <c r="Q1687" i="11" s="1"/>
  <c r="R1687" i="11"/>
  <c r="Q1678" i="11" a="1"/>
  <c r="Q1678" i="11" s="1"/>
  <c r="R1678" i="11"/>
  <c r="Q1670" i="11" a="1"/>
  <c r="Q1670" i="11" s="1"/>
  <c r="R1670" i="11"/>
  <c r="Q1661" i="11" a="1"/>
  <c r="Q1661" i="11" s="1"/>
  <c r="R1661" i="11"/>
  <c r="Q1653" i="11" a="1"/>
  <c r="Q1653" i="11" s="1"/>
  <c r="R1653" i="11"/>
  <c r="Q1644" i="11" a="1"/>
  <c r="Q1644" i="11" s="1"/>
  <c r="R1644" i="11"/>
  <c r="Q1634" i="11" a="1"/>
  <c r="Q1634" i="11" s="1"/>
  <c r="R1634" i="11"/>
  <c r="Q1626" i="11" a="1"/>
  <c r="Q1626" i="11" s="1"/>
  <c r="R1626" i="11"/>
  <c r="Q1617" i="11" a="1"/>
  <c r="Q1617" i="11" s="1"/>
  <c r="R1617" i="11"/>
  <c r="Q1608" i="11" a="1"/>
  <c r="Q1608" i="11" s="1"/>
  <c r="R1608" i="11"/>
  <c r="Q1599" i="11" a="1"/>
  <c r="Q1599" i="11" s="1"/>
  <c r="R1599" i="11"/>
  <c r="Q1590" i="11" a="1"/>
  <c r="Q1590" i="11" s="1"/>
  <c r="R1590" i="11"/>
  <c r="Q1581" i="11" a="1"/>
  <c r="Q1581" i="11" s="1"/>
  <c r="R1581" i="11"/>
  <c r="Q1572" i="11" a="1"/>
  <c r="Q1572" i="11" s="1"/>
  <c r="R1572" i="11"/>
  <c r="Q1563" i="11" a="1"/>
  <c r="Q1563" i="11" s="1"/>
  <c r="R1563" i="11"/>
  <c r="Q1554" i="11" a="1"/>
  <c r="Q1554" i="11" s="1"/>
  <c r="R1554" i="11"/>
  <c r="Q1545" i="11" a="1"/>
  <c r="Q1545" i="11" s="1"/>
  <c r="R1545" i="11"/>
  <c r="Q1536" i="11" a="1"/>
  <c r="Q1536" i="11" s="1"/>
  <c r="R1536" i="11"/>
  <c r="Q1528" i="11" a="1"/>
  <c r="Q1528" i="11" s="1"/>
  <c r="R1528" i="11"/>
  <c r="Q1519" i="11" a="1"/>
  <c r="Q1519" i="11" s="1"/>
  <c r="R1519" i="11"/>
  <c r="Q1510" i="11" a="1"/>
  <c r="Q1510" i="11" s="1"/>
  <c r="R1510" i="11"/>
  <c r="Q1502" i="11" a="1"/>
  <c r="Q1502" i="11" s="1"/>
  <c r="R1502" i="11"/>
  <c r="Q1493" i="11" a="1"/>
  <c r="Q1493" i="11" s="1"/>
  <c r="R1493" i="11"/>
  <c r="Q1484" i="11" a="1"/>
  <c r="Q1484" i="11" s="1"/>
  <c r="R1484" i="11"/>
  <c r="Q1475" i="11" a="1"/>
  <c r="Q1475" i="11" s="1"/>
  <c r="R1475" i="11"/>
  <c r="Q1466" i="11" a="1"/>
  <c r="Q1466" i="11" s="1"/>
  <c r="R1466" i="11"/>
  <c r="Q1457" i="11" a="1"/>
  <c r="Q1457" i="11" s="1"/>
  <c r="R1457" i="11"/>
  <c r="Q1448" i="11" a="1"/>
  <c r="Q1448" i="11" s="1"/>
  <c r="R1448" i="11"/>
  <c r="Q1439" i="11" a="1"/>
  <c r="Q1439" i="11" s="1"/>
  <c r="R1439" i="11"/>
  <c r="Q1430" i="11" a="1"/>
  <c r="Q1430" i="11" s="1"/>
  <c r="R1430" i="11"/>
  <c r="Q1421" i="11" a="1"/>
  <c r="Q1421" i="11" s="1"/>
  <c r="R1421" i="11"/>
  <c r="Q1412" i="11" a="1"/>
  <c r="Q1412" i="11" s="1"/>
  <c r="R1412" i="11"/>
  <c r="Q1403" i="11" a="1"/>
  <c r="Q1403" i="11" s="1"/>
  <c r="R1403" i="11"/>
  <c r="Q1394" i="11" a="1"/>
  <c r="Q1394" i="11" s="1"/>
  <c r="R1394" i="11"/>
  <c r="Q1386" i="11" a="1"/>
  <c r="Q1386" i="11" s="1"/>
  <c r="R1386" i="11"/>
  <c r="Q1377" i="11" a="1"/>
  <c r="Q1377" i="11" s="1"/>
  <c r="R1377" i="11"/>
  <c r="Q1369" i="11" a="1"/>
  <c r="Q1369" i="11" s="1"/>
  <c r="R1369" i="11"/>
  <c r="Q1361" i="11" a="1"/>
  <c r="Q1361" i="11" s="1"/>
  <c r="R1361" i="11"/>
  <c r="Q1352" i="11" a="1"/>
  <c r="Q1352" i="11" s="1"/>
  <c r="R1352" i="11"/>
  <c r="Q1343" i="11" a="1"/>
  <c r="Q1343" i="11" s="1"/>
  <c r="R1343" i="11"/>
  <c r="Q1334" i="11" a="1"/>
  <c r="Q1334" i="11" s="1"/>
  <c r="R1334" i="11"/>
  <c r="Q1326" i="11" a="1"/>
  <c r="Q1326" i="11" s="1"/>
  <c r="R1326" i="11"/>
  <c r="Q1318" i="11" a="1"/>
  <c r="Q1318" i="11" s="1"/>
  <c r="R1318" i="11"/>
  <c r="Q1309" i="11" a="1"/>
  <c r="Q1309" i="11" s="1"/>
  <c r="R1309" i="11"/>
  <c r="Q1301" i="11" a="1"/>
  <c r="Q1301" i="11" s="1"/>
  <c r="R1301" i="11"/>
  <c r="Q1292" i="11" a="1"/>
  <c r="Q1292" i="11" s="1"/>
  <c r="R1292" i="11"/>
  <c r="Q1283" i="11" a="1"/>
  <c r="Q1283" i="11" s="1"/>
  <c r="R1283" i="11"/>
  <c r="Q1274" i="11" a="1"/>
  <c r="Q1274" i="11" s="1"/>
  <c r="R1274" i="11"/>
  <c r="Q1265" i="11" a="1"/>
  <c r="Q1265" i="11" s="1"/>
  <c r="R1265" i="11"/>
  <c r="Q1256" i="11" a="1"/>
  <c r="Q1256" i="11" s="1"/>
  <c r="R1256" i="11"/>
  <c r="Q1248" i="11" a="1"/>
  <c r="Q1248" i="11" s="1"/>
  <c r="R1248" i="11"/>
  <c r="Q1239" i="11" a="1"/>
  <c r="Q1239" i="11" s="1"/>
  <c r="R1239" i="11"/>
  <c r="Q1230" i="11" a="1"/>
  <c r="Q1230" i="11" s="1"/>
  <c r="R1230" i="11"/>
  <c r="Q1221" i="11" a="1"/>
  <c r="Q1221" i="11" s="1"/>
  <c r="R1221" i="11"/>
  <c r="Q1212" i="11" a="1"/>
  <c r="Q1212" i="11" s="1"/>
  <c r="R1212" i="11"/>
  <c r="Q1203" i="11" a="1"/>
  <c r="Q1203" i="11" s="1"/>
  <c r="R1203" i="11"/>
  <c r="Q1194" i="11" a="1"/>
  <c r="Q1194" i="11" s="1"/>
  <c r="R1194" i="11"/>
  <c r="Q1185" i="11" a="1"/>
  <c r="Q1185" i="11" s="1"/>
  <c r="R1185" i="11"/>
  <c r="Q1176" i="11" a="1"/>
  <c r="Q1176" i="11" s="1"/>
  <c r="R1176" i="11"/>
  <c r="Q1168" i="11" a="1"/>
  <c r="Q1168" i="11" s="1"/>
  <c r="R1168" i="11"/>
  <c r="Q1159" i="11" a="1"/>
  <c r="Q1159" i="11" s="1"/>
  <c r="R1159" i="11"/>
  <c r="Q1150" i="11" a="1"/>
  <c r="Q1150" i="11" s="1"/>
  <c r="R1150" i="11"/>
  <c r="Q1141" i="11" a="1"/>
  <c r="Q1141" i="11" s="1"/>
  <c r="R1141" i="11"/>
  <c r="Q1132" i="11" a="1"/>
  <c r="Q1132" i="11" s="1"/>
  <c r="R1132" i="11"/>
  <c r="Q1123" i="11" a="1"/>
  <c r="Q1123" i="11" s="1"/>
  <c r="R1123" i="11"/>
  <c r="Q1114" i="11" a="1"/>
  <c r="Q1114" i="11" s="1"/>
  <c r="R1114" i="11"/>
  <c r="Q1106" i="11" a="1"/>
  <c r="Q1106" i="11" s="1"/>
  <c r="R1106" i="11"/>
  <c r="Q1098" i="11" a="1"/>
  <c r="Q1098" i="11" s="1"/>
  <c r="R1098" i="11"/>
  <c r="Q1090" i="11" a="1"/>
  <c r="Q1090" i="11" s="1"/>
  <c r="R1090" i="11"/>
  <c r="Q1082" i="11" a="1"/>
  <c r="Q1082" i="11" s="1"/>
  <c r="R1082" i="11"/>
  <c r="Q1074" i="11" a="1"/>
  <c r="Q1074" i="11" s="1"/>
  <c r="R1074" i="11"/>
  <c r="Q1066" i="11" a="1"/>
  <c r="Q1066" i="11" s="1"/>
  <c r="R1066" i="11"/>
  <c r="Q1058" i="11" a="1"/>
  <c r="Q1058" i="11" s="1"/>
  <c r="R1058" i="11"/>
  <c r="Q1049" i="11" a="1"/>
  <c r="Q1049" i="11" s="1"/>
  <c r="R1049" i="11"/>
  <c r="Q1041" i="11" a="1"/>
  <c r="Q1041" i="11" s="1"/>
  <c r="R1041" i="11"/>
  <c r="Q1033" i="11" a="1"/>
  <c r="Q1033" i="11" s="1"/>
  <c r="R1033" i="11"/>
  <c r="Q1025" i="11" a="1"/>
  <c r="Q1025" i="11" s="1"/>
  <c r="R1025" i="11"/>
  <c r="Q1017" i="11" a="1"/>
  <c r="Q1017" i="11" s="1"/>
  <c r="R1017" i="11"/>
  <c r="Q1008" i="11" a="1"/>
  <c r="Q1008" i="11" s="1"/>
  <c r="R1008" i="11"/>
  <c r="Q1000" i="11" a="1"/>
  <c r="Q1000" i="11" s="1"/>
  <c r="R1000" i="11"/>
  <c r="Q991" i="11" a="1"/>
  <c r="Q991" i="11" s="1"/>
  <c r="R991" i="11"/>
  <c r="Q983" i="11" a="1"/>
  <c r="Q983" i="11" s="1"/>
  <c r="R983" i="11"/>
  <c r="Q974" i="11" a="1"/>
  <c r="Q974" i="11" s="1"/>
  <c r="R974" i="11"/>
  <c r="Q965" i="11" a="1"/>
  <c r="Q965" i="11" s="1"/>
  <c r="R965" i="11"/>
  <c r="Q957" i="11" a="1"/>
  <c r="Q957" i="11" s="1"/>
  <c r="R957" i="11"/>
  <c r="Q948" i="11" a="1"/>
  <c r="Q948" i="11" s="1"/>
  <c r="R948" i="11"/>
  <c r="Q939" i="11" a="1"/>
  <c r="Q939" i="11" s="1"/>
  <c r="R939" i="11"/>
  <c r="Q930" i="11" a="1"/>
  <c r="Q930" i="11" s="1"/>
  <c r="R930" i="11"/>
  <c r="Q921" i="11" a="1"/>
  <c r="Q921" i="11" s="1"/>
  <c r="R921" i="11"/>
  <c r="Q913" i="11" a="1"/>
  <c r="Q913" i="11" s="1"/>
  <c r="R913" i="11"/>
  <c r="Q904" i="11" a="1"/>
  <c r="Q904" i="11" s="1"/>
  <c r="R904" i="11"/>
  <c r="Q895" i="11" a="1"/>
  <c r="Q895" i="11" s="1"/>
  <c r="R895" i="11"/>
  <c r="Q886" i="11" a="1"/>
  <c r="Q886" i="11" s="1"/>
  <c r="R886" i="11"/>
  <c r="Q878" i="11" a="1"/>
  <c r="Q878" i="11" s="1"/>
  <c r="R878" i="11"/>
  <c r="Q870" i="11" a="1"/>
  <c r="Q870" i="11" s="1"/>
  <c r="R870" i="11"/>
  <c r="Q862" i="11" a="1"/>
  <c r="Q862" i="11" s="1"/>
  <c r="R862" i="11"/>
  <c r="Q854" i="11" a="1"/>
  <c r="Q854" i="11" s="1"/>
  <c r="R854" i="11"/>
  <c r="Q845" i="11" a="1"/>
  <c r="Q845" i="11" s="1"/>
  <c r="R845" i="11"/>
  <c r="Q837" i="11" a="1"/>
  <c r="Q837" i="11" s="1"/>
  <c r="R837" i="11"/>
  <c r="Q828" i="11" a="1"/>
  <c r="Q828" i="11" s="1"/>
  <c r="R828" i="11"/>
  <c r="Q820" i="11" a="1"/>
  <c r="Q820" i="11" s="1"/>
  <c r="R820" i="11"/>
  <c r="Q811" i="11" a="1"/>
  <c r="Q811" i="11" s="1"/>
  <c r="R811" i="11"/>
  <c r="Q803" i="11" a="1"/>
  <c r="Q803" i="11" s="1"/>
  <c r="R803" i="11"/>
  <c r="Q794" i="11" a="1"/>
  <c r="Q794" i="11" s="1"/>
  <c r="R794" i="11"/>
  <c r="Q785" i="11" a="1"/>
  <c r="Q785" i="11" s="1"/>
  <c r="R785" i="11"/>
  <c r="Q777" i="11" a="1"/>
  <c r="Q777" i="11" s="1"/>
  <c r="R777" i="11"/>
  <c r="Q769" i="11" a="1"/>
  <c r="Q769" i="11" s="1"/>
  <c r="R769" i="11"/>
  <c r="Q761" i="11" a="1"/>
  <c r="Q761" i="11" s="1"/>
  <c r="R761" i="11"/>
  <c r="Q753" i="11" a="1"/>
  <c r="Q753" i="11" s="1"/>
  <c r="R753" i="11"/>
  <c r="Q745" i="11" a="1"/>
  <c r="Q745" i="11" s="1"/>
  <c r="R745" i="11"/>
  <c r="Q736" i="11" a="1"/>
  <c r="Q736" i="11" s="1"/>
  <c r="R736" i="11"/>
  <c r="Q727" i="11" a="1"/>
  <c r="Q727" i="11" s="1"/>
  <c r="R727" i="11"/>
  <c r="Q719" i="11" a="1"/>
  <c r="Q719" i="11" s="1"/>
  <c r="R719" i="11"/>
  <c r="Q710" i="11" a="1"/>
  <c r="Q710" i="11" s="1"/>
  <c r="R710" i="11"/>
  <c r="Q701" i="11" a="1"/>
  <c r="Q701" i="11" s="1"/>
  <c r="R701" i="11"/>
  <c r="Q693" i="11" a="1"/>
  <c r="Q693" i="11" s="1"/>
  <c r="R693" i="11"/>
  <c r="Q684" i="11" a="1"/>
  <c r="Q684" i="11" s="1"/>
  <c r="R684" i="11"/>
  <c r="Q675" i="11" a="1"/>
  <c r="Q675" i="11" s="1"/>
  <c r="R675" i="11"/>
  <c r="Q666" i="11" a="1"/>
  <c r="Q666" i="11" s="1"/>
  <c r="R666" i="11"/>
  <c r="Q658" i="11" a="1"/>
  <c r="Q658" i="11" s="1"/>
  <c r="R658" i="11"/>
  <c r="Q650" i="11" a="1"/>
  <c r="Q650" i="11" s="1"/>
  <c r="R650" i="11"/>
  <c r="Q642" i="11" a="1"/>
  <c r="Q642" i="11" s="1"/>
  <c r="R642" i="11"/>
  <c r="Q634" i="11" a="1"/>
  <c r="Q634" i="11" s="1"/>
  <c r="R634" i="11"/>
  <c r="Q626" i="11" a="1"/>
  <c r="Q626" i="11" s="1"/>
  <c r="R626" i="11"/>
  <c r="Q617" i="11" a="1"/>
  <c r="Q617" i="11" s="1"/>
  <c r="R617" i="11"/>
  <c r="Q608" i="11" a="1"/>
  <c r="Q608" i="11" s="1"/>
  <c r="R608" i="11"/>
  <c r="Q600" i="11" a="1"/>
  <c r="Q600" i="11" s="1"/>
  <c r="R600" i="11"/>
  <c r="Q591" i="11" a="1"/>
  <c r="Q591" i="11" s="1"/>
  <c r="R591" i="11"/>
  <c r="Q583" i="11" a="1"/>
  <c r="Q583" i="11" s="1"/>
  <c r="R583" i="11"/>
  <c r="Q575" i="11" a="1"/>
  <c r="Q575" i="11" s="1"/>
  <c r="R575" i="11"/>
  <c r="Q566" i="11" a="1"/>
  <c r="Q566" i="11" s="1"/>
  <c r="R566" i="11"/>
  <c r="Q557" i="11" a="1"/>
  <c r="Q557" i="11" s="1"/>
  <c r="R557" i="11"/>
  <c r="Q549" i="11" a="1"/>
  <c r="Q549" i="11" s="1"/>
  <c r="R549" i="11"/>
  <c r="Q540" i="11" a="1"/>
  <c r="Q540" i="11" s="1"/>
  <c r="R540" i="11"/>
  <c r="Q531" i="11" a="1"/>
  <c r="Q531" i="11" s="1"/>
  <c r="R531" i="11"/>
  <c r="Q523" i="11" a="1"/>
  <c r="Q523" i="11" s="1"/>
  <c r="R523" i="11"/>
  <c r="Q514" i="11" a="1"/>
  <c r="Q514" i="11" s="1"/>
  <c r="R514" i="11"/>
  <c r="Q505" i="11" a="1"/>
  <c r="Q505" i="11" s="1"/>
  <c r="R505" i="11"/>
  <c r="Q497" i="11" a="1"/>
  <c r="Q497" i="11" s="1"/>
  <c r="R497" i="11"/>
  <c r="Q488" i="11" a="1"/>
  <c r="Q488" i="11" s="1"/>
  <c r="R488" i="11"/>
  <c r="Q479" i="11" a="1"/>
  <c r="Q479" i="11" s="1"/>
  <c r="R479" i="11"/>
  <c r="Q471" i="11" a="1"/>
  <c r="Q471" i="11" s="1"/>
  <c r="R471" i="11"/>
  <c r="Q462" i="11" a="1"/>
  <c r="Q462" i="11" s="1"/>
  <c r="R462" i="11"/>
  <c r="Q453" i="11" a="1"/>
  <c r="Q453" i="11" s="1"/>
  <c r="R453" i="11"/>
  <c r="Q445" i="11" a="1"/>
  <c r="Q445" i="11" s="1"/>
  <c r="R445" i="11"/>
  <c r="Q437" i="11" a="1"/>
  <c r="Q437" i="11" s="1"/>
  <c r="R437" i="11"/>
  <c r="Q429" i="11" a="1"/>
  <c r="Q429" i="11" s="1"/>
  <c r="R429" i="11"/>
  <c r="Q421" i="11" a="1"/>
  <c r="Q421" i="11" s="1"/>
  <c r="R421" i="11"/>
  <c r="Q413" i="11" a="1"/>
  <c r="Q413" i="11" s="1"/>
  <c r="R413" i="11"/>
  <c r="Q405" i="11" a="1"/>
  <c r="Q405" i="11" s="1"/>
  <c r="R405" i="11"/>
  <c r="Q396" i="11" a="1"/>
  <c r="Q396" i="11" s="1"/>
  <c r="R396" i="11"/>
  <c r="Q388" i="11" a="1"/>
  <c r="Q388" i="11" s="1"/>
  <c r="R388" i="11"/>
  <c r="Q379" i="11" a="1"/>
  <c r="Q379" i="11" s="1"/>
  <c r="R379" i="11"/>
  <c r="Q371" i="11" a="1"/>
  <c r="Q371" i="11" s="1"/>
  <c r="R371" i="11"/>
  <c r="Q362" i="11" a="1"/>
  <c r="Q362" i="11" s="1"/>
  <c r="R362" i="11"/>
  <c r="Q353" i="11" a="1"/>
  <c r="Q353" i="11" s="1"/>
  <c r="R353" i="11"/>
  <c r="Q345" i="11" a="1"/>
  <c r="Q345" i="11" s="1"/>
  <c r="R345" i="11"/>
  <c r="Q336" i="11" a="1"/>
  <c r="Q336" i="11" s="1"/>
  <c r="R336" i="11"/>
  <c r="Q328" i="11" a="1"/>
  <c r="Q328" i="11" s="1"/>
  <c r="R328" i="11"/>
  <c r="Q319" i="11" a="1"/>
  <c r="Q319" i="11" s="1"/>
  <c r="R319" i="11"/>
  <c r="Q311" i="11" a="1"/>
  <c r="Q311" i="11" s="1"/>
  <c r="R311" i="11"/>
  <c r="Q303" i="11" a="1"/>
  <c r="Q303" i="11" s="1"/>
  <c r="R303" i="11"/>
  <c r="Q295" i="11" a="1"/>
  <c r="Q295" i="11" s="1"/>
  <c r="R295" i="11"/>
  <c r="Q287" i="11" a="1"/>
  <c r="Q287" i="11" s="1"/>
  <c r="R287" i="11"/>
  <c r="Q278" i="11" a="1"/>
  <c r="Q278" i="11" s="1"/>
  <c r="R278" i="11"/>
  <c r="Q269" i="11" a="1"/>
  <c r="Q269" i="11" s="1"/>
  <c r="R269" i="11"/>
  <c r="Q261" i="11" a="1"/>
  <c r="Q261" i="11" s="1"/>
  <c r="R261" i="11"/>
  <c r="Q252" i="11" a="1"/>
  <c r="Q252" i="11" s="1"/>
  <c r="R252" i="11"/>
  <c r="Q244" i="11" a="1"/>
  <c r="Q244" i="11" s="1"/>
  <c r="R244" i="11"/>
  <c r="Q235" i="11" a="1"/>
  <c r="Q235" i="11" s="1"/>
  <c r="R235" i="11"/>
  <c r="Q227" i="11" a="1"/>
  <c r="Q227" i="11" s="1"/>
  <c r="R227" i="11"/>
  <c r="Q218" i="11" a="1"/>
  <c r="Q218" i="11" s="1"/>
  <c r="R218" i="11"/>
  <c r="Q210" i="11" a="1"/>
  <c r="Q210" i="11" s="1"/>
  <c r="R210" i="11"/>
  <c r="Q202" i="11" a="1"/>
  <c r="Q202" i="11" s="1"/>
  <c r="R202" i="11"/>
  <c r="Q194" i="11" a="1"/>
  <c r="Q194" i="11" s="1"/>
  <c r="R194" i="11"/>
  <c r="Q186" i="11" a="1"/>
  <c r="Q186" i="11" s="1"/>
  <c r="R186" i="11"/>
  <c r="Q177" i="11" a="1"/>
  <c r="Q177" i="11" s="1"/>
  <c r="R177" i="11"/>
  <c r="Q169" i="11" a="1"/>
  <c r="Q169" i="11" s="1"/>
  <c r="R169" i="11"/>
  <c r="Q160" i="11" a="1"/>
  <c r="Q160" i="11" s="1"/>
  <c r="R160" i="11"/>
  <c r="Q152" i="11" a="1"/>
  <c r="Q152" i="11" s="1"/>
  <c r="R152" i="11"/>
  <c r="Q144" i="11" a="1"/>
  <c r="Q144" i="11" s="1"/>
  <c r="R144" i="11"/>
  <c r="Q135" i="11" a="1"/>
  <c r="Q135" i="11" s="1"/>
  <c r="R135" i="11"/>
  <c r="Q127" i="11" a="1"/>
  <c r="Q127" i="11" s="1"/>
  <c r="R127" i="11"/>
  <c r="Q118" i="11" a="1"/>
  <c r="Q118" i="11" s="1"/>
  <c r="R118" i="11"/>
  <c r="Q110" i="11" a="1"/>
  <c r="Q110" i="11" s="1"/>
  <c r="R110" i="11"/>
  <c r="Q101" i="11" a="1"/>
  <c r="Q101" i="11" s="1"/>
  <c r="R101" i="11"/>
  <c r="Q93" i="11" a="1"/>
  <c r="Q93" i="11" s="1"/>
  <c r="R93" i="11"/>
  <c r="Q85" i="11" a="1"/>
  <c r="Q85" i="11" s="1"/>
  <c r="R85" i="11"/>
  <c r="Q77" i="11" a="1"/>
  <c r="Q77" i="11" s="1"/>
  <c r="R77" i="11"/>
  <c r="Q68" i="11" a="1"/>
  <c r="Q68" i="11" s="1"/>
  <c r="R68" i="11"/>
  <c r="Q60" i="11" a="1"/>
  <c r="Q60" i="11" s="1"/>
  <c r="R60" i="11"/>
  <c r="Q52" i="11" a="1"/>
  <c r="Q52" i="11" s="1"/>
  <c r="R52" i="11"/>
  <c r="Q44" i="11" a="1"/>
  <c r="Q44" i="11" s="1"/>
  <c r="R44" i="11"/>
  <c r="Q36" i="11" a="1"/>
  <c r="Q36" i="11" s="1"/>
  <c r="R36" i="11"/>
  <c r="Q28" i="11" a="1"/>
  <c r="Q28" i="11" s="1"/>
  <c r="R28" i="11"/>
  <c r="Q20" i="11" a="1"/>
  <c r="Q20" i="11" s="1"/>
  <c r="R20" i="11"/>
  <c r="Q12" i="11" a="1"/>
  <c r="Q12" i="11" s="1"/>
  <c r="R12" i="11"/>
  <c r="Q4" i="11" a="1"/>
  <c r="Q4" i="11" s="1"/>
  <c r="R4" i="11"/>
  <c r="Q2176" i="11" a="1"/>
  <c r="Q2176" i="11" s="1"/>
  <c r="R2176" i="11" s="1"/>
  <c r="Q2056" i="11" a="1"/>
  <c r="Q2056" i="11" s="1"/>
  <c r="R2056" i="11" s="1"/>
  <c r="Q2081" i="11" a="1"/>
  <c r="Q2081" i="11" s="1"/>
  <c r="R2081" i="11"/>
  <c r="Q1972" i="11" a="1"/>
  <c r="Q1972" i="11" s="1"/>
  <c r="R1972" i="11"/>
  <c r="Q2206" i="11" a="1"/>
  <c r="Q2206" i="11" s="1"/>
  <c r="R2206" i="11" s="1"/>
  <c r="Q2215" i="11" a="1"/>
  <c r="Q2215" i="11" s="1"/>
  <c r="R2215" i="11" s="1"/>
  <c r="Q2078" i="11" a="1"/>
  <c r="Q2078" i="11" s="1"/>
  <c r="R2078" i="11" s="1"/>
  <c r="P1862" i="11"/>
  <c r="Q2109" i="11" a="1"/>
  <c r="Q2109" i="11" s="1"/>
  <c r="R2109" i="11"/>
  <c r="Q2061" i="11" a="1"/>
  <c r="Q2061" i="11" s="1"/>
  <c r="R2061" i="11"/>
  <c r="Q2036" i="11" a="1"/>
  <c r="Q2036" i="11" s="1"/>
  <c r="R2036" i="11"/>
  <c r="Q2014" i="11" a="1"/>
  <c r="Q2014" i="11" s="1"/>
  <c r="R2014" i="11"/>
  <c r="Q1992" i="11" a="1"/>
  <c r="Q1992" i="11" s="1"/>
  <c r="R1992" i="11"/>
  <c r="Q1980" i="11" a="1"/>
  <c r="Q1980" i="11" s="1"/>
  <c r="R1980" i="11"/>
  <c r="Q1969" i="11" a="1"/>
  <c r="Q1969" i="11" s="1"/>
  <c r="R1969" i="11"/>
  <c r="Q1958" i="11" a="1"/>
  <c r="Q1958" i="11" s="1"/>
  <c r="R1958" i="11"/>
  <c r="Q1941" i="11" a="1"/>
  <c r="Q1941" i="11" s="1"/>
  <c r="R1941" i="11"/>
  <c r="Q1931" i="11" a="1"/>
  <c r="Q1931" i="11" s="1"/>
  <c r="R1931" i="11"/>
  <c r="Q1921" i="11" a="1"/>
  <c r="Q1921" i="11" s="1"/>
  <c r="R1921" i="11"/>
  <c r="Q1911" i="11" a="1"/>
  <c r="Q1911" i="11" s="1"/>
  <c r="R1911" i="11"/>
  <c r="Q1901" i="11" a="1"/>
  <c r="Q1901" i="11" s="1"/>
  <c r="R1901" i="11"/>
  <c r="Q1891" i="11" a="1"/>
  <c r="Q1891" i="11" s="1"/>
  <c r="R1891" i="11"/>
  <c r="Q1881" i="11" a="1"/>
  <c r="Q1881" i="11" s="1"/>
  <c r="R1881" i="11"/>
  <c r="Q1871" i="11" a="1"/>
  <c r="Q1871" i="11" s="1"/>
  <c r="R1871" i="11"/>
  <c r="Q1861" i="11" a="1"/>
  <c r="Q1861" i="11" s="1"/>
  <c r="R1861" i="11"/>
  <c r="Q1851" i="11" a="1"/>
  <c r="Q1851" i="11" s="1"/>
  <c r="R1851" i="11"/>
  <c r="Q1842" i="11" a="1"/>
  <c r="Q1842" i="11" s="1"/>
  <c r="R1842" i="11"/>
  <c r="Q1833" i="11" a="1"/>
  <c r="Q1833" i="11" s="1"/>
  <c r="R1833" i="11"/>
  <c r="Q1823" i="11" a="1"/>
  <c r="Q1823" i="11" s="1"/>
  <c r="R1823" i="11"/>
  <c r="Q1813" i="11" a="1"/>
  <c r="Q1813" i="11" s="1"/>
  <c r="R1813" i="11"/>
  <c r="Q1803" i="11" a="1"/>
  <c r="Q1803" i="11" s="1"/>
  <c r="R1803" i="11"/>
  <c r="Q1793" i="11" a="1"/>
  <c r="Q1793" i="11" s="1"/>
  <c r="R1793" i="11"/>
  <c r="Q1783" i="11" a="1"/>
  <c r="Q1783" i="11" s="1"/>
  <c r="R1783" i="11"/>
  <c r="Q1774" i="11" a="1"/>
  <c r="Q1774" i="11" s="1"/>
  <c r="R1774" i="11"/>
  <c r="Q1764" i="11" a="1"/>
  <c r="Q1764" i="11" s="1"/>
  <c r="R1764" i="11"/>
  <c r="Q1754" i="11" a="1"/>
  <c r="Q1754" i="11" s="1"/>
  <c r="R1754" i="11"/>
  <c r="Q1746" i="11" a="1"/>
  <c r="Q1746" i="11" s="1"/>
  <c r="R1746" i="11"/>
  <c r="Q1738" i="11" a="1"/>
  <c r="Q1738" i="11" s="1"/>
  <c r="R1738" i="11"/>
  <c r="Q1730" i="11" a="1"/>
  <c r="Q1730" i="11" s="1"/>
  <c r="R1730" i="11"/>
  <c r="Q1721" i="11" a="1"/>
  <c r="Q1721" i="11" s="1"/>
  <c r="R1721" i="11"/>
  <c r="Q1712" i="11" a="1"/>
  <c r="Q1712" i="11" s="1"/>
  <c r="R1712" i="11"/>
  <c r="Q1702" i="11" a="1"/>
  <c r="Q1702" i="11" s="1"/>
  <c r="R1702" i="11"/>
  <c r="Q1694" i="11" a="1"/>
  <c r="Q1694" i="11" s="1"/>
  <c r="R1694" i="11"/>
  <c r="Q1686" i="11" a="1"/>
  <c r="Q1686" i="11" s="1"/>
  <c r="R1686" i="11"/>
  <c r="Q1677" i="11" a="1"/>
  <c r="Q1677" i="11" s="1"/>
  <c r="R1677" i="11"/>
  <c r="Q1669" i="11" a="1"/>
  <c r="Q1669" i="11" s="1"/>
  <c r="R1669" i="11"/>
  <c r="Q1660" i="11" a="1"/>
  <c r="Q1660" i="11" s="1"/>
  <c r="R1660" i="11"/>
  <c r="Q1652" i="11" a="1"/>
  <c r="Q1652" i="11" s="1"/>
  <c r="R1652" i="11"/>
  <c r="Q1643" i="11" a="1"/>
  <c r="Q1643" i="11" s="1"/>
  <c r="R1643" i="11"/>
  <c r="Q1633" i="11" a="1"/>
  <c r="Q1633" i="11" s="1"/>
  <c r="R1633" i="11"/>
  <c r="Q1625" i="11" a="1"/>
  <c r="Q1625" i="11" s="1"/>
  <c r="R1625" i="11"/>
  <c r="Q1616" i="11" a="1"/>
  <c r="Q1616" i="11" s="1"/>
  <c r="R1616" i="11"/>
  <c r="Q1607" i="11" a="1"/>
  <c r="Q1607" i="11" s="1"/>
  <c r="R1607" i="11"/>
  <c r="Q1598" i="11" a="1"/>
  <c r="Q1598" i="11" s="1"/>
  <c r="R1598" i="11"/>
  <c r="Q1589" i="11" a="1"/>
  <c r="Q1589" i="11" s="1"/>
  <c r="R1589" i="11"/>
  <c r="Q1580" i="11" a="1"/>
  <c r="Q1580" i="11" s="1"/>
  <c r="R1580" i="11"/>
  <c r="Q1571" i="11" a="1"/>
  <c r="Q1571" i="11" s="1"/>
  <c r="R1571" i="11"/>
  <c r="Q1562" i="11" a="1"/>
  <c r="Q1562" i="11" s="1"/>
  <c r="R1562" i="11"/>
  <c r="Q1553" i="11" a="1"/>
  <c r="Q1553" i="11" s="1"/>
  <c r="R1553" i="11"/>
  <c r="Q1544" i="11" a="1"/>
  <c r="Q1544" i="11" s="1"/>
  <c r="R1544" i="11"/>
  <c r="Q1535" i="11" a="1"/>
  <c r="Q1535" i="11" s="1"/>
  <c r="R1535" i="11"/>
  <c r="Q1527" i="11" a="1"/>
  <c r="Q1527" i="11" s="1"/>
  <c r="R1527" i="11"/>
  <c r="Q1518" i="11" a="1"/>
  <c r="Q1518" i="11" s="1"/>
  <c r="R1518" i="11"/>
  <c r="Q1509" i="11" a="1"/>
  <c r="Q1509" i="11" s="1"/>
  <c r="R1509" i="11"/>
  <c r="Q1501" i="11" a="1"/>
  <c r="Q1501" i="11" s="1"/>
  <c r="R1501" i="11"/>
  <c r="Q1492" i="11" a="1"/>
  <c r="Q1492" i="11" s="1"/>
  <c r="R1492" i="11"/>
  <c r="Q1483" i="11" a="1"/>
  <c r="Q1483" i="11" s="1"/>
  <c r="R1483" i="11"/>
  <c r="Q1474" i="11" a="1"/>
  <c r="Q1474" i="11" s="1"/>
  <c r="R1474" i="11"/>
  <c r="Q1465" i="11" a="1"/>
  <c r="Q1465" i="11" s="1"/>
  <c r="R1465" i="11"/>
  <c r="Q1456" i="11" a="1"/>
  <c r="Q1456" i="11" s="1"/>
  <c r="R1456" i="11"/>
  <c r="Q1447" i="11" a="1"/>
  <c r="Q1447" i="11" s="1"/>
  <c r="R1447" i="11"/>
  <c r="Q1438" i="11" a="1"/>
  <c r="Q1438" i="11" s="1"/>
  <c r="R1438" i="11"/>
  <c r="Q1429" i="11" a="1"/>
  <c r="Q1429" i="11" s="1"/>
  <c r="R1429" i="11"/>
  <c r="Q1420" i="11" a="1"/>
  <c r="Q1420" i="11" s="1"/>
  <c r="R1420" i="11"/>
  <c r="Q1411" i="11" a="1"/>
  <c r="Q1411" i="11" s="1"/>
  <c r="R1411" i="11"/>
  <c r="Q1402" i="11" a="1"/>
  <c r="Q1402" i="11" s="1"/>
  <c r="R1402" i="11"/>
  <c r="Q1393" i="11" a="1"/>
  <c r="Q1393" i="11" s="1"/>
  <c r="R1393" i="11"/>
  <c r="Q1385" i="11" a="1"/>
  <c r="Q1385" i="11" s="1"/>
  <c r="R1385" i="11"/>
  <c r="Q1376" i="11" a="1"/>
  <c r="Q1376" i="11" s="1"/>
  <c r="R1376" i="11"/>
  <c r="Q1368" i="11" a="1"/>
  <c r="Q1368" i="11" s="1"/>
  <c r="R1368" i="11"/>
  <c r="Q1360" i="11" a="1"/>
  <c r="Q1360" i="11" s="1"/>
  <c r="R1360" i="11"/>
  <c r="Q1351" i="11" a="1"/>
  <c r="Q1351" i="11" s="1"/>
  <c r="R1351" i="11"/>
  <c r="Q1342" i="11" a="1"/>
  <c r="Q1342" i="11" s="1"/>
  <c r="R1342" i="11"/>
  <c r="Q1333" i="11" a="1"/>
  <c r="Q1333" i="11" s="1"/>
  <c r="R1333" i="11"/>
  <c r="Q1325" i="11" a="1"/>
  <c r="Q1325" i="11" s="1"/>
  <c r="R1325" i="11"/>
  <c r="Q1316" i="11" a="1"/>
  <c r="Q1316" i="11" s="1"/>
  <c r="R1316" i="11"/>
  <c r="Q1308" i="11" a="1"/>
  <c r="Q1308" i="11" s="1"/>
  <c r="R1308" i="11"/>
  <c r="Q1299" i="11" a="1"/>
  <c r="Q1299" i="11" s="1"/>
  <c r="R1299" i="11"/>
  <c r="Q1291" i="11" a="1"/>
  <c r="Q1291" i="11" s="1"/>
  <c r="R1291" i="11"/>
  <c r="Q1282" i="11" a="1"/>
  <c r="Q1282" i="11" s="1"/>
  <c r="R1282" i="11"/>
  <c r="Q1273" i="11" a="1"/>
  <c r="Q1273" i="11" s="1"/>
  <c r="R1273" i="11"/>
  <c r="Q1264" i="11" a="1"/>
  <c r="Q1264" i="11" s="1"/>
  <c r="R1264" i="11"/>
  <c r="Q1255" i="11" a="1"/>
  <c r="Q1255" i="11" s="1"/>
  <c r="R1255" i="11"/>
  <c r="Q1246" i="11" a="1"/>
  <c r="Q1246" i="11" s="1"/>
  <c r="R1246" i="11"/>
  <c r="Q1238" i="11" a="1"/>
  <c r="Q1238" i="11" s="1"/>
  <c r="R1238" i="11"/>
  <c r="Q1229" i="11" a="1"/>
  <c r="Q1229" i="11" s="1"/>
  <c r="R1229" i="11"/>
  <c r="Q1220" i="11" a="1"/>
  <c r="Q1220" i="11" s="1"/>
  <c r="R1220" i="11"/>
  <c r="Q1211" i="11" a="1"/>
  <c r="Q1211" i="11" s="1"/>
  <c r="R1211" i="11"/>
  <c r="Q1202" i="11" a="1"/>
  <c r="Q1202" i="11" s="1"/>
  <c r="R1202" i="11"/>
  <c r="Q1193" i="11" a="1"/>
  <c r="Q1193" i="11" s="1"/>
  <c r="R1193" i="11"/>
  <c r="Q1184" i="11" a="1"/>
  <c r="Q1184" i="11" s="1"/>
  <c r="R1184" i="11"/>
  <c r="Q1175" i="11" a="1"/>
  <c r="Q1175" i="11" s="1"/>
  <c r="R1175" i="11"/>
  <c r="Q1166" i="11" a="1"/>
  <c r="Q1166" i="11" s="1"/>
  <c r="R1166" i="11"/>
  <c r="Q1158" i="11" a="1"/>
  <c r="Q1158" i="11" s="1"/>
  <c r="R1158" i="11"/>
  <c r="Q1149" i="11" a="1"/>
  <c r="Q1149" i="11" s="1"/>
  <c r="R1149" i="11"/>
  <c r="Q1140" i="11" a="1"/>
  <c r="Q1140" i="11" s="1"/>
  <c r="R1140" i="11"/>
  <c r="Q1131" i="11" a="1"/>
  <c r="Q1131" i="11" s="1"/>
  <c r="R1131" i="11"/>
  <c r="Q1122" i="11" a="1"/>
  <c r="Q1122" i="11" s="1"/>
  <c r="R1122" i="11"/>
  <c r="Q1113" i="11" a="1"/>
  <c r="Q1113" i="11" s="1"/>
  <c r="R1113" i="11"/>
  <c r="Q1105" i="11" a="1"/>
  <c r="Q1105" i="11" s="1"/>
  <c r="R1105" i="11"/>
  <c r="Q1097" i="11" a="1"/>
  <c r="Q1097" i="11" s="1"/>
  <c r="R1097" i="11"/>
  <c r="Q1089" i="11" a="1"/>
  <c r="Q1089" i="11" s="1"/>
  <c r="R1089" i="11"/>
  <c r="Q1081" i="11" a="1"/>
  <c r="Q1081" i="11" s="1"/>
  <c r="R1081" i="11"/>
  <c r="Q1073" i="11" a="1"/>
  <c r="Q1073" i="11" s="1"/>
  <c r="R1073" i="11"/>
  <c r="Q1065" i="11" a="1"/>
  <c r="Q1065" i="11" s="1"/>
  <c r="R1065" i="11"/>
  <c r="Q1057" i="11" a="1"/>
  <c r="Q1057" i="11" s="1"/>
  <c r="R1057" i="11"/>
  <c r="Q1048" i="11" a="1"/>
  <c r="Q1048" i="11" s="1"/>
  <c r="R1048" i="11"/>
  <c r="Q1040" i="11" a="1"/>
  <c r="Q1040" i="11" s="1"/>
  <c r="R1040" i="11"/>
  <c r="Q1032" i="11" a="1"/>
  <c r="Q1032" i="11" s="1"/>
  <c r="R1032" i="11"/>
  <c r="Q1024" i="11" a="1"/>
  <c r="Q1024" i="11" s="1"/>
  <c r="R1024" i="11"/>
  <c r="Q1016" i="11" a="1"/>
  <c r="Q1016" i="11" s="1"/>
  <c r="R1016" i="11"/>
  <c r="Q1007" i="11" a="1"/>
  <c r="Q1007" i="11" s="1"/>
  <c r="R1007" i="11"/>
  <c r="Q999" i="11" a="1"/>
  <c r="Q999" i="11" s="1"/>
  <c r="R999" i="11"/>
  <c r="Q990" i="11" a="1"/>
  <c r="Q990" i="11" s="1"/>
  <c r="R990" i="11"/>
  <c r="Q982" i="11" a="1"/>
  <c r="Q982" i="11" s="1"/>
  <c r="R982" i="11"/>
  <c r="Q973" i="11" a="1"/>
  <c r="Q973" i="11" s="1"/>
  <c r="R973" i="11"/>
  <c r="Q964" i="11" a="1"/>
  <c r="Q964" i="11" s="1"/>
  <c r="R964" i="11"/>
  <c r="Q956" i="11" a="1"/>
  <c r="Q956" i="11" s="1"/>
  <c r="R956" i="11"/>
  <c r="Q947" i="11" a="1"/>
  <c r="Q947" i="11" s="1"/>
  <c r="R947" i="11"/>
  <c r="Q938" i="11" a="1"/>
  <c r="Q938" i="11" s="1"/>
  <c r="R938" i="11"/>
  <c r="Q929" i="11" a="1"/>
  <c r="Q929" i="11" s="1"/>
  <c r="R929" i="11"/>
  <c r="Q920" i="11" a="1"/>
  <c r="Q920" i="11" s="1"/>
  <c r="R920" i="11"/>
  <c r="Q912" i="11" a="1"/>
  <c r="Q912" i="11" s="1"/>
  <c r="R912" i="11"/>
  <c r="Q903" i="11" a="1"/>
  <c r="Q903" i="11" s="1"/>
  <c r="R903" i="11"/>
  <c r="Q894" i="11" a="1"/>
  <c r="Q894" i="11" s="1"/>
  <c r="R894" i="11"/>
  <c r="Q885" i="11" a="1"/>
  <c r="Q885" i="11" s="1"/>
  <c r="R885" i="11"/>
  <c r="Q877" i="11" a="1"/>
  <c r="Q877" i="11" s="1"/>
  <c r="R877" i="11"/>
  <c r="Q869" i="11" a="1"/>
  <c r="Q869" i="11" s="1"/>
  <c r="R869" i="11"/>
  <c r="Q861" i="11" a="1"/>
  <c r="Q861" i="11" s="1"/>
  <c r="R861" i="11"/>
  <c r="Q853" i="11" a="1"/>
  <c r="Q853" i="11" s="1"/>
  <c r="R853" i="11"/>
  <c r="Q844" i="11" a="1"/>
  <c r="Q844" i="11" s="1"/>
  <c r="R844" i="11"/>
  <c r="Q836" i="11" a="1"/>
  <c r="Q836" i="11" s="1"/>
  <c r="R836" i="11"/>
  <c r="Q827" i="11" a="1"/>
  <c r="Q827" i="11" s="1"/>
  <c r="R827" i="11"/>
  <c r="Q819" i="11" a="1"/>
  <c r="Q819" i="11" s="1"/>
  <c r="R819" i="11"/>
  <c r="Q810" i="11" a="1"/>
  <c r="Q810" i="11" s="1"/>
  <c r="R810" i="11"/>
  <c r="Q801" i="11" a="1"/>
  <c r="Q801" i="11" s="1"/>
  <c r="R801" i="11"/>
  <c r="Q793" i="11" a="1"/>
  <c r="Q793" i="11" s="1"/>
  <c r="R793" i="11"/>
  <c r="Q784" i="11" a="1"/>
  <c r="Q784" i="11" s="1"/>
  <c r="R784" i="11"/>
  <c r="Q776" i="11" a="1"/>
  <c r="Q776" i="11" s="1"/>
  <c r="R776" i="11"/>
  <c r="Q768" i="11" a="1"/>
  <c r="Q768" i="11" s="1"/>
  <c r="R768" i="11"/>
  <c r="Q760" i="11" a="1"/>
  <c r="Q760" i="11" s="1"/>
  <c r="R760" i="11"/>
  <c r="Q752" i="11" a="1"/>
  <c r="Q752" i="11" s="1"/>
  <c r="R752" i="11"/>
  <c r="Q744" i="11" a="1"/>
  <c r="Q744" i="11" s="1"/>
  <c r="R744" i="11"/>
  <c r="Q735" i="11" a="1"/>
  <c r="Q735" i="11" s="1"/>
  <c r="R735" i="11"/>
  <c r="Q726" i="11" a="1"/>
  <c r="Q726" i="11" s="1"/>
  <c r="R726" i="11"/>
  <c r="Q718" i="11" a="1"/>
  <c r="Q718" i="11" s="1"/>
  <c r="R718" i="11"/>
  <c r="Q709" i="11" a="1"/>
  <c r="Q709" i="11" s="1"/>
  <c r="R709" i="11"/>
  <c r="Q700" i="11" a="1"/>
  <c r="Q700" i="11" s="1"/>
  <c r="R700" i="11"/>
  <c r="Q691" i="11" a="1"/>
  <c r="Q691" i="11" s="1"/>
  <c r="R691" i="11"/>
  <c r="Q683" i="11" a="1"/>
  <c r="Q683" i="11" s="1"/>
  <c r="R683" i="11"/>
  <c r="Q674" i="11" a="1"/>
  <c r="Q674" i="11" s="1"/>
  <c r="R674" i="11"/>
  <c r="Q665" i="11" a="1"/>
  <c r="Q665" i="11" s="1"/>
  <c r="R665" i="11"/>
  <c r="Q657" i="11" a="1"/>
  <c r="Q657" i="11" s="1"/>
  <c r="R657" i="11"/>
  <c r="Q649" i="11" a="1"/>
  <c r="Q649" i="11" s="1"/>
  <c r="R649" i="11"/>
  <c r="Q641" i="11" a="1"/>
  <c r="Q641" i="11" s="1"/>
  <c r="R641" i="11"/>
  <c r="Q633" i="11" a="1"/>
  <c r="Q633" i="11" s="1"/>
  <c r="R633" i="11"/>
  <c r="Q625" i="11" a="1"/>
  <c r="Q625" i="11" s="1"/>
  <c r="R625" i="11"/>
  <c r="Q616" i="11" a="1"/>
  <c r="Q616" i="11" s="1"/>
  <c r="R616" i="11"/>
  <c r="Q607" i="11" a="1"/>
  <c r="Q607" i="11" s="1"/>
  <c r="R607" i="11"/>
  <c r="Q599" i="11" a="1"/>
  <c r="Q599" i="11" s="1"/>
  <c r="R599" i="11"/>
  <c r="Q590" i="11" a="1"/>
  <c r="Q590" i="11" s="1"/>
  <c r="R590" i="11"/>
  <c r="Q582" i="11" a="1"/>
  <c r="Q582" i="11" s="1"/>
  <c r="R582" i="11"/>
  <c r="Q573" i="11" a="1"/>
  <c r="Q573" i="11" s="1"/>
  <c r="R573" i="11"/>
  <c r="Q565" i="11" a="1"/>
  <c r="Q565" i="11" s="1"/>
  <c r="R565" i="11"/>
  <c r="Q556" i="11" a="1"/>
  <c r="Q556" i="11" s="1"/>
  <c r="R556" i="11"/>
  <c r="Q547" i="11" a="1"/>
  <c r="Q547" i="11" s="1"/>
  <c r="R547" i="11"/>
  <c r="Q539" i="11" a="1"/>
  <c r="Q539" i="11" s="1"/>
  <c r="R539" i="11"/>
  <c r="Q530" i="11" a="1"/>
  <c r="Q530" i="11" s="1"/>
  <c r="R530" i="11"/>
  <c r="Q521" i="11" a="1"/>
  <c r="Q521" i="11" s="1"/>
  <c r="R521" i="11"/>
  <c r="Q513" i="11" a="1"/>
  <c r="Q513" i="11" s="1"/>
  <c r="R513" i="11"/>
  <c r="Q504" i="11" a="1"/>
  <c r="Q504" i="11" s="1"/>
  <c r="R504" i="11"/>
  <c r="Q495" i="11" a="1"/>
  <c r="Q495" i="11" s="1"/>
  <c r="R495" i="11"/>
  <c r="Q487" i="11" a="1"/>
  <c r="Q487" i="11" s="1"/>
  <c r="R487" i="11"/>
  <c r="Q478" i="11" a="1"/>
  <c r="Q478" i="11" s="1"/>
  <c r="R478" i="11"/>
  <c r="Q469" i="11" a="1"/>
  <c r="Q469" i="11" s="1"/>
  <c r="R469" i="11"/>
  <c r="Q461" i="11" a="1"/>
  <c r="Q461" i="11" s="1"/>
  <c r="R461" i="11"/>
  <c r="Q452" i="11" a="1"/>
  <c r="Q452" i="11" s="1"/>
  <c r="R452" i="11"/>
  <c r="Q444" i="11" a="1"/>
  <c r="Q444" i="11" s="1"/>
  <c r="R444" i="11"/>
  <c r="Q436" i="11" a="1"/>
  <c r="Q436" i="11" s="1"/>
  <c r="R436" i="11"/>
  <c r="Q428" i="11" a="1"/>
  <c r="Q428" i="11" s="1"/>
  <c r="R428" i="11"/>
  <c r="Q420" i="11" a="1"/>
  <c r="Q420" i="11" s="1"/>
  <c r="R420" i="11"/>
  <c r="Q412" i="11" a="1"/>
  <c r="Q412" i="11" s="1"/>
  <c r="R412" i="11"/>
  <c r="Q404" i="11" a="1"/>
  <c r="Q404" i="11" s="1"/>
  <c r="R404" i="11"/>
  <c r="Q395" i="11" a="1"/>
  <c r="Q395" i="11" s="1"/>
  <c r="R395" i="11"/>
  <c r="Q387" i="11" a="1"/>
  <c r="Q387" i="11" s="1"/>
  <c r="R387" i="11"/>
  <c r="Q378" i="11" a="1"/>
  <c r="Q378" i="11" s="1"/>
  <c r="R378" i="11"/>
  <c r="Q370" i="11" a="1"/>
  <c r="Q370" i="11" s="1"/>
  <c r="R370" i="11"/>
  <c r="Q361" i="11" a="1"/>
  <c r="Q361" i="11" s="1"/>
  <c r="R361" i="11"/>
  <c r="Q352" i="11" a="1"/>
  <c r="Q352" i="11" s="1"/>
  <c r="R352" i="11"/>
  <c r="Q344" i="11" a="1"/>
  <c r="Q344" i="11" s="1"/>
  <c r="R344" i="11"/>
  <c r="Q335" i="11" a="1"/>
  <c r="Q335" i="11" s="1"/>
  <c r="R335" i="11"/>
  <c r="Q326" i="11" a="1"/>
  <c r="Q326" i="11" s="1"/>
  <c r="R326" i="11"/>
  <c r="Q318" i="11" a="1"/>
  <c r="Q318" i="11" s="1"/>
  <c r="R318" i="11"/>
  <c r="Q310" i="11" a="1"/>
  <c r="Q310" i="11" s="1"/>
  <c r="R310" i="11"/>
  <c r="Q302" i="11" a="1"/>
  <c r="Q302" i="11" s="1"/>
  <c r="R302" i="11"/>
  <c r="Q294" i="11" a="1"/>
  <c r="Q294" i="11" s="1"/>
  <c r="R294" i="11"/>
  <c r="Q285" i="11" a="1"/>
  <c r="Q285" i="11" s="1"/>
  <c r="R285" i="11"/>
  <c r="Q277" i="11" a="1"/>
  <c r="Q277" i="11" s="1"/>
  <c r="R277" i="11"/>
  <c r="Q268" i="11" a="1"/>
  <c r="Q268" i="11" s="1"/>
  <c r="R268" i="11"/>
  <c r="Q260" i="11" a="1"/>
  <c r="Q260" i="11" s="1"/>
  <c r="R260" i="11"/>
  <c r="Q251" i="11" a="1"/>
  <c r="Q251" i="11" s="1"/>
  <c r="R251" i="11"/>
  <c r="Q243" i="11" a="1"/>
  <c r="Q243" i="11" s="1"/>
  <c r="R243" i="11"/>
  <c r="Q234" i="11" a="1"/>
  <c r="Q234" i="11" s="1"/>
  <c r="R234" i="11"/>
  <c r="Q225" i="11" a="1"/>
  <c r="Q225" i="11" s="1"/>
  <c r="R225" i="11"/>
  <c r="Q217" i="11" a="1"/>
  <c r="Q217" i="11" s="1"/>
  <c r="R217" i="11"/>
  <c r="Q209" i="11" a="1"/>
  <c r="Q209" i="11" s="1"/>
  <c r="R209" i="11"/>
  <c r="Q201" i="11" a="1"/>
  <c r="Q201" i="11" s="1"/>
  <c r="R201" i="11"/>
  <c r="Q193" i="11" a="1"/>
  <c r="Q193" i="11" s="1"/>
  <c r="R193" i="11"/>
  <c r="Q185" i="11" a="1"/>
  <c r="Q185" i="11" s="1"/>
  <c r="R185" i="11"/>
  <c r="Q176" i="11" a="1"/>
  <c r="Q176" i="11" s="1"/>
  <c r="R176" i="11"/>
  <c r="Q168" i="11" a="1"/>
  <c r="Q168" i="11" s="1"/>
  <c r="R168" i="11"/>
  <c r="Q159" i="11" a="1"/>
  <c r="Q159" i="11" s="1"/>
  <c r="R159" i="11"/>
  <c r="Q151" i="11" a="1"/>
  <c r="Q151" i="11" s="1"/>
  <c r="R151" i="11"/>
  <c r="Q143" i="11" a="1"/>
  <c r="Q143" i="11" s="1"/>
  <c r="R143" i="11"/>
  <c r="Q134" i="11" a="1"/>
  <c r="Q134" i="11" s="1"/>
  <c r="R134" i="11"/>
  <c r="Q126" i="11" a="1"/>
  <c r="Q126" i="11" s="1"/>
  <c r="R126" i="11"/>
  <c r="Q117" i="11" a="1"/>
  <c r="Q117" i="11" s="1"/>
  <c r="R117" i="11"/>
  <c r="Q109" i="11" a="1"/>
  <c r="Q109" i="11" s="1"/>
  <c r="R109" i="11"/>
  <c r="Q100" i="11" a="1"/>
  <c r="Q100" i="11" s="1"/>
  <c r="R100" i="11"/>
  <c r="Q92" i="11" a="1"/>
  <c r="Q92" i="11" s="1"/>
  <c r="R92" i="11"/>
  <c r="Q84" i="11" a="1"/>
  <c r="Q84" i="11" s="1"/>
  <c r="R84" i="11"/>
  <c r="Q76" i="11" a="1"/>
  <c r="Q76" i="11" s="1"/>
  <c r="R76" i="11"/>
  <c r="Q67" i="11" a="1"/>
  <c r="Q67" i="11" s="1"/>
  <c r="R67" i="11"/>
  <c r="Q59" i="11" a="1"/>
  <c r="Q59" i="11" s="1"/>
  <c r="R59" i="11"/>
  <c r="Q51" i="11" a="1"/>
  <c r="Q51" i="11" s="1"/>
  <c r="R51" i="11"/>
  <c r="Q43" i="11" a="1"/>
  <c r="Q43" i="11" s="1"/>
  <c r="R43" i="11"/>
  <c r="Q35" i="11" a="1"/>
  <c r="Q35" i="11" s="1"/>
  <c r="R35" i="11"/>
  <c r="Q27" i="11" a="1"/>
  <c r="Q27" i="11" s="1"/>
  <c r="R27" i="11"/>
  <c r="Q19" i="11" a="1"/>
  <c r="Q19" i="11" s="1"/>
  <c r="R19" i="11"/>
  <c r="Q11" i="11" a="1"/>
  <c r="Q11" i="11" s="1"/>
  <c r="R11" i="11"/>
  <c r="Q3" i="11" a="1"/>
  <c r="Q3" i="11" s="1"/>
  <c r="R3" i="11"/>
  <c r="Q1872" i="11" a="1"/>
  <c r="Q1872" i="11" s="1"/>
  <c r="R1872" i="11" s="1"/>
  <c r="Q1902" i="11" a="1"/>
  <c r="Q1902" i="11" s="1"/>
  <c r="R1902" i="11" s="1"/>
  <c r="P2152" i="11"/>
  <c r="Q2072" i="11" a="1"/>
  <c r="Q2072" i="11" s="1"/>
  <c r="R2072" i="11" s="1"/>
  <c r="Q2051" i="11" a="1"/>
  <c r="Q2051" i="11" s="1"/>
  <c r="R2051" i="11"/>
  <c r="Q1961" i="11" a="1"/>
  <c r="Q1961" i="11" s="1"/>
  <c r="R1961" i="11"/>
  <c r="Q2150" i="11" a="1"/>
  <c r="Q2150" i="11" s="1"/>
  <c r="R2150" i="11" s="1"/>
  <c r="Q2191" i="11" a="1"/>
  <c r="Q2191" i="11" s="1"/>
  <c r="R2191" i="11" s="1"/>
  <c r="P2166" i="11"/>
  <c r="Q2046" i="11" a="1"/>
  <c r="Q2046" i="11" s="1"/>
  <c r="R2046" i="11" s="1"/>
  <c r="P1926" i="11"/>
  <c r="Q2137" i="11" a="1"/>
  <c r="Q2137" i="11" s="1"/>
  <c r="R2137" i="11"/>
  <c r="Q2093" i="11" a="1"/>
  <c r="Q2093" i="11" s="1"/>
  <c r="R2093" i="11"/>
  <c r="Q2047" i="11" a="1"/>
  <c r="Q2047" i="11" s="1"/>
  <c r="R2047" i="11"/>
  <c r="Q2004" i="11" a="1"/>
  <c r="Q2004" i="11" s="1"/>
  <c r="R2004" i="11"/>
  <c r="P2216" i="11"/>
  <c r="P2134" i="11"/>
  <c r="P2064" i="11"/>
  <c r="P2000" i="11"/>
  <c r="P1959" i="11"/>
  <c r="P1800" i="11"/>
  <c r="P2213" i="11"/>
  <c r="P2197" i="11"/>
  <c r="P2151" i="11"/>
  <c r="P1877" i="11"/>
  <c r="P1805" i="11"/>
  <c r="P1765" i="11"/>
  <c r="P1317" i="11"/>
  <c r="P1237" i="11"/>
  <c r="P1157" i="11"/>
  <c r="P933" i="11"/>
  <c r="P509" i="11"/>
  <c r="P341" i="11"/>
  <c r="Q2135" i="11" a="1"/>
  <c r="Q2135" i="11" s="1"/>
  <c r="R2135" i="11"/>
  <c r="Q2123" i="11" a="1"/>
  <c r="Q2123" i="11" s="1"/>
  <c r="R2123" i="11"/>
  <c r="Q2107" i="11" a="1"/>
  <c r="Q2107" i="11" s="1"/>
  <c r="R2107" i="11"/>
  <c r="Q2091" i="11" a="1"/>
  <c r="Q2091" i="11" s="1"/>
  <c r="R2091" i="11"/>
  <c r="Q2075" i="11" a="1"/>
  <c r="Q2075" i="11" s="1"/>
  <c r="R2075" i="11"/>
  <c r="Q2059" i="11" a="1"/>
  <c r="Q2059" i="11" s="1"/>
  <c r="R2059" i="11"/>
  <c r="Q2045" i="11" a="1"/>
  <c r="Q2045" i="11" s="1"/>
  <c r="R2045" i="11"/>
  <c r="Q2035" i="11" a="1"/>
  <c r="Q2035" i="11" s="1"/>
  <c r="R2035" i="11"/>
  <c r="Q2024" i="11" a="1"/>
  <c r="Q2024" i="11" s="1"/>
  <c r="R2024" i="11"/>
  <c r="Q2013" i="11" a="1"/>
  <c r="Q2013" i="11" s="1"/>
  <c r="R2013" i="11"/>
  <c r="Q2002" i="11" a="1"/>
  <c r="Q2002" i="11" s="1"/>
  <c r="R2002" i="11"/>
  <c r="Q1990" i="11" a="1"/>
  <c r="Q1990" i="11" s="1"/>
  <c r="R1990" i="11"/>
  <c r="Q1978" i="11" a="1"/>
  <c r="Q1978" i="11" s="1"/>
  <c r="R1978" i="11"/>
  <c r="Q1968" i="11" a="1"/>
  <c r="Q1968" i="11" s="1"/>
  <c r="R1968" i="11"/>
  <c r="Q1957" i="11" a="1"/>
  <c r="Q1957" i="11" s="1"/>
  <c r="R1957" i="11"/>
  <c r="Q1949" i="11" a="1"/>
  <c r="Q1949" i="11" s="1"/>
  <c r="R1949" i="11"/>
  <c r="Q1940" i="11" a="1"/>
  <c r="Q1940" i="11" s="1"/>
  <c r="R1940" i="11"/>
  <c r="Q1929" i="11" a="1"/>
  <c r="Q1929" i="11" s="1"/>
  <c r="R1929" i="11"/>
  <c r="Q1919" i="11" a="1"/>
  <c r="Q1919" i="11" s="1"/>
  <c r="R1919" i="11"/>
  <c r="Q1900" i="11" a="1"/>
  <c r="Q1900" i="11" s="1"/>
  <c r="R1900" i="11"/>
  <c r="Q1889" i="11" a="1"/>
  <c r="Q1889" i="11" s="1"/>
  <c r="R1889" i="11"/>
  <c r="Q1880" i="11" a="1"/>
  <c r="Q1880" i="11" s="1"/>
  <c r="R1880" i="11"/>
  <c r="Q1870" i="11" a="1"/>
  <c r="Q1870" i="11" s="1"/>
  <c r="R1870" i="11"/>
  <c r="Q1860" i="11" a="1"/>
  <c r="Q1860" i="11" s="1"/>
  <c r="R1860" i="11"/>
  <c r="Q1850" i="11" a="1"/>
  <c r="Q1850" i="11" s="1"/>
  <c r="R1850" i="11"/>
  <c r="Q1841" i="11" a="1"/>
  <c r="Q1841" i="11" s="1"/>
  <c r="R1841" i="11"/>
  <c r="Q1832" i="11" a="1"/>
  <c r="Q1832" i="11" s="1"/>
  <c r="R1832" i="11"/>
  <c r="Q1822" i="11" a="1"/>
  <c r="Q1822" i="11" s="1"/>
  <c r="R1822" i="11"/>
  <c r="Q1812" i="11" a="1"/>
  <c r="Q1812" i="11" s="1"/>
  <c r="R1812" i="11"/>
  <c r="Q1802" i="11" a="1"/>
  <c r="Q1802" i="11" s="1"/>
  <c r="R1802" i="11"/>
  <c r="Q1792" i="11" a="1"/>
  <c r="Q1792" i="11" s="1"/>
  <c r="R1792" i="11"/>
  <c r="Q1782" i="11" a="1"/>
  <c r="Q1782" i="11" s="1"/>
  <c r="R1782" i="11"/>
  <c r="Q1773" i="11" a="1"/>
  <c r="Q1773" i="11" s="1"/>
  <c r="R1773" i="11"/>
  <c r="Q1763" i="11" a="1"/>
  <c r="Q1763" i="11" s="1"/>
  <c r="R1763" i="11"/>
  <c r="Q1753" i="11" a="1"/>
  <c r="Q1753" i="11" s="1"/>
  <c r="R1753" i="11"/>
  <c r="Q1745" i="11" a="1"/>
  <c r="Q1745" i="11" s="1"/>
  <c r="R1745" i="11"/>
  <c r="Q1737" i="11" a="1"/>
  <c r="Q1737" i="11" s="1"/>
  <c r="R1737" i="11"/>
  <c r="Q1729" i="11" a="1"/>
  <c r="Q1729" i="11" s="1"/>
  <c r="R1729" i="11"/>
  <c r="Q1720" i="11" a="1"/>
  <c r="Q1720" i="11" s="1"/>
  <c r="R1720" i="11"/>
  <c r="Q1711" i="11" a="1"/>
  <c r="Q1711" i="11" s="1"/>
  <c r="R1711" i="11"/>
  <c r="Q1701" i="11" a="1"/>
  <c r="Q1701" i="11" s="1"/>
  <c r="R1701" i="11"/>
  <c r="Q1693" i="11" a="1"/>
  <c r="Q1693" i="11" s="1"/>
  <c r="R1693" i="11"/>
  <c r="Q1685" i="11" a="1"/>
  <c r="Q1685" i="11" s="1"/>
  <c r="R1685" i="11"/>
  <c r="Q1676" i="11" a="1"/>
  <c r="Q1676" i="11" s="1"/>
  <c r="R1676" i="11"/>
  <c r="Q1668" i="11" a="1"/>
  <c r="Q1668" i="11" s="1"/>
  <c r="R1668" i="11"/>
  <c r="Q1659" i="11" a="1"/>
  <c r="Q1659" i="11" s="1"/>
  <c r="R1659" i="11"/>
  <c r="Q1651" i="11" a="1"/>
  <c r="Q1651" i="11" s="1"/>
  <c r="R1651" i="11"/>
  <c r="Q1641" i="11" a="1"/>
  <c r="Q1641" i="11" s="1"/>
  <c r="R1641" i="11"/>
  <c r="Q1632" i="11" a="1"/>
  <c r="Q1632" i="11" s="1"/>
  <c r="R1632" i="11"/>
  <c r="Q1624" i="11" a="1"/>
  <c r="Q1624" i="11" s="1"/>
  <c r="R1624" i="11"/>
  <c r="Q1615" i="11" a="1"/>
  <c r="Q1615" i="11" s="1"/>
  <c r="R1615" i="11"/>
  <c r="Q1606" i="11" a="1"/>
  <c r="Q1606" i="11" s="1"/>
  <c r="R1606" i="11"/>
  <c r="Q1597" i="11" a="1"/>
  <c r="Q1597" i="11" s="1"/>
  <c r="R1597" i="11"/>
  <c r="Q1588" i="11" a="1"/>
  <c r="Q1588" i="11" s="1"/>
  <c r="R1588" i="11"/>
  <c r="Q1579" i="11" a="1"/>
  <c r="Q1579" i="11" s="1"/>
  <c r="R1579" i="11"/>
  <c r="Q1570" i="11" a="1"/>
  <c r="Q1570" i="11" s="1"/>
  <c r="R1570" i="11"/>
  <c r="Q1561" i="11" a="1"/>
  <c r="Q1561" i="11" s="1"/>
  <c r="R1561" i="11"/>
  <c r="Q1552" i="11" a="1"/>
  <c r="Q1552" i="11" s="1"/>
  <c r="R1552" i="11"/>
  <c r="Q1543" i="11" a="1"/>
  <c r="Q1543" i="11" s="1"/>
  <c r="R1543" i="11"/>
  <c r="Q1534" i="11" a="1"/>
  <c r="Q1534" i="11" s="1"/>
  <c r="R1534" i="11"/>
  <c r="Q1526" i="11" a="1"/>
  <c r="Q1526" i="11" s="1"/>
  <c r="R1526" i="11"/>
  <c r="Q1517" i="11" a="1"/>
  <c r="Q1517" i="11" s="1"/>
  <c r="R1517" i="11"/>
  <c r="Q1508" i="11" a="1"/>
  <c r="Q1508" i="11" s="1"/>
  <c r="R1508" i="11"/>
  <c r="Q1499" i="11" a="1"/>
  <c r="Q1499" i="11" s="1"/>
  <c r="R1499" i="11"/>
  <c r="Q1490" i="11" a="1"/>
  <c r="Q1490" i="11" s="1"/>
  <c r="R1490" i="11"/>
  <c r="Q1481" i="11" a="1"/>
  <c r="Q1481" i="11" s="1"/>
  <c r="R1481" i="11"/>
  <c r="Q1472" i="11" a="1"/>
  <c r="Q1472" i="11" s="1"/>
  <c r="R1472" i="11"/>
  <c r="Q1463" i="11" a="1"/>
  <c r="Q1463" i="11" s="1"/>
  <c r="R1463" i="11"/>
  <c r="Q1454" i="11" a="1"/>
  <c r="Q1454" i="11" s="1"/>
  <c r="R1454" i="11"/>
  <c r="Q1445" i="11" a="1"/>
  <c r="Q1445" i="11" s="1"/>
  <c r="R1445" i="11"/>
  <c r="Q1436" i="11" a="1"/>
  <c r="Q1436" i="11" s="1"/>
  <c r="R1436" i="11"/>
  <c r="Q1428" i="11" a="1"/>
  <c r="Q1428" i="11" s="1"/>
  <c r="R1428" i="11"/>
  <c r="Q1419" i="11" a="1"/>
  <c r="Q1419" i="11" s="1"/>
  <c r="R1419" i="11"/>
  <c r="Q1410" i="11" a="1"/>
  <c r="Q1410" i="11" s="1"/>
  <c r="R1410" i="11"/>
  <c r="Q1401" i="11" a="1"/>
  <c r="Q1401" i="11" s="1"/>
  <c r="R1401" i="11"/>
  <c r="Q1392" i="11" a="1"/>
  <c r="Q1392" i="11" s="1"/>
  <c r="R1392" i="11"/>
  <c r="Q1384" i="11" a="1"/>
  <c r="Q1384" i="11" s="1"/>
  <c r="R1384" i="11"/>
  <c r="Q1375" i="11" a="1"/>
  <c r="Q1375" i="11" s="1"/>
  <c r="R1375" i="11"/>
  <c r="Q1367" i="11" a="1"/>
  <c r="Q1367" i="11" s="1"/>
  <c r="R1367" i="11"/>
  <c r="Q1359" i="11" a="1"/>
  <c r="Q1359" i="11" s="1"/>
  <c r="R1359" i="11"/>
  <c r="Q1350" i="11" a="1"/>
  <c r="Q1350" i="11" s="1"/>
  <c r="R1350" i="11"/>
  <c r="Q1341" i="11" a="1"/>
  <c r="Q1341" i="11" s="1"/>
  <c r="R1341" i="11"/>
  <c r="Q1332" i="11" a="1"/>
  <c r="Q1332" i="11" s="1"/>
  <c r="R1332" i="11"/>
  <c r="Q1324" i="11" a="1"/>
  <c r="Q1324" i="11" s="1"/>
  <c r="R1324" i="11"/>
  <c r="Q1315" i="11" a="1"/>
  <c r="Q1315" i="11" s="1"/>
  <c r="R1315" i="11"/>
  <c r="Q1307" i="11" a="1"/>
  <c r="Q1307" i="11" s="1"/>
  <c r="R1307" i="11"/>
  <c r="Q1298" i="11" a="1"/>
  <c r="Q1298" i="11" s="1"/>
  <c r="R1298" i="11"/>
  <c r="Q1289" i="11" a="1"/>
  <c r="Q1289" i="11" s="1"/>
  <c r="R1289" i="11"/>
  <c r="Q1281" i="11" a="1"/>
  <c r="Q1281" i="11" s="1"/>
  <c r="R1281" i="11"/>
  <c r="Q1272" i="11" a="1"/>
  <c r="Q1272" i="11" s="1"/>
  <c r="R1272" i="11"/>
  <c r="Q1263" i="11" a="1"/>
  <c r="Q1263" i="11" s="1"/>
  <c r="R1263" i="11"/>
  <c r="Q1254" i="11" a="1"/>
  <c r="Q1254" i="11" s="1"/>
  <c r="R1254" i="11"/>
  <c r="Q1245" i="11" a="1"/>
  <c r="Q1245" i="11" s="1"/>
  <c r="R1245" i="11"/>
  <c r="Q1236" i="11" a="1"/>
  <c r="Q1236" i="11" s="1"/>
  <c r="R1236" i="11"/>
  <c r="Q1228" i="11" a="1"/>
  <c r="Q1228" i="11" s="1"/>
  <c r="R1228" i="11"/>
  <c r="Q1219" i="11" a="1"/>
  <c r="Q1219" i="11" s="1"/>
  <c r="R1219" i="11"/>
  <c r="Q1210" i="11" a="1"/>
  <c r="Q1210" i="11" s="1"/>
  <c r="R1210" i="11"/>
  <c r="Q1201" i="11" a="1"/>
  <c r="Q1201" i="11" s="1"/>
  <c r="R1201" i="11"/>
  <c r="Q1192" i="11" a="1"/>
  <c r="Q1192" i="11" s="1"/>
  <c r="R1192" i="11"/>
  <c r="Q1183" i="11" a="1"/>
  <c r="Q1183" i="11" s="1"/>
  <c r="R1183" i="11"/>
  <c r="Q1174" i="11" a="1"/>
  <c r="Q1174" i="11" s="1"/>
  <c r="R1174" i="11"/>
  <c r="Q1165" i="11" a="1"/>
  <c r="Q1165" i="11" s="1"/>
  <c r="R1165" i="11"/>
  <c r="Q1156" i="11" a="1"/>
  <c r="Q1156" i="11" s="1"/>
  <c r="R1156" i="11"/>
  <c r="Q1148" i="11" a="1"/>
  <c r="Q1148" i="11" s="1"/>
  <c r="R1148" i="11"/>
  <c r="Q1139" i="11" a="1"/>
  <c r="Q1139" i="11" s="1"/>
  <c r="R1139" i="11"/>
  <c r="Q1130" i="11" a="1"/>
  <c r="Q1130" i="11" s="1"/>
  <c r="R1130" i="11"/>
  <c r="Q1121" i="11" a="1"/>
  <c r="Q1121" i="11" s="1"/>
  <c r="R1121" i="11"/>
  <c r="Q1112" i="11" a="1"/>
  <c r="Q1112" i="11" s="1"/>
  <c r="R1112" i="11"/>
  <c r="Q1104" i="11" a="1"/>
  <c r="Q1104" i="11" s="1"/>
  <c r="R1104" i="11"/>
  <c r="Q1096" i="11" a="1"/>
  <c r="Q1096" i="11" s="1"/>
  <c r="R1096" i="11"/>
  <c r="Q1088" i="11" a="1"/>
  <c r="Q1088" i="11" s="1"/>
  <c r="R1088" i="11"/>
  <c r="Q1080" i="11" a="1"/>
  <c r="Q1080" i="11" s="1"/>
  <c r="R1080" i="11"/>
  <c r="Q1072" i="11" a="1"/>
  <c r="Q1072" i="11" s="1"/>
  <c r="R1072" i="11"/>
  <c r="Q1064" i="11" a="1"/>
  <c r="Q1064" i="11" s="1"/>
  <c r="R1064" i="11"/>
  <c r="Q1056" i="11" a="1"/>
  <c r="Q1056" i="11" s="1"/>
  <c r="R1056" i="11"/>
  <c r="Q1047" i="11" a="1"/>
  <c r="Q1047" i="11" s="1"/>
  <c r="R1047" i="11"/>
  <c r="Q1039" i="11" a="1"/>
  <c r="Q1039" i="11" s="1"/>
  <c r="R1039" i="11"/>
  <c r="Q1031" i="11" a="1"/>
  <c r="Q1031" i="11" s="1"/>
  <c r="R1031" i="11"/>
  <c r="Q1023" i="11" a="1"/>
  <c r="Q1023" i="11" s="1"/>
  <c r="R1023" i="11"/>
  <c r="Q1015" i="11" a="1"/>
  <c r="Q1015" i="11" s="1"/>
  <c r="R1015" i="11"/>
  <c r="Q1006" i="11" a="1"/>
  <c r="Q1006" i="11" s="1"/>
  <c r="R1006" i="11"/>
  <c r="Q997" i="11" a="1"/>
  <c r="Q997" i="11" s="1"/>
  <c r="R997" i="11"/>
  <c r="Q989" i="11" a="1"/>
  <c r="Q989" i="11" s="1"/>
  <c r="R989" i="11"/>
  <c r="Q981" i="11" a="1"/>
  <c r="Q981" i="11" s="1"/>
  <c r="R981" i="11"/>
  <c r="Q972" i="11" a="1"/>
  <c r="Q972" i="11" s="1"/>
  <c r="R972" i="11"/>
  <c r="Q963" i="11" a="1"/>
  <c r="Q963" i="11" s="1"/>
  <c r="R963" i="11"/>
  <c r="Q954" i="11" a="1"/>
  <c r="Q954" i="11" s="1"/>
  <c r="R954" i="11"/>
  <c r="Q946" i="11" a="1"/>
  <c r="Q946" i="11" s="1"/>
  <c r="R946" i="11"/>
  <c r="Q937" i="11" a="1"/>
  <c r="Q937" i="11" s="1"/>
  <c r="R937" i="11"/>
  <c r="Q928" i="11" a="1"/>
  <c r="Q928" i="11" s="1"/>
  <c r="R928" i="11"/>
  <c r="Q919" i="11" a="1"/>
  <c r="Q919" i="11" s="1"/>
  <c r="R919" i="11"/>
  <c r="Q910" i="11" a="1"/>
  <c r="Q910" i="11" s="1"/>
  <c r="R910" i="11"/>
  <c r="Q902" i="11" a="1"/>
  <c r="Q902" i="11" s="1"/>
  <c r="R902" i="11"/>
  <c r="Q893" i="11" a="1"/>
  <c r="Q893" i="11" s="1"/>
  <c r="R893" i="11"/>
  <c r="Q884" i="11" a="1"/>
  <c r="Q884" i="11" s="1"/>
  <c r="R884" i="11"/>
  <c r="Q876" i="11" a="1"/>
  <c r="Q876" i="11" s="1"/>
  <c r="R876" i="11"/>
  <c r="Q868" i="11" a="1"/>
  <c r="Q868" i="11" s="1"/>
  <c r="R868" i="11"/>
  <c r="Q860" i="11" a="1"/>
  <c r="Q860" i="11" s="1"/>
  <c r="R860" i="11"/>
  <c r="Q852" i="11" a="1"/>
  <c r="Q852" i="11" s="1"/>
  <c r="R852" i="11"/>
  <c r="Q843" i="11" a="1"/>
  <c r="Q843" i="11" s="1"/>
  <c r="R843" i="11"/>
  <c r="Q834" i="11" a="1"/>
  <c r="Q834" i="11" s="1"/>
  <c r="R834" i="11"/>
  <c r="Q826" i="11" a="1"/>
  <c r="Q826" i="11" s="1"/>
  <c r="R826" i="11"/>
  <c r="Q818" i="11" a="1"/>
  <c r="Q818" i="11" s="1"/>
  <c r="R818" i="11"/>
  <c r="Q809" i="11" a="1"/>
  <c r="Q809" i="11" s="1"/>
  <c r="R809" i="11"/>
  <c r="Q800" i="11" a="1"/>
  <c r="Q800" i="11" s="1"/>
  <c r="R800" i="11"/>
  <c r="Q792" i="11" a="1"/>
  <c r="Q792" i="11" s="1"/>
  <c r="R792" i="11"/>
  <c r="Q783" i="11" a="1"/>
  <c r="Q783" i="11" s="1"/>
  <c r="R783" i="11"/>
  <c r="Q775" i="11" a="1"/>
  <c r="Q775" i="11" s="1"/>
  <c r="R775" i="11"/>
  <c r="Q767" i="11" a="1"/>
  <c r="Q767" i="11" s="1"/>
  <c r="R767" i="11"/>
  <c r="Q759" i="11" a="1"/>
  <c r="Q759" i="11" s="1"/>
  <c r="R759" i="11"/>
  <c r="Q751" i="11" a="1"/>
  <c r="Q751" i="11" s="1"/>
  <c r="R751" i="11"/>
  <c r="Q743" i="11" a="1"/>
  <c r="Q743" i="11" s="1"/>
  <c r="R743" i="11"/>
  <c r="Q734" i="11" a="1"/>
  <c r="Q734" i="11" s="1"/>
  <c r="R734" i="11"/>
  <c r="Q725" i="11" a="1"/>
  <c r="Q725" i="11" s="1"/>
  <c r="R725" i="11"/>
  <c r="Q717" i="11" a="1"/>
  <c r="Q717" i="11" s="1"/>
  <c r="R717" i="11"/>
  <c r="Q708" i="11" a="1"/>
  <c r="Q708" i="11" s="1"/>
  <c r="R708" i="11"/>
  <c r="Q699" i="11" a="1"/>
  <c r="Q699" i="11" s="1"/>
  <c r="R699" i="11"/>
  <c r="Q690" i="11" a="1"/>
  <c r="Q690" i="11" s="1"/>
  <c r="R690" i="11"/>
  <c r="Q682" i="11" a="1"/>
  <c r="Q682" i="11" s="1"/>
  <c r="R682" i="11"/>
  <c r="Q673" i="11" a="1"/>
  <c r="Q673" i="11" s="1"/>
  <c r="R673" i="11"/>
  <c r="Q664" i="11" a="1"/>
  <c r="Q664" i="11" s="1"/>
  <c r="R664" i="11"/>
  <c r="Q656" i="11" a="1"/>
  <c r="Q656" i="11" s="1"/>
  <c r="R656" i="11"/>
  <c r="Q648" i="11" a="1"/>
  <c r="Q648" i="11" s="1"/>
  <c r="R648" i="11"/>
  <c r="Q640" i="11" a="1"/>
  <c r="Q640" i="11" s="1"/>
  <c r="R640" i="11"/>
  <c r="Q632" i="11" a="1"/>
  <c r="Q632" i="11" s="1"/>
  <c r="R632" i="11"/>
  <c r="Q623" i="11" a="1"/>
  <c r="Q623" i="11" s="1"/>
  <c r="R623" i="11"/>
  <c r="Q615" i="11" a="1"/>
  <c r="Q615" i="11" s="1"/>
  <c r="R615" i="11"/>
  <c r="Q606" i="11" a="1"/>
  <c r="Q606" i="11" s="1"/>
  <c r="R606" i="11"/>
  <c r="Q597" i="11" a="1"/>
  <c r="Q597" i="11" s="1"/>
  <c r="R597" i="11"/>
  <c r="Q589" i="11" a="1"/>
  <c r="Q589" i="11" s="1"/>
  <c r="R589" i="11"/>
  <c r="Q581" i="11" a="1"/>
  <c r="Q581" i="11" s="1"/>
  <c r="R581" i="11"/>
  <c r="Q572" i="11" a="1"/>
  <c r="Q572" i="11" s="1"/>
  <c r="R572" i="11"/>
  <c r="Q564" i="11" a="1"/>
  <c r="Q564" i="11" s="1"/>
  <c r="R564" i="11"/>
  <c r="Q555" i="11" a="1"/>
  <c r="Q555" i="11" s="1"/>
  <c r="R555" i="11"/>
  <c r="Q546" i="11" a="1"/>
  <c r="Q546" i="11" s="1"/>
  <c r="R546" i="11"/>
  <c r="Q538" i="11" a="1"/>
  <c r="Q538" i="11" s="1"/>
  <c r="R538" i="11"/>
  <c r="Q529" i="11" a="1"/>
  <c r="Q529" i="11" s="1"/>
  <c r="R529" i="11"/>
  <c r="Q520" i="11" a="1"/>
  <c r="Q520" i="11" s="1"/>
  <c r="R520" i="11"/>
  <c r="Q512" i="11" a="1"/>
  <c r="Q512" i="11" s="1"/>
  <c r="R512" i="11"/>
  <c r="Q503" i="11" a="1"/>
  <c r="Q503" i="11" s="1"/>
  <c r="R503" i="11"/>
  <c r="Q494" i="11" a="1"/>
  <c r="Q494" i="11" s="1"/>
  <c r="R494" i="11"/>
  <c r="Q486" i="11" a="1"/>
  <c r="Q486" i="11" s="1"/>
  <c r="R486" i="11"/>
  <c r="Q477" i="11" a="1"/>
  <c r="Q477" i="11" s="1"/>
  <c r="R477" i="11"/>
  <c r="Q468" i="11" a="1"/>
  <c r="Q468" i="11" s="1"/>
  <c r="R468" i="11"/>
  <c r="Q460" i="11" a="1"/>
  <c r="Q460" i="11" s="1"/>
  <c r="R460" i="11"/>
  <c r="Q451" i="11" a="1"/>
  <c r="Q451" i="11" s="1"/>
  <c r="R451" i="11"/>
  <c r="Q443" i="11" a="1"/>
  <c r="Q443" i="11" s="1"/>
  <c r="R443" i="11"/>
  <c r="Q435" i="11" a="1"/>
  <c r="Q435" i="11" s="1"/>
  <c r="R435" i="11"/>
  <c r="Q427" i="11" a="1"/>
  <c r="Q427" i="11" s="1"/>
  <c r="R427" i="11"/>
  <c r="Q419" i="11" a="1"/>
  <c r="Q419" i="11" s="1"/>
  <c r="R419" i="11"/>
  <c r="Q411" i="11" a="1"/>
  <c r="Q411" i="11" s="1"/>
  <c r="R411" i="11"/>
  <c r="Q403" i="11" a="1"/>
  <c r="Q403" i="11" s="1"/>
  <c r="R403" i="11"/>
  <c r="Q394" i="11" a="1"/>
  <c r="Q394" i="11" s="1"/>
  <c r="R394" i="11"/>
  <c r="Q386" i="11" a="1"/>
  <c r="Q386" i="11" s="1"/>
  <c r="R386" i="11"/>
  <c r="Q377" i="11" a="1"/>
  <c r="Q377" i="11" s="1"/>
  <c r="R377" i="11"/>
  <c r="Q368" i="11" a="1"/>
  <c r="Q368" i="11" s="1"/>
  <c r="R368" i="11"/>
  <c r="Q360" i="11" a="1"/>
  <c r="Q360" i="11" s="1"/>
  <c r="R360" i="11"/>
  <c r="Q351" i="11" a="1"/>
  <c r="Q351" i="11" s="1"/>
  <c r="R351" i="11"/>
  <c r="Q343" i="11" a="1"/>
  <c r="Q343" i="11" s="1"/>
  <c r="R343" i="11"/>
  <c r="Q334" i="11" a="1"/>
  <c r="Q334" i="11" s="1"/>
  <c r="R334" i="11"/>
  <c r="Q325" i="11" a="1"/>
  <c r="Q325" i="11" s="1"/>
  <c r="R325" i="11"/>
  <c r="Q317" i="11" a="1"/>
  <c r="Q317" i="11" s="1"/>
  <c r="R317" i="11"/>
  <c r="Q309" i="11" a="1"/>
  <c r="Q309" i="11" s="1"/>
  <c r="R309" i="11"/>
  <c r="Q301" i="11" a="1"/>
  <c r="Q301" i="11" s="1"/>
  <c r="R301" i="11"/>
  <c r="Q293" i="11" a="1"/>
  <c r="Q293" i="11" s="1"/>
  <c r="R293" i="11"/>
  <c r="Q284" i="11" a="1"/>
  <c r="Q284" i="11" s="1"/>
  <c r="R284" i="11"/>
  <c r="Q276" i="11" a="1"/>
  <c r="Q276" i="11" s="1"/>
  <c r="R276" i="11"/>
  <c r="Q267" i="11" a="1"/>
  <c r="Q267" i="11" s="1"/>
  <c r="R267" i="11"/>
  <c r="Q259" i="11" a="1"/>
  <c r="Q259" i="11" s="1"/>
  <c r="R259" i="11"/>
  <c r="Q250" i="11" a="1"/>
  <c r="Q250" i="11" s="1"/>
  <c r="R250" i="11"/>
  <c r="Q242" i="11" a="1"/>
  <c r="Q242" i="11" s="1"/>
  <c r="R242" i="11"/>
  <c r="Q233" i="11" a="1"/>
  <c r="Q233" i="11" s="1"/>
  <c r="R233" i="11"/>
  <c r="Q224" i="11" a="1"/>
  <c r="Q224" i="11" s="1"/>
  <c r="R224" i="11"/>
  <c r="Q216" i="11" a="1"/>
  <c r="Q216" i="11" s="1"/>
  <c r="R216" i="11"/>
  <c r="Q208" i="11" a="1"/>
  <c r="Q208" i="11" s="1"/>
  <c r="R208" i="11"/>
  <c r="Q200" i="11" a="1"/>
  <c r="Q200" i="11" s="1"/>
  <c r="R200" i="11"/>
  <c r="Q192" i="11" a="1"/>
  <c r="Q192" i="11" s="1"/>
  <c r="R192" i="11"/>
  <c r="Q184" i="11" a="1"/>
  <c r="Q184" i="11" s="1"/>
  <c r="R184" i="11"/>
  <c r="Q175" i="11" a="1"/>
  <c r="Q175" i="11" s="1"/>
  <c r="R175" i="11"/>
  <c r="Q167" i="11" a="1"/>
  <c r="Q167" i="11" s="1"/>
  <c r="R167" i="11"/>
  <c r="Q158" i="11" a="1"/>
  <c r="Q158" i="11" s="1"/>
  <c r="R158" i="11"/>
  <c r="Q150" i="11" a="1"/>
  <c r="Q150" i="11" s="1"/>
  <c r="R150" i="11"/>
  <c r="Q142" i="11" a="1"/>
  <c r="Q142" i="11" s="1"/>
  <c r="R142" i="11"/>
  <c r="Q133" i="11" a="1"/>
  <c r="Q133" i="11" s="1"/>
  <c r="R133" i="11"/>
  <c r="Q125" i="11" a="1"/>
  <c r="Q125" i="11" s="1"/>
  <c r="R125" i="11"/>
  <c r="Q116" i="11" a="1"/>
  <c r="Q116" i="11" s="1"/>
  <c r="R116" i="11"/>
  <c r="Q108" i="11" a="1"/>
  <c r="Q108" i="11" s="1"/>
  <c r="R108" i="11"/>
  <c r="Q99" i="11" a="1"/>
  <c r="Q99" i="11" s="1"/>
  <c r="R99" i="11"/>
  <c r="Q91" i="11" a="1"/>
  <c r="Q91" i="11" s="1"/>
  <c r="R91" i="11"/>
  <c r="Q83" i="11" a="1"/>
  <c r="Q83" i="11" s="1"/>
  <c r="R83" i="11"/>
  <c r="Q75" i="11" a="1"/>
  <c r="Q75" i="11" s="1"/>
  <c r="R75" i="11"/>
  <c r="Q66" i="11" a="1"/>
  <c r="Q66" i="11" s="1"/>
  <c r="R66" i="11"/>
  <c r="Q58" i="11" a="1"/>
  <c r="Q58" i="11" s="1"/>
  <c r="R58" i="11"/>
  <c r="Q50" i="11" a="1"/>
  <c r="Q50" i="11" s="1"/>
  <c r="R50" i="11"/>
  <c r="Q42" i="11" a="1"/>
  <c r="Q42" i="11" s="1"/>
  <c r="R42" i="11"/>
  <c r="Q34" i="11" a="1"/>
  <c r="Q34" i="11" s="1"/>
  <c r="R34" i="11"/>
  <c r="Q26" i="11" a="1"/>
  <c r="Q26" i="11" s="1"/>
  <c r="R26" i="11"/>
  <c r="Q1710" i="11" a="1"/>
  <c r="Q1710" i="11" s="1"/>
  <c r="R1710" i="11" s="1"/>
  <c r="Q2025" i="11" a="1"/>
  <c r="Q2025" i="11" s="1"/>
  <c r="R2025" i="11" s="1"/>
  <c r="P2149" i="11"/>
  <c r="Q1920" i="11" a="1"/>
  <c r="Q1920" i="11" s="1"/>
  <c r="R1920" i="11" s="1"/>
  <c r="Q2113" i="11" a="1"/>
  <c r="Q2113" i="11" s="1"/>
  <c r="R2113" i="11"/>
  <c r="Q2017" i="11" a="1"/>
  <c r="Q2017" i="11" s="1"/>
  <c r="R2017" i="11"/>
  <c r="Q1933" i="11" a="1"/>
  <c r="Q1933" i="11" s="1"/>
  <c r="R1933" i="11"/>
  <c r="Q2037" i="11" a="1"/>
  <c r="Q2037" i="11" s="1"/>
  <c r="R2037" i="11" s="1"/>
  <c r="P1967" i="11"/>
  <c r="P2094" i="11"/>
  <c r="P1982" i="11"/>
  <c r="P1790" i="11"/>
  <c r="Q2125" i="11" a="1"/>
  <c r="Q2125" i="11" s="1"/>
  <c r="R2125" i="11"/>
  <c r="Q2077" i="11" a="1"/>
  <c r="Q2077" i="11" s="1"/>
  <c r="R2077" i="11"/>
  <c r="Q2026" i="11" a="1"/>
  <c r="Q2026" i="11" s="1"/>
  <c r="R2026" i="11"/>
  <c r="P2184" i="11"/>
  <c r="P2142" i="11"/>
  <c r="P2183" i="11"/>
  <c r="P2175" i="11"/>
  <c r="P2112" i="11"/>
  <c r="P2070" i="11"/>
  <c r="P2048" i="11"/>
  <c r="Q1845" i="11" a="1"/>
  <c r="Q1845" i="11" s="1"/>
  <c r="R1845" i="11" s="1"/>
  <c r="P1830" i="11"/>
  <c r="P1815" i="11"/>
  <c r="P2212" i="11"/>
  <c r="P2180" i="11"/>
  <c r="P2159" i="11"/>
  <c r="P2132" i="11"/>
  <c r="P2108" i="11"/>
  <c r="P2084" i="11"/>
  <c r="Q2133" i="11" a="1"/>
  <c r="Q2133" i="11" s="1"/>
  <c r="R2133" i="11"/>
  <c r="Q2121" i="11" a="1"/>
  <c r="Q2121" i="11" s="1"/>
  <c r="R2121" i="11"/>
  <c r="Q2105" i="11" a="1"/>
  <c r="Q2105" i="11" s="1"/>
  <c r="R2105" i="11"/>
  <c r="Q2089" i="11" a="1"/>
  <c r="Q2089" i="11" s="1"/>
  <c r="R2089" i="11"/>
  <c r="Q2073" i="11" a="1"/>
  <c r="Q2073" i="11" s="1"/>
  <c r="R2073" i="11"/>
  <c r="Q2057" i="11" a="1"/>
  <c r="Q2057" i="11" s="1"/>
  <c r="R2057" i="11"/>
  <c r="Q2044" i="11" a="1"/>
  <c r="Q2044" i="11" s="1"/>
  <c r="R2044" i="11"/>
  <c r="Q2033" i="11" a="1"/>
  <c r="Q2033" i="11" s="1"/>
  <c r="R2033" i="11"/>
  <c r="Q2023" i="11" a="1"/>
  <c r="Q2023" i="11" s="1"/>
  <c r="R2023" i="11"/>
  <c r="Q2012" i="11" a="1"/>
  <c r="Q2012" i="11" s="1"/>
  <c r="R2012" i="11"/>
  <c r="Q2001" i="11" a="1"/>
  <c r="Q2001" i="11" s="1"/>
  <c r="R2001" i="11"/>
  <c r="Q1989" i="11" a="1"/>
  <c r="Q1989" i="11" s="1"/>
  <c r="R1989" i="11"/>
  <c r="Q1977" i="11" a="1"/>
  <c r="Q1977" i="11" s="1"/>
  <c r="R1977" i="11"/>
  <c r="Q1966" i="11" a="1"/>
  <c r="Q1966" i="11" s="1"/>
  <c r="R1966" i="11"/>
  <c r="Q1956" i="11" a="1"/>
  <c r="Q1956" i="11" s="1"/>
  <c r="R1956" i="11"/>
  <c r="Q1948" i="11" a="1"/>
  <c r="Q1948" i="11" s="1"/>
  <c r="R1948" i="11"/>
  <c r="Q1939" i="11" a="1"/>
  <c r="Q1939" i="11" s="1"/>
  <c r="R1939" i="11"/>
  <c r="Q1928" i="11" a="1"/>
  <c r="Q1928" i="11" s="1"/>
  <c r="R1928" i="11"/>
  <c r="Q1918" i="11" a="1"/>
  <c r="Q1918" i="11" s="1"/>
  <c r="R1918" i="11"/>
  <c r="Q1909" i="11" a="1"/>
  <c r="Q1909" i="11" s="1"/>
  <c r="R1909" i="11"/>
  <c r="Q1899" i="11" a="1"/>
  <c r="Q1899" i="11" s="1"/>
  <c r="R1899" i="11"/>
  <c r="Q1888" i="11" a="1"/>
  <c r="Q1888" i="11" s="1"/>
  <c r="R1888" i="11"/>
  <c r="Q1879" i="11" a="1"/>
  <c r="Q1879" i="11" s="1"/>
  <c r="R1879" i="11"/>
  <c r="Q1869" i="11" a="1"/>
  <c r="Q1869" i="11" s="1"/>
  <c r="R1869" i="11"/>
  <c r="Q1859" i="11" a="1"/>
  <c r="Q1859" i="11" s="1"/>
  <c r="R1859" i="11"/>
  <c r="Q1849" i="11" a="1"/>
  <c r="Q1849" i="11" s="1"/>
  <c r="R1849" i="11"/>
  <c r="Q1831" i="11" a="1"/>
  <c r="Q1831" i="11" s="1"/>
  <c r="R1831" i="11"/>
  <c r="Q1821" i="11" a="1"/>
  <c r="Q1821" i="11" s="1"/>
  <c r="R1821" i="11"/>
  <c r="Q1811" i="11" a="1"/>
  <c r="Q1811" i="11" s="1"/>
  <c r="R1811" i="11"/>
  <c r="Q1801" i="11" a="1"/>
  <c r="Q1801" i="11" s="1"/>
  <c r="R1801" i="11"/>
  <c r="Q1791" i="11" a="1"/>
  <c r="Q1791" i="11" s="1"/>
  <c r="R1791" i="11"/>
  <c r="Q1781" i="11" a="1"/>
  <c r="Q1781" i="11" s="1"/>
  <c r="R1781" i="11"/>
  <c r="Q1772" i="11" a="1"/>
  <c r="Q1772" i="11" s="1"/>
  <c r="R1772" i="11"/>
  <c r="Q1762" i="11" a="1"/>
  <c r="Q1762" i="11" s="1"/>
  <c r="R1762" i="11"/>
  <c r="Q1752" i="11" a="1"/>
  <c r="Q1752" i="11" s="1"/>
  <c r="R1752" i="11"/>
  <c r="Q1744" i="11" a="1"/>
  <c r="Q1744" i="11" s="1"/>
  <c r="R1744" i="11"/>
  <c r="Q1736" i="11" a="1"/>
  <c r="Q1736" i="11" s="1"/>
  <c r="R1736" i="11"/>
  <c r="Q1719" i="11" a="1"/>
  <c r="Q1719" i="11" s="1"/>
  <c r="R1719" i="11"/>
  <c r="Q1709" i="11" a="1"/>
  <c r="Q1709" i="11" s="1"/>
  <c r="R1709" i="11"/>
  <c r="Q1700" i="11" a="1"/>
  <c r="Q1700" i="11" s="1"/>
  <c r="R1700" i="11"/>
  <c r="Q1692" i="11" a="1"/>
  <c r="Q1692" i="11" s="1"/>
  <c r="R1692" i="11"/>
  <c r="Q1684" i="11" a="1"/>
  <c r="Q1684" i="11" s="1"/>
  <c r="R1684" i="11"/>
  <c r="Q1675" i="11" a="1"/>
  <c r="Q1675" i="11" s="1"/>
  <c r="R1675" i="11"/>
  <c r="Q1667" i="11" a="1"/>
  <c r="Q1667" i="11" s="1"/>
  <c r="R1667" i="11"/>
  <c r="Q1658" i="11" a="1"/>
  <c r="Q1658" i="11" s="1"/>
  <c r="R1658" i="11"/>
  <c r="Q1650" i="11" a="1"/>
  <c r="Q1650" i="11" s="1"/>
  <c r="R1650" i="11"/>
  <c r="Q1640" i="11" a="1"/>
  <c r="Q1640" i="11" s="1"/>
  <c r="R1640" i="11"/>
  <c r="Q1631" i="11" a="1"/>
  <c r="Q1631" i="11" s="1"/>
  <c r="R1631" i="11"/>
  <c r="Q1623" i="11" a="1"/>
  <c r="Q1623" i="11" s="1"/>
  <c r="R1623" i="11"/>
  <c r="Q1614" i="11" a="1"/>
  <c r="Q1614" i="11" s="1"/>
  <c r="R1614" i="11"/>
  <c r="Q1605" i="11" a="1"/>
  <c r="Q1605" i="11" s="1"/>
  <c r="R1605" i="11"/>
  <c r="Q1596" i="11" a="1"/>
  <c r="Q1596" i="11" s="1"/>
  <c r="R1596" i="11"/>
  <c r="Q1587" i="11" a="1"/>
  <c r="Q1587" i="11" s="1"/>
  <c r="R1587" i="11"/>
  <c r="Q1578" i="11" a="1"/>
  <c r="Q1578" i="11" s="1"/>
  <c r="R1578" i="11"/>
  <c r="Q1569" i="11" a="1"/>
  <c r="Q1569" i="11" s="1"/>
  <c r="R1569" i="11"/>
  <c r="Q1560" i="11" a="1"/>
  <c r="Q1560" i="11" s="1"/>
  <c r="R1560" i="11"/>
  <c r="Q1551" i="11" a="1"/>
  <c r="Q1551" i="11" s="1"/>
  <c r="R1551" i="11"/>
  <c r="Q1542" i="11" a="1"/>
  <c r="Q1542" i="11" s="1"/>
  <c r="R1542" i="11"/>
  <c r="Q1533" i="11" a="1"/>
  <c r="Q1533" i="11" s="1"/>
  <c r="R1533" i="11"/>
  <c r="Q1525" i="11" a="1"/>
  <c r="Q1525" i="11" s="1"/>
  <c r="R1525" i="11"/>
  <c r="Q1516" i="11" a="1"/>
  <c r="Q1516" i="11" s="1"/>
  <c r="R1516" i="11"/>
  <c r="Q1507" i="11" a="1"/>
  <c r="Q1507" i="11" s="1"/>
  <c r="R1507" i="11"/>
  <c r="Q1498" i="11" a="1"/>
  <c r="Q1498" i="11" s="1"/>
  <c r="R1498" i="11"/>
  <c r="Q1489" i="11" a="1"/>
  <c r="Q1489" i="11" s="1"/>
  <c r="R1489" i="11"/>
  <c r="Q1480" i="11" a="1"/>
  <c r="Q1480" i="11" s="1"/>
  <c r="R1480" i="11"/>
  <c r="Q1471" i="11" a="1"/>
  <c r="Q1471" i="11" s="1"/>
  <c r="R1471" i="11"/>
  <c r="Q1462" i="11" a="1"/>
  <c r="Q1462" i="11" s="1"/>
  <c r="R1462" i="11"/>
  <c r="Q1453" i="11" a="1"/>
  <c r="Q1453" i="11" s="1"/>
  <c r="R1453" i="11"/>
  <c r="Q1444" i="11" a="1"/>
  <c r="Q1444" i="11" s="1"/>
  <c r="R1444" i="11"/>
  <c r="Q1435" i="11" a="1"/>
  <c r="Q1435" i="11" s="1"/>
  <c r="R1435" i="11"/>
  <c r="Q1426" i="11" a="1"/>
  <c r="Q1426" i="11" s="1"/>
  <c r="R1426" i="11"/>
  <c r="Q1418" i="11" a="1"/>
  <c r="Q1418" i="11" s="1"/>
  <c r="R1418" i="11"/>
  <c r="Q1409" i="11" a="1"/>
  <c r="Q1409" i="11" s="1"/>
  <c r="R1409" i="11"/>
  <c r="Q1400" i="11" a="1"/>
  <c r="Q1400" i="11" s="1"/>
  <c r="R1400" i="11"/>
  <c r="Q1391" i="11" a="1"/>
  <c r="Q1391" i="11" s="1"/>
  <c r="R1391" i="11"/>
  <c r="Q1383" i="11" a="1"/>
  <c r="Q1383" i="11" s="1"/>
  <c r="R1383" i="11"/>
  <c r="Q1374" i="11" a="1"/>
  <c r="Q1374" i="11" s="1"/>
  <c r="R1374" i="11"/>
  <c r="Q1366" i="11" a="1"/>
  <c r="Q1366" i="11" s="1"/>
  <c r="R1366" i="11"/>
  <c r="Q1358" i="11" a="1"/>
  <c r="Q1358" i="11" s="1"/>
  <c r="R1358" i="11"/>
  <c r="Q1349" i="11" a="1"/>
  <c r="Q1349" i="11" s="1"/>
  <c r="R1349" i="11"/>
  <c r="Q1340" i="11" a="1"/>
  <c r="Q1340" i="11" s="1"/>
  <c r="R1340" i="11"/>
  <c r="Q1331" i="11" a="1"/>
  <c r="Q1331" i="11" s="1"/>
  <c r="R1331" i="11"/>
  <c r="Q1323" i="11" a="1"/>
  <c r="Q1323" i="11" s="1"/>
  <c r="R1323" i="11"/>
  <c r="Q1314" i="11" a="1"/>
  <c r="Q1314" i="11" s="1"/>
  <c r="R1314" i="11"/>
  <c r="Q1306" i="11" a="1"/>
  <c r="Q1306" i="11" s="1"/>
  <c r="R1306" i="11"/>
  <c r="Q1297" i="11" a="1"/>
  <c r="Q1297" i="11" s="1"/>
  <c r="R1297" i="11"/>
  <c r="Q1288" i="11" a="1"/>
  <c r="Q1288" i="11" s="1"/>
  <c r="R1288" i="11"/>
  <c r="Q1279" i="11" a="1"/>
  <c r="Q1279" i="11" s="1"/>
  <c r="R1279" i="11"/>
  <c r="Q1271" i="11" a="1"/>
  <c r="Q1271" i="11" s="1"/>
  <c r="R1271" i="11"/>
  <c r="Q1262" i="11" a="1"/>
  <c r="Q1262" i="11" s="1"/>
  <c r="R1262" i="11"/>
  <c r="Q1253" i="11" a="1"/>
  <c r="Q1253" i="11" s="1"/>
  <c r="R1253" i="11"/>
  <c r="Q1244" i="11" a="1"/>
  <c r="Q1244" i="11" s="1"/>
  <c r="R1244" i="11"/>
  <c r="Q1235" i="11" a="1"/>
  <c r="Q1235" i="11" s="1"/>
  <c r="R1235" i="11"/>
  <c r="Q1226" i="11" a="1"/>
  <c r="Q1226" i="11" s="1"/>
  <c r="R1226" i="11"/>
  <c r="Q1218" i="11" a="1"/>
  <c r="Q1218" i="11" s="1"/>
  <c r="R1218" i="11"/>
  <c r="Q1209" i="11" a="1"/>
  <c r="Q1209" i="11" s="1"/>
  <c r="R1209" i="11"/>
  <c r="Q1200" i="11" a="1"/>
  <c r="Q1200" i="11" s="1"/>
  <c r="R1200" i="11"/>
  <c r="Q1191" i="11" a="1"/>
  <c r="Q1191" i="11" s="1"/>
  <c r="R1191" i="11"/>
  <c r="Q1182" i="11" a="1"/>
  <c r="Q1182" i="11" s="1"/>
  <c r="R1182" i="11"/>
  <c r="Q1173" i="11" a="1"/>
  <c r="Q1173" i="11" s="1"/>
  <c r="R1173" i="11"/>
  <c r="Q1164" i="11" a="1"/>
  <c r="Q1164" i="11" s="1"/>
  <c r="R1164" i="11"/>
  <c r="Q1155" i="11" a="1"/>
  <c r="Q1155" i="11" s="1"/>
  <c r="R1155" i="11"/>
  <c r="Q1146" i="11" a="1"/>
  <c r="Q1146" i="11" s="1"/>
  <c r="R1146" i="11"/>
  <c r="Q1138" i="11" a="1"/>
  <c r="Q1138" i="11" s="1"/>
  <c r="R1138" i="11"/>
  <c r="Q1129" i="11" a="1"/>
  <c r="Q1129" i="11" s="1"/>
  <c r="R1129" i="11"/>
  <c r="Q1120" i="11" a="1"/>
  <c r="Q1120" i="11" s="1"/>
  <c r="R1120" i="11"/>
  <c r="Q1111" i="11" a="1"/>
  <c r="Q1111" i="11" s="1"/>
  <c r="R1111" i="11"/>
  <c r="Q1103" i="11" a="1"/>
  <c r="Q1103" i="11" s="1"/>
  <c r="R1103" i="11"/>
  <c r="Q1095" i="11" a="1"/>
  <c r="Q1095" i="11" s="1"/>
  <c r="R1095" i="11"/>
  <c r="Q1087" i="11" a="1"/>
  <c r="Q1087" i="11" s="1"/>
  <c r="R1087" i="11"/>
  <c r="Q1079" i="11" a="1"/>
  <c r="Q1079" i="11" s="1"/>
  <c r="R1079" i="11"/>
  <c r="Q1071" i="11" a="1"/>
  <c r="Q1071" i="11" s="1"/>
  <c r="R1071" i="11"/>
  <c r="Q1063" i="11" a="1"/>
  <c r="Q1063" i="11" s="1"/>
  <c r="R1063" i="11"/>
  <c r="Q1055" i="11" a="1"/>
  <c r="Q1055" i="11" s="1"/>
  <c r="R1055" i="11"/>
  <c r="Q1046" i="11" a="1"/>
  <c r="Q1046" i="11" s="1"/>
  <c r="R1046" i="11"/>
  <c r="Q1038" i="11" a="1"/>
  <c r="Q1038" i="11" s="1"/>
  <c r="R1038" i="11"/>
  <c r="Q1030" i="11" a="1"/>
  <c r="Q1030" i="11" s="1"/>
  <c r="R1030" i="11"/>
  <c r="Q1022" i="11" a="1"/>
  <c r="Q1022" i="11" s="1"/>
  <c r="R1022" i="11"/>
  <c r="Q1014" i="11" a="1"/>
  <c r="Q1014" i="11" s="1"/>
  <c r="R1014" i="11"/>
  <c r="Q1005" i="11" a="1"/>
  <c r="Q1005" i="11" s="1"/>
  <c r="R1005" i="11"/>
  <c r="Q996" i="11" a="1"/>
  <c r="Q996" i="11" s="1"/>
  <c r="R996" i="11"/>
  <c r="Q988" i="11" a="1"/>
  <c r="Q988" i="11" s="1"/>
  <c r="R988" i="11"/>
  <c r="Q980" i="11" a="1"/>
  <c r="Q980" i="11" s="1"/>
  <c r="R980" i="11"/>
  <c r="Q971" i="11" a="1"/>
  <c r="Q971" i="11" s="1"/>
  <c r="R971" i="11"/>
  <c r="Q962" i="11" a="1"/>
  <c r="Q962" i="11" s="1"/>
  <c r="R962" i="11"/>
  <c r="Q953" i="11" a="1"/>
  <c r="Q953" i="11" s="1"/>
  <c r="R953" i="11"/>
  <c r="Q945" i="11" a="1"/>
  <c r="Q945" i="11" s="1"/>
  <c r="R945" i="11"/>
  <c r="Q936" i="11" a="1"/>
  <c r="Q936" i="11" s="1"/>
  <c r="R936" i="11"/>
  <c r="Q927" i="11" a="1"/>
  <c r="Q927" i="11" s="1"/>
  <c r="R927" i="11"/>
  <c r="Q918" i="11" a="1"/>
  <c r="Q918" i="11" s="1"/>
  <c r="R918" i="11"/>
  <c r="Q909" i="11" a="1"/>
  <c r="Q909" i="11" s="1"/>
  <c r="R909" i="11"/>
  <c r="Q901" i="11" a="1"/>
  <c r="Q901" i="11" s="1"/>
  <c r="R901" i="11"/>
  <c r="Q892" i="11" a="1"/>
  <c r="Q892" i="11" s="1"/>
  <c r="R892" i="11"/>
  <c r="Q883" i="11" a="1"/>
  <c r="Q883" i="11" s="1"/>
  <c r="R883" i="11"/>
  <c r="Q875" i="11" a="1"/>
  <c r="Q875" i="11" s="1"/>
  <c r="R875" i="11"/>
  <c r="Q867" i="11" a="1"/>
  <c r="Q867" i="11" s="1"/>
  <c r="R867" i="11"/>
  <c r="Q859" i="11" a="1"/>
  <c r="Q859" i="11" s="1"/>
  <c r="R859" i="11"/>
  <c r="Q851" i="11" a="1"/>
  <c r="Q851" i="11" s="1"/>
  <c r="R851" i="11"/>
  <c r="Q842" i="11" a="1"/>
  <c r="Q842" i="11" s="1"/>
  <c r="R842" i="11"/>
  <c r="Q833" i="11" a="1"/>
  <c r="Q833" i="11" s="1"/>
  <c r="R833" i="11"/>
  <c r="Q825" i="11" a="1"/>
  <c r="Q825" i="11" s="1"/>
  <c r="R825" i="11"/>
  <c r="Q817" i="11" a="1"/>
  <c r="Q817" i="11" s="1"/>
  <c r="R817" i="11"/>
  <c r="Q808" i="11" a="1"/>
  <c r="Q808" i="11" s="1"/>
  <c r="R808" i="11"/>
  <c r="Q799" i="11" a="1"/>
  <c r="Q799" i="11" s="1"/>
  <c r="R799" i="11"/>
  <c r="Q791" i="11" a="1"/>
  <c r="Q791" i="11" s="1"/>
  <c r="R791" i="11"/>
  <c r="Q782" i="11" a="1"/>
  <c r="Q782" i="11" s="1"/>
  <c r="R782" i="11"/>
  <c r="Q774" i="11" a="1"/>
  <c r="Q774" i="11" s="1"/>
  <c r="R774" i="11"/>
  <c r="Q766" i="11" a="1"/>
  <c r="Q766" i="11" s="1"/>
  <c r="R766" i="11"/>
  <c r="Q758" i="11" a="1"/>
  <c r="Q758" i="11" s="1"/>
  <c r="R758" i="11"/>
  <c r="Q750" i="11" a="1"/>
  <c r="Q750" i="11" s="1"/>
  <c r="R750" i="11"/>
  <c r="Q742" i="11" a="1"/>
  <c r="Q742" i="11" s="1"/>
  <c r="R742" i="11"/>
  <c r="Q733" i="11" a="1"/>
  <c r="Q733" i="11" s="1"/>
  <c r="R733" i="11"/>
  <c r="Q724" i="11" a="1"/>
  <c r="Q724" i="11" s="1"/>
  <c r="R724" i="11"/>
  <c r="Q715" i="11" a="1"/>
  <c r="Q715" i="11" s="1"/>
  <c r="R715" i="11"/>
  <c r="Q707" i="11" a="1"/>
  <c r="Q707" i="11" s="1"/>
  <c r="R707" i="11"/>
  <c r="Q698" i="11" a="1"/>
  <c r="Q698" i="11" s="1"/>
  <c r="R698" i="11"/>
  <c r="Q689" i="11" a="1"/>
  <c r="Q689" i="11" s="1"/>
  <c r="R689" i="11"/>
  <c r="Q681" i="11" a="1"/>
  <c r="Q681" i="11" s="1"/>
  <c r="R681" i="11"/>
  <c r="Q672" i="11" a="1"/>
  <c r="Q672" i="11" s="1"/>
  <c r="R672" i="11"/>
  <c r="Q663" i="11" a="1"/>
  <c r="Q663" i="11" s="1"/>
  <c r="R663" i="11"/>
  <c r="Q655" i="11" a="1"/>
  <c r="Q655" i="11" s="1"/>
  <c r="R655" i="11"/>
  <c r="Q647" i="11" a="1"/>
  <c r="Q647" i="11" s="1"/>
  <c r="R647" i="11"/>
  <c r="Q639" i="11" a="1"/>
  <c r="Q639" i="11" s="1"/>
  <c r="R639" i="11"/>
  <c r="Q631" i="11" a="1"/>
  <c r="Q631" i="11" s="1"/>
  <c r="R631" i="11"/>
  <c r="Q622" i="11" a="1"/>
  <c r="Q622" i="11" s="1"/>
  <c r="R622" i="11"/>
  <c r="Q614" i="11" a="1"/>
  <c r="Q614" i="11" s="1"/>
  <c r="R614" i="11"/>
  <c r="Q605" i="11" a="1"/>
  <c r="Q605" i="11" s="1"/>
  <c r="R605" i="11"/>
  <c r="Q596" i="11" a="1"/>
  <c r="Q596" i="11" s="1"/>
  <c r="R596" i="11"/>
  <c r="Q588" i="11" a="1"/>
  <c r="Q588" i="11" s="1"/>
  <c r="R588" i="11"/>
  <c r="Q580" i="11" a="1"/>
  <c r="Q580" i="11" s="1"/>
  <c r="R580" i="11"/>
  <c r="Q571" i="11" a="1"/>
  <c r="Q571" i="11" s="1"/>
  <c r="R571" i="11"/>
  <c r="Q563" i="11" a="1"/>
  <c r="Q563" i="11" s="1"/>
  <c r="R563" i="11"/>
  <c r="Q554" i="11" a="1"/>
  <c r="Q554" i="11" s="1"/>
  <c r="R554" i="11"/>
  <c r="Q545" i="11" a="1"/>
  <c r="Q545" i="11" s="1"/>
  <c r="R545" i="11"/>
  <c r="Q537" i="11" a="1"/>
  <c r="Q537" i="11" s="1"/>
  <c r="R537" i="11"/>
  <c r="Q528" i="11" a="1"/>
  <c r="Q528" i="11" s="1"/>
  <c r="R528" i="11"/>
  <c r="Q519" i="11" a="1"/>
  <c r="Q519" i="11" s="1"/>
  <c r="R519" i="11"/>
  <c r="Q511" i="11" a="1"/>
  <c r="Q511" i="11" s="1"/>
  <c r="R511" i="11"/>
  <c r="Q502" i="11" a="1"/>
  <c r="Q502" i="11" s="1"/>
  <c r="R502" i="11"/>
  <c r="Q493" i="11" a="1"/>
  <c r="Q493" i="11" s="1"/>
  <c r="R493" i="11"/>
  <c r="Q485" i="11" a="1"/>
  <c r="Q485" i="11" s="1"/>
  <c r="R485" i="11"/>
  <c r="Q476" i="11" a="1"/>
  <c r="Q476" i="11" s="1"/>
  <c r="R476" i="11"/>
  <c r="Q467" i="11" a="1"/>
  <c r="Q467" i="11" s="1"/>
  <c r="R467" i="11"/>
  <c r="Q459" i="11" a="1"/>
  <c r="Q459" i="11" s="1"/>
  <c r="R459" i="11"/>
  <c r="Q450" i="11" a="1"/>
  <c r="Q450" i="11" s="1"/>
  <c r="R450" i="11"/>
  <c r="Q442" i="11" a="1"/>
  <c r="Q442" i="11" s="1"/>
  <c r="R442" i="11"/>
  <c r="Q434" i="11" a="1"/>
  <c r="Q434" i="11" s="1"/>
  <c r="R434" i="11"/>
  <c r="Q426" i="11" a="1"/>
  <c r="Q426" i="11" s="1"/>
  <c r="R426" i="11"/>
  <c r="Q418" i="11" a="1"/>
  <c r="Q418" i="11" s="1"/>
  <c r="R418" i="11"/>
  <c r="Q410" i="11" a="1"/>
  <c r="Q410" i="11" s="1"/>
  <c r="R410" i="11"/>
  <c r="Q402" i="11" a="1"/>
  <c r="Q402" i="11" s="1"/>
  <c r="R402" i="11"/>
  <c r="Q393" i="11" a="1"/>
  <c r="Q393" i="11" s="1"/>
  <c r="R393" i="11"/>
  <c r="Q384" i="11" a="1"/>
  <c r="Q384" i="11" s="1"/>
  <c r="R384" i="11"/>
  <c r="Q376" i="11" a="1"/>
  <c r="Q376" i="11" s="1"/>
  <c r="R376" i="11"/>
  <c r="Q367" i="11" a="1"/>
  <c r="Q367" i="11" s="1"/>
  <c r="R367" i="11"/>
  <c r="Q359" i="11" a="1"/>
  <c r="Q359" i="11" s="1"/>
  <c r="R359" i="11"/>
  <c r="Q350" i="11" a="1"/>
  <c r="Q350" i="11" s="1"/>
  <c r="R350" i="11"/>
  <c r="Q342" i="11" a="1"/>
  <c r="Q342" i="11" s="1"/>
  <c r="R342" i="11"/>
  <c r="Q333" i="11" a="1"/>
  <c r="Q333" i="11" s="1"/>
  <c r="R333" i="11"/>
  <c r="Q324" i="11" a="1"/>
  <c r="Q324" i="11" s="1"/>
  <c r="R324" i="11"/>
  <c r="Q316" i="11" a="1"/>
  <c r="Q316" i="11" s="1"/>
  <c r="R316" i="11"/>
  <c r="Q308" i="11" a="1"/>
  <c r="Q308" i="11" s="1"/>
  <c r="R308" i="11"/>
  <c r="Q300" i="11" a="1"/>
  <c r="Q300" i="11" s="1"/>
  <c r="R300" i="11"/>
  <c r="Q292" i="11" a="1"/>
  <c r="Q292" i="11" s="1"/>
  <c r="R292" i="11"/>
  <c r="Q283" i="11" a="1"/>
  <c r="Q283" i="11" s="1"/>
  <c r="R283" i="11"/>
  <c r="Q275" i="11" a="1"/>
  <c r="Q275" i="11" s="1"/>
  <c r="R275" i="11"/>
  <c r="Q266" i="11" a="1"/>
  <c r="Q266" i="11" s="1"/>
  <c r="R266" i="11"/>
  <c r="Q258" i="11" a="1"/>
  <c r="Q258" i="11" s="1"/>
  <c r="R258" i="11"/>
  <c r="Q249" i="11" a="1"/>
  <c r="Q249" i="11" s="1"/>
  <c r="R249" i="11"/>
  <c r="Q240" i="11" a="1"/>
  <c r="Q240" i="11" s="1"/>
  <c r="R240" i="11"/>
  <c r="Q232" i="11" a="1"/>
  <c r="Q232" i="11" s="1"/>
  <c r="R232" i="11"/>
  <c r="Q223" i="11" a="1"/>
  <c r="Q223" i="11" s="1"/>
  <c r="R223" i="11"/>
  <c r="Q215" i="11" a="1"/>
  <c r="Q215" i="11" s="1"/>
  <c r="R215" i="11"/>
  <c r="Q207" i="11" a="1"/>
  <c r="Q207" i="11" s="1"/>
  <c r="R207" i="11"/>
  <c r="Q199" i="11" a="1"/>
  <c r="Q199" i="11" s="1"/>
  <c r="R199" i="11"/>
  <c r="Q191" i="11" a="1"/>
  <c r="Q191" i="11" s="1"/>
  <c r="R191" i="11"/>
  <c r="Q183" i="11" a="1"/>
  <c r="Q183" i="11" s="1"/>
  <c r="R183" i="11"/>
  <c r="Q174" i="11" a="1"/>
  <c r="Q174" i="11" s="1"/>
  <c r="R174" i="11"/>
  <c r="Q166" i="11" a="1"/>
  <c r="Q166" i="11" s="1"/>
  <c r="R166" i="11"/>
  <c r="Q157" i="11" a="1"/>
  <c r="Q157" i="11" s="1"/>
  <c r="R157" i="11"/>
  <c r="Q149" i="11" a="1"/>
  <c r="Q149" i="11" s="1"/>
  <c r="R149" i="11"/>
  <c r="Q141" i="11" a="1"/>
  <c r="Q141" i="11" s="1"/>
  <c r="R141" i="11"/>
  <c r="Q132" i="11" a="1"/>
  <c r="Q132" i="11" s="1"/>
  <c r="R132" i="11"/>
  <c r="Q124" i="11" a="1"/>
  <c r="Q124" i="11" s="1"/>
  <c r="R124" i="11"/>
  <c r="Q115" i="11" a="1"/>
  <c r="Q115" i="11" s="1"/>
  <c r="R115" i="11"/>
  <c r="Q107" i="11" a="1"/>
  <c r="Q107" i="11" s="1"/>
  <c r="R107" i="11"/>
  <c r="Q98" i="11" a="1"/>
  <c r="Q98" i="11" s="1"/>
  <c r="R98" i="11"/>
  <c r="Q90" i="11" a="1"/>
  <c r="Q90" i="11" s="1"/>
  <c r="R90" i="11"/>
  <c r="Q82" i="11" a="1"/>
  <c r="Q82" i="11" s="1"/>
  <c r="R82" i="11"/>
  <c r="Q74" i="11" a="1"/>
  <c r="Q74" i="11" s="1"/>
  <c r="R74" i="11"/>
  <c r="Q65" i="11" a="1"/>
  <c r="Q65" i="11" s="1"/>
  <c r="R65" i="11"/>
  <c r="Q57" i="11" a="1"/>
  <c r="Q57" i="11" s="1"/>
  <c r="R57" i="11"/>
  <c r="Q49" i="11" a="1"/>
  <c r="Q49" i="11" s="1"/>
  <c r="R49" i="11"/>
  <c r="Q41" i="11" a="1"/>
  <c r="Q41" i="11" s="1"/>
  <c r="R41" i="11"/>
  <c r="Q33" i="11" a="1"/>
  <c r="Q33" i="11" s="1"/>
  <c r="R33" i="11"/>
  <c r="R2217" i="11"/>
  <c r="Q1397" i="11" a="1"/>
  <c r="Q1397" i="11" s="1"/>
  <c r="R1397" i="11" s="1"/>
  <c r="Q2193" i="11" a="1"/>
  <c r="Q2193" i="11" s="1"/>
  <c r="R2193" i="11" s="1"/>
  <c r="Q2192" i="11" a="1"/>
  <c r="Q2192" i="11" s="1"/>
  <c r="R2192" i="11" s="1"/>
  <c r="P2096" i="11"/>
  <c r="Q1704" i="11" a="1"/>
  <c r="Q1704" i="11" s="1"/>
  <c r="R1704" i="11" s="1"/>
  <c r="Q2127" i="11" a="1"/>
  <c r="Q2127" i="11" s="1"/>
  <c r="R2127" i="11"/>
  <c r="Q2029" i="11" a="1"/>
  <c r="Q2029" i="11" s="1"/>
  <c r="R2029" i="11"/>
  <c r="Q2007" i="11" a="1"/>
  <c r="Q2007" i="11" s="1"/>
  <c r="R2007" i="11"/>
  <c r="Q1913" i="11" a="1"/>
  <c r="Q1913" i="11" s="1"/>
  <c r="R1913" i="11"/>
  <c r="Q2167" i="11" a="1"/>
  <c r="Q2167" i="11" s="1"/>
  <c r="R2167" i="11" s="1"/>
  <c r="P2102" i="11"/>
  <c r="Q2006" i="11" a="1"/>
  <c r="Q2006" i="11" s="1"/>
  <c r="R2006" i="11" s="1"/>
  <c r="Q2189" i="11" a="1"/>
  <c r="Q2189" i="11" s="1"/>
  <c r="R2189" i="11" s="1"/>
  <c r="P2182" i="11"/>
  <c r="P2062" i="11"/>
  <c r="P1934" i="11"/>
  <c r="P2211" i="11"/>
  <c r="P2187" i="11"/>
  <c r="P2179" i="11"/>
  <c r="P2163" i="11"/>
  <c r="P2154" i="11"/>
  <c r="P2019" i="11"/>
  <c r="P2003" i="11"/>
  <c r="P1979" i="11"/>
  <c r="P1971" i="11"/>
  <c r="P1835" i="11"/>
  <c r="P1795" i="11"/>
  <c r="P1635" i="11"/>
  <c r="P1539" i="11"/>
  <c r="P1491" i="11"/>
  <c r="P1427" i="11"/>
  <c r="P1379" i="11"/>
  <c r="P1227" i="11"/>
  <c r="P1187" i="11"/>
  <c r="P1147" i="11"/>
  <c r="P1011" i="11"/>
  <c r="P835" i="11"/>
  <c r="P611" i="11"/>
  <c r="P355" i="11"/>
  <c r="P123" i="11"/>
  <c r="Q2147" i="11" a="1"/>
  <c r="Q2147" i="11" s="1"/>
  <c r="R2147" i="11"/>
  <c r="Q2131" i="11" a="1"/>
  <c r="Q2131" i="11" s="1"/>
  <c r="R2131" i="11"/>
  <c r="Q2119" i="11" a="1"/>
  <c r="Q2119" i="11" s="1"/>
  <c r="R2119" i="11"/>
  <c r="Q2103" i="11" a="1"/>
  <c r="Q2103" i="11" s="1"/>
  <c r="R2103" i="11"/>
  <c r="Q2087" i="11" a="1"/>
  <c r="Q2087" i="11" s="1"/>
  <c r="R2087" i="11"/>
  <c r="Q2071" i="11" a="1"/>
  <c r="Q2071" i="11" s="1"/>
  <c r="R2071" i="11"/>
  <c r="Q2055" i="11" a="1"/>
  <c r="Q2055" i="11" s="1"/>
  <c r="R2055" i="11"/>
  <c r="Q2042" i="11" a="1"/>
  <c r="Q2042" i="11" s="1"/>
  <c r="R2042" i="11"/>
  <c r="Q2032" i="11" a="1"/>
  <c r="Q2032" i="11" s="1"/>
  <c r="R2032" i="11"/>
  <c r="Q2021" i="11" a="1"/>
  <c r="Q2021" i="11" s="1"/>
  <c r="R2021" i="11"/>
  <c r="Q2011" i="11" a="1"/>
  <c r="Q2011" i="11" s="1"/>
  <c r="R2011" i="11"/>
  <c r="Q1999" i="11" a="1"/>
  <c r="Q1999" i="11" s="1"/>
  <c r="R1999" i="11"/>
  <c r="Q1987" i="11" a="1"/>
  <c r="Q1987" i="11" s="1"/>
  <c r="R1987" i="11"/>
  <c r="Q1976" i="11" a="1"/>
  <c r="Q1976" i="11" s="1"/>
  <c r="R1976" i="11"/>
  <c r="Q1965" i="11" a="1"/>
  <c r="Q1965" i="11" s="1"/>
  <c r="R1965" i="11"/>
  <c r="Q1955" i="11" a="1"/>
  <c r="Q1955" i="11" s="1"/>
  <c r="R1955" i="11"/>
  <c r="Q1947" i="11" a="1"/>
  <c r="Q1947" i="11" s="1"/>
  <c r="R1947" i="11"/>
  <c r="Q1937" i="11" a="1"/>
  <c r="Q1937" i="11" s="1"/>
  <c r="R1937" i="11"/>
  <c r="Q1927" i="11" a="1"/>
  <c r="Q1927" i="11" s="1"/>
  <c r="R1927" i="11"/>
  <c r="Q1917" i="11" a="1"/>
  <c r="Q1917" i="11" s="1"/>
  <c r="R1917" i="11"/>
  <c r="Q1908" i="11" a="1"/>
  <c r="Q1908" i="11" s="1"/>
  <c r="R1908" i="11"/>
  <c r="Q1897" i="11" a="1"/>
  <c r="Q1897" i="11" s="1"/>
  <c r="R1897" i="11"/>
  <c r="Q1887" i="11" a="1"/>
  <c r="Q1887" i="11" s="1"/>
  <c r="R1887" i="11"/>
  <c r="Q1878" i="11" a="1"/>
  <c r="Q1878" i="11" s="1"/>
  <c r="R1878" i="11"/>
  <c r="Q1868" i="11" a="1"/>
  <c r="Q1868" i="11" s="1"/>
  <c r="R1868" i="11"/>
  <c r="Q1858" i="11" a="1"/>
  <c r="Q1858" i="11" s="1"/>
  <c r="R1858" i="11"/>
  <c r="Q1848" i="11" a="1"/>
  <c r="Q1848" i="11" s="1"/>
  <c r="R1848" i="11"/>
  <c r="Q1839" i="11" a="1"/>
  <c r="Q1839" i="11" s="1"/>
  <c r="R1839" i="11"/>
  <c r="Q1829" i="11" a="1"/>
  <c r="Q1829" i="11" s="1"/>
  <c r="R1829" i="11"/>
  <c r="Q1819" i="11" a="1"/>
  <c r="Q1819" i="11" s="1"/>
  <c r="R1819" i="11"/>
  <c r="Q1809" i="11" a="1"/>
  <c r="Q1809" i="11" s="1"/>
  <c r="R1809" i="11"/>
  <c r="Q1799" i="11" a="1"/>
  <c r="Q1799" i="11" s="1"/>
  <c r="R1799" i="11"/>
  <c r="Q1789" i="11" a="1"/>
  <c r="Q1789" i="11" s="1"/>
  <c r="R1789" i="11"/>
  <c r="Q1779" i="11" a="1"/>
  <c r="Q1779" i="11" s="1"/>
  <c r="R1779" i="11"/>
  <c r="Q1771" i="11" a="1"/>
  <c r="Q1771" i="11" s="1"/>
  <c r="R1771" i="11"/>
  <c r="Q1761" i="11" a="1"/>
  <c r="Q1761" i="11" s="1"/>
  <c r="R1761" i="11"/>
  <c r="Q1751" i="11" a="1"/>
  <c r="Q1751" i="11" s="1"/>
  <c r="R1751" i="11"/>
  <c r="Q1743" i="11" a="1"/>
  <c r="Q1743" i="11" s="1"/>
  <c r="R1743" i="11"/>
  <c r="Q1735" i="11" a="1"/>
  <c r="Q1735" i="11" s="1"/>
  <c r="R1735" i="11"/>
  <c r="Q1727" i="11" a="1"/>
  <c r="Q1727" i="11" s="1"/>
  <c r="R1727" i="11"/>
  <c r="Q1718" i="11" a="1"/>
  <c r="Q1718" i="11" s="1"/>
  <c r="R1718" i="11"/>
  <c r="Q1708" i="11" a="1"/>
  <c r="Q1708" i="11" s="1"/>
  <c r="R1708" i="11"/>
  <c r="Q1699" i="11" a="1"/>
  <c r="Q1699" i="11" s="1"/>
  <c r="R1699" i="11"/>
  <c r="Q1691" i="11" a="1"/>
  <c r="Q1691" i="11" s="1"/>
  <c r="R1691" i="11"/>
  <c r="Q1683" i="11" a="1"/>
  <c r="Q1683" i="11" s="1"/>
  <c r="R1683" i="11"/>
  <c r="Q1674" i="11" a="1"/>
  <c r="Q1674" i="11" s="1"/>
  <c r="R1674" i="11"/>
  <c r="Q1666" i="11" a="1"/>
  <c r="Q1666" i="11" s="1"/>
  <c r="R1666" i="11"/>
  <c r="Q1657" i="11" a="1"/>
  <c r="Q1657" i="11" s="1"/>
  <c r="R1657" i="11"/>
  <c r="Q1648" i="11" a="1"/>
  <c r="Q1648" i="11" s="1"/>
  <c r="R1648" i="11"/>
  <c r="Q1639" i="11" a="1"/>
  <c r="Q1639" i="11" s="1"/>
  <c r="R1639" i="11"/>
  <c r="Q1630" i="11" a="1"/>
  <c r="Q1630" i="11" s="1"/>
  <c r="R1630" i="11"/>
  <c r="Q1622" i="11" a="1"/>
  <c r="Q1622" i="11" s="1"/>
  <c r="R1622" i="11"/>
  <c r="Q1613" i="11" a="1"/>
  <c r="Q1613" i="11" s="1"/>
  <c r="R1613" i="11"/>
  <c r="Q1604" i="11" a="1"/>
  <c r="Q1604" i="11" s="1"/>
  <c r="R1604" i="11"/>
  <c r="Q1595" i="11" a="1"/>
  <c r="Q1595" i="11" s="1"/>
  <c r="R1595" i="11"/>
  <c r="Q1586" i="11" a="1"/>
  <c r="Q1586" i="11" s="1"/>
  <c r="R1586" i="11"/>
  <c r="Q1577" i="11" a="1"/>
  <c r="Q1577" i="11" s="1"/>
  <c r="R1577" i="11"/>
  <c r="Q1568" i="11" a="1"/>
  <c r="Q1568" i="11" s="1"/>
  <c r="R1568" i="11"/>
  <c r="Q1559" i="11" a="1"/>
  <c r="Q1559" i="11" s="1"/>
  <c r="R1559" i="11"/>
  <c r="Q1550" i="11" a="1"/>
  <c r="Q1550" i="11" s="1"/>
  <c r="R1550" i="11"/>
  <c r="Q1541" i="11" a="1"/>
  <c r="Q1541" i="11" s="1"/>
  <c r="R1541" i="11"/>
  <c r="Q1532" i="11" a="1"/>
  <c r="Q1532" i="11" s="1"/>
  <c r="R1532" i="11"/>
  <c r="Q1524" i="11" a="1"/>
  <c r="Q1524" i="11" s="1"/>
  <c r="R1524" i="11"/>
  <c r="Q1515" i="11" a="1"/>
  <c r="Q1515" i="11" s="1"/>
  <c r="R1515" i="11"/>
  <c r="Q1506" i="11" a="1"/>
  <c r="Q1506" i="11" s="1"/>
  <c r="R1506" i="11"/>
  <c r="Q1497" i="11" a="1"/>
  <c r="Q1497" i="11" s="1"/>
  <c r="R1497" i="11"/>
  <c r="Q1488" i="11" a="1"/>
  <c r="Q1488" i="11" s="1"/>
  <c r="R1488" i="11"/>
  <c r="Q1479" i="11" a="1"/>
  <c r="Q1479" i="11" s="1"/>
  <c r="R1479" i="11"/>
  <c r="Q1470" i="11" a="1"/>
  <c r="Q1470" i="11" s="1"/>
  <c r="R1470" i="11"/>
  <c r="Q1461" i="11" a="1"/>
  <c r="Q1461" i="11" s="1"/>
  <c r="R1461" i="11"/>
  <c r="Q1452" i="11" a="1"/>
  <c r="Q1452" i="11" s="1"/>
  <c r="R1452" i="11"/>
  <c r="Q1443" i="11" a="1"/>
  <c r="Q1443" i="11" s="1"/>
  <c r="R1443" i="11"/>
  <c r="Q1434" i="11" a="1"/>
  <c r="Q1434" i="11" s="1"/>
  <c r="R1434" i="11"/>
  <c r="Q1425" i="11" a="1"/>
  <c r="Q1425" i="11" s="1"/>
  <c r="R1425" i="11"/>
  <c r="Q1416" i="11" a="1"/>
  <c r="Q1416" i="11" s="1"/>
  <c r="R1416" i="11"/>
  <c r="Q1408" i="11" a="1"/>
  <c r="Q1408" i="11" s="1"/>
  <c r="R1408" i="11"/>
  <c r="Q1399" i="11" a="1"/>
  <c r="Q1399" i="11" s="1"/>
  <c r="R1399" i="11"/>
  <c r="Q1390" i="11" a="1"/>
  <c r="Q1390" i="11" s="1"/>
  <c r="R1390" i="11"/>
  <c r="Q1382" i="11" a="1"/>
  <c r="Q1382" i="11" s="1"/>
  <c r="R1382" i="11"/>
  <c r="Q1373" i="11" a="1"/>
  <c r="Q1373" i="11" s="1"/>
  <c r="R1373" i="11"/>
  <c r="Q1365" i="11" a="1"/>
  <c r="Q1365" i="11" s="1"/>
  <c r="R1365" i="11"/>
  <c r="Q1357" i="11" a="1"/>
  <c r="Q1357" i="11" s="1"/>
  <c r="R1357" i="11"/>
  <c r="Q1348" i="11" a="1"/>
  <c r="Q1348" i="11" s="1"/>
  <c r="R1348" i="11"/>
  <c r="Q1339" i="11" a="1"/>
  <c r="Q1339" i="11" s="1"/>
  <c r="R1339" i="11"/>
  <c r="Q1330" i="11" a="1"/>
  <c r="Q1330" i="11" s="1"/>
  <c r="R1330" i="11"/>
  <c r="Q1322" i="11" a="1"/>
  <c r="Q1322" i="11" s="1"/>
  <c r="R1322" i="11"/>
  <c r="Q1313" i="11" a="1"/>
  <c r="Q1313" i="11" s="1"/>
  <c r="R1313" i="11"/>
  <c r="Q1305" i="11" a="1"/>
  <c r="Q1305" i="11" s="1"/>
  <c r="R1305" i="11"/>
  <c r="Q1296" i="11" a="1"/>
  <c r="Q1296" i="11" s="1"/>
  <c r="R1296" i="11"/>
  <c r="Q1287" i="11" a="1"/>
  <c r="Q1287" i="11" s="1"/>
  <c r="R1287" i="11"/>
  <c r="Q1278" i="11" a="1"/>
  <c r="Q1278" i="11" s="1"/>
  <c r="R1278" i="11"/>
  <c r="Q1269" i="11" a="1"/>
  <c r="Q1269" i="11" s="1"/>
  <c r="R1269" i="11"/>
  <c r="Q1261" i="11" a="1"/>
  <c r="Q1261" i="11" s="1"/>
  <c r="R1261" i="11"/>
  <c r="Q1252" i="11" a="1"/>
  <c r="Q1252" i="11" s="1"/>
  <c r="R1252" i="11"/>
  <c r="Q1243" i="11" a="1"/>
  <c r="Q1243" i="11" s="1"/>
  <c r="R1243" i="11"/>
  <c r="Q1234" i="11" a="1"/>
  <c r="Q1234" i="11" s="1"/>
  <c r="R1234" i="11"/>
  <c r="Q1225" i="11" a="1"/>
  <c r="Q1225" i="11" s="1"/>
  <c r="R1225" i="11"/>
  <c r="Q1216" i="11" a="1"/>
  <c r="Q1216" i="11" s="1"/>
  <c r="R1216" i="11"/>
  <c r="Q1208" i="11" a="1"/>
  <c r="Q1208" i="11" s="1"/>
  <c r="R1208" i="11"/>
  <c r="Q1199" i="11" a="1"/>
  <c r="Q1199" i="11" s="1"/>
  <c r="R1199" i="11"/>
  <c r="Q1190" i="11" a="1"/>
  <c r="Q1190" i="11" s="1"/>
  <c r="R1190" i="11"/>
  <c r="Q1181" i="11" a="1"/>
  <c r="Q1181" i="11" s="1"/>
  <c r="R1181" i="11"/>
  <c r="Q1172" i="11" a="1"/>
  <c r="Q1172" i="11" s="1"/>
  <c r="R1172" i="11"/>
  <c r="Q1163" i="11" a="1"/>
  <c r="Q1163" i="11" s="1"/>
  <c r="R1163" i="11"/>
  <c r="Q1154" i="11" a="1"/>
  <c r="Q1154" i="11" s="1"/>
  <c r="R1154" i="11"/>
  <c r="Q1145" i="11" a="1"/>
  <c r="Q1145" i="11" s="1"/>
  <c r="R1145" i="11"/>
  <c r="Q1136" i="11" a="1"/>
  <c r="Q1136" i="11" s="1"/>
  <c r="R1136" i="11"/>
  <c r="Q1128" i="11" a="1"/>
  <c r="Q1128" i="11" s="1"/>
  <c r="R1128" i="11"/>
  <c r="Q1119" i="11" a="1"/>
  <c r="Q1119" i="11" s="1"/>
  <c r="R1119" i="11"/>
  <c r="Q1110" i="11" a="1"/>
  <c r="Q1110" i="11" s="1"/>
  <c r="R1110" i="11"/>
  <c r="Q1102" i="11" a="1"/>
  <c r="Q1102" i="11" s="1"/>
  <c r="R1102" i="11"/>
  <c r="Q1094" i="11" a="1"/>
  <c r="Q1094" i="11" s="1"/>
  <c r="R1094" i="11"/>
  <c r="Q1086" i="11" a="1"/>
  <c r="Q1086" i="11" s="1"/>
  <c r="R1086" i="11"/>
  <c r="Q1078" i="11" a="1"/>
  <c r="Q1078" i="11" s="1"/>
  <c r="R1078" i="11"/>
  <c r="Q1070" i="11" a="1"/>
  <c r="Q1070" i="11" s="1"/>
  <c r="R1070" i="11"/>
  <c r="Q1062" i="11" a="1"/>
  <c r="Q1062" i="11" s="1"/>
  <c r="R1062" i="11"/>
  <c r="Q1054" i="11" a="1"/>
  <c r="Q1054" i="11" s="1"/>
  <c r="R1054" i="11"/>
  <c r="Q1045" i="11" a="1"/>
  <c r="Q1045" i="11" s="1"/>
  <c r="R1045" i="11"/>
  <c r="Q1037" i="11" a="1"/>
  <c r="Q1037" i="11" s="1"/>
  <c r="R1037" i="11"/>
  <c r="Q1029" i="11" a="1"/>
  <c r="Q1029" i="11" s="1"/>
  <c r="R1029" i="11"/>
  <c r="Q1021" i="11" a="1"/>
  <c r="Q1021" i="11" s="1"/>
  <c r="R1021" i="11"/>
  <c r="Q1013" i="11" a="1"/>
  <c r="Q1013" i="11" s="1"/>
  <c r="R1013" i="11"/>
  <c r="Q1004" i="11" a="1"/>
  <c r="Q1004" i="11" s="1"/>
  <c r="R1004" i="11"/>
  <c r="Q995" i="11" a="1"/>
  <c r="Q995" i="11" s="1"/>
  <c r="R995" i="11"/>
  <c r="Q987" i="11" a="1"/>
  <c r="Q987" i="11" s="1"/>
  <c r="R987" i="11"/>
  <c r="Q979" i="11" a="1"/>
  <c r="Q979" i="11" s="1"/>
  <c r="R979" i="11"/>
  <c r="Q970" i="11" a="1"/>
  <c r="Q970" i="11" s="1"/>
  <c r="R970" i="11"/>
  <c r="Q961" i="11" a="1"/>
  <c r="Q961" i="11" s="1"/>
  <c r="R961" i="11"/>
  <c r="Q952" i="11" a="1"/>
  <c r="Q952" i="11" s="1"/>
  <c r="R952" i="11"/>
  <c r="Q943" i="11" a="1"/>
  <c r="Q943" i="11" s="1"/>
  <c r="R943" i="11"/>
  <c r="Q935" i="11" a="1"/>
  <c r="Q935" i="11" s="1"/>
  <c r="R935" i="11"/>
  <c r="Q926" i="11" a="1"/>
  <c r="Q926" i="11" s="1"/>
  <c r="R926" i="11"/>
  <c r="Q917" i="11" a="1"/>
  <c r="Q917" i="11" s="1"/>
  <c r="R917" i="11"/>
  <c r="Q908" i="11" a="1"/>
  <c r="Q908" i="11" s="1"/>
  <c r="R908" i="11"/>
  <c r="Q899" i="11" a="1"/>
  <c r="Q899" i="11" s="1"/>
  <c r="R899" i="11"/>
  <c r="Q891" i="11" a="1"/>
  <c r="Q891" i="11" s="1"/>
  <c r="R891" i="11"/>
  <c r="Q882" i="11" a="1"/>
  <c r="Q882" i="11" s="1"/>
  <c r="R882" i="11"/>
  <c r="Q874" i="11" a="1"/>
  <c r="Q874" i="11" s="1"/>
  <c r="R874" i="11"/>
  <c r="Q866" i="11" a="1"/>
  <c r="Q866" i="11" s="1"/>
  <c r="R866" i="11"/>
  <c r="Q858" i="11" a="1"/>
  <c r="Q858" i="11" s="1"/>
  <c r="R858" i="11"/>
  <c r="Q850" i="11" a="1"/>
  <c r="Q850" i="11" s="1"/>
  <c r="R850" i="11"/>
  <c r="Q841" i="11" a="1"/>
  <c r="Q841" i="11" s="1"/>
  <c r="R841" i="11"/>
  <c r="Q832" i="11" a="1"/>
  <c r="Q832" i="11" s="1"/>
  <c r="R832" i="11"/>
  <c r="Q824" i="11" a="1"/>
  <c r="Q824" i="11" s="1"/>
  <c r="R824" i="11"/>
  <c r="Q816" i="11" a="1"/>
  <c r="Q816" i="11" s="1"/>
  <c r="R816" i="11"/>
  <c r="Q807" i="11" a="1"/>
  <c r="Q807" i="11" s="1"/>
  <c r="R807" i="11"/>
  <c r="Q798" i="11" a="1"/>
  <c r="Q798" i="11" s="1"/>
  <c r="R798" i="11"/>
  <c r="Q789" i="11" a="1"/>
  <c r="Q789" i="11" s="1"/>
  <c r="R789" i="11"/>
  <c r="Q781" i="11" a="1"/>
  <c r="Q781" i="11" s="1"/>
  <c r="R781" i="11"/>
  <c r="Q773" i="11" a="1"/>
  <c r="Q773" i="11" s="1"/>
  <c r="R773" i="11"/>
  <c r="Q765" i="11" a="1"/>
  <c r="Q765" i="11" s="1"/>
  <c r="R765" i="11"/>
  <c r="Q757" i="11" a="1"/>
  <c r="Q757" i="11" s="1"/>
  <c r="R757" i="11"/>
  <c r="Q749" i="11" a="1"/>
  <c r="Q749" i="11" s="1"/>
  <c r="R749" i="11"/>
  <c r="Q741" i="11" a="1"/>
  <c r="Q741" i="11" s="1"/>
  <c r="R741" i="11"/>
  <c r="Q732" i="11" a="1"/>
  <c r="Q732" i="11" s="1"/>
  <c r="R732" i="11"/>
  <c r="Q723" i="11" a="1"/>
  <c r="Q723" i="11" s="1"/>
  <c r="R723" i="11"/>
  <c r="Q714" i="11" a="1"/>
  <c r="Q714" i="11" s="1"/>
  <c r="R714" i="11"/>
  <c r="Q706" i="11" a="1"/>
  <c r="Q706" i="11" s="1"/>
  <c r="R706" i="11"/>
  <c r="Q697" i="11" a="1"/>
  <c r="Q697" i="11" s="1"/>
  <c r="R697" i="11"/>
  <c r="Q688" i="11" a="1"/>
  <c r="Q688" i="11" s="1"/>
  <c r="R688" i="11"/>
  <c r="Q679" i="11" a="1"/>
  <c r="Q679" i="11" s="1"/>
  <c r="R679" i="11"/>
  <c r="Q671" i="11" a="1"/>
  <c r="Q671" i="11" s="1"/>
  <c r="R671" i="11"/>
  <c r="Q662" i="11" a="1"/>
  <c r="Q662" i="11" s="1"/>
  <c r="R662" i="11"/>
  <c r="Q654" i="11" a="1"/>
  <c r="Q654" i="11" s="1"/>
  <c r="R654" i="11"/>
  <c r="Q646" i="11" a="1"/>
  <c r="Q646" i="11" s="1"/>
  <c r="R646" i="11"/>
  <c r="Q638" i="11" a="1"/>
  <c r="Q638" i="11" s="1"/>
  <c r="R638" i="11"/>
  <c r="Q630" i="11" a="1"/>
  <c r="Q630" i="11" s="1"/>
  <c r="R630" i="11"/>
  <c r="Q621" i="11" a="1"/>
  <c r="Q621" i="11" s="1"/>
  <c r="R621" i="11"/>
  <c r="Q613" i="11" a="1"/>
  <c r="Q613" i="11" s="1"/>
  <c r="R613" i="11"/>
  <c r="Q604" i="11" a="1"/>
  <c r="Q604" i="11" s="1"/>
  <c r="R604" i="11"/>
  <c r="Q595" i="11" a="1"/>
  <c r="Q595" i="11" s="1"/>
  <c r="R595" i="11"/>
  <c r="Q587" i="11" a="1"/>
  <c r="Q587" i="11" s="1"/>
  <c r="R587" i="11"/>
  <c r="Q579" i="11" a="1"/>
  <c r="Q579" i="11" s="1"/>
  <c r="R579" i="11"/>
  <c r="Q570" i="11" a="1"/>
  <c r="Q570" i="11" s="1"/>
  <c r="R570" i="11"/>
  <c r="Q562" i="11" a="1"/>
  <c r="Q562" i="11" s="1"/>
  <c r="R562" i="11"/>
  <c r="Q553" i="11" a="1"/>
  <c r="Q553" i="11" s="1"/>
  <c r="R553" i="11"/>
  <c r="Q544" i="11" a="1"/>
  <c r="Q544" i="11" s="1"/>
  <c r="R544" i="11"/>
  <c r="Q536" i="11" a="1"/>
  <c r="Q536" i="11" s="1"/>
  <c r="R536" i="11"/>
  <c r="Q527" i="11" a="1"/>
  <c r="Q527" i="11" s="1"/>
  <c r="R527" i="11"/>
  <c r="Q518" i="11" a="1"/>
  <c r="Q518" i="11" s="1"/>
  <c r="R518" i="11"/>
  <c r="Q510" i="11" a="1"/>
  <c r="Q510" i="11" s="1"/>
  <c r="R510" i="11"/>
  <c r="Q501" i="11" a="1"/>
  <c r="Q501" i="11" s="1"/>
  <c r="R501" i="11"/>
  <c r="Q492" i="11" a="1"/>
  <c r="Q492" i="11" s="1"/>
  <c r="R492" i="11"/>
  <c r="Q484" i="11" a="1"/>
  <c r="Q484" i="11" s="1"/>
  <c r="R484" i="11"/>
  <c r="Q475" i="11" a="1"/>
  <c r="Q475" i="11" s="1"/>
  <c r="R475" i="11"/>
  <c r="Q466" i="11" a="1"/>
  <c r="Q466" i="11" s="1"/>
  <c r="R466" i="11"/>
  <c r="Q458" i="11" a="1"/>
  <c r="Q458" i="11" s="1"/>
  <c r="R458" i="11"/>
  <c r="Q449" i="11" a="1"/>
  <c r="Q449" i="11" s="1"/>
  <c r="R449" i="11"/>
  <c r="Q441" i="11" a="1"/>
  <c r="Q441" i="11" s="1"/>
  <c r="R441" i="11"/>
  <c r="Q433" i="11" a="1"/>
  <c r="Q433" i="11" s="1"/>
  <c r="R433" i="11"/>
  <c r="Q425" i="11" a="1"/>
  <c r="Q425" i="11" s="1"/>
  <c r="R425" i="11"/>
  <c r="Q417" i="11" a="1"/>
  <c r="Q417" i="11" s="1"/>
  <c r="R417" i="11"/>
  <c r="Q409" i="11" a="1"/>
  <c r="Q409" i="11" s="1"/>
  <c r="R409" i="11"/>
  <c r="Q401" i="11" a="1"/>
  <c r="Q401" i="11" s="1"/>
  <c r="R401" i="11"/>
  <c r="Q392" i="11" a="1"/>
  <c r="Q392" i="11" s="1"/>
  <c r="R392" i="11"/>
  <c r="Q383" i="11" a="1"/>
  <c r="Q383" i="11" s="1"/>
  <c r="R383" i="11"/>
  <c r="Q375" i="11" a="1"/>
  <c r="Q375" i="11" s="1"/>
  <c r="R375" i="11"/>
  <c r="Q366" i="11" a="1"/>
  <c r="Q366" i="11" s="1"/>
  <c r="R366" i="11"/>
  <c r="Q358" i="11" a="1"/>
  <c r="Q358" i="11" s="1"/>
  <c r="R358" i="11"/>
  <c r="Q349" i="11" a="1"/>
  <c r="Q349" i="11" s="1"/>
  <c r="R349" i="11"/>
  <c r="Q340" i="11" a="1"/>
  <c r="Q340" i="11" s="1"/>
  <c r="R340" i="11"/>
  <c r="Q332" i="11" a="1"/>
  <c r="Q332" i="11" s="1"/>
  <c r="R332" i="11"/>
  <c r="Q323" i="11" a="1"/>
  <c r="Q323" i="11" s="1"/>
  <c r="R323" i="11"/>
  <c r="Q315" i="11" a="1"/>
  <c r="Q315" i="11" s="1"/>
  <c r="R315" i="11"/>
  <c r="Q307" i="11" a="1"/>
  <c r="Q307" i="11" s="1"/>
  <c r="R307" i="11"/>
  <c r="Q299" i="11" a="1"/>
  <c r="Q299" i="11" s="1"/>
  <c r="R299" i="11"/>
  <c r="Q291" i="11" a="1"/>
  <c r="Q291" i="11" s="1"/>
  <c r="R291" i="11"/>
  <c r="Q282" i="11" a="1"/>
  <c r="Q282" i="11" s="1"/>
  <c r="R282" i="11"/>
  <c r="Q274" i="11" a="1"/>
  <c r="Q274" i="11" s="1"/>
  <c r="R274" i="11"/>
  <c r="Q265" i="11" a="1"/>
  <c r="Q265" i="11" s="1"/>
  <c r="R265" i="11"/>
  <c r="Q257" i="11" a="1"/>
  <c r="Q257" i="11" s="1"/>
  <c r="R257" i="11"/>
  <c r="Q248" i="11" a="1"/>
  <c r="Q248" i="11" s="1"/>
  <c r="R248" i="11"/>
  <c r="Q239" i="11" a="1"/>
  <c r="Q239" i="11" s="1"/>
  <c r="R239" i="11"/>
  <c r="Q231" i="11" a="1"/>
  <c r="Q231" i="11" s="1"/>
  <c r="R231" i="11"/>
  <c r="Q222" i="11" a="1"/>
  <c r="Q222" i="11" s="1"/>
  <c r="R222" i="11"/>
  <c r="Q214" i="11" a="1"/>
  <c r="Q214" i="11" s="1"/>
  <c r="R214" i="11"/>
  <c r="Q206" i="11" a="1"/>
  <c r="Q206" i="11" s="1"/>
  <c r="R206" i="11"/>
  <c r="Q198" i="11" a="1"/>
  <c r="Q198" i="11" s="1"/>
  <c r="R198" i="11"/>
  <c r="Q190" i="11" a="1"/>
  <c r="Q190" i="11" s="1"/>
  <c r="R190" i="11"/>
  <c r="Q182" i="11" a="1"/>
  <c r="Q182" i="11" s="1"/>
  <c r="R182" i="11"/>
  <c r="Q173" i="11" a="1"/>
  <c r="Q173" i="11" s="1"/>
  <c r="R173" i="11"/>
  <c r="Q165" i="11" a="1"/>
  <c r="Q165" i="11" s="1"/>
  <c r="R165" i="11"/>
  <c r="Q156" i="11" a="1"/>
  <c r="Q156" i="11" s="1"/>
  <c r="R156" i="11"/>
  <c r="Q148" i="11" a="1"/>
  <c r="Q148" i="11" s="1"/>
  <c r="R148" i="11"/>
  <c r="Q139" i="11" a="1"/>
  <c r="Q139" i="11" s="1"/>
  <c r="R139" i="11"/>
  <c r="Q131" i="11" a="1"/>
  <c r="Q131" i="11" s="1"/>
  <c r="R131" i="11"/>
  <c r="Q122" i="11" a="1"/>
  <c r="Q122" i="11" s="1"/>
  <c r="R122" i="11"/>
  <c r="Q114" i="11" a="1"/>
  <c r="Q114" i="11" s="1"/>
  <c r="R114" i="11"/>
  <c r="Q106" i="11" a="1"/>
  <c r="Q106" i="11" s="1"/>
  <c r="R106" i="11"/>
  <c r="Q97" i="11" a="1"/>
  <c r="Q97" i="11" s="1"/>
  <c r="R97" i="11"/>
  <c r="Q89" i="11" a="1"/>
  <c r="Q89" i="11" s="1"/>
  <c r="R89" i="11"/>
  <c r="Q81" i="11" a="1"/>
  <c r="Q81" i="11" s="1"/>
  <c r="R81" i="11"/>
  <c r="Q73" i="11" a="1"/>
  <c r="Q73" i="11" s="1"/>
  <c r="R73" i="11"/>
  <c r="Q64" i="11" a="1"/>
  <c r="Q64" i="11" s="1"/>
  <c r="R64" i="11"/>
  <c r="Q56" i="11" a="1"/>
  <c r="Q56" i="11" s="1"/>
  <c r="R56" i="11"/>
  <c r="Q48" i="11" a="1"/>
  <c r="Q48" i="11" s="1"/>
  <c r="R48" i="11"/>
  <c r="Q40" i="11" a="1"/>
  <c r="Q40" i="11" s="1"/>
  <c r="R40" i="11"/>
  <c r="Q32" i="11" a="1"/>
  <c r="Q32" i="11" s="1"/>
  <c r="R32" i="11"/>
  <c r="Q23" i="11" a="1"/>
  <c r="Q23" i="11" s="1"/>
  <c r="R23" i="11"/>
  <c r="Q15" i="11" a="1"/>
  <c r="Q15" i="11" s="1"/>
  <c r="R15" i="11"/>
  <c r="Q7" i="11" a="1"/>
  <c r="Q7" i="11" s="1"/>
  <c r="R7" i="11"/>
  <c r="Q18" i="11" a="1"/>
  <c r="Q18" i="11" s="1"/>
  <c r="R18" i="11"/>
  <c r="Q10" i="11" a="1"/>
  <c r="Q10" i="11" s="1"/>
  <c r="R10" i="11"/>
  <c r="Q2" i="11" a="1"/>
  <c r="Q2" i="11" s="1"/>
  <c r="R2" i="11"/>
  <c r="Q25" i="11" a="1"/>
  <c r="Q25" i="11" s="1"/>
  <c r="R25" i="11"/>
  <c r="Q17" i="11" a="1"/>
  <c r="Q17" i="11" s="1"/>
  <c r="R17" i="11"/>
  <c r="Q9" i="11" a="1"/>
  <c r="Q9" i="11" s="1"/>
  <c r="R9" i="11"/>
  <c r="Q24" i="11" a="1"/>
  <c r="Q24" i="11" s="1"/>
  <c r="R24" i="11"/>
  <c r="Q16" i="11" a="1"/>
  <c r="Q16" i="11" s="1"/>
  <c r="R16" i="11"/>
  <c r="Q8" i="11" a="1"/>
  <c r="Q8" i="11" s="1"/>
  <c r="R8" i="11"/>
  <c r="P2173" i="11"/>
  <c r="P1053" i="11"/>
  <c r="P2214" i="11"/>
  <c r="P1197" i="11"/>
  <c r="P2165" i="11"/>
  <c r="P2022" i="11"/>
  <c r="P2195" i="11"/>
  <c r="P2043" i="11"/>
  <c r="P1755" i="11"/>
  <c r="P955" i="11"/>
  <c r="P483" i="11"/>
  <c r="P2190" i="11"/>
  <c r="P2219" i="11"/>
  <c r="P2203" i="11"/>
  <c r="P2171" i="11"/>
  <c r="P1963" i="11"/>
  <c r="P1867" i="11"/>
  <c r="P2205" i="11"/>
  <c r="P1557" i="11"/>
  <c r="P2220" i="11"/>
  <c r="P2204" i="11"/>
  <c r="P2196" i="11"/>
  <c r="P2188" i="11"/>
  <c r="P2172" i="11"/>
  <c r="P2164" i="11"/>
  <c r="P2148" i="11"/>
  <c r="P2140" i="11"/>
  <c r="P2124" i="11"/>
  <c r="P2116" i="11"/>
  <c r="P2100" i="11"/>
  <c r="P2092" i="11"/>
  <c r="P2076" i="11"/>
  <c r="P2068" i="11"/>
  <c r="P2060" i="11"/>
  <c r="P2052" i="11"/>
  <c r="P2028" i="11"/>
  <c r="P1988" i="11"/>
  <c r="P1852" i="11"/>
  <c r="P1820" i="11"/>
  <c r="P1780" i="11"/>
  <c r="P1716" i="11"/>
  <c r="P1548" i="11"/>
  <c r="P1500" i="11"/>
  <c r="P1356" i="11"/>
  <c r="P1300" i="11"/>
  <c r="P1116" i="11"/>
  <c r="P900" i="11"/>
  <c r="P740" i="11"/>
  <c r="P716" i="11"/>
  <c r="P692" i="11"/>
  <c r="P668" i="11"/>
  <c r="P548" i="11"/>
  <c r="P180" i="11"/>
  <c r="P164" i="11"/>
  <c r="P140" i="11"/>
  <c r="P2202" i="11"/>
  <c r="P2050" i="11"/>
  <c r="P1890" i="11"/>
  <c r="P2177" i="11"/>
  <c r="P1857" i="11"/>
  <c r="P1217" i="11"/>
  <c r="P385" i="11"/>
  <c r="P2186" i="11"/>
  <c r="P2138" i="11"/>
  <c r="P2098" i="11"/>
  <c r="P2074" i="11"/>
  <c r="P1994" i="11"/>
  <c r="P1722" i="11"/>
  <c r="P1610" i="11"/>
  <c r="P1290" i="11"/>
  <c r="P2185" i="11"/>
  <c r="P2157" i="11"/>
  <c r="P1649" i="11"/>
  <c r="P1473" i="11"/>
  <c r="P2181" i="11"/>
  <c r="P1584" i="11"/>
  <c r="P1464" i="11"/>
  <c r="P1336" i="11"/>
  <c r="P1280" i="11"/>
  <c r="P944" i="11"/>
  <c r="P888" i="11"/>
  <c r="P728" i="11"/>
  <c r="P704" i="11"/>
  <c r="P680" i="11"/>
  <c r="P624" i="11"/>
  <c r="P496" i="11"/>
  <c r="P256" i="11"/>
  <c r="P2210" i="11"/>
  <c r="P2082" i="11"/>
  <c r="P1938" i="11"/>
  <c r="P922" i="11"/>
  <c r="P2156" i="11"/>
  <c r="P2161" i="11"/>
  <c r="P2009" i="11"/>
  <c r="P1417" i="11"/>
  <c r="P1137" i="11"/>
  <c r="P457" i="11"/>
  <c r="P1997" i="11"/>
  <c r="P1575" i="11"/>
  <c r="P1455" i="11"/>
  <c r="P1407" i="11"/>
  <c r="P1247" i="11"/>
  <c r="P1207" i="11"/>
  <c r="P1167" i="11"/>
  <c r="P1127" i="11"/>
  <c r="P911" i="11"/>
  <c r="P847" i="11"/>
  <c r="P535" i="11"/>
  <c r="P399" i="11"/>
  <c r="P327" i="11"/>
  <c r="P271" i="11"/>
  <c r="P2178" i="11"/>
  <c r="P2153" i="11"/>
  <c r="P2114" i="11"/>
  <c r="P1946" i="11"/>
  <c r="P2209" i="11"/>
  <c r="P2169" i="11"/>
  <c r="P1785" i="11"/>
  <c r="P1257" i="11"/>
  <c r="P977" i="11"/>
  <c r="P369" i="11"/>
  <c r="P1566" i="11"/>
  <c r="P1446" i="11"/>
  <c r="P1270" i="11"/>
  <c r="P998" i="11"/>
  <c r="P966" i="11"/>
  <c r="P814" i="11"/>
  <c r="P790" i="11"/>
  <c r="P598" i="11"/>
  <c r="P574" i="11"/>
  <c r="P470" i="11"/>
  <c r="P286" i="11"/>
  <c r="P70" i="11"/>
  <c r="P1602" i="11"/>
  <c r="P2201" i="11"/>
  <c r="R2200" i="11" l="1"/>
  <c r="R1950" i="11"/>
  <c r="Q369" i="11" a="1"/>
  <c r="Q369" i="11" s="1"/>
  <c r="R369" i="11"/>
  <c r="Q716" i="11" a="1"/>
  <c r="Q716" i="11" s="1"/>
  <c r="R716" i="11" s="1"/>
  <c r="Q2068" i="11" a="1"/>
  <c r="Q2068" i="11" s="1"/>
  <c r="R2068" i="11" s="1"/>
  <c r="Q2164" i="11" a="1"/>
  <c r="Q2164" i="11" s="1"/>
  <c r="R2164" i="11" s="1"/>
  <c r="Q1867" i="11" a="1"/>
  <c r="Q1867" i="11" s="1"/>
  <c r="R1867" i="11"/>
  <c r="Q1755" i="11" a="1"/>
  <c r="Q1755" i="11" s="1"/>
  <c r="R1755" i="11"/>
  <c r="Q2173" i="11" a="1"/>
  <c r="Q2173" i="11" s="1"/>
  <c r="R2173" i="11"/>
  <c r="Q835" i="11" a="1"/>
  <c r="Q835" i="11" s="1"/>
  <c r="R835" i="11"/>
  <c r="Q1539" i="11" a="1"/>
  <c r="Q1539" i="11" s="1"/>
  <c r="R1539" i="11"/>
  <c r="Q2154" i="11" a="1"/>
  <c r="Q2154" i="11" s="1"/>
  <c r="R2154" i="11"/>
  <c r="Q2108" i="11" a="1"/>
  <c r="Q2108" i="11" s="1"/>
  <c r="R2108" i="11"/>
  <c r="Q1790" i="11" a="1"/>
  <c r="Q1790" i="11" s="1"/>
  <c r="R1790" i="11"/>
  <c r="Q2149" i="11" a="1"/>
  <c r="Q2149" i="11" s="1"/>
  <c r="R2149" i="11" s="1"/>
  <c r="Q509" i="11" a="1"/>
  <c r="Q509" i="11" s="1"/>
  <c r="R509" i="11"/>
  <c r="Q2151" i="11" a="1"/>
  <c r="Q2151" i="11" s="1"/>
  <c r="R2151" i="11" s="1"/>
  <c r="Q2216" i="11" a="1"/>
  <c r="Q2216" i="11" s="1"/>
  <c r="R2216" i="11"/>
  <c r="Q802" i="11" a="1"/>
  <c r="Q802" i="11" s="1"/>
  <c r="R802" i="11" s="1"/>
  <c r="Q1810" i="11" a="1"/>
  <c r="Q1810" i="11" s="1"/>
  <c r="R1810" i="11"/>
  <c r="Q2066" i="11" a="1"/>
  <c r="Q2066" i="11" s="1"/>
  <c r="R2066" i="11" s="1"/>
  <c r="Q2194" i="11" a="1"/>
  <c r="Q2194" i="11" s="1"/>
  <c r="R2194" i="11"/>
  <c r="Q2160" i="11" a="1"/>
  <c r="Q2160" i="11" s="1"/>
  <c r="R2160" i="11" s="1"/>
  <c r="Q2153" i="11" a="1"/>
  <c r="Q2153" i="11" s="1"/>
  <c r="R2153" i="11"/>
  <c r="Q1716" i="11" a="1"/>
  <c r="Q1716" i="11" s="1"/>
  <c r="R1716" i="11"/>
  <c r="Q944" i="11" a="1"/>
  <c r="Q944" i="11" s="1"/>
  <c r="R944" i="11"/>
  <c r="Q740" i="11" a="1"/>
  <c r="Q740" i="11" s="1"/>
  <c r="R740" i="11"/>
  <c r="Q2076" i="11" a="1"/>
  <c r="Q2076" i="11" s="1"/>
  <c r="R2076" i="11"/>
  <c r="Q1963" i="11" a="1"/>
  <c r="Q1963" i="11" s="1"/>
  <c r="R1963" i="11"/>
  <c r="Q1635" i="11" a="1"/>
  <c r="Q1635" i="11" s="1"/>
  <c r="R1635" i="11"/>
  <c r="Q2096" i="11" a="1"/>
  <c r="Q2096" i="11" s="1"/>
  <c r="R2096" i="11"/>
  <c r="Q2048" i="11" a="1"/>
  <c r="Q2048" i="11" s="1"/>
  <c r="R2048" i="11"/>
  <c r="Q1982" i="11" a="1"/>
  <c r="Q1982" i="11" s="1"/>
  <c r="R1982" i="11"/>
  <c r="Q933" i="11" a="1"/>
  <c r="Q933" i="11" s="1"/>
  <c r="R933" i="11"/>
  <c r="Q2197" i="11" a="1"/>
  <c r="Q2197" i="11" s="1"/>
  <c r="R2197" i="11"/>
  <c r="Q1926" i="11" a="1"/>
  <c r="Q1926" i="11" s="1"/>
  <c r="R1926" i="11"/>
  <c r="Q1346" i="11" a="1"/>
  <c r="Q1346" i="11" s="1"/>
  <c r="R1346" i="11"/>
  <c r="Q1882" i="11" a="1"/>
  <c r="Q1882" i="11" s="1"/>
  <c r="R1882" i="11"/>
  <c r="Q2090" i="11" a="1"/>
  <c r="Q2090" i="11" s="1"/>
  <c r="R2090" i="11"/>
  <c r="Q2218" i="11" a="1"/>
  <c r="Q2218" i="11" s="1"/>
  <c r="R2218" i="11"/>
  <c r="Q457" i="11" a="1"/>
  <c r="Q457" i="11" s="1"/>
  <c r="R457" i="11"/>
  <c r="Q2050" i="11" a="1"/>
  <c r="Q2050" i="11" s="1"/>
  <c r="R2050" i="11"/>
  <c r="Q2210" i="11" a="1"/>
  <c r="Q2210" i="11" s="1"/>
  <c r="R2210" i="11"/>
  <c r="Q2202" i="11" a="1"/>
  <c r="Q2202" i="11" s="1"/>
  <c r="R2202" i="11"/>
  <c r="Q1780" i="11" a="1"/>
  <c r="Q1780" i="11" s="1"/>
  <c r="R1780" i="11"/>
  <c r="Q2172" i="11" a="1"/>
  <c r="Q2172" i="11" s="1"/>
  <c r="R2172" i="11"/>
  <c r="Q2043" i="11" a="1"/>
  <c r="Q2043" i="11" s="1"/>
  <c r="R2043" i="11"/>
  <c r="Q1011" i="11" a="1"/>
  <c r="Q1011" i="11" s="1"/>
  <c r="R1011" i="11"/>
  <c r="Q2163" i="11" a="1"/>
  <c r="Q2163" i="11" s="1"/>
  <c r="R2163" i="11"/>
  <c r="Q2132" i="11" a="1"/>
  <c r="Q2132" i="11" s="1"/>
  <c r="R2132" i="11"/>
  <c r="Q2201" i="11" a="1"/>
  <c r="Q2201" i="11" s="1"/>
  <c r="R2201" i="11"/>
  <c r="Q814" i="11" a="1"/>
  <c r="Q814" i="11" s="1"/>
  <c r="R814" i="11"/>
  <c r="Q1257" i="11" a="1"/>
  <c r="Q1257" i="11" s="1"/>
  <c r="R1257" i="11"/>
  <c r="Q271" i="11" a="1"/>
  <c r="Q271" i="11" s="1"/>
  <c r="R271" i="11"/>
  <c r="Q1207" i="11" a="1"/>
  <c r="Q1207" i="11" s="1"/>
  <c r="R1207" i="11"/>
  <c r="Q1417" i="11" a="1"/>
  <c r="Q1417" i="11" s="1"/>
  <c r="R1417" i="11"/>
  <c r="Q256" i="11" a="1"/>
  <c r="Q256" i="11" s="1"/>
  <c r="R256" i="11"/>
  <c r="Q1280" i="11" a="1"/>
  <c r="Q1280" i="11" s="1"/>
  <c r="R1280" i="11"/>
  <c r="Q2185" i="11" a="1"/>
  <c r="Q2185" i="11" s="1"/>
  <c r="R2185" i="11"/>
  <c r="Q2186" i="11" a="1"/>
  <c r="Q2186" i="11" s="1"/>
  <c r="R2186" i="11"/>
  <c r="Q140" i="11" a="1"/>
  <c r="Q140" i="11" s="1"/>
  <c r="R140" i="11"/>
  <c r="Q900" i="11" a="1"/>
  <c r="Q900" i="11" s="1"/>
  <c r="R900" i="11"/>
  <c r="Q1820" i="11" a="1"/>
  <c r="Q1820" i="11" s="1"/>
  <c r="R1820" i="11"/>
  <c r="Q2092" i="11" a="1"/>
  <c r="Q2092" i="11" s="1"/>
  <c r="R2092" i="11"/>
  <c r="Q2188" i="11" a="1"/>
  <c r="Q2188" i="11" s="1"/>
  <c r="R2188" i="11"/>
  <c r="Q2171" i="11" a="1"/>
  <c r="Q2171" i="11" s="1"/>
  <c r="R2171" i="11"/>
  <c r="Q2195" i="11" a="1"/>
  <c r="Q2195" i="11" s="1"/>
  <c r="R2195" i="11"/>
  <c r="Q1147" i="11" a="1"/>
  <c r="Q1147" i="11" s="1"/>
  <c r="R1147" i="11"/>
  <c r="Q1795" i="11" a="1"/>
  <c r="Q1795" i="11" s="1"/>
  <c r="R1795" i="11"/>
  <c r="Q2179" i="11" a="1"/>
  <c r="Q2179" i="11" s="1"/>
  <c r="R2179" i="11"/>
  <c r="Q2159" i="11" a="1"/>
  <c r="Q2159" i="11" s="1"/>
  <c r="R2159" i="11"/>
  <c r="Q2070" i="11" a="1"/>
  <c r="Q2070" i="11" s="1"/>
  <c r="R2070" i="11"/>
  <c r="Q2094" i="11" a="1"/>
  <c r="Q2094" i="11" s="1"/>
  <c r="R2094" i="11"/>
  <c r="Q1157" i="11" a="1"/>
  <c r="Q1157" i="11" s="1"/>
  <c r="R1157" i="11"/>
  <c r="Q2213" i="11" a="1"/>
  <c r="Q2213" i="11" s="1"/>
  <c r="R2213" i="11"/>
  <c r="Q1482" i="11" a="1"/>
  <c r="Q1482" i="11" s="1"/>
  <c r="R1482" i="11"/>
  <c r="Q1898" i="11" a="1"/>
  <c r="Q1898" i="11" s="1"/>
  <c r="R1898" i="11"/>
  <c r="Q2106" i="11" a="1"/>
  <c r="Q2106" i="11" s="1"/>
  <c r="R2106" i="11"/>
  <c r="Q1680" i="11" a="1"/>
  <c r="Q1680" i="11" s="1"/>
  <c r="R1680" i="11"/>
  <c r="Q2082" i="11" a="1"/>
  <c r="Q2082" i="11" s="1"/>
  <c r="R2082" i="11"/>
  <c r="Q977" i="11" a="1"/>
  <c r="Q977" i="11" s="1"/>
  <c r="R977" i="11"/>
  <c r="Q1785" i="11" a="1"/>
  <c r="Q1785" i="11" s="1"/>
  <c r="R1785" i="11"/>
  <c r="Q2009" i="11" a="1"/>
  <c r="Q2009" i="11" s="1"/>
  <c r="R2009" i="11"/>
  <c r="Q496" i="11" a="1"/>
  <c r="Q496" i="11" s="1"/>
  <c r="R496" i="11"/>
  <c r="Q1336" i="11" a="1"/>
  <c r="Q1336" i="11" s="1"/>
  <c r="R1336" i="11"/>
  <c r="Q1290" i="11" a="1"/>
  <c r="Q1290" i="11" s="1"/>
  <c r="R1290" i="11"/>
  <c r="Q385" i="11" a="1"/>
  <c r="Q385" i="11" s="1"/>
  <c r="R385" i="11"/>
  <c r="Q164" i="11" a="1"/>
  <c r="Q164" i="11" s="1"/>
  <c r="R164" i="11"/>
  <c r="Q1116" i="11" a="1"/>
  <c r="Q1116" i="11" s="1"/>
  <c r="R1116" i="11"/>
  <c r="Q1852" i="11" a="1"/>
  <c r="Q1852" i="11" s="1"/>
  <c r="R1852" i="11"/>
  <c r="Q2100" i="11" a="1"/>
  <c r="Q2100" i="11" s="1"/>
  <c r="R2100" i="11"/>
  <c r="Q2196" i="11" a="1"/>
  <c r="Q2196" i="11" s="1"/>
  <c r="R2196" i="11"/>
  <c r="Q2203" i="11" a="1"/>
  <c r="Q2203" i="11" s="1"/>
  <c r="R2203" i="11"/>
  <c r="Q2022" i="11" a="1"/>
  <c r="Q2022" i="11" s="1"/>
  <c r="R2022" i="11"/>
  <c r="Q1187" i="11" a="1"/>
  <c r="Q1187" i="11" s="1"/>
  <c r="R1187" i="11"/>
  <c r="Q1835" i="11" a="1"/>
  <c r="Q1835" i="11" s="1"/>
  <c r="R1835" i="11"/>
  <c r="Q2187" i="11" a="1"/>
  <c r="Q2187" i="11" s="1"/>
  <c r="R2187" i="11"/>
  <c r="Q2180" i="11" a="1"/>
  <c r="Q2180" i="11" s="1"/>
  <c r="R2180" i="11"/>
  <c r="Q2112" i="11" a="1"/>
  <c r="Q2112" i="11" s="1"/>
  <c r="R2112" i="11"/>
  <c r="Q1967" i="11" a="1"/>
  <c r="Q1967" i="11" s="1"/>
  <c r="R1967" i="11"/>
  <c r="Q1237" i="11" a="1"/>
  <c r="Q1237" i="11" s="1"/>
  <c r="R1237" i="11"/>
  <c r="Q1800" i="11" a="1"/>
  <c r="Q1800" i="11" s="1"/>
  <c r="R1800" i="11"/>
  <c r="Q1522" i="11" a="1"/>
  <c r="Q1522" i="11" s="1"/>
  <c r="R1522" i="11"/>
  <c r="Q1906" i="11" a="1"/>
  <c r="Q1906" i="11" s="1"/>
  <c r="R1906" i="11"/>
  <c r="Q2122" i="11" a="1"/>
  <c r="Q2122" i="11" s="1"/>
  <c r="R2122" i="11"/>
  <c r="Q1991" i="11" a="1"/>
  <c r="Q1991" i="11" s="1"/>
  <c r="R1991" i="11"/>
  <c r="Q1975" i="11" a="1"/>
  <c r="Q1975" i="11" s="1"/>
  <c r="R1975" i="11"/>
  <c r="Q1127" i="11" a="1"/>
  <c r="Q1127" i="11" s="1"/>
  <c r="R1127" i="11"/>
  <c r="Q790" i="11" a="1"/>
  <c r="Q790" i="11" s="1"/>
  <c r="R790" i="11"/>
  <c r="Q2138" i="11" a="1"/>
  <c r="Q2138" i="11" s="1"/>
  <c r="R2138" i="11"/>
  <c r="Q998" i="11" a="1"/>
  <c r="Q998" i="11" s="1"/>
  <c r="R998" i="11"/>
  <c r="Q2161" i="11" a="1"/>
  <c r="Q2161" i="11" s="1"/>
  <c r="R2161" i="11"/>
  <c r="Q1217" i="11" a="1"/>
  <c r="Q1217" i="11" s="1"/>
  <c r="R1217" i="11"/>
  <c r="Q2116" i="11" a="1"/>
  <c r="Q2116" i="11" s="1"/>
  <c r="R2116" i="11"/>
  <c r="Q2175" i="11" a="1"/>
  <c r="Q2175" i="11" s="1"/>
  <c r="R2175" i="11"/>
  <c r="Q1914" i="11" a="1"/>
  <c r="Q1914" i="11" s="1"/>
  <c r="R1914" i="11"/>
  <c r="Q2130" i="11" a="1"/>
  <c r="Q2130" i="11" s="1"/>
  <c r="R2130" i="11"/>
  <c r="Q2136" i="11" a="1"/>
  <c r="Q2136" i="11" s="1"/>
  <c r="R2136" i="11"/>
  <c r="Q1649" i="11" a="1"/>
  <c r="Q1649" i="11" s="1"/>
  <c r="R1649" i="11"/>
  <c r="Q1167" i="11" a="1"/>
  <c r="Q1167" i="11" s="1"/>
  <c r="R1167" i="11"/>
  <c r="Q1602" i="11" a="1"/>
  <c r="Q1602" i="11" s="1"/>
  <c r="R1602" i="11"/>
  <c r="Q1247" i="11" a="1"/>
  <c r="Q1247" i="11" s="1"/>
  <c r="R1247" i="11"/>
  <c r="Q399" i="11" a="1"/>
  <c r="Q399" i="11" s="1"/>
  <c r="R399" i="11"/>
  <c r="Q1464" i="11" a="1"/>
  <c r="Q1464" i="11" s="1"/>
  <c r="R1464" i="11"/>
  <c r="Q1988" i="11" a="1"/>
  <c r="Q1988" i="11" s="1"/>
  <c r="R1988" i="11"/>
  <c r="Q2165" i="11" a="1"/>
  <c r="Q2165" i="11" s="1"/>
  <c r="R2165" i="11"/>
  <c r="Q2211" i="11" a="1"/>
  <c r="Q2211" i="11" s="1"/>
  <c r="R2211" i="11"/>
  <c r="Q1317" i="11" a="1"/>
  <c r="Q1317" i="11" s="1"/>
  <c r="R1317" i="11"/>
  <c r="Q1594" i="11" a="1"/>
  <c r="Q1594" i="11" s="1"/>
  <c r="R1594" i="11"/>
  <c r="Q286" i="11" a="1"/>
  <c r="Q286" i="11" s="1"/>
  <c r="R286" i="11"/>
  <c r="Q1270" i="11" a="1"/>
  <c r="Q1270" i="11" s="1"/>
  <c r="R1270" i="11"/>
  <c r="Q2209" i="11" a="1"/>
  <c r="Q2209" i="11" s="1"/>
  <c r="R2209" i="11"/>
  <c r="Q535" i="11" a="1"/>
  <c r="Q535" i="11" s="1"/>
  <c r="R535" i="11"/>
  <c r="Q1455" i="11" a="1"/>
  <c r="Q1455" i="11" s="1"/>
  <c r="R1455" i="11"/>
  <c r="Q2156" i="11" a="1"/>
  <c r="Q2156" i="11" s="1"/>
  <c r="R2156" i="11"/>
  <c r="Q680" i="11" a="1"/>
  <c r="Q680" i="11" s="1"/>
  <c r="R680" i="11"/>
  <c r="Q1584" i="11" a="1"/>
  <c r="Q1584" i="11" s="1"/>
  <c r="R1584" i="11"/>
  <c r="Q1722" i="11" a="1"/>
  <c r="Q1722" i="11" s="1"/>
  <c r="R1722" i="11"/>
  <c r="Q1857" i="11" a="1"/>
  <c r="Q1857" i="11" s="1"/>
  <c r="R1857" i="11"/>
  <c r="Q548" i="11" a="1"/>
  <c r="Q548" i="11" s="1"/>
  <c r="R548" i="11"/>
  <c r="Q1356" i="11" a="1"/>
  <c r="Q1356" i="11" s="1"/>
  <c r="R1356" i="11"/>
  <c r="Q2028" i="11" a="1"/>
  <c r="Q2028" i="11" s="1"/>
  <c r="R2028" i="11"/>
  <c r="Q2124" i="11" a="1"/>
  <c r="Q2124" i="11" s="1"/>
  <c r="R2124" i="11"/>
  <c r="Q2220" i="11" a="1"/>
  <c r="Q2220" i="11" s="1"/>
  <c r="R2220" i="11"/>
  <c r="Q2190" i="11" a="1"/>
  <c r="Q2190" i="11" s="1"/>
  <c r="R2190" i="11"/>
  <c r="Q1197" i="11" a="1"/>
  <c r="Q1197" i="11" s="1"/>
  <c r="R1197" i="11"/>
  <c r="Q123" i="11" a="1"/>
  <c r="Q123" i="11" s="1"/>
  <c r="R123" i="11"/>
  <c r="Q1379" i="11" a="1"/>
  <c r="Q1379" i="11" s="1"/>
  <c r="R1379" i="11"/>
  <c r="Q1979" i="11" a="1"/>
  <c r="Q1979" i="11" s="1"/>
  <c r="R1979" i="11"/>
  <c r="Q1934" i="11" a="1"/>
  <c r="Q1934" i="11" s="1"/>
  <c r="R1934" i="11"/>
  <c r="Q1815" i="11" a="1"/>
  <c r="Q1815" i="11" s="1"/>
  <c r="R1815" i="11"/>
  <c r="Q2183" i="11" a="1"/>
  <c r="Q2183" i="11" s="1"/>
  <c r="R2183" i="11"/>
  <c r="Q1765" i="11" a="1"/>
  <c r="Q1765" i="11" s="1"/>
  <c r="R1765" i="11"/>
  <c r="Q2000" i="11" a="1"/>
  <c r="Q2000" i="11" s="1"/>
  <c r="R2000" i="11"/>
  <c r="Q1618" i="11" a="1"/>
  <c r="Q1618" i="11" s="1"/>
  <c r="R1618" i="11"/>
  <c r="Q1930" i="11" a="1"/>
  <c r="Q1930" i="11" s="1"/>
  <c r="R1930" i="11"/>
  <c r="Q2146" i="11" a="1"/>
  <c r="Q2146" i="11" s="1"/>
  <c r="R2146" i="11"/>
  <c r="Q2144" i="11" a="1"/>
  <c r="Q2144" i="11" s="1"/>
  <c r="R2144" i="11"/>
  <c r="Q888" i="11" a="1"/>
  <c r="Q888" i="11" s="1"/>
  <c r="R888" i="11"/>
  <c r="Q2178" i="11" a="1"/>
  <c r="Q2178" i="11" s="1"/>
  <c r="R2178" i="11"/>
  <c r="Q2157" i="11" a="1"/>
  <c r="Q2157" i="11" s="1"/>
  <c r="R2157" i="11"/>
  <c r="Q327" i="11" a="1"/>
  <c r="Q327" i="11" s="1"/>
  <c r="R327" i="11"/>
  <c r="Q2169" i="11" a="1"/>
  <c r="Q2169" i="11" s="1"/>
  <c r="R2169" i="11"/>
  <c r="Q624" i="11" a="1"/>
  <c r="Q624" i="11" s="1"/>
  <c r="R624" i="11"/>
  <c r="Q180" i="11" a="1"/>
  <c r="Q180" i="11" s="1"/>
  <c r="R180" i="11"/>
  <c r="Q2204" i="11" a="1"/>
  <c r="Q2204" i="11" s="1"/>
  <c r="R2204" i="11"/>
  <c r="Q1971" i="11" a="1"/>
  <c r="Q1971" i="11" s="1"/>
  <c r="R1971" i="11"/>
  <c r="Q1959" i="11" a="1"/>
  <c r="Q1959" i="11" s="1"/>
  <c r="R1959" i="11"/>
  <c r="Q470" i="11" a="1"/>
  <c r="Q470" i="11" s="1"/>
  <c r="R470" i="11"/>
  <c r="Q1946" i="11" a="1"/>
  <c r="Q1946" i="11" s="1"/>
  <c r="R1946" i="11"/>
  <c r="Q1575" i="11" a="1"/>
  <c r="Q1575" i="11" s="1"/>
  <c r="R1575" i="11"/>
  <c r="Q704" i="11" a="1"/>
  <c r="Q704" i="11" s="1"/>
  <c r="R704" i="11"/>
  <c r="Q1994" i="11" a="1"/>
  <c r="Q1994" i="11" s="1"/>
  <c r="R1994" i="11"/>
  <c r="Q668" i="11" a="1"/>
  <c r="Q668" i="11" s="1"/>
  <c r="R668" i="11"/>
  <c r="Q1500" i="11" a="1"/>
  <c r="Q1500" i="11" s="1"/>
  <c r="R1500" i="11"/>
  <c r="Q2052" i="11" a="1"/>
  <c r="Q2052" i="11" s="1"/>
  <c r="R2052" i="11"/>
  <c r="Q2140" i="11" a="1"/>
  <c r="Q2140" i="11" s="1"/>
  <c r="R2140" i="11"/>
  <c r="Q1557" i="11" a="1"/>
  <c r="Q1557" i="11" s="1"/>
  <c r="R1557" i="11"/>
  <c r="Q483" i="11" a="1"/>
  <c r="Q483" i="11" s="1"/>
  <c r="R483" i="11"/>
  <c r="Q2214" i="11" a="1"/>
  <c r="Q2214" i="11" s="1"/>
  <c r="R2214" i="11"/>
  <c r="Q355" i="11" a="1"/>
  <c r="Q355" i="11" s="1"/>
  <c r="R355" i="11"/>
  <c r="Q1427" i="11" a="1"/>
  <c r="Q1427" i="11" s="1"/>
  <c r="R1427" i="11"/>
  <c r="Q2003" i="11" a="1"/>
  <c r="Q2003" i="11" s="1"/>
  <c r="R2003" i="11"/>
  <c r="Q2062" i="11" a="1"/>
  <c r="Q2062" i="11" s="1"/>
  <c r="R2062" i="11"/>
  <c r="Q1830" i="11" a="1"/>
  <c r="Q1830" i="11" s="1"/>
  <c r="R1830" i="11"/>
  <c r="Q2142" i="11" a="1"/>
  <c r="Q2142" i="11" s="1"/>
  <c r="R2142" i="11"/>
  <c r="Q1805" i="11" a="1"/>
  <c r="Q1805" i="11" s="1"/>
  <c r="R1805" i="11"/>
  <c r="Q2064" i="11" a="1"/>
  <c r="Q2064" i="11" s="1"/>
  <c r="R2064" i="11"/>
  <c r="Q1862" i="11" a="1"/>
  <c r="Q1862" i="11" s="1"/>
  <c r="R1862" i="11"/>
  <c r="Q226" i="11" a="1"/>
  <c r="Q226" i="11" s="1"/>
  <c r="R226" i="11"/>
  <c r="Q1642" i="11" a="1"/>
  <c r="Q1642" i="11" s="1"/>
  <c r="R1642" i="11"/>
  <c r="Q2034" i="11" a="1"/>
  <c r="Q2034" i="11" s="1"/>
  <c r="R2034" i="11"/>
  <c r="Q2162" i="11" a="1"/>
  <c r="Q2162" i="11" s="1"/>
  <c r="R2162" i="11"/>
  <c r="Q598" i="11" a="1"/>
  <c r="Q598" i="11" s="1"/>
  <c r="R598" i="11"/>
  <c r="Q2098" i="11" a="1"/>
  <c r="Q2098" i="11" s="1"/>
  <c r="R2098" i="11"/>
  <c r="Q1137" i="11" a="1"/>
  <c r="Q1137" i="11" s="1"/>
  <c r="R1137" i="11"/>
  <c r="Q966" i="11" a="1"/>
  <c r="Q966" i="11" s="1"/>
  <c r="R966" i="11"/>
  <c r="Q70" i="11" a="1"/>
  <c r="Q70" i="11" s="1"/>
  <c r="R70" i="11"/>
  <c r="Q1407" i="11" a="1"/>
  <c r="Q1407" i="11" s="1"/>
  <c r="R1407" i="11"/>
  <c r="Q1610" i="11" a="1"/>
  <c r="Q1610" i="11" s="1"/>
  <c r="R1610" i="11"/>
  <c r="Q1300" i="11" a="1"/>
  <c r="Q1300" i="11" s="1"/>
  <c r="R1300" i="11"/>
  <c r="Q2219" i="11" a="1"/>
  <c r="Q2219" i="11" s="1"/>
  <c r="R2219" i="11"/>
  <c r="Q1227" i="11" a="1"/>
  <c r="Q1227" i="11" s="1"/>
  <c r="R1227" i="11"/>
  <c r="Q2102" i="11" a="1"/>
  <c r="Q2102" i="11" s="1"/>
  <c r="R2102" i="11"/>
  <c r="Q2212" i="11" a="1"/>
  <c r="Q2212" i="11" s="1"/>
  <c r="R2212" i="11"/>
  <c r="Q2166" i="11" a="1"/>
  <c r="Q2166" i="11" s="1"/>
  <c r="R2166" i="11"/>
  <c r="Q1446" i="11" a="1"/>
  <c r="Q1446" i="11" s="1"/>
  <c r="R1446" i="11"/>
  <c r="Q847" i="11" a="1"/>
  <c r="Q847" i="11" s="1"/>
  <c r="R847" i="11"/>
  <c r="Q922" i="11" a="1"/>
  <c r="Q922" i="11" s="1"/>
  <c r="R922" i="11"/>
  <c r="Q2181" i="11" a="1"/>
  <c r="Q2181" i="11" s="1"/>
  <c r="R2181" i="11"/>
  <c r="Q2177" i="11" a="1"/>
  <c r="Q2177" i="11" s="1"/>
  <c r="R2177" i="11"/>
  <c r="Q574" i="11" a="1"/>
  <c r="Q574" i="11" s="1"/>
  <c r="R574" i="11"/>
  <c r="Q1566" i="11" a="1"/>
  <c r="Q1566" i="11" s="1"/>
  <c r="R1566" i="11"/>
  <c r="Q2114" i="11" a="1"/>
  <c r="Q2114" i="11" s="1"/>
  <c r="R2114" i="11"/>
  <c r="Q911" i="11" a="1"/>
  <c r="Q911" i="11" s="1"/>
  <c r="R911" i="11"/>
  <c r="Q1997" i="11" a="1"/>
  <c r="Q1997" i="11" s="1"/>
  <c r="R1997" i="11"/>
  <c r="Q1938" i="11" a="1"/>
  <c r="Q1938" i="11" s="1"/>
  <c r="R1938" i="11"/>
  <c r="Q728" i="11" a="1"/>
  <c r="Q728" i="11" s="1"/>
  <c r="R728" i="11"/>
  <c r="Q1473" i="11" a="1"/>
  <c r="Q1473" i="11" s="1"/>
  <c r="R1473" i="11"/>
  <c r="Q2074" i="11" a="1"/>
  <c r="Q2074" i="11" s="1"/>
  <c r="R2074" i="11"/>
  <c r="Q1890" i="11" a="1"/>
  <c r="Q1890" i="11" s="1"/>
  <c r="R1890" i="11"/>
  <c r="Q692" i="11" a="1"/>
  <c r="Q692" i="11" s="1"/>
  <c r="R692" i="11"/>
  <c r="Q1548" i="11" a="1"/>
  <c r="Q1548" i="11" s="1"/>
  <c r="R1548" i="11"/>
  <c r="Q2060" i="11" a="1"/>
  <c r="Q2060" i="11" s="1"/>
  <c r="R2060" i="11"/>
  <c r="Q2148" i="11" a="1"/>
  <c r="Q2148" i="11" s="1"/>
  <c r="R2148" i="11"/>
  <c r="Q2205" i="11" a="1"/>
  <c r="Q2205" i="11" s="1"/>
  <c r="R2205" i="11"/>
  <c r="Q955" i="11" a="1"/>
  <c r="Q955" i="11" s="1"/>
  <c r="R955" i="11"/>
  <c r="Q1053" i="11" a="1"/>
  <c r="Q1053" i="11" s="1"/>
  <c r="R1053" i="11"/>
  <c r="Q611" i="11" a="1"/>
  <c r="Q611" i="11" s="1"/>
  <c r="R611" i="11"/>
  <c r="Q1491" i="11" a="1"/>
  <c r="Q1491" i="11" s="1"/>
  <c r="R1491" i="11"/>
  <c r="Q2019" i="11" a="1"/>
  <c r="Q2019" i="11" s="1"/>
  <c r="R2019" i="11"/>
  <c r="Q2182" i="11" a="1"/>
  <c r="Q2182" i="11" s="1"/>
  <c r="R2182" i="11"/>
  <c r="Q2084" i="11" a="1"/>
  <c r="Q2084" i="11" s="1"/>
  <c r="R2084" i="11"/>
  <c r="Q2184" i="11" a="1"/>
  <c r="Q2184" i="11" s="1"/>
  <c r="R2184" i="11"/>
  <c r="Q341" i="11" a="1"/>
  <c r="Q341" i="11" s="1"/>
  <c r="R341" i="11"/>
  <c r="Q1877" i="11" a="1"/>
  <c r="Q1877" i="11" s="1"/>
  <c r="R1877" i="11"/>
  <c r="Q2134" i="11" a="1"/>
  <c r="Q2134" i="11" s="1"/>
  <c r="R2134" i="11"/>
  <c r="Q2152" i="11" a="1"/>
  <c r="Q2152" i="11" s="1"/>
  <c r="R2152" i="11"/>
  <c r="Q241" i="11" a="1"/>
  <c r="Q241" i="11" s="1"/>
  <c r="R241" i="11"/>
  <c r="Q522" i="11" a="1"/>
  <c r="Q522" i="11" s="1"/>
  <c r="R522" i="11"/>
  <c r="Q1770" i="11" a="1"/>
  <c r="Q1770" i="11" s="1"/>
  <c r="R1770" i="11"/>
  <c r="Q2058" i="11" a="1"/>
  <c r="Q2058" i="11" s="1"/>
  <c r="R2058" i="11"/>
  <c r="Q2170" i="11" a="1"/>
  <c r="Q2170" i="11" s="1"/>
  <c r="R2170" i="1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<sst xmlns="http://schemas.openxmlformats.org/spreadsheetml/2006/main" count="2305" uniqueCount="67">
  <si>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</si>
  <si>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</si>
  <si>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</si>
  <si>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</si>
  <si>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</si>
  <si>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</si>
  <si>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</si>
  <si>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</si>
  <si>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</si>
  <si>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</si>
  <si>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</si>
  <si>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</si>
  <si>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</si>
  <si>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</si>
  <si>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</si>
  <si>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</si>
  <si>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</si>
  <si>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</si>
  <si>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</si>
  <si>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</si>
  <si>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</si>
  <si>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</si>
  <si>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</si>
  <si>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</si>
  <si>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</si>
  <si>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</si>
  <si>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</si>
  <si>
    <t>Upsell Priority</t>
  </si>
  <si>
    <t>Current Upsell $</t>
  </si>
  <si>
    <t>Upsell Account Detail</t>
  </si>
  <si>
    <t>Number of Customers</t>
  </si>
  <si>
    <t>Total Sales</t>
  </si>
  <si>
    <t>Avg Sales Per Customer</t>
  </si>
  <si>
    <t>Non-Paying Customers</t>
  </si>
  <si>
    <t>Paying Customers</t>
  </si>
  <si>
    <t>Basic to Paying Ratio</t>
  </si>
  <si>
    <t>Premium Sales</t>
  </si>
  <si>
    <t>Business Sales</t>
  </si>
  <si>
    <t>Enterprise Sales</t>
  </si>
  <si>
    <t>Enterprise Sales Share</t>
  </si>
  <si>
    <t>Upsell Opportunity</t>
  </si>
  <si>
    <t>Projected Upsell Amount</t>
  </si>
  <si>
    <t>Conversion Rates</t>
  </si>
  <si>
    <t>Total</t>
  </si>
  <si>
    <t>Sales Last Month</t>
  </si>
  <si>
    <t>Growth Rate</t>
  </si>
  <si>
    <t>Sales Target</t>
  </si>
  <si>
    <t>License Price</t>
  </si>
  <si>
    <t>Projected Sales</t>
  </si>
  <si>
    <t>$B$14</t>
  </si>
  <si>
    <t>$B$15</t>
  </si>
  <si>
    <t>$B$16</t>
  </si>
  <si>
    <t>$D$17</t>
  </si>
  <si>
    <t>Current</t>
  </si>
  <si>
    <t>Created by iason.prassides on 11/24/2023</t>
  </si>
  <si>
    <t>High</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</si>
  <si>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</si>
  <si>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</si>
  <si>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</si>
  <si>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</si>
  <si>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</si>
  <si>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</si>
  <si>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</si>
  <si>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Elasticity</t>
  </si>
  <si>
    <t>Elasticity of Demand - Premium</t>
  </si>
  <si>
    <t>SMA Forecast</t>
  </si>
  <si>
    <t>WMA Forecast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</si>
</sst>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00_);_(&quot;$&quot;* \(#,##0.00\);_(&quot;$&quot;* &quot;-&quot;??_);_(@_)"/>
    <numFmt numFmtId="165" formatCode="&quot;$&quot;#,##0"/>
    <numFmt numFmtId="166" formatCode="_(&quot;$&quot;* #,##0_);_(&quot;$&quot;* \(#,##0\);_(&quot;$&quot;* &quot;-&quot;??_);_(@_)"/>
    <numFmt numFmtId="167" formatCode="_-[$$-409]* #,##0_ ;_-[$$-409]* \-#,##0\ ;_-[$$-409]* &quot;-&quot;_ ;_-@_ "/>
    <numFmt numFmtId="168" formatCode="_-[$$-409]* #,##0.00_ ;_-[$$-409]* \-#,##0.00\ ;_-[$$-409]* &quot;-&quot;_ ;_-@_ "/>
  </numFmts>
  <fonts count="8" x14ac:knownFonts="1">
    <font>
      <sz val="12"/>
      <color theme="1"/>
      <name val="Calibri"/>
      <family val="2"/>
      <scheme val="minor"/>
    </font>
    <font>
      <sz val="12"/>
      <color theme="1"/>
      <name val="Calibri"/>
      <family val="2"/>
      <scheme val="minor"/>
    </font>
    <font>
      <b/>
      <sz val="12"/>
      <color theme="1"/>
      <name val="Calibri"/>
      <family val="2"/>
      <scheme val="minor"/>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sz val="8"/>
      <color theme="1"/>
      <name val="Calibri"/>
      <family val="2"/>
      <scheme val="minor"/>
    </font>
  </fonts>
  <fills count="5">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7" fontId="0" fillId="0" borderId="0" xfId="0" applyNumberFormat="1"/>
    <xf numFmtId="2" fontId="0" fillId="0" borderId="0" xfId="0" applyNumberFormat="1"/>
    <xf numFmtId="9" fontId="0" fillId="0" borderId="0" xfId="2" applyFont="1"/>
    <xf numFmtId="9" fontId="0" fillId="0" borderId="0" xfId="0" applyNumberFormat="1"/>
    <xf numFmtId="168" fontId="0" fillId="0" borderId="0" xfId="0" applyNumberFormat="1"/>
    <xf numFmtId="164" fontId="0" fillId="0" borderId="0" xfId="1" applyFont="1"/>
    <xf numFmtId="164" fontId="0" fillId="0" borderId="0" xfId="0" applyNumberFormat="1"/>
    <xf numFmtId="0" fontId="0" fillId="0" borderId="0" xfId="0" applyNumberFormat="1"/>
    <xf numFmtId="0" fontId="0" fillId="0" borderId="0" xfId="0" applyFill="1" applyBorder="1" applyAlignment="1"/>
    <xf numFmtId="164" fontId="0" fillId="0" borderId="0" xfId="0" applyNumberFormat="1" applyFill="1" applyBorder="1" applyAlignment="1"/>
    <xf numFmtId="164" fontId="0" fillId="0" borderId="2" xfId="0" applyNumberFormat="1" applyFill="1" applyBorder="1" applyAlignment="1"/>
    <xf numFmtId="0" fontId="3" fillId="2" borderId="3" xfId="0" applyFont="1" applyFill="1" applyBorder="1" applyAlignment="1">
      <alignment horizontal="left"/>
    </xf>
    <xf numFmtId="0" fontId="3" fillId="2" borderId="1" xfId="0" applyFont="1" applyFill="1" applyBorder="1" applyAlignment="1">
      <alignment horizontal="left"/>
    </xf>
    <xf numFmtId="0" fontId="0" fillId="0" borderId="4" xfId="0" applyFill="1" applyBorder="1" applyAlignment="1"/>
    <xf numFmtId="0" fontId="4" fillId="3" borderId="0" xfId="0" applyFont="1" applyFill="1" applyBorder="1" applyAlignment="1">
      <alignment horizontal="left"/>
    </xf>
    <xf numFmtId="0" fontId="5" fillId="3" borderId="4" xfId="0" applyFont="1" applyFill="1" applyBorder="1" applyAlignment="1">
      <alignment horizontal="left"/>
    </xf>
    <xf numFmtId="0" fontId="4" fillId="3" borderId="2" xfId="0" applyFont="1" applyFill="1" applyBorder="1" applyAlignment="1">
      <alignment horizontal="left"/>
    </xf>
    <xf numFmtId="0" fontId="6" fillId="2" borderId="1" xfId="0" applyFont="1" applyFill="1" applyBorder="1" applyAlignment="1">
      <alignment horizontal="right"/>
    </xf>
    <xf numFmtId="0" fontId="6" fillId="2" borderId="3" xfId="0" applyFont="1" applyFill="1" applyBorder="1" applyAlignment="1">
      <alignment horizontal="right"/>
    </xf>
    <xf numFmtId="164" fontId="0" fillId="4" borderId="0" xfId="0" applyNumberFormat="1" applyFill="1" applyBorder="1" applyAlignment="1"/>
    <xf numFmtId="0" fontId="7" fillId="0" borderId="0" xfId="0" applyFont="1" applyFill="1" applyBorder="1" applyAlignment="1">
      <alignment vertical="top" wrapText="1"/>
    </xf>
    <xf numFmtId="10" fontId="2" fillId="0" borderId="0" xfId="0" applyNumberFormat="1" applyFont="1"/>
    <xf numFmtId="164" fontId="2" fillId="0" borderId="0" xfId="0" applyNumberFormat="1" applyFont="1"/>
    <xf numFmtId="164" fontId="2" fillId="0" borderId="0" xfId="1" applyFont="1"/>
    <xf numFmtId="166" fontId="0" fillId="0" borderId="0" xfId="0" applyNumberFormat="1"/>
    <xf numFmtId="0" fontId="2" fillId="0" borderId="0" xfId="0" applyFont="1" applyAlignment="1">
      <alignment horizontal="center"/>
    </xf>
  </cellXfs>
  <cellStyles count="3">
    <cellStyle name="Currency" xfId="1" builtinId="4"/>
    <cellStyle name="Normal" xfId="0" builtinId="0"/>
    <cellStyle name="Percent" xfId="2" builtinId="5"/>
  </cellStyles>
  <dxfs count="30">
    <dxf>
      <numFmt numFmtId="166" formatCode="_(&quot;$&quot;* #,##0_);_(&quot;$&quot;* \(#,##0\);_(&quot;$&quot;* &quot;-&quot;??_);_(@_)"/>
    </dxf>
    <dxf>
      <numFmt numFmtId="164" formatCode="_(&quot;$&quot;* #,##0.00_);_(&quot;$&quot;* \(#,##0.00\);_(&quot;$&quot;* &quot;-&quot;??_);_(@_)"/>
    </dxf>
    <dxf>
      <numFmt numFmtId="164" formatCode="_(&quot;$&quot;* #,##0.00_);_(&quot;$&quot;* \(#,##0.00\);_(&quot;$&quot;* &quot;-&quot;??_);_(@_)"/>
    </dxf>
    <dxf>
      <numFmt numFmtId="0" formatCode="General"/>
    </dxf>
    <dxf>
      <numFmt numFmtId="0" formatCode="General"/>
    </dxf>
    <dxf>
      <numFmt numFmtId="166" formatCode="_(&quot;$&quot;* #,##0_);_(&quot;$&quot;* \(#,##0\);_(&quot;$&quot;* &quot;-&quot;??_);_(@_)"/>
    </dxf>
    <dxf>
      <numFmt numFmtId="166" formatCode="_(&quot;$&quot;* #,##0_);_(&quot;$&quot;* \(#,##0\);_(&quot;$&quot;* &quot;-&quot;??_);_(@_)"/>
    </dxf>
    <dxf>
      <numFmt numFmtId="166" formatCode="_(&quot;$&quot;* #,##0_);_(&quot;$&quot;* \(#,##0\);_(&quot;$&quot;* &quot;-&quot;??_);_(@_)"/>
    </dxf>
    <dxf>
      <numFmt numFmtId="168" formatCode="_-[$$-409]* #,##0.00_ ;_-[$$-409]* \-#,##0.00\ ;_-[$$-409]* &quot;-&quot;_ ;_-@_ "/>
    </dxf>
    <dxf>
      <numFmt numFmtId="168" formatCode="_-[$$-409]* #,##0.00_ ;_-[$$-409]* \-#,##0.00\ ;_-[$$-409]* &quot;-&quot;_ ;_-@_ "/>
    </dxf>
    <dxf>
      <numFmt numFmtId="168" formatCode="_-[$$-409]* #,##0.00_ ;_-[$$-409]* \-#,##0.00\ ;_-[$$-409]* &quot;-&quot;_ ;_-@_ "/>
    </dxf>
    <dxf>
      <font>
        <color rgb="FF9C0006"/>
      </font>
      <fill>
        <patternFill>
          <bgColor rgb="FFFFC7CE"/>
        </patternFill>
      </fill>
    </dxf>
    <dxf>
      <numFmt numFmtId="166" formatCode="_(&quot;$&quot;* #,##0_);_(&quot;$&quot;* \(#,##0\);_(&quot;$&quot;* &quot;-&quot;??_);_(@_)"/>
    </dxf>
    <dxf>
      <numFmt numFmtId="166" formatCode="_(&quot;$&quot;* #,##0_);_(&quot;$&quot;* \(#,##0\);_(&quot;$&quot;* &quot;-&quot;??_);_(@_)"/>
    </dxf>
    <dxf>
      <numFmt numFmtId="166" formatCode="_(&quot;$&quot;* #,##0_);_(&quot;$&quot;* \(#,##0\);_(&quot;$&quot;* &quot;-&quot;??_);_(@_)"/>
    </dxf>
    <dxf>
      <numFmt numFmtId="2" formatCode="0.00"/>
    </dxf>
    <dxf>
      <numFmt numFmtId="0" formatCode="General"/>
    </dxf>
    <dxf>
      <numFmt numFmtId="0" formatCode="General"/>
    </dxf>
    <dxf>
      <numFmt numFmtId="166" formatCode="_(&quot;$&quot;* #,##0_);_(&quot;$&quot;* \(#,##0\);_(&quot;$&quot;* &quot;-&quot;??_);_(@_)"/>
    </dxf>
    <dxf>
      <numFmt numFmtId="166" formatCode="_(&quot;$&quot;* #,##0_);_(&quot;$&quot;* \(#,##0\);_(&quot;$&quot;* &quot;-&quot;??_);_(@_)"/>
    </dxf>
    <dxf>
      <numFmt numFmtId="0" formatCode="General"/>
    </dxf>
    <dxf>
      <numFmt numFmtId="169" formatCode="m/d/yyyy"/>
    </dxf>
    <dxf>
      <numFmt numFmtId="0" formatCode="General"/>
    </dxf>
    <dxf>
      <numFmt numFmtId="0" formatCode="General"/>
    </dxf>
    <dxf>
      <numFmt numFmtId="167" formatCode="_-[$$-409]* #,##0_ ;_-[$$-409]* \-#,##0\ ;_-[$$-409]* &quot;-&quot;_ ;_-@_ "/>
    </dxf>
    <dxf>
      <numFmt numFmtId="0" formatCode="General"/>
    </dxf>
    <dxf>
      <numFmt numFmtId="167" formatCode="_-[$$-409]* #,##0_ ;_-[$$-409]* \-#,##0\ ;_-[$$-409]* &quot;-&quot;_ ;_-@_ "/>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lineChart>
        <c:grouping val="standard"/>
        <c:varyColors val="0"/>
        <c:ser>
          <c:idx val="0"/>
          <c:order val="0"/>
          <c:tx>
            <c:strRef>
              <c:f>Forecasting!$B$1</c:f>
              <c:strCache>
                <c:ptCount val="1"/>
                <c:pt idx="0">
                  <c:v>Total Sales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exp"/>
            <c:forward val="6"/>
            <c:dispRSqr val="0"/>
            <c:dispEq val="1"/>
            <c:trendlineLbl>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trendlineLbl>
          </c:trendline>
          <c:cat>
            <c:numRef>
              <c:f>Forecasting!$A$14:$A$25</c:f>
              <c:numCache>
                <c:formatCode>m/d/yyyy</c:formatCode>
                <c:ptCount val="12"/>
                <c:pt idx="0">
                  <c:v>44013</c:v>
                </c:pt>
                <c:pt idx="1">
                  <c:v>44044</c:v>
                </c:pt>
                <c:pt idx="2">
                  <c:v>44075</c:v>
                </c:pt>
                <c:pt idx="3">
                  <c:v>44105</c:v>
                </c:pt>
                <c:pt idx="4">
                  <c:v>44136</c:v>
                </c:pt>
                <c:pt idx="5">
                  <c:v>44166</c:v>
                </c:pt>
                <c:pt idx="6">
                  <c:v>44197</c:v>
                </c:pt>
                <c:pt idx="7">
                  <c:v>44228</c:v>
                </c:pt>
                <c:pt idx="8">
                  <c:v>44256</c:v>
                </c:pt>
                <c:pt idx="9">
                  <c:v>44287</c:v>
                </c:pt>
                <c:pt idx="10">
                  <c:v>44317</c:v>
                </c:pt>
                <c:pt idx="11">
                  <c:v>44348</c:v>
                </c:pt>
              </c:numCache>
            </c:numRef>
          </c:cat>
          <c:val>
            <c:numRef>
              <c:f>Forecasting!$B$14:$B$25</c:f>
              <c:numCache>
                <c:formatCode>_("$"* #,##0_);_("$"* \(#,##0\);_("$"* "-"??_);_(@_)</c:formatCode>
                <c:ptCount val="12"/>
                <c:pt idx="0">
                  <c:v>28325</c:v>
                </c:pt>
                <c:pt idx="1">
                  <c:v>32005</c:v>
                </c:pt>
                <c:pt idx="2">
                  <c:v>34890</c:v>
                </c:pt>
                <c:pt idx="3">
                  <c:v>40615</c:v>
                </c:pt>
                <c:pt idx="4">
                  <c:v>46605</c:v>
                </c:pt>
                <c:pt idx="5">
                  <c:v>50195</c:v>
                </c:pt>
                <c:pt idx="6">
                  <c:v>51605</c:v>
                </c:pt>
                <c:pt idx="7">
                  <c:v>54120</c:v>
                </c:pt>
                <c:pt idx="8">
                  <c:v>57040</c:v>
                </c:pt>
                <c:pt idx="9">
                  <c:v>63125</c:v>
                </c:pt>
                <c:pt idx="10">
                  <c:v>68155</c:v>
                </c:pt>
                <c:pt idx="11">
                  <c:v>80335</c:v>
                </c:pt>
              </c:numCache>
            </c:numRef>
          </c:val>
          <c:smooth val="0"/>
          <c:extLst xmlns:c16r2="http://schemas.microsoft.com/office/drawing/2015/06/chart">
            <c:ext xmlns:c16="http://schemas.microsoft.com/office/drawing/2014/chart" uri="{C3380CC4-5D6E-409C-BE32-E72D297353CC}">
              <c16:uniqueId val="{00000000-EAE4-4639-9D77-A97579C43490}"/>
            </c:ext>
          </c:extLst>
        </c:ser>
        <c:dLbls>
          <c:showLegendKey val="0"/>
          <c:showVal val="0"/>
          <c:showCatName val="0"/>
          <c:showSerName val="0"/>
          <c:showPercent val="0"/>
          <c:showBubbleSize val="0"/>
        </c:dLbls>
        <c:smooth val="0"/>
        <c:axId val="388080080"/>
        <c:axId val="388070288"/>
      </c:lineChart>
      <c:dateAx>
        <c:axId val="38808008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388070288"/>
        <c:crosses val="autoZero"/>
        <c:auto val="1"/>
        <c:lblOffset val="100"/>
        <c:baseTimeUnit val="months"/>
      </c:dateAx>
      <c:valAx>
        <c:axId val="3880702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3880800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xmlns=""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a16="http://schemas.microsoft.com/office/drawing/2014/main" xmlns=""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4761</xdr:colOff>
      <xdr:row>1</xdr:row>
      <xdr:rowOff>9524</xdr:rowOff>
    </xdr:from>
    <xdr:to>
      <xdr:col>15</xdr:col>
      <xdr:colOff>9524</xdr:colOff>
      <xdr:row>20</xdr:row>
      <xdr:rowOff>9524</xdr:rowOff>
    </xdr:to>
    <xdr:graphicFrame macro="">
      <xdr:nvGraphicFramePr>
        <xdr:cNvPr id="2" name="Chart 1">
          <a:extLst>
            <a:ext uri="{FF2B5EF4-FFF2-40B4-BE49-F238E27FC236}">
              <a16:creationId xmlns:a16="http://schemas.microsoft.com/office/drawing/2014/main" xmlns="" id="{7EF5005E-EFB6-1F33-6922-ED52E4FBA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M2221" sheet="Account Sales History"/>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ables/table1.xml><?xml version="1.0" encoding="utf-8"?>
<table xmlns="http://schemas.openxmlformats.org/spreadsheetml/2006/main" id="1" name="Sales" displayName="Sales" ref="A1:R2221" totalsRowShown="0">
  <autoFilter ref="A1:R2221"/>
  <tableColumns count="18">
    <tableColumn id="1" name="Customer ID"/>
    <tableColumn id="2" name="Subscription Type"/>
    <tableColumn id="3" name="Contract Length (Months)"/>
    <tableColumn id="4" name="Current Contract Start"/>
    <tableColumn id="5" name="Current Contract End"/>
    <tableColumn id="6" name="Licenses Bought"/>
    <tableColumn id="7" name="Number of Users"/>
    <tableColumn id="8" name="Account Creation Month" dataDxfId="29"/>
    <tableColumn id="9" name="Last Active" dataDxfId="28"/>
    <tableColumn id="10" name="Months Active"/>
    <tableColumn id="11" name="Months Since Last Active"/>
    <tableColumn id="12" name="Sales Month" dataDxfId="27"/>
    <tableColumn id="13" name="Sales Amount"/>
    <tableColumn id="14" name="Upsell $ per Non-Paying User" dataDxfId="26">
      <calculatedColumnFormula array="1">_xlfn.SWITCH(Sales[[#This Row],[Subscription Type]],"Basic",10,"Premium",10,"Business",25,"Enterprise",27)</calculatedColumnFormula>
    </tableColumn>
    <tableColumn id="15" name="Non-Paying Users" dataDxfId="25">
      <calculatedColumnFormula>IF(Sales[[#This Row],[Number of Users]]-Sales[[#This Row],[Licenses Bought]]&lt;0,0,Sales[[#This Row],[Number of Users]]-Sales[[#This Row],[Licenses Bought]])</calculatedColumnFormula>
    </tableColumn>
    <tableColumn id="16" name="Current Upsell $" dataDxfId="24">
      <calculatedColumnFormula>IF(Sales[[#This Row],[Sales Month]]=MAX(Sales[Sales Month]),Sales[[#This Row],[Non-Paying Users]]*Sales[[#This Row],[Upsell $ per Non-Paying User]],0)</calculatedColumnFormula>
    </tableColumn>
    <tableColumn id="17" name="Upsell Priority" dataDxfId="23">
      <calculatedColumnFormula array="1">_xlfn.IFS(Sales[[#This Row],[Current Upsell $]]=0,"",Sales[[#This Row],[Current Upsell $]]&gt;=400,"High",Sales[[#This Row],[Current Upsell $]]&gt;=100,"Medium",Sales[[#This Row],[Current Upsell $]]&lt;100,"Low")</calculatedColumnFormula>
    </tableColumn>
    <tableColumn id="18" name="Upsell Account Detail" dataDxfId="22">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Sales_Trends" displayName="Sales_Trends" ref="A1:K13" totalsRowShown="0">
  <autoFilter ref="A1:K13"/>
  <tableColumns count="11">
    <tableColumn id="1" name="Sales Month" dataDxfId="21"/>
    <tableColumn id="2" name="Number of Customers" dataDxfId="20">
      <calculatedColumnFormula>COUNTIF(Sales[Sales Month],Sales_Trends[[#This Row],[Sales Month]])</calculatedColumnFormula>
    </tableColumn>
    <tableColumn id="3" name="Total Sales" dataDxfId="19" dataCellStyle="Currency">
      <calculatedColumnFormula>SUMIF(Sales[Sales Month],Sales_Trends[[#This Row],[Sales Month]],Sales[Sales Amount])</calculatedColumnFormula>
    </tableColumn>
    <tableColumn id="4" name="Avg Sales Per Customer" dataDxfId="18" dataCellStyle="Currency">
      <calculatedColumnFormula>AVERAGEIF(Sales[Sales Month],Sales_Trends[[#This Row],[Sales Month]],Sales[Sales Amount])</calculatedColumnFormula>
    </tableColumn>
    <tableColumn id="6" name="Non-Paying Customers" dataDxfId="17">
      <calculatedColumnFormula>COUNTIFS(Sales[Sales Month],Sales_Trends[[#This Row],[Sales Month]],Sales[Subscription Type],"Basic")</calculatedColumnFormula>
    </tableColumn>
    <tableColumn id="7" name="Paying Customers" dataDxfId="16">
      <calculatedColumnFormula>COUNTIFS(Sales[Sales Month],Sales_Trends[[#This Row],[Sales Month]],Sales[Subscription Type],"&lt;&gt;Basic")</calculatedColumnFormula>
    </tableColumn>
    <tableColumn id="8" name="Basic to Paying Ratio" dataDxfId="15">
      <calculatedColumnFormula>Sales_Trends[[#This Row],[Non-Paying Customers]]/Sales_Trends[[#This Row],[Paying Customers]]</calculatedColumnFormula>
    </tableColumn>
    <tableColumn id="9" name="Premium Sales" dataDxfId="14" dataCellStyle="Currency">
      <calculatedColumnFormula>SUMIFS(Sales[Sales Amount],Sales[Sales Month],Sales_Trends[[#This Row],[Sales Month]],Sales[Subscription Type],"Premium")</calculatedColumnFormula>
    </tableColumn>
    <tableColumn id="10" name="Business Sales" dataDxfId="13" dataCellStyle="Currency">
      <calculatedColumnFormula>SUMIFS(Sales[Sales Amount],Sales[Sales Month],Sales_Trends[[#This Row],[Sales Month]],Sales[Subscription Type],"Business")</calculatedColumnFormula>
    </tableColumn>
    <tableColumn id="11" name="Enterprise Sales" dataDxfId="12" dataCellStyle="Currency">
      <calculatedColumnFormula>SUMIFS(Sales[Sales Amount],Sales[Sales Month],Sales_Trends[[#This Row],[Sales Month]],Sales[Subscription Type],"Enterprise")</calculatedColumnFormula>
    </tableColumn>
    <tableColumn id="12" name="Enterprise Sales Share" dataCellStyle="Percent">
      <calculatedColumnFormula>Sales_Trends[[#This Row],[Enterprise Sales]]/Sales_Trends[[#This Row],[Total 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Scenario1" displayName="Scenario1" ref="A1:D6" totalsRowCount="1">
  <autoFilter ref="A1:D5"/>
  <tableColumns count="4">
    <tableColumn id="4" name="Subscription Type" totalsRowLabel="Total" dataDxfId="10"/>
    <tableColumn id="1" name="Upsell Opportunity" dataDxfId="9">
      <calculatedColumnFormula>SUMIF(Sales[Subscription Type],Scenario1[[#This Row],[Subscription Type]],Sales[Current Upsell $])</calculatedColumnFormula>
    </tableColumn>
    <tableColumn id="2" name="Conversion Rates"/>
    <tableColumn id="3" name="Projected Upsell Amount" totalsRowFunction="sum" dataDxfId="8">
      <calculatedColumnFormula>Scenario1[[#This Row],[Upsell Opportunity]]*Scenario1[[#This Row],[Conversion Rates]]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Scenario2" displayName="Scenario2" ref="A9:C10" totalsRowShown="0" dataDxfId="7" dataCellStyle="Currency">
  <autoFilter ref="A9:C10"/>
  <tableColumns count="3">
    <tableColumn id="1" name="Sales Last Month" dataDxfId="6" dataCellStyle="Currency">
      <calculatedColumnFormula>SUMIF(Sales[Sales Month],MAX(Sales[Sales Month]),Sales[Sales Amount])</calculatedColumnFormula>
    </tableColumn>
    <tableColumn id="2" name="Growth Rate" dataCellStyle="Percent"/>
    <tableColumn id="3" name="Sales Target" dataDxfId="5" dataCellStyle="Currency">
      <calculatedColumnFormula>Scenario2[[#This Row],[Sales Last Month]]*(1+Scenario2[[#This Row],[Growth Rate]])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3:E17" totalsRowCount="1">
  <autoFilter ref="A13:E16"/>
  <tableColumns count="5">
    <tableColumn id="1" name="Subscription Type" totalsRowLabel="Total"/>
    <tableColumn id="2" name="License Price" totalsRowDxfId="4" dataCellStyle="Currency"/>
    <tableColumn id="3" name="Licenses Bought" dataDxfId="3">
      <calculatedColumnFormula>SUMIFS(Sales[Licenses Bought],Sales[Sales Month],MAX(Sales[Sales Month]),Sales[Subscription Type],Table5[[#This Row],[Subscription Type]])</calculatedColumnFormula>
    </tableColumn>
    <tableColumn id="5" name="Elasticity"/>
    <tableColumn id="4" name="Projected Sales" totalsRowFunction="sum" dataDxfId="2" totalsRowDxfId="1">
      <calculatedColumnFormula>Table5[[#This Row],[License Price]]*Table5[[#This Row],[Licenses Bought]]*(1+Table5[[#This Row],[Elasticity]])</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6" name="Forecast" displayName="Forecast" ref="A1:D26" totalsRowShown="0">
  <autoFilter ref="A1:D26"/>
  <tableColumns count="4">
    <tableColumn id="1" name="Sales Month"/>
    <tableColumn id="2" name="Total Sales" dataDxfId="0" dataCellStyle="Currency">
      <calculatedColumnFormula>SUMIF(Sales[Sales Month],Forecast[[#This Row],[Sales Month]],Sales[Sales Amount])</calculatedColumnFormula>
    </tableColumn>
    <tableColumn id="3" name="SMA Forecast"/>
    <tableColumn id="4" name="WMA Foreca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6" sqref="A6"/>
    </sheetView>
  </sheetViews>
  <sheetFormatPr defaultColWidth="8.875" defaultRowHeight="15.75" x14ac:dyDescent="0.25"/>
  <cols>
    <col min="1" max="1" width="19.375" bestFit="1" customWidth="1"/>
    <col min="2" max="2" width="15.125" bestFit="1" customWidth="1"/>
    <col min="3" max="4" width="8.625" bestFit="1" customWidth="1"/>
    <col min="5" max="5" width="11" bestFit="1" customWidth="1"/>
    <col min="6" max="6" width="8.625" bestFit="1" customWidth="1"/>
    <col min="7" max="7" width="12.125" bestFit="1" customWidth="1"/>
    <col min="8" max="10" width="8.625" bestFit="1" customWidth="1"/>
    <col min="11" max="13" width="9.625" bestFit="1" customWidth="1"/>
    <col min="14" max="14" width="11" bestFit="1" customWidth="1"/>
    <col min="15" max="16" width="9.625" bestFit="1" customWidth="1"/>
    <col min="17" max="22" width="8.625" bestFit="1" customWidth="1"/>
    <col min="23" max="23" width="11" bestFit="1" customWidth="1"/>
    <col min="24"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7" x14ac:dyDescent="0.25">
      <c r="A3" s="3" t="s">
        <v>17</v>
      </c>
      <c r="B3" s="3" t="s">
        <v>24</v>
      </c>
    </row>
    <row r="4" spans="1:7" x14ac:dyDescent="0.25">
      <c r="A4" s="3" t="s">
        <v>18</v>
      </c>
      <c r="B4" s="1">
        <v>44287</v>
      </c>
      <c r="C4" s="1">
        <v>44317</v>
      </c>
      <c r="D4" s="1">
        <v>44348</v>
      </c>
      <c r="E4" s="1" t="s">
        <v>19</v>
      </c>
    </row>
    <row r="5" spans="1:7" x14ac:dyDescent="0.25">
      <c r="A5" s="4" t="s">
        <v>20</v>
      </c>
      <c r="B5" s="2">
        <v>40625</v>
      </c>
      <c r="C5" s="2">
        <v>45505</v>
      </c>
      <c r="D5" s="2">
        <v>49945</v>
      </c>
      <c r="E5" s="2">
        <v>136075</v>
      </c>
    </row>
    <row r="6" spans="1:7" x14ac:dyDescent="0.25">
      <c r="A6" s="5" t="s">
        <v>21</v>
      </c>
      <c r="B6" s="2">
        <v>8090</v>
      </c>
      <c r="C6" s="2">
        <v>7930</v>
      </c>
      <c r="D6" s="2">
        <v>10995</v>
      </c>
      <c r="E6" s="2">
        <v>27015</v>
      </c>
      <c r="G6" s="7"/>
    </row>
    <row r="7" spans="1:7" x14ac:dyDescent="0.25">
      <c r="A7" s="6" t="s">
        <v>1</v>
      </c>
      <c r="B7" s="2">
        <v>2900</v>
      </c>
      <c r="C7" s="2">
        <v>3600</v>
      </c>
      <c r="D7" s="2">
        <v>4625</v>
      </c>
      <c r="E7" s="2">
        <v>11125</v>
      </c>
      <c r="G7" s="7"/>
    </row>
    <row r="8" spans="1:7" x14ac:dyDescent="0.25">
      <c r="A8" s="6" t="s">
        <v>0</v>
      </c>
      <c r="B8" s="2">
        <v>5190</v>
      </c>
      <c r="C8" s="2">
        <v>4330</v>
      </c>
      <c r="D8" s="2">
        <v>6370</v>
      </c>
      <c r="E8" s="2">
        <v>15890</v>
      </c>
      <c r="G8" s="7"/>
    </row>
    <row r="9" spans="1:7" x14ac:dyDescent="0.25">
      <c r="A9" s="5" t="s">
        <v>22</v>
      </c>
      <c r="B9" s="2">
        <v>22120</v>
      </c>
      <c r="C9" s="2">
        <v>27160</v>
      </c>
      <c r="D9" s="2">
        <v>26050</v>
      </c>
      <c r="E9" s="2">
        <v>75330</v>
      </c>
      <c r="G9" s="7"/>
    </row>
    <row r="10" spans="1:7" x14ac:dyDescent="0.25">
      <c r="A10" s="6" t="s">
        <v>1</v>
      </c>
      <c r="B10" s="2">
        <v>13850</v>
      </c>
      <c r="C10" s="2">
        <v>15600</v>
      </c>
      <c r="D10" s="2">
        <v>14700</v>
      </c>
      <c r="E10" s="2">
        <v>44150</v>
      </c>
      <c r="G10" s="7"/>
    </row>
    <row r="11" spans="1:7" x14ac:dyDescent="0.25">
      <c r="A11" s="6" t="s">
        <v>0</v>
      </c>
      <c r="B11" s="2">
        <v>8270</v>
      </c>
      <c r="C11" s="2">
        <v>11560</v>
      </c>
      <c r="D11" s="2">
        <v>11350</v>
      </c>
      <c r="E11" s="2">
        <v>31180</v>
      </c>
      <c r="G11" s="7"/>
    </row>
    <row r="12" spans="1:7" x14ac:dyDescent="0.25">
      <c r="A12" s="5" t="s">
        <v>23</v>
      </c>
      <c r="B12" s="2">
        <v>10415</v>
      </c>
      <c r="C12" s="2">
        <v>10415</v>
      </c>
      <c r="D12" s="2">
        <v>12900</v>
      </c>
      <c r="E12" s="2">
        <v>33730</v>
      </c>
      <c r="G12" s="7"/>
    </row>
    <row r="13" spans="1:7" x14ac:dyDescent="0.25">
      <c r="A13" s="6" t="s">
        <v>1</v>
      </c>
      <c r="B13" s="2">
        <v>7125</v>
      </c>
      <c r="C13" s="2">
        <v>7125</v>
      </c>
      <c r="D13" s="2">
        <v>8500</v>
      </c>
      <c r="E13" s="2">
        <v>22750</v>
      </c>
      <c r="G13" s="7"/>
    </row>
    <row r="14" spans="1:7" x14ac:dyDescent="0.25">
      <c r="A14" s="6" t="s">
        <v>0</v>
      </c>
      <c r="B14" s="2">
        <v>3290</v>
      </c>
      <c r="C14" s="2">
        <v>3290</v>
      </c>
      <c r="D14" s="2">
        <v>4400</v>
      </c>
      <c r="E14" s="2">
        <v>10980</v>
      </c>
    </row>
    <row r="15" spans="1:7" x14ac:dyDescent="0.2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385"/>
  <sheetViews>
    <sheetView topLeftCell="M1" zoomScaleNormal="100" workbookViewId="0">
      <selection activeCell="R1" sqref="R1"/>
    </sheetView>
  </sheetViews>
  <sheetFormatPr defaultColWidth="11" defaultRowHeight="15.75" x14ac:dyDescent="0.25"/>
  <cols>
    <col min="1" max="1" width="13.625" customWidth="1"/>
    <col min="2" max="2" width="18" customWidth="1"/>
    <col min="3" max="3" width="24.375" customWidth="1"/>
    <col min="4" max="4" width="21.375" customWidth="1"/>
    <col min="5" max="5" width="20.375" customWidth="1"/>
    <col min="6" max="6" width="16.625" customWidth="1"/>
    <col min="7" max="7" width="17.5" customWidth="1"/>
    <col min="8" max="8" width="23.125" customWidth="1"/>
    <col min="9" max="9" width="12.5" customWidth="1"/>
    <col min="10" max="10" width="15.375" customWidth="1"/>
    <col min="11" max="11" width="24" customWidth="1"/>
    <col min="12" max="12" width="13.625" customWidth="1"/>
    <col min="13" max="13" width="14.875" customWidth="1"/>
    <col min="14" max="14" width="29.5" style="8" bestFit="1" customWidth="1"/>
    <col min="15" max="15" width="18.375" bestFit="1" customWidth="1"/>
    <col min="16" max="16" width="15.5" bestFit="1" customWidth="1"/>
    <col min="17" max="17" width="15.375" bestFit="1" customWidth="1"/>
    <col min="18" max="18" width="21.625" bestFit="1" customWidth="1"/>
  </cols>
  <sheetData>
    <row r="1" spans="1:18" x14ac:dyDescent="0.25">
      <c r="A1" t="s">
        <v>16</v>
      </c>
      <c r="B1" t="s">
        <v>14</v>
      </c>
      <c r="C1" t="s">
        <v>7</v>
      </c>
      <c r="D1" t="s">
        <v>5</v>
      </c>
      <c r="E1" t="s">
        <v>6</v>
      </c>
      <c r="F1" t="s">
        <v>4</v>
      </c>
      <c r="G1" t="s">
        <v>15</v>
      </c>
      <c r="H1" t="s">
        <v>8</v>
      </c>
      <c r="I1" t="s">
        <v>10</v>
      </c>
      <c r="J1" t="s">
        <v>9</v>
      </c>
      <c r="K1" t="s">
        <v>11</v>
      </c>
      <c r="L1" t="s">
        <v>12</v>
      </c>
      <c r="M1" t="s">
        <v>13</v>
      </c>
      <c r="N1" s="8" t="s">
        <v>25</v>
      </c>
      <c r="O1" t="s">
        <v>26</v>
      </c>
      <c r="P1" t="s">
        <v>28</v>
      </c>
      <c r="Q1" t="s">
        <v>27</v>
      </c>
      <c r="R1" t="s">
        <v>29</v>
      </c>
    </row>
    <row r="2" spans="1:18" x14ac:dyDescent="0.25">
      <c r="A2">
        <v>100001</v>
      </c>
      <c r="B2" t="s">
        <v>3</v>
      </c>
      <c r="F2">
        <v>0</v>
      </c>
      <c r="G2">
        <v>12</v>
      </c>
      <c r="H2" s="1">
        <v>43647</v>
      </c>
      <c r="I2" s="1">
        <v>43891</v>
      </c>
      <c r="J2">
        <v>8</v>
      </c>
      <c r="K2">
        <v>15</v>
      </c>
      <c r="L2" s="1">
        <v>43647</v>
      </c>
      <c r="M2">
        <v>0</v>
      </c>
      <c r="N2" s="8" cm="1">
        <f t="array" ref="N2">_xlfn.SWITCH(Sales[[#This Row],[Subscription Type]],"Basic",10,"Premium",10,"Business",25,"Enterprise",27)</f>
        <v>10</v>
      </c>
      <c r="O2">
        <f>IF(Sales[[#This Row],[Number of Users]]-Sales[[#This Row],[Licenses Bought]]&lt;0,0,Sales[[#This Row],[Number of Users]]-Sales[[#This Row],[Licenses Bought]])</f>
        <v>12</v>
      </c>
      <c r="P2" s="8">
        <f>IF(Sales[[#This Row],[Sales Month]]=MAX(Sales[Sales Month]),Sales[[#This Row],[Non-Paying Users]]*Sales[[#This Row],[Upsell $ per Non-Paying User]],0)</f>
        <v>0</v>
      </c>
      <c r="Q2" t="str" cm="1">
        <f t="array" ref="Q2">_xlfn.IFS(Sales[[#This Row],[Current Upsell $]]=0,"",Sales[[#This Row],[Current Upsell $]]&gt;=400,"High",Sales[[#This Row],[Current Upsell $]]&gt;=100,"Medium",Sales[[#This Row],[Current Upsell $]]&lt;100,"Low")</f>
        <v/>
      </c>
      <c r="R2" t="str">
        <f>IF(Sales[[#This Row],[Current Upsell $]]&gt;0,_xlfn.CONCAT(Sales[[#This Row],[Subscription Type]]," ",Sales[[#This Row],[Upsell Priority]]," ",TEXT(Sales[[#This Row],[Current Upsell $]],"$#,#")),"")</f>
        <v/>
      </c>
    </row>
    <row r="3" spans="1:18" x14ac:dyDescent="0.25">
      <c r="A3">
        <v>100001</v>
      </c>
      <c r="B3" t="s">
        <v>3</v>
      </c>
      <c r="F3">
        <v>0</v>
      </c>
      <c r="G3">
        <v>11</v>
      </c>
      <c r="H3" s="1">
        <v>43647</v>
      </c>
      <c r="I3" s="1">
        <v>43891</v>
      </c>
      <c r="J3">
        <v>8</v>
      </c>
      <c r="K3">
        <v>15</v>
      </c>
      <c r="L3" s="1">
        <v>43678</v>
      </c>
      <c r="M3">
        <v>0</v>
      </c>
      <c r="N3" s="8" cm="1">
        <f t="array" ref="N3">_xlfn.SWITCH(Sales[[#This Row],[Subscription Type]],"Basic",10,"Premium",10,"Business",25,"Enterprise",27)</f>
        <v>10</v>
      </c>
      <c r="O3">
        <f>IF(Sales[[#This Row],[Number of Users]]-Sales[[#This Row],[Licenses Bought]]&lt;0,0,Sales[[#This Row],[Number of Users]]-Sales[[#This Row],[Licenses Bought]])</f>
        <v>11</v>
      </c>
      <c r="P3" s="8">
        <f>IF(Sales[[#This Row],[Sales Month]]=MAX(Sales[Sales Month]),Sales[[#This Row],[Non-Paying Users]]*Sales[[#This Row],[Upsell $ per Non-Paying User]],0)</f>
        <v>0</v>
      </c>
      <c r="Q3" t="str" cm="1">
        <f t="array" ref="Q3">_xlfn.IFS(Sales[[#This Row],[Current Upsell $]]=0,"",Sales[[#This Row],[Current Upsell $]]&gt;=400,"High",Sales[[#This Row],[Current Upsell $]]&gt;=100,"Medium",Sales[[#This Row],[Current Upsell $]]&lt;100,"Low")</f>
        <v/>
      </c>
      <c r="R3" t="str">
        <f>IF(Sales[[#This Row],[Current Upsell $]]&gt;0,_xlfn.CONCAT(Sales[[#This Row],[Subscription Type]]," ",Sales[[#This Row],[Upsell Priority]]," ",TEXT(Sales[[#This Row],[Current Upsell $]],"$#,#")),"")</f>
        <v/>
      </c>
    </row>
    <row r="4" spans="1:18" x14ac:dyDescent="0.25">
      <c r="A4">
        <v>100001</v>
      </c>
      <c r="B4" t="s">
        <v>3</v>
      </c>
      <c r="F4">
        <v>0</v>
      </c>
      <c r="G4">
        <v>11</v>
      </c>
      <c r="H4" s="1">
        <v>43647</v>
      </c>
      <c r="I4" s="1">
        <v>43891</v>
      </c>
      <c r="J4">
        <v>8</v>
      </c>
      <c r="K4">
        <v>15</v>
      </c>
      <c r="L4" s="1">
        <v>43709</v>
      </c>
      <c r="M4">
        <v>0</v>
      </c>
      <c r="N4" s="8" cm="1">
        <f t="array" ref="N4">_xlfn.SWITCH(Sales[[#This Row],[Subscription Type]],"Basic",10,"Premium",10,"Business",25,"Enterprise",27)</f>
        <v>10</v>
      </c>
      <c r="O4">
        <f>IF(Sales[[#This Row],[Number of Users]]-Sales[[#This Row],[Licenses Bought]]&lt;0,0,Sales[[#This Row],[Number of Users]]-Sales[[#This Row],[Licenses Bought]])</f>
        <v>11</v>
      </c>
      <c r="P4" s="8">
        <f>IF(Sales[[#This Row],[Sales Month]]=MAX(Sales[Sales Month]),Sales[[#This Row],[Non-Paying Users]]*Sales[[#This Row],[Upsell $ per Non-Paying User]],0)</f>
        <v>0</v>
      </c>
      <c r="Q4" t="str" cm="1">
        <f t="array" ref="Q4">_xlfn.IFS(Sales[[#This Row],[Current Upsell $]]=0,"",Sales[[#This Row],[Current Upsell $]]&gt;=400,"High",Sales[[#This Row],[Current Upsell $]]&gt;=100,"Medium",Sales[[#This Row],[Current Upsell $]]&lt;100,"Low")</f>
        <v/>
      </c>
      <c r="R4" t="str">
        <f>IF(Sales[[#This Row],[Current Upsell $]]&gt;0,_xlfn.CONCAT(Sales[[#This Row],[Subscription Type]]," ",Sales[[#This Row],[Upsell Priority]]," ",TEXT(Sales[[#This Row],[Current Upsell $]],"$#,#")),"")</f>
        <v/>
      </c>
    </row>
    <row r="5" spans="1:18" x14ac:dyDescent="0.25">
      <c r="A5">
        <v>100001</v>
      </c>
      <c r="B5" t="s">
        <v>3</v>
      </c>
      <c r="F5">
        <v>0</v>
      </c>
      <c r="G5">
        <v>9</v>
      </c>
      <c r="H5" s="1">
        <v>43647</v>
      </c>
      <c r="I5" s="1">
        <v>43891</v>
      </c>
      <c r="J5">
        <v>8</v>
      </c>
      <c r="K5">
        <v>15</v>
      </c>
      <c r="L5" s="1">
        <v>43739</v>
      </c>
      <c r="M5">
        <v>0</v>
      </c>
      <c r="N5" s="8" cm="1">
        <f t="array" ref="N5">_xlfn.SWITCH(Sales[[#This Row],[Subscription Type]],"Basic",10,"Premium",10,"Business",25,"Enterprise",27)</f>
        <v>10</v>
      </c>
      <c r="O5">
        <f>IF(Sales[[#This Row],[Number of Users]]-Sales[[#This Row],[Licenses Bought]]&lt;0,0,Sales[[#This Row],[Number of Users]]-Sales[[#This Row],[Licenses Bought]])</f>
        <v>9</v>
      </c>
      <c r="P5" s="8">
        <f>IF(Sales[[#This Row],[Sales Month]]=MAX(Sales[Sales Month]),Sales[[#This Row],[Non-Paying Users]]*Sales[[#This Row],[Upsell $ per Non-Paying User]],0)</f>
        <v>0</v>
      </c>
      <c r="Q5" t="str" cm="1">
        <f t="array" ref="Q5">_xlfn.IFS(Sales[[#This Row],[Current Upsell $]]=0,"",Sales[[#This Row],[Current Upsell $]]&gt;=400,"High",Sales[[#This Row],[Current Upsell $]]&gt;=100,"Medium",Sales[[#This Row],[Current Upsell $]]&lt;100,"Low")</f>
        <v/>
      </c>
      <c r="R5" t="str">
        <f>IF(Sales[[#This Row],[Current Upsell $]]&gt;0,_xlfn.CONCAT(Sales[[#This Row],[Subscription Type]]," ",Sales[[#This Row],[Upsell Priority]]," ",TEXT(Sales[[#This Row],[Current Upsell $]],"$#,#")),"")</f>
        <v/>
      </c>
    </row>
    <row r="6" spans="1:18" x14ac:dyDescent="0.25">
      <c r="A6">
        <v>100001</v>
      </c>
      <c r="B6" t="s">
        <v>3</v>
      </c>
      <c r="F6">
        <v>0</v>
      </c>
      <c r="G6">
        <v>11</v>
      </c>
      <c r="H6" s="1">
        <v>43647</v>
      </c>
      <c r="I6" s="1">
        <v>43891</v>
      </c>
      <c r="J6">
        <v>8</v>
      </c>
      <c r="K6">
        <v>15</v>
      </c>
      <c r="L6" s="1">
        <v>43770</v>
      </c>
      <c r="M6">
        <v>0</v>
      </c>
      <c r="N6" s="8" cm="1">
        <f t="array" ref="N6">_xlfn.SWITCH(Sales[[#This Row],[Subscription Type]],"Basic",10,"Premium",10,"Business",25,"Enterprise",27)</f>
        <v>10</v>
      </c>
      <c r="O6">
        <f>IF(Sales[[#This Row],[Number of Users]]-Sales[[#This Row],[Licenses Bought]]&lt;0,0,Sales[[#This Row],[Number of Users]]-Sales[[#This Row],[Licenses Bought]])</f>
        <v>11</v>
      </c>
      <c r="P6" s="8">
        <f>IF(Sales[[#This Row],[Sales Month]]=MAX(Sales[Sales Month]),Sales[[#This Row],[Non-Paying Users]]*Sales[[#This Row],[Upsell $ per Non-Paying User]],0)</f>
        <v>0</v>
      </c>
      <c r="Q6" t="str" cm="1">
        <f t="array" ref="Q6">_xlfn.IFS(Sales[[#This Row],[Current Upsell $]]=0,"",Sales[[#This Row],[Current Upsell $]]&gt;=400,"High",Sales[[#This Row],[Current Upsell $]]&gt;=100,"Medium",Sales[[#This Row],[Current Upsell $]]&lt;100,"Low")</f>
        <v/>
      </c>
      <c r="R6" t="str">
        <f>IF(Sales[[#This Row],[Current Upsell $]]&gt;0,_xlfn.CONCAT(Sales[[#This Row],[Subscription Type]]," ",Sales[[#This Row],[Upsell Priority]]," ",TEXT(Sales[[#This Row],[Current Upsell $]],"$#,#")),"")</f>
        <v/>
      </c>
    </row>
    <row r="7" spans="1:18" x14ac:dyDescent="0.25">
      <c r="A7">
        <v>100001</v>
      </c>
      <c r="B7" t="s">
        <v>3</v>
      </c>
      <c r="F7">
        <v>0</v>
      </c>
      <c r="G7">
        <v>12</v>
      </c>
      <c r="H7" s="1">
        <v>43647</v>
      </c>
      <c r="I7" s="1">
        <v>43891</v>
      </c>
      <c r="J7">
        <v>8</v>
      </c>
      <c r="K7">
        <v>15</v>
      </c>
      <c r="L7" s="1">
        <v>43800</v>
      </c>
      <c r="M7">
        <v>0</v>
      </c>
      <c r="N7" s="8" cm="1">
        <f t="array" ref="N7">_xlfn.SWITCH(Sales[[#This Row],[Subscription Type]],"Basic",10,"Premium",10,"Business",25,"Enterprise",27)</f>
        <v>10</v>
      </c>
      <c r="O7">
        <f>IF(Sales[[#This Row],[Number of Users]]-Sales[[#This Row],[Licenses Bought]]&lt;0,0,Sales[[#This Row],[Number of Users]]-Sales[[#This Row],[Licenses Bought]])</f>
        <v>12</v>
      </c>
      <c r="P7" s="8">
        <f>IF(Sales[[#This Row],[Sales Month]]=MAX(Sales[Sales Month]),Sales[[#This Row],[Non-Paying Users]]*Sales[[#This Row],[Upsell $ per Non-Paying User]],0)</f>
        <v>0</v>
      </c>
      <c r="Q7" t="str" cm="1">
        <f t="array" ref="Q7">_xlfn.IFS(Sales[[#This Row],[Current Upsell $]]=0,"",Sales[[#This Row],[Current Upsell $]]&gt;=400,"High",Sales[[#This Row],[Current Upsell $]]&gt;=100,"Medium",Sales[[#This Row],[Current Upsell $]]&lt;100,"Low")</f>
        <v/>
      </c>
      <c r="R7" t="str">
        <f>IF(Sales[[#This Row],[Current Upsell $]]&gt;0,_xlfn.CONCAT(Sales[[#This Row],[Subscription Type]]," ",Sales[[#This Row],[Upsell Priority]]," ",TEXT(Sales[[#This Row],[Current Upsell $]],"$#,#")),"")</f>
        <v/>
      </c>
    </row>
    <row r="8" spans="1:18" x14ac:dyDescent="0.25">
      <c r="A8">
        <v>100001</v>
      </c>
      <c r="B8" t="s">
        <v>3</v>
      </c>
      <c r="F8">
        <v>0</v>
      </c>
      <c r="G8">
        <v>9</v>
      </c>
      <c r="H8" s="1">
        <v>43647</v>
      </c>
      <c r="I8" s="1">
        <v>43891</v>
      </c>
      <c r="J8">
        <v>8</v>
      </c>
      <c r="K8">
        <v>15</v>
      </c>
      <c r="L8" s="1">
        <v>43831</v>
      </c>
      <c r="M8">
        <v>0</v>
      </c>
      <c r="N8" s="8" cm="1">
        <f t="array" ref="N8">_xlfn.SWITCH(Sales[[#This Row],[Subscription Type]],"Basic",10,"Premium",10,"Business",25,"Enterprise",27)</f>
        <v>10</v>
      </c>
      <c r="O8">
        <f>IF(Sales[[#This Row],[Number of Users]]-Sales[[#This Row],[Licenses Bought]]&lt;0,0,Sales[[#This Row],[Number of Users]]-Sales[[#This Row],[Licenses Bought]])</f>
        <v>9</v>
      </c>
      <c r="P8" s="8">
        <f>IF(Sales[[#This Row],[Sales Month]]=MAX(Sales[Sales Month]),Sales[[#This Row],[Non-Paying Users]]*Sales[[#This Row],[Upsell $ per Non-Paying User]],0)</f>
        <v>0</v>
      </c>
      <c r="Q8" t="str" cm="1">
        <f t="array" ref="Q8">_xlfn.IFS(Sales[[#This Row],[Current Upsell $]]=0,"",Sales[[#This Row],[Current Upsell $]]&gt;=400,"High",Sales[[#This Row],[Current Upsell $]]&gt;=100,"Medium",Sales[[#This Row],[Current Upsell $]]&lt;100,"Low")</f>
        <v/>
      </c>
      <c r="R8" t="str">
        <f>IF(Sales[[#This Row],[Current Upsell $]]&gt;0,_xlfn.CONCAT(Sales[[#This Row],[Subscription Type]]," ",Sales[[#This Row],[Upsell Priority]]," ",TEXT(Sales[[#This Row],[Current Upsell $]],"$#,#")),"")</f>
        <v/>
      </c>
    </row>
    <row r="9" spans="1:18" x14ac:dyDescent="0.25">
      <c r="A9">
        <v>100001</v>
      </c>
      <c r="B9" t="s">
        <v>3</v>
      </c>
      <c r="F9">
        <v>0</v>
      </c>
      <c r="G9">
        <v>11</v>
      </c>
      <c r="H9" s="1">
        <v>43647</v>
      </c>
      <c r="I9" s="1">
        <v>43891</v>
      </c>
      <c r="J9">
        <v>8</v>
      </c>
      <c r="K9">
        <v>15</v>
      </c>
      <c r="L9" s="1">
        <v>43862</v>
      </c>
      <c r="M9">
        <v>0</v>
      </c>
      <c r="N9" s="8" cm="1">
        <f t="array" ref="N9">_xlfn.SWITCH(Sales[[#This Row],[Subscription Type]],"Basic",10,"Premium",10,"Business",25,"Enterprise",27)</f>
        <v>10</v>
      </c>
      <c r="O9">
        <f>IF(Sales[[#This Row],[Number of Users]]-Sales[[#This Row],[Licenses Bought]]&lt;0,0,Sales[[#This Row],[Number of Users]]-Sales[[#This Row],[Licenses Bought]])</f>
        <v>11</v>
      </c>
      <c r="P9" s="8">
        <f>IF(Sales[[#This Row],[Sales Month]]=MAX(Sales[Sales Month]),Sales[[#This Row],[Non-Paying Users]]*Sales[[#This Row],[Upsell $ per Non-Paying User]],0)</f>
        <v>0</v>
      </c>
      <c r="Q9" t="str" cm="1">
        <f t="array" ref="Q9">_xlfn.IFS(Sales[[#This Row],[Current Upsell $]]=0,"",Sales[[#This Row],[Current Upsell $]]&gt;=400,"High",Sales[[#This Row],[Current Upsell $]]&gt;=100,"Medium",Sales[[#This Row],[Current Upsell $]]&lt;100,"Low")</f>
        <v/>
      </c>
      <c r="R9" t="str">
        <f>IF(Sales[[#This Row],[Current Upsell $]]&gt;0,_xlfn.CONCAT(Sales[[#This Row],[Subscription Type]]," ",Sales[[#This Row],[Upsell Priority]]," ",TEXT(Sales[[#This Row],[Current Upsell $]],"$#,#")),"")</f>
        <v/>
      </c>
    </row>
    <row r="10" spans="1:18" x14ac:dyDescent="0.25">
      <c r="A10">
        <v>100001</v>
      </c>
      <c r="B10" t="s">
        <v>3</v>
      </c>
      <c r="F10">
        <v>0</v>
      </c>
      <c r="G10">
        <v>12</v>
      </c>
      <c r="H10" s="1">
        <v>43647</v>
      </c>
      <c r="I10" s="1">
        <v>43891</v>
      </c>
      <c r="J10">
        <v>8</v>
      </c>
      <c r="K10">
        <v>15</v>
      </c>
      <c r="L10" s="1">
        <v>43891</v>
      </c>
      <c r="M10">
        <v>0</v>
      </c>
      <c r="N10" s="8" cm="1">
        <f t="array" ref="N10">_xlfn.SWITCH(Sales[[#This Row],[Subscription Type]],"Basic",10,"Premium",10,"Business",25,"Enterprise",27)</f>
        <v>10</v>
      </c>
      <c r="O10">
        <f>IF(Sales[[#This Row],[Number of Users]]-Sales[[#This Row],[Licenses Bought]]&lt;0,0,Sales[[#This Row],[Number of Users]]-Sales[[#This Row],[Licenses Bought]])</f>
        <v>12</v>
      </c>
      <c r="P10" s="8">
        <f>IF(Sales[[#This Row],[Sales Month]]=MAX(Sales[Sales Month]),Sales[[#This Row],[Non-Paying Users]]*Sales[[#This Row],[Upsell $ per Non-Paying User]],0)</f>
        <v>0</v>
      </c>
      <c r="Q10" t="str" cm="1">
        <f t="array" ref="Q10">_xlfn.IFS(Sales[[#This Row],[Current Upsell $]]=0,"",Sales[[#This Row],[Current Upsell $]]&gt;=400,"High",Sales[[#This Row],[Current Upsell $]]&gt;=100,"Medium",Sales[[#This Row],[Current Upsell $]]&lt;100,"Low")</f>
        <v/>
      </c>
      <c r="R10" t="str">
        <f>IF(Sales[[#This Row],[Current Upsell $]]&gt;0,_xlfn.CONCAT(Sales[[#This Row],[Subscription Type]]," ",Sales[[#This Row],[Upsell Priority]]," ",TEXT(Sales[[#This Row],[Current Upsell $]],"$#,#")),"")</f>
        <v/>
      </c>
    </row>
    <row r="11" spans="1:18" x14ac:dyDescent="0.25">
      <c r="A11">
        <v>100002</v>
      </c>
      <c r="B11" t="s">
        <v>3</v>
      </c>
      <c r="F11">
        <v>0</v>
      </c>
      <c r="G11">
        <v>2</v>
      </c>
      <c r="H11" s="1">
        <v>43647</v>
      </c>
      <c r="I11" s="1">
        <v>44287</v>
      </c>
      <c r="J11">
        <v>21</v>
      </c>
      <c r="K11">
        <v>2</v>
      </c>
      <c r="L11" s="1">
        <v>43647</v>
      </c>
      <c r="M11">
        <v>0</v>
      </c>
      <c r="N11" s="8" cm="1">
        <f t="array" ref="N11">_xlfn.SWITCH(Sales[[#This Row],[Subscription Type]],"Basic",10,"Premium",10,"Business",25,"Enterprise",27)</f>
        <v>10</v>
      </c>
      <c r="O11">
        <f>IF(Sales[[#This Row],[Number of Users]]-Sales[[#This Row],[Licenses Bought]]&lt;0,0,Sales[[#This Row],[Number of Users]]-Sales[[#This Row],[Licenses Bought]])</f>
        <v>2</v>
      </c>
      <c r="P11" s="8">
        <f>IF(Sales[[#This Row],[Sales Month]]=MAX(Sales[Sales Month]),Sales[[#This Row],[Non-Paying Users]]*Sales[[#This Row],[Upsell $ per Non-Paying User]],0)</f>
        <v>0</v>
      </c>
      <c r="Q11" t="str" cm="1">
        <f t="array" ref="Q11">_xlfn.IFS(Sales[[#This Row],[Current Upsell $]]=0,"",Sales[[#This Row],[Current Upsell $]]&gt;=400,"High",Sales[[#This Row],[Current Upsell $]]&gt;=100,"Medium",Sales[[#This Row],[Current Upsell $]]&lt;100,"Low")</f>
        <v/>
      </c>
      <c r="R11" t="str">
        <f>IF(Sales[[#This Row],[Current Upsell $]]&gt;0,_xlfn.CONCAT(Sales[[#This Row],[Subscription Type]]," ",Sales[[#This Row],[Upsell Priority]]," ",TEXT(Sales[[#This Row],[Current Upsell $]],"$#,#")),"")</f>
        <v/>
      </c>
    </row>
    <row r="12" spans="1:18" x14ac:dyDescent="0.25">
      <c r="A12">
        <v>100002</v>
      </c>
      <c r="B12" t="s">
        <v>3</v>
      </c>
      <c r="F12">
        <v>0</v>
      </c>
      <c r="G12">
        <v>2</v>
      </c>
      <c r="H12" s="1">
        <v>43647</v>
      </c>
      <c r="I12" s="1">
        <v>44287</v>
      </c>
      <c r="J12">
        <v>21</v>
      </c>
      <c r="K12">
        <v>2</v>
      </c>
      <c r="L12" s="1">
        <v>43678</v>
      </c>
      <c r="M12">
        <v>0</v>
      </c>
      <c r="N12" s="8" cm="1">
        <f t="array" ref="N12">_xlfn.SWITCH(Sales[[#This Row],[Subscription Type]],"Basic",10,"Premium",10,"Business",25,"Enterprise",27)</f>
        <v>10</v>
      </c>
      <c r="O12">
        <f>IF(Sales[[#This Row],[Number of Users]]-Sales[[#This Row],[Licenses Bought]]&lt;0,0,Sales[[#This Row],[Number of Users]]-Sales[[#This Row],[Licenses Bought]])</f>
        <v>2</v>
      </c>
      <c r="P12" s="8">
        <f>IF(Sales[[#This Row],[Sales Month]]=MAX(Sales[Sales Month]),Sales[[#This Row],[Non-Paying Users]]*Sales[[#This Row],[Upsell $ per Non-Paying User]],0)</f>
        <v>0</v>
      </c>
      <c r="Q12" t="str" cm="1">
        <f t="array" ref="Q12">_xlfn.IFS(Sales[[#This Row],[Current Upsell $]]=0,"",Sales[[#This Row],[Current Upsell $]]&gt;=400,"High",Sales[[#This Row],[Current Upsell $]]&gt;=100,"Medium",Sales[[#This Row],[Current Upsell $]]&lt;100,"Low")</f>
        <v/>
      </c>
      <c r="R12" t="str">
        <f>IF(Sales[[#This Row],[Current Upsell $]]&gt;0,_xlfn.CONCAT(Sales[[#This Row],[Subscription Type]]," ",Sales[[#This Row],[Upsell Priority]]," ",TEXT(Sales[[#This Row],[Current Upsell $]],"$#,#")),"")</f>
        <v/>
      </c>
    </row>
    <row r="13" spans="1:18" x14ac:dyDescent="0.25">
      <c r="A13">
        <v>100002</v>
      </c>
      <c r="B13" t="s">
        <v>3</v>
      </c>
      <c r="F13">
        <v>0</v>
      </c>
      <c r="G13">
        <v>2</v>
      </c>
      <c r="H13" s="1">
        <v>43647</v>
      </c>
      <c r="I13" s="1">
        <v>44287</v>
      </c>
      <c r="J13">
        <v>21</v>
      </c>
      <c r="K13">
        <v>2</v>
      </c>
      <c r="L13" s="1">
        <v>43709</v>
      </c>
      <c r="M13">
        <v>0</v>
      </c>
      <c r="N13" s="8" cm="1">
        <f t="array" ref="N13">_xlfn.SWITCH(Sales[[#This Row],[Subscription Type]],"Basic",10,"Premium",10,"Business",25,"Enterprise",27)</f>
        <v>10</v>
      </c>
      <c r="O13">
        <f>IF(Sales[[#This Row],[Number of Users]]-Sales[[#This Row],[Licenses Bought]]&lt;0,0,Sales[[#This Row],[Number of Users]]-Sales[[#This Row],[Licenses Bought]])</f>
        <v>2</v>
      </c>
      <c r="P13" s="8">
        <f>IF(Sales[[#This Row],[Sales Month]]=MAX(Sales[Sales Month]),Sales[[#This Row],[Non-Paying Users]]*Sales[[#This Row],[Upsell $ per Non-Paying User]],0)</f>
        <v>0</v>
      </c>
      <c r="Q13" t="str" cm="1">
        <f t="array" ref="Q13">_xlfn.IFS(Sales[[#This Row],[Current Upsell $]]=0,"",Sales[[#This Row],[Current Upsell $]]&gt;=400,"High",Sales[[#This Row],[Current Upsell $]]&gt;=100,"Medium",Sales[[#This Row],[Current Upsell $]]&lt;100,"Low")</f>
        <v/>
      </c>
      <c r="R13" t="str">
        <f>IF(Sales[[#This Row],[Current Upsell $]]&gt;0,_xlfn.CONCAT(Sales[[#This Row],[Subscription Type]]," ",Sales[[#This Row],[Upsell Priority]]," ",TEXT(Sales[[#This Row],[Current Upsell $]],"$#,#")),"")</f>
        <v/>
      </c>
    </row>
    <row r="14" spans="1:18" x14ac:dyDescent="0.25">
      <c r="A14">
        <v>100002</v>
      </c>
      <c r="B14" t="s">
        <v>3</v>
      </c>
      <c r="F14">
        <v>0</v>
      </c>
      <c r="G14">
        <v>1</v>
      </c>
      <c r="H14" s="1">
        <v>43647</v>
      </c>
      <c r="I14" s="1">
        <v>44287</v>
      </c>
      <c r="J14">
        <v>21</v>
      </c>
      <c r="K14">
        <v>2</v>
      </c>
      <c r="L14" s="1">
        <v>43739</v>
      </c>
      <c r="M14">
        <v>0</v>
      </c>
      <c r="N14" s="8" cm="1">
        <f t="array" ref="N14">_xlfn.SWITCH(Sales[[#This Row],[Subscription Type]],"Basic",10,"Premium",10,"Business",25,"Enterprise",27)</f>
        <v>10</v>
      </c>
      <c r="O14">
        <f>IF(Sales[[#This Row],[Number of Users]]-Sales[[#This Row],[Licenses Bought]]&lt;0,0,Sales[[#This Row],[Number of Users]]-Sales[[#This Row],[Licenses Bought]])</f>
        <v>1</v>
      </c>
      <c r="P14" s="8">
        <f>IF(Sales[[#This Row],[Sales Month]]=MAX(Sales[Sales Month]),Sales[[#This Row],[Non-Paying Users]]*Sales[[#This Row],[Upsell $ per Non-Paying User]],0)</f>
        <v>0</v>
      </c>
      <c r="Q14" t="str" cm="1">
        <f t="array" ref="Q14">_xlfn.IFS(Sales[[#This Row],[Current Upsell $]]=0,"",Sales[[#This Row],[Current Upsell $]]&gt;=400,"High",Sales[[#This Row],[Current Upsell $]]&gt;=100,"Medium",Sales[[#This Row],[Current Upsell $]]&lt;100,"Low")</f>
        <v/>
      </c>
      <c r="R14" t="str">
        <f>IF(Sales[[#This Row],[Current Upsell $]]&gt;0,_xlfn.CONCAT(Sales[[#This Row],[Subscription Type]]," ",Sales[[#This Row],[Upsell Priority]]," ",TEXT(Sales[[#This Row],[Current Upsell $]],"$#,#")),"")</f>
        <v/>
      </c>
    </row>
    <row r="15" spans="1:18" x14ac:dyDescent="0.25">
      <c r="A15">
        <v>100002</v>
      </c>
      <c r="B15" t="s">
        <v>3</v>
      </c>
      <c r="F15">
        <v>0</v>
      </c>
      <c r="G15">
        <v>2</v>
      </c>
      <c r="H15" s="1">
        <v>43647</v>
      </c>
      <c r="I15" s="1">
        <v>44287</v>
      </c>
      <c r="J15">
        <v>21</v>
      </c>
      <c r="K15">
        <v>2</v>
      </c>
      <c r="L15" s="1">
        <v>43770</v>
      </c>
      <c r="M15">
        <v>0</v>
      </c>
      <c r="N15" s="8" cm="1">
        <f t="array" ref="N15">_xlfn.SWITCH(Sales[[#This Row],[Subscription Type]],"Basic",10,"Premium",10,"Business",25,"Enterprise",27)</f>
        <v>10</v>
      </c>
      <c r="O15">
        <f>IF(Sales[[#This Row],[Number of Users]]-Sales[[#This Row],[Licenses Bought]]&lt;0,0,Sales[[#This Row],[Number of Users]]-Sales[[#This Row],[Licenses Bought]])</f>
        <v>2</v>
      </c>
      <c r="P15" s="8">
        <f>IF(Sales[[#This Row],[Sales Month]]=MAX(Sales[Sales Month]),Sales[[#This Row],[Non-Paying Users]]*Sales[[#This Row],[Upsell $ per Non-Paying User]],0)</f>
        <v>0</v>
      </c>
      <c r="Q15" t="str" cm="1">
        <f t="array" ref="Q15">_xlfn.IFS(Sales[[#This Row],[Current Upsell $]]=0,"",Sales[[#This Row],[Current Upsell $]]&gt;=400,"High",Sales[[#This Row],[Current Upsell $]]&gt;=100,"Medium",Sales[[#This Row],[Current Upsell $]]&lt;100,"Low")</f>
        <v/>
      </c>
      <c r="R15" t="str">
        <f>IF(Sales[[#This Row],[Current Upsell $]]&gt;0,_xlfn.CONCAT(Sales[[#This Row],[Subscription Type]]," ",Sales[[#This Row],[Upsell Priority]]," ",TEXT(Sales[[#This Row],[Current Upsell $]],"$#,#")),"")</f>
        <v/>
      </c>
    </row>
    <row r="16" spans="1:18" x14ac:dyDescent="0.25">
      <c r="A16">
        <v>100002</v>
      </c>
      <c r="B16" t="s">
        <v>3</v>
      </c>
      <c r="F16">
        <v>0</v>
      </c>
      <c r="G16">
        <v>2</v>
      </c>
      <c r="H16" s="1">
        <v>43647</v>
      </c>
      <c r="I16" s="1">
        <v>44287</v>
      </c>
      <c r="J16">
        <v>21</v>
      </c>
      <c r="K16">
        <v>2</v>
      </c>
      <c r="L16" s="1">
        <v>43800</v>
      </c>
      <c r="M16">
        <v>0</v>
      </c>
      <c r="N16" s="8" cm="1">
        <f t="array" ref="N16">_xlfn.SWITCH(Sales[[#This Row],[Subscription Type]],"Basic",10,"Premium",10,"Business",25,"Enterprise",27)</f>
        <v>10</v>
      </c>
      <c r="O16">
        <f>IF(Sales[[#This Row],[Number of Users]]-Sales[[#This Row],[Licenses Bought]]&lt;0,0,Sales[[#This Row],[Number of Users]]-Sales[[#This Row],[Licenses Bought]])</f>
        <v>2</v>
      </c>
      <c r="P16" s="8">
        <f>IF(Sales[[#This Row],[Sales Month]]=MAX(Sales[Sales Month]),Sales[[#This Row],[Non-Paying Users]]*Sales[[#This Row],[Upsell $ per Non-Paying User]],0)</f>
        <v>0</v>
      </c>
      <c r="Q16" t="str" cm="1">
        <f t="array" ref="Q16">_xlfn.IFS(Sales[[#This Row],[Current Upsell $]]=0,"",Sales[[#This Row],[Current Upsell $]]&gt;=400,"High",Sales[[#This Row],[Current Upsell $]]&gt;=100,"Medium",Sales[[#This Row],[Current Upsell $]]&lt;100,"Low")</f>
        <v/>
      </c>
      <c r="R16" t="str">
        <f>IF(Sales[[#This Row],[Current Upsell $]]&gt;0,_xlfn.CONCAT(Sales[[#This Row],[Subscription Type]]," ",Sales[[#This Row],[Upsell Priority]]," ",TEXT(Sales[[#This Row],[Current Upsell $]],"$#,#")),"")</f>
        <v/>
      </c>
    </row>
    <row r="17" spans="1:18" x14ac:dyDescent="0.25">
      <c r="A17">
        <v>100002</v>
      </c>
      <c r="B17" t="s">
        <v>3</v>
      </c>
      <c r="F17">
        <v>0</v>
      </c>
      <c r="G17">
        <v>2</v>
      </c>
      <c r="H17" s="1">
        <v>43647</v>
      </c>
      <c r="I17" s="1">
        <v>44287</v>
      </c>
      <c r="J17">
        <v>21</v>
      </c>
      <c r="K17">
        <v>2</v>
      </c>
      <c r="L17" s="1">
        <v>43831</v>
      </c>
      <c r="M17">
        <v>0</v>
      </c>
      <c r="N17" s="8" cm="1">
        <f t="array" ref="N17">_xlfn.SWITCH(Sales[[#This Row],[Subscription Type]],"Basic",10,"Premium",10,"Business",25,"Enterprise",27)</f>
        <v>10</v>
      </c>
      <c r="O17">
        <f>IF(Sales[[#This Row],[Number of Users]]-Sales[[#This Row],[Licenses Bought]]&lt;0,0,Sales[[#This Row],[Number of Users]]-Sales[[#This Row],[Licenses Bought]])</f>
        <v>2</v>
      </c>
      <c r="P17" s="8">
        <f>IF(Sales[[#This Row],[Sales Month]]=MAX(Sales[Sales Month]),Sales[[#This Row],[Non-Paying Users]]*Sales[[#This Row],[Upsell $ per Non-Paying User]],0)</f>
        <v>0</v>
      </c>
      <c r="Q17" t="str" cm="1">
        <f t="array" ref="Q17">_xlfn.IFS(Sales[[#This Row],[Current Upsell $]]=0,"",Sales[[#This Row],[Current Upsell $]]&gt;=400,"High",Sales[[#This Row],[Current Upsell $]]&gt;=100,"Medium",Sales[[#This Row],[Current Upsell $]]&lt;100,"Low")</f>
        <v/>
      </c>
      <c r="R17" t="str">
        <f>IF(Sales[[#This Row],[Current Upsell $]]&gt;0,_xlfn.CONCAT(Sales[[#This Row],[Subscription Type]]," ",Sales[[#This Row],[Upsell Priority]]," ",TEXT(Sales[[#This Row],[Current Upsell $]],"$#,#")),"")</f>
        <v/>
      </c>
    </row>
    <row r="18" spans="1:18" x14ac:dyDescent="0.25">
      <c r="A18">
        <v>100002</v>
      </c>
      <c r="B18" t="s">
        <v>3</v>
      </c>
      <c r="F18">
        <v>0</v>
      </c>
      <c r="G18">
        <v>2</v>
      </c>
      <c r="H18" s="1">
        <v>43647</v>
      </c>
      <c r="I18" s="1">
        <v>44287</v>
      </c>
      <c r="J18">
        <v>21</v>
      </c>
      <c r="K18">
        <v>2</v>
      </c>
      <c r="L18" s="1">
        <v>43862</v>
      </c>
      <c r="M18">
        <v>0</v>
      </c>
      <c r="N18" s="8" cm="1">
        <f t="array" ref="N18">_xlfn.SWITCH(Sales[[#This Row],[Subscription Type]],"Basic",10,"Premium",10,"Business",25,"Enterprise",27)</f>
        <v>10</v>
      </c>
      <c r="O18">
        <f>IF(Sales[[#This Row],[Number of Users]]-Sales[[#This Row],[Licenses Bought]]&lt;0,0,Sales[[#This Row],[Number of Users]]-Sales[[#This Row],[Licenses Bought]])</f>
        <v>2</v>
      </c>
      <c r="P18" s="8">
        <f>IF(Sales[[#This Row],[Sales Month]]=MAX(Sales[Sales Month]),Sales[[#This Row],[Non-Paying Users]]*Sales[[#This Row],[Upsell $ per Non-Paying User]],0)</f>
        <v>0</v>
      </c>
      <c r="Q18" t="str" cm="1">
        <f t="array" ref="Q18">_xlfn.IFS(Sales[[#This Row],[Current Upsell $]]=0,"",Sales[[#This Row],[Current Upsell $]]&gt;=400,"High",Sales[[#This Row],[Current Upsell $]]&gt;=100,"Medium",Sales[[#This Row],[Current Upsell $]]&lt;100,"Low")</f>
        <v/>
      </c>
      <c r="R18" t="str">
        <f>IF(Sales[[#This Row],[Current Upsell $]]&gt;0,_xlfn.CONCAT(Sales[[#This Row],[Subscription Type]]," ",Sales[[#This Row],[Upsell Priority]]," ",TEXT(Sales[[#This Row],[Current Upsell $]],"$#,#")),"")</f>
        <v/>
      </c>
    </row>
    <row r="19" spans="1:18" x14ac:dyDescent="0.25">
      <c r="A19">
        <v>100002</v>
      </c>
      <c r="B19" t="s">
        <v>3</v>
      </c>
      <c r="F19">
        <v>0</v>
      </c>
      <c r="G19">
        <v>2</v>
      </c>
      <c r="H19" s="1">
        <v>43647</v>
      </c>
      <c r="I19" s="1">
        <v>44287</v>
      </c>
      <c r="J19">
        <v>21</v>
      </c>
      <c r="K19">
        <v>2</v>
      </c>
      <c r="L19" s="1">
        <v>43891</v>
      </c>
      <c r="M19">
        <v>0</v>
      </c>
      <c r="N19" s="8" cm="1">
        <f t="array" ref="N19">_xlfn.SWITCH(Sales[[#This Row],[Subscription Type]],"Basic",10,"Premium",10,"Business",25,"Enterprise",27)</f>
        <v>10</v>
      </c>
      <c r="O19">
        <f>IF(Sales[[#This Row],[Number of Users]]-Sales[[#This Row],[Licenses Bought]]&lt;0,0,Sales[[#This Row],[Number of Users]]-Sales[[#This Row],[Licenses Bought]])</f>
        <v>2</v>
      </c>
      <c r="P19" s="8">
        <f>IF(Sales[[#This Row],[Sales Month]]=MAX(Sales[Sales Month]),Sales[[#This Row],[Non-Paying Users]]*Sales[[#This Row],[Upsell $ per Non-Paying User]],0)</f>
        <v>0</v>
      </c>
      <c r="Q19" t="str" cm="1">
        <f t="array" ref="Q19">_xlfn.IFS(Sales[[#This Row],[Current Upsell $]]=0,"",Sales[[#This Row],[Current Upsell $]]&gt;=400,"High",Sales[[#This Row],[Current Upsell $]]&gt;=100,"Medium",Sales[[#This Row],[Current Upsell $]]&lt;100,"Low")</f>
        <v/>
      </c>
      <c r="R19" t="str">
        <f>IF(Sales[[#This Row],[Current Upsell $]]&gt;0,_xlfn.CONCAT(Sales[[#This Row],[Subscription Type]]," ",Sales[[#This Row],[Upsell Priority]]," ",TEXT(Sales[[#This Row],[Current Upsell $]],"$#,#")),"")</f>
        <v/>
      </c>
    </row>
    <row r="20" spans="1:18" x14ac:dyDescent="0.25">
      <c r="A20">
        <v>100002</v>
      </c>
      <c r="B20" t="s">
        <v>3</v>
      </c>
      <c r="F20">
        <v>0</v>
      </c>
      <c r="G20">
        <v>2</v>
      </c>
      <c r="H20" s="1">
        <v>43647</v>
      </c>
      <c r="I20" s="1">
        <v>44287</v>
      </c>
      <c r="J20">
        <v>21</v>
      </c>
      <c r="K20">
        <v>2</v>
      </c>
      <c r="L20" s="1">
        <v>43922</v>
      </c>
      <c r="M20">
        <v>0</v>
      </c>
      <c r="N20" s="8" cm="1">
        <f t="array" ref="N20">_xlfn.SWITCH(Sales[[#This Row],[Subscription Type]],"Basic",10,"Premium",10,"Business",25,"Enterprise",27)</f>
        <v>10</v>
      </c>
      <c r="O20">
        <f>IF(Sales[[#This Row],[Number of Users]]-Sales[[#This Row],[Licenses Bought]]&lt;0,0,Sales[[#This Row],[Number of Users]]-Sales[[#This Row],[Licenses Bought]])</f>
        <v>2</v>
      </c>
      <c r="P20" s="8">
        <f>IF(Sales[[#This Row],[Sales Month]]=MAX(Sales[Sales Month]),Sales[[#This Row],[Non-Paying Users]]*Sales[[#This Row],[Upsell $ per Non-Paying User]],0)</f>
        <v>0</v>
      </c>
      <c r="Q20" t="str" cm="1">
        <f t="array" ref="Q20">_xlfn.IFS(Sales[[#This Row],[Current Upsell $]]=0,"",Sales[[#This Row],[Current Upsell $]]&gt;=400,"High",Sales[[#This Row],[Current Upsell $]]&gt;=100,"Medium",Sales[[#This Row],[Current Upsell $]]&lt;100,"Low")</f>
        <v/>
      </c>
      <c r="R20" t="str">
        <f>IF(Sales[[#This Row],[Current Upsell $]]&gt;0,_xlfn.CONCAT(Sales[[#This Row],[Subscription Type]]," ",Sales[[#This Row],[Upsell Priority]]," ",TEXT(Sales[[#This Row],[Current Upsell $]],"$#,#")),"")</f>
        <v/>
      </c>
    </row>
    <row r="21" spans="1:18" x14ac:dyDescent="0.25">
      <c r="A21">
        <v>100002</v>
      </c>
      <c r="B21" t="s">
        <v>3</v>
      </c>
      <c r="F21">
        <v>0</v>
      </c>
      <c r="G21">
        <v>2</v>
      </c>
      <c r="H21" s="1">
        <v>43647</v>
      </c>
      <c r="I21" s="1">
        <v>44287</v>
      </c>
      <c r="J21">
        <v>21</v>
      </c>
      <c r="K21">
        <v>2</v>
      </c>
      <c r="L21" s="1">
        <v>43952</v>
      </c>
      <c r="M21">
        <v>0</v>
      </c>
      <c r="N21" s="8" cm="1">
        <f t="array" ref="N21">_xlfn.SWITCH(Sales[[#This Row],[Subscription Type]],"Basic",10,"Premium",10,"Business",25,"Enterprise",27)</f>
        <v>10</v>
      </c>
      <c r="O21">
        <f>IF(Sales[[#This Row],[Number of Users]]-Sales[[#This Row],[Licenses Bought]]&lt;0,0,Sales[[#This Row],[Number of Users]]-Sales[[#This Row],[Licenses Bought]])</f>
        <v>2</v>
      </c>
      <c r="P21" s="8">
        <f>IF(Sales[[#This Row],[Sales Month]]=MAX(Sales[Sales Month]),Sales[[#This Row],[Non-Paying Users]]*Sales[[#This Row],[Upsell $ per Non-Paying User]],0)</f>
        <v>0</v>
      </c>
      <c r="Q21" t="str" cm="1">
        <f t="array" ref="Q21">_xlfn.IFS(Sales[[#This Row],[Current Upsell $]]=0,"",Sales[[#This Row],[Current Upsell $]]&gt;=400,"High",Sales[[#This Row],[Current Upsell $]]&gt;=100,"Medium",Sales[[#This Row],[Current Upsell $]]&lt;100,"Low")</f>
        <v/>
      </c>
      <c r="R21" t="str">
        <f>IF(Sales[[#This Row],[Current Upsell $]]&gt;0,_xlfn.CONCAT(Sales[[#This Row],[Subscription Type]]," ",Sales[[#This Row],[Upsell Priority]]," ",TEXT(Sales[[#This Row],[Current Upsell $]],"$#,#")),"")</f>
        <v/>
      </c>
    </row>
    <row r="22" spans="1:18" x14ac:dyDescent="0.25">
      <c r="A22">
        <v>100002</v>
      </c>
      <c r="B22" t="s">
        <v>3</v>
      </c>
      <c r="F22">
        <v>0</v>
      </c>
      <c r="G22">
        <v>2</v>
      </c>
      <c r="H22" s="1">
        <v>43647</v>
      </c>
      <c r="I22" s="1">
        <v>44287</v>
      </c>
      <c r="J22">
        <v>21</v>
      </c>
      <c r="K22">
        <v>2</v>
      </c>
      <c r="L22" s="1">
        <v>43983</v>
      </c>
      <c r="M22">
        <v>0</v>
      </c>
      <c r="N22" s="8" cm="1">
        <f t="array" ref="N22">_xlfn.SWITCH(Sales[[#This Row],[Subscription Type]],"Basic",10,"Premium",10,"Business",25,"Enterprise",27)</f>
        <v>10</v>
      </c>
      <c r="O22">
        <f>IF(Sales[[#This Row],[Number of Users]]-Sales[[#This Row],[Licenses Bought]]&lt;0,0,Sales[[#This Row],[Number of Users]]-Sales[[#This Row],[Licenses Bought]])</f>
        <v>2</v>
      </c>
      <c r="P22" s="8">
        <f>IF(Sales[[#This Row],[Sales Month]]=MAX(Sales[Sales Month]),Sales[[#This Row],[Non-Paying Users]]*Sales[[#This Row],[Upsell $ per Non-Paying User]],0)</f>
        <v>0</v>
      </c>
      <c r="Q22" t="str" cm="1">
        <f t="array" ref="Q22">_xlfn.IFS(Sales[[#This Row],[Current Upsell $]]=0,"",Sales[[#This Row],[Current Upsell $]]&gt;=400,"High",Sales[[#This Row],[Current Upsell $]]&gt;=100,"Medium",Sales[[#This Row],[Current Upsell $]]&lt;100,"Low")</f>
        <v/>
      </c>
      <c r="R22" t="str">
        <f>IF(Sales[[#This Row],[Current Upsell $]]&gt;0,_xlfn.CONCAT(Sales[[#This Row],[Subscription Type]]," ",Sales[[#This Row],[Upsell Priority]]," ",TEXT(Sales[[#This Row],[Current Upsell $]],"$#,#")),"")</f>
        <v/>
      </c>
    </row>
    <row r="23" spans="1:18" x14ac:dyDescent="0.25">
      <c r="A23">
        <v>100002</v>
      </c>
      <c r="B23" t="s">
        <v>3</v>
      </c>
      <c r="F23">
        <v>0</v>
      </c>
      <c r="G23">
        <v>1</v>
      </c>
      <c r="H23" s="1">
        <v>43647</v>
      </c>
      <c r="I23" s="1">
        <v>44287</v>
      </c>
      <c r="J23">
        <v>21</v>
      </c>
      <c r="K23">
        <v>2</v>
      </c>
      <c r="L23" s="1">
        <v>44013</v>
      </c>
      <c r="M23">
        <v>0</v>
      </c>
      <c r="N23" s="8" cm="1">
        <f t="array" ref="N23">_xlfn.SWITCH(Sales[[#This Row],[Subscription Type]],"Basic",10,"Premium",10,"Business",25,"Enterprise",27)</f>
        <v>10</v>
      </c>
      <c r="O23">
        <f>IF(Sales[[#This Row],[Number of Users]]-Sales[[#This Row],[Licenses Bought]]&lt;0,0,Sales[[#This Row],[Number of Users]]-Sales[[#This Row],[Licenses Bought]])</f>
        <v>1</v>
      </c>
      <c r="P23" s="8">
        <f>IF(Sales[[#This Row],[Sales Month]]=MAX(Sales[Sales Month]),Sales[[#This Row],[Non-Paying Users]]*Sales[[#This Row],[Upsell $ per Non-Paying User]],0)</f>
        <v>0</v>
      </c>
      <c r="Q23" t="str" cm="1">
        <f t="array" ref="Q23">_xlfn.IFS(Sales[[#This Row],[Current Upsell $]]=0,"",Sales[[#This Row],[Current Upsell $]]&gt;=400,"High",Sales[[#This Row],[Current Upsell $]]&gt;=100,"Medium",Sales[[#This Row],[Current Upsell $]]&lt;100,"Low")</f>
        <v/>
      </c>
      <c r="R23" t="str">
        <f>IF(Sales[[#This Row],[Current Upsell $]]&gt;0,_xlfn.CONCAT(Sales[[#This Row],[Subscription Type]]," ",Sales[[#This Row],[Upsell Priority]]," ",TEXT(Sales[[#This Row],[Current Upsell $]],"$#,#")),"")</f>
        <v/>
      </c>
    </row>
    <row r="24" spans="1:18" x14ac:dyDescent="0.25">
      <c r="A24">
        <v>100002</v>
      </c>
      <c r="B24" t="s">
        <v>3</v>
      </c>
      <c r="F24">
        <v>0</v>
      </c>
      <c r="G24">
        <v>2</v>
      </c>
      <c r="H24" s="1">
        <v>43647</v>
      </c>
      <c r="I24" s="1">
        <v>44287</v>
      </c>
      <c r="J24">
        <v>21</v>
      </c>
      <c r="K24">
        <v>2</v>
      </c>
      <c r="L24" s="1">
        <v>44044</v>
      </c>
      <c r="M24">
        <v>0</v>
      </c>
      <c r="N24" s="8" cm="1">
        <f t="array" ref="N24">_xlfn.SWITCH(Sales[[#This Row],[Subscription Type]],"Basic",10,"Premium",10,"Business",25,"Enterprise",27)</f>
        <v>10</v>
      </c>
      <c r="O24">
        <f>IF(Sales[[#This Row],[Number of Users]]-Sales[[#This Row],[Licenses Bought]]&lt;0,0,Sales[[#This Row],[Number of Users]]-Sales[[#This Row],[Licenses Bought]])</f>
        <v>2</v>
      </c>
      <c r="P24" s="8">
        <f>IF(Sales[[#This Row],[Sales Month]]=MAX(Sales[Sales Month]),Sales[[#This Row],[Non-Paying Users]]*Sales[[#This Row],[Upsell $ per Non-Paying User]],0)</f>
        <v>0</v>
      </c>
      <c r="Q24" t="str" cm="1">
        <f t="array" ref="Q24">_xlfn.IFS(Sales[[#This Row],[Current Upsell $]]=0,"",Sales[[#This Row],[Current Upsell $]]&gt;=400,"High",Sales[[#This Row],[Current Upsell $]]&gt;=100,"Medium",Sales[[#This Row],[Current Upsell $]]&lt;100,"Low")</f>
        <v/>
      </c>
      <c r="R24" t="str">
        <f>IF(Sales[[#This Row],[Current Upsell $]]&gt;0,_xlfn.CONCAT(Sales[[#This Row],[Subscription Type]]," ",Sales[[#This Row],[Upsell Priority]]," ",TEXT(Sales[[#This Row],[Current Upsell $]],"$#,#")),"")</f>
        <v/>
      </c>
    </row>
    <row r="25" spans="1:18" x14ac:dyDescent="0.25">
      <c r="A25">
        <v>100002</v>
      </c>
      <c r="B25" t="s">
        <v>3</v>
      </c>
      <c r="F25">
        <v>0</v>
      </c>
      <c r="G25">
        <v>2</v>
      </c>
      <c r="H25" s="1">
        <v>43647</v>
      </c>
      <c r="I25" s="1">
        <v>44287</v>
      </c>
      <c r="J25">
        <v>21</v>
      </c>
      <c r="K25">
        <v>2</v>
      </c>
      <c r="L25" s="1">
        <v>44075</v>
      </c>
      <c r="M25">
        <v>0</v>
      </c>
      <c r="N25" s="8" cm="1">
        <f t="array" ref="N25">_xlfn.SWITCH(Sales[[#This Row],[Subscription Type]],"Basic",10,"Premium",10,"Business",25,"Enterprise",27)</f>
        <v>10</v>
      </c>
      <c r="O25">
        <f>IF(Sales[[#This Row],[Number of Users]]-Sales[[#This Row],[Licenses Bought]]&lt;0,0,Sales[[#This Row],[Number of Users]]-Sales[[#This Row],[Licenses Bought]])</f>
        <v>2</v>
      </c>
      <c r="P25" s="8">
        <f>IF(Sales[[#This Row],[Sales Month]]=MAX(Sales[Sales Month]),Sales[[#This Row],[Non-Paying Users]]*Sales[[#This Row],[Upsell $ per Non-Paying User]],0)</f>
        <v>0</v>
      </c>
      <c r="Q25" t="str" cm="1">
        <f t="array" ref="Q25">_xlfn.IFS(Sales[[#This Row],[Current Upsell $]]=0,"",Sales[[#This Row],[Current Upsell $]]&gt;=400,"High",Sales[[#This Row],[Current Upsell $]]&gt;=100,"Medium",Sales[[#This Row],[Current Upsell $]]&lt;100,"Low")</f>
        <v/>
      </c>
      <c r="R25" t="str">
        <f>IF(Sales[[#This Row],[Current Upsell $]]&gt;0,_xlfn.CONCAT(Sales[[#This Row],[Subscription Type]]," ",Sales[[#This Row],[Upsell Priority]]," ",TEXT(Sales[[#This Row],[Current Upsell $]],"$#,#")),"")</f>
        <v/>
      </c>
    </row>
    <row r="26" spans="1:18" x14ac:dyDescent="0.25">
      <c r="A26">
        <v>100002</v>
      </c>
      <c r="B26" t="s">
        <v>3</v>
      </c>
      <c r="F26">
        <v>0</v>
      </c>
      <c r="G26">
        <v>2</v>
      </c>
      <c r="H26" s="1">
        <v>43647</v>
      </c>
      <c r="I26" s="1">
        <v>44287</v>
      </c>
      <c r="J26">
        <v>21</v>
      </c>
      <c r="K26">
        <v>2</v>
      </c>
      <c r="L26" s="1">
        <v>44105</v>
      </c>
      <c r="M26">
        <v>0</v>
      </c>
      <c r="N26" s="8" cm="1">
        <f t="array" ref="N26">_xlfn.SWITCH(Sales[[#This Row],[Subscription Type]],"Basic",10,"Premium",10,"Business",25,"Enterprise",27)</f>
        <v>10</v>
      </c>
      <c r="O26">
        <f>IF(Sales[[#This Row],[Number of Users]]-Sales[[#This Row],[Licenses Bought]]&lt;0,0,Sales[[#This Row],[Number of Users]]-Sales[[#This Row],[Licenses Bought]])</f>
        <v>2</v>
      </c>
      <c r="P26" s="8">
        <f>IF(Sales[[#This Row],[Sales Month]]=MAX(Sales[Sales Month]),Sales[[#This Row],[Non-Paying Users]]*Sales[[#This Row],[Upsell $ per Non-Paying User]],0)</f>
        <v>0</v>
      </c>
      <c r="Q26" t="str" cm="1">
        <f t="array" ref="Q26">_xlfn.IFS(Sales[[#This Row],[Current Upsell $]]=0,"",Sales[[#This Row],[Current Upsell $]]&gt;=400,"High",Sales[[#This Row],[Current Upsell $]]&gt;=100,"Medium",Sales[[#This Row],[Current Upsell $]]&lt;100,"Low")</f>
        <v/>
      </c>
      <c r="R26" t="str">
        <f>IF(Sales[[#This Row],[Current Upsell $]]&gt;0,_xlfn.CONCAT(Sales[[#This Row],[Subscription Type]]," ",Sales[[#This Row],[Upsell Priority]]," ",TEXT(Sales[[#This Row],[Current Upsell $]],"$#,#")),"")</f>
        <v/>
      </c>
    </row>
    <row r="27" spans="1:18" x14ac:dyDescent="0.25">
      <c r="A27">
        <v>100002</v>
      </c>
      <c r="B27" t="s">
        <v>3</v>
      </c>
      <c r="F27">
        <v>0</v>
      </c>
      <c r="G27">
        <v>2</v>
      </c>
      <c r="H27" s="1">
        <v>43647</v>
      </c>
      <c r="I27" s="1">
        <v>44287</v>
      </c>
      <c r="J27">
        <v>21</v>
      </c>
      <c r="K27">
        <v>2</v>
      </c>
      <c r="L27" s="1">
        <v>44136</v>
      </c>
      <c r="M27">
        <v>0</v>
      </c>
      <c r="N27" s="8" cm="1">
        <f t="array" ref="N27">_xlfn.SWITCH(Sales[[#This Row],[Subscription Type]],"Basic",10,"Premium",10,"Business",25,"Enterprise",27)</f>
        <v>10</v>
      </c>
      <c r="O27">
        <f>IF(Sales[[#This Row],[Number of Users]]-Sales[[#This Row],[Licenses Bought]]&lt;0,0,Sales[[#This Row],[Number of Users]]-Sales[[#This Row],[Licenses Bought]])</f>
        <v>2</v>
      </c>
      <c r="P27" s="8">
        <f>IF(Sales[[#This Row],[Sales Month]]=MAX(Sales[Sales Month]),Sales[[#This Row],[Non-Paying Users]]*Sales[[#This Row],[Upsell $ per Non-Paying User]],0)</f>
        <v>0</v>
      </c>
      <c r="Q27" t="str" cm="1">
        <f t="array" ref="Q27">_xlfn.IFS(Sales[[#This Row],[Current Upsell $]]=0,"",Sales[[#This Row],[Current Upsell $]]&gt;=400,"High",Sales[[#This Row],[Current Upsell $]]&gt;=100,"Medium",Sales[[#This Row],[Current Upsell $]]&lt;100,"Low")</f>
        <v/>
      </c>
      <c r="R27" t="str">
        <f>IF(Sales[[#This Row],[Current Upsell $]]&gt;0,_xlfn.CONCAT(Sales[[#This Row],[Subscription Type]]," ",Sales[[#This Row],[Upsell Priority]]," ",TEXT(Sales[[#This Row],[Current Upsell $]],"$#,#")),"")</f>
        <v/>
      </c>
    </row>
    <row r="28" spans="1:18" x14ac:dyDescent="0.25">
      <c r="A28">
        <v>100002</v>
      </c>
      <c r="B28" t="s">
        <v>3</v>
      </c>
      <c r="F28">
        <v>0</v>
      </c>
      <c r="G28">
        <v>2</v>
      </c>
      <c r="H28" s="1">
        <v>43647</v>
      </c>
      <c r="I28" s="1">
        <v>44287</v>
      </c>
      <c r="J28">
        <v>21</v>
      </c>
      <c r="K28">
        <v>2</v>
      </c>
      <c r="L28" s="1">
        <v>44166</v>
      </c>
      <c r="M28">
        <v>0</v>
      </c>
      <c r="N28" s="8" cm="1">
        <f t="array" ref="N28">_xlfn.SWITCH(Sales[[#This Row],[Subscription Type]],"Basic",10,"Premium",10,"Business",25,"Enterprise",27)</f>
        <v>10</v>
      </c>
      <c r="O28">
        <f>IF(Sales[[#This Row],[Number of Users]]-Sales[[#This Row],[Licenses Bought]]&lt;0,0,Sales[[#This Row],[Number of Users]]-Sales[[#This Row],[Licenses Bought]])</f>
        <v>2</v>
      </c>
      <c r="P28" s="8">
        <f>IF(Sales[[#This Row],[Sales Month]]=MAX(Sales[Sales Month]),Sales[[#This Row],[Non-Paying Users]]*Sales[[#This Row],[Upsell $ per Non-Paying User]],0)</f>
        <v>0</v>
      </c>
      <c r="Q28" t="str" cm="1">
        <f t="array" ref="Q28">_xlfn.IFS(Sales[[#This Row],[Current Upsell $]]=0,"",Sales[[#This Row],[Current Upsell $]]&gt;=400,"High",Sales[[#This Row],[Current Upsell $]]&gt;=100,"Medium",Sales[[#This Row],[Current Upsell $]]&lt;100,"Low")</f>
        <v/>
      </c>
      <c r="R28" t="str">
        <f>IF(Sales[[#This Row],[Current Upsell $]]&gt;0,_xlfn.CONCAT(Sales[[#This Row],[Subscription Type]]," ",Sales[[#This Row],[Upsell Priority]]," ",TEXT(Sales[[#This Row],[Current Upsell $]],"$#,#")),"")</f>
        <v/>
      </c>
    </row>
    <row r="29" spans="1:18" x14ac:dyDescent="0.25">
      <c r="A29">
        <v>100002</v>
      </c>
      <c r="B29" t="s">
        <v>3</v>
      </c>
      <c r="F29">
        <v>0</v>
      </c>
      <c r="G29">
        <v>2</v>
      </c>
      <c r="H29" s="1">
        <v>43647</v>
      </c>
      <c r="I29" s="1">
        <v>44287</v>
      </c>
      <c r="J29">
        <v>21</v>
      </c>
      <c r="K29">
        <v>2</v>
      </c>
      <c r="L29" s="1">
        <v>44197</v>
      </c>
      <c r="M29">
        <v>0</v>
      </c>
      <c r="N29" s="8" cm="1">
        <f t="array" ref="N29">_xlfn.SWITCH(Sales[[#This Row],[Subscription Type]],"Basic",10,"Premium",10,"Business",25,"Enterprise",27)</f>
        <v>10</v>
      </c>
      <c r="O29">
        <f>IF(Sales[[#This Row],[Number of Users]]-Sales[[#This Row],[Licenses Bought]]&lt;0,0,Sales[[#This Row],[Number of Users]]-Sales[[#This Row],[Licenses Bought]])</f>
        <v>2</v>
      </c>
      <c r="P29" s="8">
        <f>IF(Sales[[#This Row],[Sales Month]]=MAX(Sales[Sales Month]),Sales[[#This Row],[Non-Paying Users]]*Sales[[#This Row],[Upsell $ per Non-Paying User]],0)</f>
        <v>0</v>
      </c>
      <c r="Q29" t="str" cm="1">
        <f t="array" ref="Q29">_xlfn.IFS(Sales[[#This Row],[Current Upsell $]]=0,"",Sales[[#This Row],[Current Upsell $]]&gt;=400,"High",Sales[[#This Row],[Current Upsell $]]&gt;=100,"Medium",Sales[[#This Row],[Current Upsell $]]&lt;100,"Low")</f>
        <v/>
      </c>
      <c r="R29" t="str">
        <f>IF(Sales[[#This Row],[Current Upsell $]]&gt;0,_xlfn.CONCAT(Sales[[#This Row],[Subscription Type]]," ",Sales[[#This Row],[Upsell Priority]]," ",TEXT(Sales[[#This Row],[Current Upsell $]],"$#,#")),"")</f>
        <v/>
      </c>
    </row>
    <row r="30" spans="1:18" x14ac:dyDescent="0.25">
      <c r="A30">
        <v>100002</v>
      </c>
      <c r="B30" t="s">
        <v>3</v>
      </c>
      <c r="F30">
        <v>0</v>
      </c>
      <c r="G30">
        <v>2</v>
      </c>
      <c r="H30" s="1">
        <v>43647</v>
      </c>
      <c r="I30" s="1">
        <v>44287</v>
      </c>
      <c r="J30">
        <v>21</v>
      </c>
      <c r="K30">
        <v>2</v>
      </c>
      <c r="L30" s="1">
        <v>44228</v>
      </c>
      <c r="M30">
        <v>0</v>
      </c>
      <c r="N30" s="8" cm="1">
        <f t="array" ref="N30">_xlfn.SWITCH(Sales[[#This Row],[Subscription Type]],"Basic",10,"Premium",10,"Business",25,"Enterprise",27)</f>
        <v>10</v>
      </c>
      <c r="O30">
        <f>IF(Sales[[#This Row],[Number of Users]]-Sales[[#This Row],[Licenses Bought]]&lt;0,0,Sales[[#This Row],[Number of Users]]-Sales[[#This Row],[Licenses Bought]])</f>
        <v>2</v>
      </c>
      <c r="P30" s="8">
        <f>IF(Sales[[#This Row],[Sales Month]]=MAX(Sales[Sales Month]),Sales[[#This Row],[Non-Paying Users]]*Sales[[#This Row],[Upsell $ per Non-Paying User]],0)</f>
        <v>0</v>
      </c>
      <c r="Q30" t="str" cm="1">
        <f t="array" ref="Q30">_xlfn.IFS(Sales[[#This Row],[Current Upsell $]]=0,"",Sales[[#This Row],[Current Upsell $]]&gt;=400,"High",Sales[[#This Row],[Current Upsell $]]&gt;=100,"Medium",Sales[[#This Row],[Current Upsell $]]&lt;100,"Low")</f>
        <v/>
      </c>
      <c r="R30" t="str">
        <f>IF(Sales[[#This Row],[Current Upsell $]]&gt;0,_xlfn.CONCAT(Sales[[#This Row],[Subscription Type]]," ",Sales[[#This Row],[Upsell Priority]]," ",TEXT(Sales[[#This Row],[Current Upsell $]],"$#,#")),"")</f>
        <v/>
      </c>
    </row>
    <row r="31" spans="1:18" x14ac:dyDescent="0.25">
      <c r="A31">
        <v>100002</v>
      </c>
      <c r="B31" t="s">
        <v>3</v>
      </c>
      <c r="F31">
        <v>0</v>
      </c>
      <c r="G31">
        <v>2</v>
      </c>
      <c r="H31" s="1">
        <v>43647</v>
      </c>
      <c r="I31" s="1">
        <v>44287</v>
      </c>
      <c r="J31">
        <v>21</v>
      </c>
      <c r="K31">
        <v>2</v>
      </c>
      <c r="L31" s="1">
        <v>44256</v>
      </c>
      <c r="M31">
        <v>0</v>
      </c>
      <c r="N31" s="8" cm="1">
        <f t="array" ref="N31">_xlfn.SWITCH(Sales[[#This Row],[Subscription Type]],"Basic",10,"Premium",10,"Business",25,"Enterprise",27)</f>
        <v>10</v>
      </c>
      <c r="O31">
        <f>IF(Sales[[#This Row],[Number of Users]]-Sales[[#This Row],[Licenses Bought]]&lt;0,0,Sales[[#This Row],[Number of Users]]-Sales[[#This Row],[Licenses Bought]])</f>
        <v>2</v>
      </c>
      <c r="P31" s="8">
        <f>IF(Sales[[#This Row],[Sales Month]]=MAX(Sales[Sales Month]),Sales[[#This Row],[Non-Paying Users]]*Sales[[#This Row],[Upsell $ per Non-Paying User]],0)</f>
        <v>0</v>
      </c>
      <c r="Q31" t="str" cm="1">
        <f t="array" ref="Q31">_xlfn.IFS(Sales[[#This Row],[Current Upsell $]]=0,"",Sales[[#This Row],[Current Upsell $]]&gt;=400,"High",Sales[[#This Row],[Current Upsell $]]&gt;=100,"Medium",Sales[[#This Row],[Current Upsell $]]&lt;100,"Low")</f>
        <v/>
      </c>
      <c r="R31" t="str">
        <f>IF(Sales[[#This Row],[Current Upsell $]]&gt;0,_xlfn.CONCAT(Sales[[#This Row],[Subscription Type]]," ",Sales[[#This Row],[Upsell Priority]]," ",TEXT(Sales[[#This Row],[Current Upsell $]],"$#,#")),"")</f>
        <v/>
      </c>
    </row>
    <row r="32" spans="1:18" x14ac:dyDescent="0.25">
      <c r="A32">
        <v>100002</v>
      </c>
      <c r="B32" t="s">
        <v>3</v>
      </c>
      <c r="F32">
        <v>0</v>
      </c>
      <c r="G32">
        <v>2</v>
      </c>
      <c r="H32" s="1">
        <v>43647</v>
      </c>
      <c r="I32" s="1">
        <v>44287</v>
      </c>
      <c r="J32">
        <v>21</v>
      </c>
      <c r="K32">
        <v>2</v>
      </c>
      <c r="L32" s="1">
        <v>44287</v>
      </c>
      <c r="M32">
        <v>0</v>
      </c>
      <c r="N32" s="8" cm="1">
        <f t="array" ref="N32">_xlfn.SWITCH(Sales[[#This Row],[Subscription Type]],"Basic",10,"Premium",10,"Business",25,"Enterprise",27)</f>
        <v>10</v>
      </c>
      <c r="O32">
        <f>IF(Sales[[#This Row],[Number of Users]]-Sales[[#This Row],[Licenses Bought]]&lt;0,0,Sales[[#This Row],[Number of Users]]-Sales[[#This Row],[Licenses Bought]])</f>
        <v>2</v>
      </c>
      <c r="P32" s="8">
        <f>IF(Sales[[#This Row],[Sales Month]]=MAX(Sales[Sales Month]),Sales[[#This Row],[Non-Paying Users]]*Sales[[#This Row],[Upsell $ per Non-Paying User]],0)</f>
        <v>0</v>
      </c>
      <c r="Q32" t="str" cm="1">
        <f t="array" ref="Q32">_xlfn.IFS(Sales[[#This Row],[Current Upsell $]]=0,"",Sales[[#This Row],[Current Upsell $]]&gt;=400,"High",Sales[[#This Row],[Current Upsell $]]&gt;=100,"Medium",Sales[[#This Row],[Current Upsell $]]&lt;100,"Low")</f>
        <v/>
      </c>
      <c r="R32" t="str">
        <f>IF(Sales[[#This Row],[Current Upsell $]]&gt;0,_xlfn.CONCAT(Sales[[#This Row],[Subscription Type]]," ",Sales[[#This Row],[Upsell Priority]]," ",TEXT(Sales[[#This Row],[Current Upsell $]],"$#,#")),"")</f>
        <v/>
      </c>
    </row>
    <row r="33" spans="1:18" x14ac:dyDescent="0.25">
      <c r="A33">
        <v>100003</v>
      </c>
      <c r="B33" t="s">
        <v>3</v>
      </c>
      <c r="F33">
        <v>0</v>
      </c>
      <c r="G33">
        <v>5</v>
      </c>
      <c r="H33" s="1">
        <v>43709</v>
      </c>
      <c r="I33" s="1">
        <v>43922</v>
      </c>
      <c r="J33">
        <v>7</v>
      </c>
      <c r="K33">
        <v>14</v>
      </c>
      <c r="L33" s="1">
        <v>43709</v>
      </c>
      <c r="M33">
        <v>0</v>
      </c>
      <c r="N33" s="8" cm="1">
        <f t="array" ref="N33">_xlfn.SWITCH(Sales[[#This Row],[Subscription Type]],"Basic",10,"Premium",10,"Business",25,"Enterprise",27)</f>
        <v>10</v>
      </c>
      <c r="O33">
        <f>IF(Sales[[#This Row],[Number of Users]]-Sales[[#This Row],[Licenses Bought]]&lt;0,0,Sales[[#This Row],[Number of Users]]-Sales[[#This Row],[Licenses Bought]])</f>
        <v>5</v>
      </c>
      <c r="P33" s="8">
        <f>IF(Sales[[#This Row],[Sales Month]]=MAX(Sales[Sales Month]),Sales[[#This Row],[Non-Paying Users]]*Sales[[#This Row],[Upsell $ per Non-Paying User]],0)</f>
        <v>0</v>
      </c>
      <c r="Q33" t="str" cm="1">
        <f t="array" ref="Q33">_xlfn.IFS(Sales[[#This Row],[Current Upsell $]]=0,"",Sales[[#This Row],[Current Upsell $]]&gt;=400,"High",Sales[[#This Row],[Current Upsell $]]&gt;=100,"Medium",Sales[[#This Row],[Current Upsell $]]&lt;100,"Low")</f>
        <v/>
      </c>
      <c r="R33" t="str">
        <f>IF(Sales[[#This Row],[Current Upsell $]]&gt;0,_xlfn.CONCAT(Sales[[#This Row],[Subscription Type]]," ",Sales[[#This Row],[Upsell Priority]]," ",TEXT(Sales[[#This Row],[Current Upsell $]],"$#,#")),"")</f>
        <v/>
      </c>
    </row>
    <row r="34" spans="1:18" x14ac:dyDescent="0.25">
      <c r="A34">
        <v>100003</v>
      </c>
      <c r="B34" t="s">
        <v>0</v>
      </c>
      <c r="F34">
        <v>2</v>
      </c>
      <c r="G34">
        <v>4</v>
      </c>
      <c r="H34" s="1">
        <v>43709</v>
      </c>
      <c r="I34" s="1">
        <v>43922</v>
      </c>
      <c r="J34">
        <v>7</v>
      </c>
      <c r="K34">
        <v>14</v>
      </c>
      <c r="L34" s="1">
        <v>43739</v>
      </c>
      <c r="M34">
        <v>20</v>
      </c>
      <c r="N34" s="8" cm="1">
        <f t="array" ref="N34">_xlfn.SWITCH(Sales[[#This Row],[Subscription Type]],"Basic",10,"Premium",10,"Business",25,"Enterprise",27)</f>
        <v>10</v>
      </c>
      <c r="O34">
        <f>IF(Sales[[#This Row],[Number of Users]]-Sales[[#This Row],[Licenses Bought]]&lt;0,0,Sales[[#This Row],[Number of Users]]-Sales[[#This Row],[Licenses Bought]])</f>
        <v>2</v>
      </c>
      <c r="P34" s="8">
        <f>IF(Sales[[#This Row],[Sales Month]]=MAX(Sales[Sales Month]),Sales[[#This Row],[Non-Paying Users]]*Sales[[#This Row],[Upsell $ per Non-Paying User]],0)</f>
        <v>0</v>
      </c>
      <c r="Q34" t="str" cm="1">
        <f t="array" ref="Q34">_xlfn.IFS(Sales[[#This Row],[Current Upsell $]]=0,"",Sales[[#This Row],[Current Upsell $]]&gt;=400,"High",Sales[[#This Row],[Current Upsell $]]&gt;=100,"Medium",Sales[[#This Row],[Current Upsell $]]&lt;100,"Low")</f>
        <v/>
      </c>
      <c r="R34" t="str">
        <f>IF(Sales[[#This Row],[Current Upsell $]]&gt;0,_xlfn.CONCAT(Sales[[#This Row],[Subscription Type]]," ",Sales[[#This Row],[Upsell Priority]]," ",TEXT(Sales[[#This Row],[Current Upsell $]],"$#,#")),"")</f>
        <v/>
      </c>
    </row>
    <row r="35" spans="1:18" x14ac:dyDescent="0.25">
      <c r="A35">
        <v>100003</v>
      </c>
      <c r="B35" t="s">
        <v>0</v>
      </c>
      <c r="F35">
        <v>4</v>
      </c>
      <c r="G35">
        <v>5</v>
      </c>
      <c r="H35" s="1">
        <v>43709</v>
      </c>
      <c r="I35" s="1">
        <v>43922</v>
      </c>
      <c r="J35">
        <v>7</v>
      </c>
      <c r="K35">
        <v>14</v>
      </c>
      <c r="L35" s="1">
        <v>43770</v>
      </c>
      <c r="M35">
        <v>40</v>
      </c>
      <c r="N35" s="8" cm="1">
        <f t="array" ref="N35">_xlfn.SWITCH(Sales[[#This Row],[Subscription Type]],"Basic",10,"Premium",10,"Business",25,"Enterprise",27)</f>
        <v>10</v>
      </c>
      <c r="O35">
        <f>IF(Sales[[#This Row],[Number of Users]]-Sales[[#This Row],[Licenses Bought]]&lt;0,0,Sales[[#This Row],[Number of Users]]-Sales[[#This Row],[Licenses Bought]])</f>
        <v>1</v>
      </c>
      <c r="P35" s="8">
        <f>IF(Sales[[#This Row],[Sales Month]]=MAX(Sales[Sales Month]),Sales[[#This Row],[Non-Paying Users]]*Sales[[#This Row],[Upsell $ per Non-Paying User]],0)</f>
        <v>0</v>
      </c>
      <c r="Q35" t="str" cm="1">
        <f t="array" ref="Q35">_xlfn.IFS(Sales[[#This Row],[Current Upsell $]]=0,"",Sales[[#This Row],[Current Upsell $]]&gt;=400,"High",Sales[[#This Row],[Current Upsell $]]&gt;=100,"Medium",Sales[[#This Row],[Current Upsell $]]&lt;100,"Low")</f>
        <v/>
      </c>
      <c r="R35" t="str">
        <f>IF(Sales[[#This Row],[Current Upsell $]]&gt;0,_xlfn.CONCAT(Sales[[#This Row],[Subscription Type]]," ",Sales[[#This Row],[Upsell Priority]]," ",TEXT(Sales[[#This Row],[Current Upsell $]],"$#,#")),"")</f>
        <v/>
      </c>
    </row>
    <row r="36" spans="1:18" x14ac:dyDescent="0.25">
      <c r="A36">
        <v>100003</v>
      </c>
      <c r="B36" t="s">
        <v>0</v>
      </c>
      <c r="F36">
        <v>4</v>
      </c>
      <c r="G36">
        <v>5</v>
      </c>
      <c r="H36" s="1">
        <v>43709</v>
      </c>
      <c r="I36" s="1">
        <v>43922</v>
      </c>
      <c r="J36">
        <v>7</v>
      </c>
      <c r="K36">
        <v>14</v>
      </c>
      <c r="L36" s="1">
        <v>43800</v>
      </c>
      <c r="M36">
        <v>40</v>
      </c>
      <c r="N36" s="8" cm="1">
        <f t="array" ref="N36">_xlfn.SWITCH(Sales[[#This Row],[Subscription Type]],"Basic",10,"Premium",10,"Business",25,"Enterprise",27)</f>
        <v>10</v>
      </c>
      <c r="O36">
        <f>IF(Sales[[#This Row],[Number of Users]]-Sales[[#This Row],[Licenses Bought]]&lt;0,0,Sales[[#This Row],[Number of Users]]-Sales[[#This Row],[Licenses Bought]])</f>
        <v>1</v>
      </c>
      <c r="P36" s="8">
        <f>IF(Sales[[#This Row],[Sales Month]]=MAX(Sales[Sales Month]),Sales[[#This Row],[Non-Paying Users]]*Sales[[#This Row],[Upsell $ per Non-Paying User]],0)</f>
        <v>0</v>
      </c>
      <c r="Q36" t="str" cm="1">
        <f t="array" ref="Q36">_xlfn.IFS(Sales[[#This Row],[Current Upsell $]]=0,"",Sales[[#This Row],[Current Upsell $]]&gt;=400,"High",Sales[[#This Row],[Current Upsell $]]&gt;=100,"Medium",Sales[[#This Row],[Current Upsell $]]&lt;100,"Low")</f>
        <v/>
      </c>
      <c r="R36" t="str">
        <f>IF(Sales[[#This Row],[Current Upsell $]]&gt;0,_xlfn.CONCAT(Sales[[#This Row],[Subscription Type]]," ",Sales[[#This Row],[Upsell Priority]]," ",TEXT(Sales[[#This Row],[Current Upsell $]],"$#,#")),"")</f>
        <v/>
      </c>
    </row>
    <row r="37" spans="1:18" x14ac:dyDescent="0.25">
      <c r="A37">
        <v>100003</v>
      </c>
      <c r="B37" t="s">
        <v>0</v>
      </c>
      <c r="F37">
        <v>4</v>
      </c>
      <c r="G37">
        <v>6</v>
      </c>
      <c r="H37" s="1">
        <v>43709</v>
      </c>
      <c r="I37" s="1">
        <v>43922</v>
      </c>
      <c r="J37">
        <v>7</v>
      </c>
      <c r="K37">
        <v>14</v>
      </c>
      <c r="L37" s="1">
        <v>43831</v>
      </c>
      <c r="M37">
        <v>40</v>
      </c>
      <c r="N37" s="8" cm="1">
        <f t="array" ref="N37">_xlfn.SWITCH(Sales[[#This Row],[Subscription Type]],"Basic",10,"Premium",10,"Business",25,"Enterprise",27)</f>
        <v>10</v>
      </c>
      <c r="O37">
        <f>IF(Sales[[#This Row],[Number of Users]]-Sales[[#This Row],[Licenses Bought]]&lt;0,0,Sales[[#This Row],[Number of Users]]-Sales[[#This Row],[Licenses Bought]])</f>
        <v>2</v>
      </c>
      <c r="P37" s="8">
        <f>IF(Sales[[#This Row],[Sales Month]]=MAX(Sales[Sales Month]),Sales[[#This Row],[Non-Paying Users]]*Sales[[#This Row],[Upsell $ per Non-Paying User]],0)</f>
        <v>0</v>
      </c>
      <c r="Q37" t="str" cm="1">
        <f t="array" ref="Q37">_xlfn.IFS(Sales[[#This Row],[Current Upsell $]]=0,"",Sales[[#This Row],[Current Upsell $]]&gt;=400,"High",Sales[[#This Row],[Current Upsell $]]&gt;=100,"Medium",Sales[[#This Row],[Current Upsell $]]&lt;100,"Low")</f>
        <v/>
      </c>
      <c r="R37" t="str">
        <f>IF(Sales[[#This Row],[Current Upsell $]]&gt;0,_xlfn.CONCAT(Sales[[#This Row],[Subscription Type]]," ",Sales[[#This Row],[Upsell Priority]]," ",TEXT(Sales[[#This Row],[Current Upsell $]],"$#,#")),"")</f>
        <v/>
      </c>
    </row>
    <row r="38" spans="1:18" x14ac:dyDescent="0.25">
      <c r="A38">
        <v>100003</v>
      </c>
      <c r="B38" t="s">
        <v>0</v>
      </c>
      <c r="F38">
        <v>4</v>
      </c>
      <c r="G38">
        <v>5</v>
      </c>
      <c r="H38" s="1">
        <v>43709</v>
      </c>
      <c r="I38" s="1">
        <v>43922</v>
      </c>
      <c r="J38">
        <v>7</v>
      </c>
      <c r="K38">
        <v>14</v>
      </c>
      <c r="L38" s="1">
        <v>43862</v>
      </c>
      <c r="M38">
        <v>40</v>
      </c>
      <c r="N38" s="8" cm="1">
        <f t="array" ref="N38">_xlfn.SWITCH(Sales[[#This Row],[Subscription Type]],"Basic",10,"Premium",10,"Business",25,"Enterprise",27)</f>
        <v>10</v>
      </c>
      <c r="O38">
        <f>IF(Sales[[#This Row],[Number of Users]]-Sales[[#This Row],[Licenses Bought]]&lt;0,0,Sales[[#This Row],[Number of Users]]-Sales[[#This Row],[Licenses Bought]])</f>
        <v>1</v>
      </c>
      <c r="P38" s="8">
        <f>IF(Sales[[#This Row],[Sales Month]]=MAX(Sales[Sales Month]),Sales[[#This Row],[Non-Paying Users]]*Sales[[#This Row],[Upsell $ per Non-Paying User]],0)</f>
        <v>0</v>
      </c>
      <c r="Q38" t="str" cm="1">
        <f t="array" ref="Q38">_xlfn.IFS(Sales[[#This Row],[Current Upsell $]]=0,"",Sales[[#This Row],[Current Upsell $]]&gt;=400,"High",Sales[[#This Row],[Current Upsell $]]&gt;=100,"Medium",Sales[[#This Row],[Current Upsell $]]&lt;100,"Low")</f>
        <v/>
      </c>
      <c r="R38" t="str">
        <f>IF(Sales[[#This Row],[Current Upsell $]]&gt;0,_xlfn.CONCAT(Sales[[#This Row],[Subscription Type]]," ",Sales[[#This Row],[Upsell Priority]]," ",TEXT(Sales[[#This Row],[Current Upsell $]],"$#,#")),"")</f>
        <v/>
      </c>
    </row>
    <row r="39" spans="1:18" x14ac:dyDescent="0.25">
      <c r="A39">
        <v>100003</v>
      </c>
      <c r="B39" t="s">
        <v>0</v>
      </c>
      <c r="F39">
        <v>4</v>
      </c>
      <c r="G39">
        <v>6</v>
      </c>
      <c r="H39" s="1">
        <v>43709</v>
      </c>
      <c r="I39" s="1">
        <v>43922</v>
      </c>
      <c r="J39">
        <v>7</v>
      </c>
      <c r="K39">
        <v>14</v>
      </c>
      <c r="L39" s="1">
        <v>43891</v>
      </c>
      <c r="M39">
        <v>40</v>
      </c>
      <c r="N39" s="8" cm="1">
        <f t="array" ref="N39">_xlfn.SWITCH(Sales[[#This Row],[Subscription Type]],"Basic",10,"Premium",10,"Business",25,"Enterprise",27)</f>
        <v>10</v>
      </c>
      <c r="O39">
        <f>IF(Sales[[#This Row],[Number of Users]]-Sales[[#This Row],[Licenses Bought]]&lt;0,0,Sales[[#This Row],[Number of Users]]-Sales[[#This Row],[Licenses Bought]])</f>
        <v>2</v>
      </c>
      <c r="P39" s="8">
        <f>IF(Sales[[#This Row],[Sales Month]]=MAX(Sales[Sales Month]),Sales[[#This Row],[Non-Paying Users]]*Sales[[#This Row],[Upsell $ per Non-Paying User]],0)</f>
        <v>0</v>
      </c>
      <c r="Q39" t="str" cm="1">
        <f t="array" ref="Q39">_xlfn.IFS(Sales[[#This Row],[Current Upsell $]]=0,"",Sales[[#This Row],[Current Upsell $]]&gt;=400,"High",Sales[[#This Row],[Current Upsell $]]&gt;=100,"Medium",Sales[[#This Row],[Current Upsell $]]&lt;100,"Low")</f>
        <v/>
      </c>
      <c r="R39" t="str">
        <f>IF(Sales[[#This Row],[Current Upsell $]]&gt;0,_xlfn.CONCAT(Sales[[#This Row],[Subscription Type]]," ",Sales[[#This Row],[Upsell Priority]]," ",TEXT(Sales[[#This Row],[Current Upsell $]],"$#,#")),"")</f>
        <v/>
      </c>
    </row>
    <row r="40" spans="1:18" x14ac:dyDescent="0.25">
      <c r="A40">
        <v>100003</v>
      </c>
      <c r="B40" t="s">
        <v>0</v>
      </c>
      <c r="F40">
        <v>4</v>
      </c>
      <c r="G40">
        <v>5</v>
      </c>
      <c r="H40" s="1">
        <v>43709</v>
      </c>
      <c r="I40" s="1">
        <v>43922</v>
      </c>
      <c r="J40">
        <v>7</v>
      </c>
      <c r="K40">
        <v>14</v>
      </c>
      <c r="L40" s="1">
        <v>43922</v>
      </c>
      <c r="M40">
        <v>40</v>
      </c>
      <c r="N40" s="8" cm="1">
        <f t="array" ref="N40">_xlfn.SWITCH(Sales[[#This Row],[Subscription Type]],"Basic",10,"Premium",10,"Business",25,"Enterprise",27)</f>
        <v>10</v>
      </c>
      <c r="O40">
        <f>IF(Sales[[#This Row],[Number of Users]]-Sales[[#This Row],[Licenses Bought]]&lt;0,0,Sales[[#This Row],[Number of Users]]-Sales[[#This Row],[Licenses Bought]])</f>
        <v>1</v>
      </c>
      <c r="P40" s="8">
        <f>IF(Sales[[#This Row],[Sales Month]]=MAX(Sales[Sales Month]),Sales[[#This Row],[Non-Paying Users]]*Sales[[#This Row],[Upsell $ per Non-Paying User]],0)</f>
        <v>0</v>
      </c>
      <c r="Q40" t="str" cm="1">
        <f t="array" ref="Q40">_xlfn.IFS(Sales[[#This Row],[Current Upsell $]]=0,"",Sales[[#This Row],[Current Upsell $]]&gt;=400,"High",Sales[[#This Row],[Current Upsell $]]&gt;=100,"Medium",Sales[[#This Row],[Current Upsell $]]&lt;100,"Low")</f>
        <v/>
      </c>
      <c r="R40" t="str">
        <f>IF(Sales[[#This Row],[Current Upsell $]]&gt;0,_xlfn.CONCAT(Sales[[#This Row],[Subscription Type]]," ",Sales[[#This Row],[Upsell Priority]]," ",TEXT(Sales[[#This Row],[Current Upsell $]],"$#,#")),"")</f>
        <v/>
      </c>
    </row>
    <row r="41" spans="1:18" x14ac:dyDescent="0.25">
      <c r="A41">
        <v>100004</v>
      </c>
      <c r="B41" t="s">
        <v>3</v>
      </c>
      <c r="F41">
        <v>0</v>
      </c>
      <c r="G41">
        <v>7</v>
      </c>
      <c r="H41" s="1">
        <v>43770</v>
      </c>
      <c r="I41" s="1">
        <v>44075</v>
      </c>
      <c r="J41">
        <v>10</v>
      </c>
      <c r="K41">
        <v>9</v>
      </c>
      <c r="L41" s="1">
        <v>43770</v>
      </c>
      <c r="M41">
        <v>0</v>
      </c>
      <c r="N41" s="8" cm="1">
        <f t="array" ref="N41">_xlfn.SWITCH(Sales[[#This Row],[Subscription Type]],"Basic",10,"Premium",10,"Business",25,"Enterprise",27)</f>
        <v>10</v>
      </c>
      <c r="O41">
        <f>IF(Sales[[#This Row],[Number of Users]]-Sales[[#This Row],[Licenses Bought]]&lt;0,0,Sales[[#This Row],[Number of Users]]-Sales[[#This Row],[Licenses Bought]])</f>
        <v>7</v>
      </c>
      <c r="P41" s="8">
        <f>IF(Sales[[#This Row],[Sales Month]]=MAX(Sales[Sales Month]),Sales[[#This Row],[Non-Paying Users]]*Sales[[#This Row],[Upsell $ per Non-Paying User]],0)</f>
        <v>0</v>
      </c>
      <c r="Q41" t="str" cm="1">
        <f t="array" ref="Q41">_xlfn.IFS(Sales[[#This Row],[Current Upsell $]]=0,"",Sales[[#This Row],[Current Upsell $]]&gt;=400,"High",Sales[[#This Row],[Current Upsell $]]&gt;=100,"Medium",Sales[[#This Row],[Current Upsell $]]&lt;100,"Low")</f>
        <v/>
      </c>
      <c r="R41" t="str">
        <f>IF(Sales[[#This Row],[Current Upsell $]]&gt;0,_xlfn.CONCAT(Sales[[#This Row],[Subscription Type]]," ",Sales[[#This Row],[Upsell Priority]]," ",TEXT(Sales[[#This Row],[Current Upsell $]],"$#,#")),"")</f>
        <v/>
      </c>
    </row>
    <row r="42" spans="1:18" x14ac:dyDescent="0.25">
      <c r="A42">
        <v>100004</v>
      </c>
      <c r="B42" t="s">
        <v>3</v>
      </c>
      <c r="F42">
        <v>0</v>
      </c>
      <c r="G42">
        <v>7</v>
      </c>
      <c r="H42" s="1">
        <v>43770</v>
      </c>
      <c r="I42" s="1">
        <v>44075</v>
      </c>
      <c r="J42">
        <v>10</v>
      </c>
      <c r="K42">
        <v>9</v>
      </c>
      <c r="L42" s="1">
        <v>43800</v>
      </c>
      <c r="M42">
        <v>0</v>
      </c>
      <c r="N42" s="8" cm="1">
        <f t="array" ref="N42">_xlfn.SWITCH(Sales[[#This Row],[Subscription Type]],"Basic",10,"Premium",10,"Business",25,"Enterprise",27)</f>
        <v>10</v>
      </c>
      <c r="O42">
        <f>IF(Sales[[#This Row],[Number of Users]]-Sales[[#This Row],[Licenses Bought]]&lt;0,0,Sales[[#This Row],[Number of Users]]-Sales[[#This Row],[Licenses Bought]])</f>
        <v>7</v>
      </c>
      <c r="P42" s="8">
        <f>IF(Sales[[#This Row],[Sales Month]]=MAX(Sales[Sales Month]),Sales[[#This Row],[Non-Paying Users]]*Sales[[#This Row],[Upsell $ per Non-Paying User]],0)</f>
        <v>0</v>
      </c>
      <c r="Q42" t="str" cm="1">
        <f t="array" ref="Q42">_xlfn.IFS(Sales[[#This Row],[Current Upsell $]]=0,"",Sales[[#This Row],[Current Upsell $]]&gt;=400,"High",Sales[[#This Row],[Current Upsell $]]&gt;=100,"Medium",Sales[[#This Row],[Current Upsell $]]&lt;100,"Low")</f>
        <v/>
      </c>
      <c r="R42" t="str">
        <f>IF(Sales[[#This Row],[Current Upsell $]]&gt;0,_xlfn.CONCAT(Sales[[#This Row],[Subscription Type]]," ",Sales[[#This Row],[Upsell Priority]]," ",TEXT(Sales[[#This Row],[Current Upsell $]],"$#,#")),"")</f>
        <v/>
      </c>
    </row>
    <row r="43" spans="1:18" x14ac:dyDescent="0.25">
      <c r="A43">
        <v>100004</v>
      </c>
      <c r="B43" t="s">
        <v>3</v>
      </c>
      <c r="F43">
        <v>0</v>
      </c>
      <c r="G43">
        <v>7</v>
      </c>
      <c r="H43" s="1">
        <v>43770</v>
      </c>
      <c r="I43" s="1">
        <v>44075</v>
      </c>
      <c r="J43">
        <v>10</v>
      </c>
      <c r="K43">
        <v>9</v>
      </c>
      <c r="L43" s="1">
        <v>43831</v>
      </c>
      <c r="M43">
        <v>0</v>
      </c>
      <c r="N43" s="8" cm="1">
        <f t="array" ref="N43">_xlfn.SWITCH(Sales[[#This Row],[Subscription Type]],"Basic",10,"Premium",10,"Business",25,"Enterprise",27)</f>
        <v>10</v>
      </c>
      <c r="O43">
        <f>IF(Sales[[#This Row],[Number of Users]]-Sales[[#This Row],[Licenses Bought]]&lt;0,0,Sales[[#This Row],[Number of Users]]-Sales[[#This Row],[Licenses Bought]])</f>
        <v>7</v>
      </c>
      <c r="P43" s="8">
        <f>IF(Sales[[#This Row],[Sales Month]]=MAX(Sales[Sales Month]),Sales[[#This Row],[Non-Paying Users]]*Sales[[#This Row],[Upsell $ per Non-Paying User]],0)</f>
        <v>0</v>
      </c>
      <c r="Q43" t="str" cm="1">
        <f t="array" ref="Q43">_xlfn.IFS(Sales[[#This Row],[Current Upsell $]]=0,"",Sales[[#This Row],[Current Upsell $]]&gt;=400,"High",Sales[[#This Row],[Current Upsell $]]&gt;=100,"Medium",Sales[[#This Row],[Current Upsell $]]&lt;100,"Low")</f>
        <v/>
      </c>
      <c r="R43" t="str">
        <f>IF(Sales[[#This Row],[Current Upsell $]]&gt;0,_xlfn.CONCAT(Sales[[#This Row],[Subscription Type]]," ",Sales[[#This Row],[Upsell Priority]]," ",TEXT(Sales[[#This Row],[Current Upsell $]],"$#,#")),"")</f>
        <v/>
      </c>
    </row>
    <row r="44" spans="1:18" x14ac:dyDescent="0.25">
      <c r="A44">
        <v>100004</v>
      </c>
      <c r="B44" t="s">
        <v>3</v>
      </c>
      <c r="F44">
        <v>0</v>
      </c>
      <c r="G44">
        <v>8</v>
      </c>
      <c r="H44" s="1">
        <v>43770</v>
      </c>
      <c r="I44" s="1">
        <v>44075</v>
      </c>
      <c r="J44">
        <v>10</v>
      </c>
      <c r="K44">
        <v>9</v>
      </c>
      <c r="L44" s="1">
        <v>43862</v>
      </c>
      <c r="M44">
        <v>0</v>
      </c>
      <c r="N44" s="8" cm="1">
        <f t="array" ref="N44">_xlfn.SWITCH(Sales[[#This Row],[Subscription Type]],"Basic",10,"Premium",10,"Business",25,"Enterprise",27)</f>
        <v>10</v>
      </c>
      <c r="O44">
        <f>IF(Sales[[#This Row],[Number of Users]]-Sales[[#This Row],[Licenses Bought]]&lt;0,0,Sales[[#This Row],[Number of Users]]-Sales[[#This Row],[Licenses Bought]])</f>
        <v>8</v>
      </c>
      <c r="P44" s="8">
        <f>IF(Sales[[#This Row],[Sales Month]]=MAX(Sales[Sales Month]),Sales[[#This Row],[Non-Paying Users]]*Sales[[#This Row],[Upsell $ per Non-Paying User]],0)</f>
        <v>0</v>
      </c>
      <c r="Q44" t="str" cm="1">
        <f t="array" ref="Q44">_xlfn.IFS(Sales[[#This Row],[Current Upsell $]]=0,"",Sales[[#This Row],[Current Upsell $]]&gt;=400,"High",Sales[[#This Row],[Current Upsell $]]&gt;=100,"Medium",Sales[[#This Row],[Current Upsell $]]&lt;100,"Low")</f>
        <v/>
      </c>
      <c r="R44" t="str">
        <f>IF(Sales[[#This Row],[Current Upsell $]]&gt;0,_xlfn.CONCAT(Sales[[#This Row],[Subscription Type]]," ",Sales[[#This Row],[Upsell Priority]]," ",TEXT(Sales[[#This Row],[Current Upsell $]],"$#,#")),"")</f>
        <v/>
      </c>
    </row>
    <row r="45" spans="1:18" x14ac:dyDescent="0.25">
      <c r="A45">
        <v>100004</v>
      </c>
      <c r="B45" t="s">
        <v>3</v>
      </c>
      <c r="F45">
        <v>0</v>
      </c>
      <c r="G45">
        <v>9</v>
      </c>
      <c r="H45" s="1">
        <v>43770</v>
      </c>
      <c r="I45" s="1">
        <v>44075</v>
      </c>
      <c r="J45">
        <v>10</v>
      </c>
      <c r="K45">
        <v>9</v>
      </c>
      <c r="L45" s="1">
        <v>43891</v>
      </c>
      <c r="M45">
        <v>0</v>
      </c>
      <c r="N45" s="8" cm="1">
        <f t="array" ref="N45">_xlfn.SWITCH(Sales[[#This Row],[Subscription Type]],"Basic",10,"Premium",10,"Business",25,"Enterprise",27)</f>
        <v>10</v>
      </c>
      <c r="O45">
        <f>IF(Sales[[#This Row],[Number of Users]]-Sales[[#This Row],[Licenses Bought]]&lt;0,0,Sales[[#This Row],[Number of Users]]-Sales[[#This Row],[Licenses Bought]])</f>
        <v>9</v>
      </c>
      <c r="P45" s="8">
        <f>IF(Sales[[#This Row],[Sales Month]]=MAX(Sales[Sales Month]),Sales[[#This Row],[Non-Paying Users]]*Sales[[#This Row],[Upsell $ per Non-Paying User]],0)</f>
        <v>0</v>
      </c>
      <c r="Q45" t="str" cm="1">
        <f t="array" ref="Q45">_xlfn.IFS(Sales[[#This Row],[Current Upsell $]]=0,"",Sales[[#This Row],[Current Upsell $]]&gt;=400,"High",Sales[[#This Row],[Current Upsell $]]&gt;=100,"Medium",Sales[[#This Row],[Current Upsell $]]&lt;100,"Low")</f>
        <v/>
      </c>
      <c r="R45" t="str">
        <f>IF(Sales[[#This Row],[Current Upsell $]]&gt;0,_xlfn.CONCAT(Sales[[#This Row],[Subscription Type]]," ",Sales[[#This Row],[Upsell Priority]]," ",TEXT(Sales[[#This Row],[Current Upsell $]],"$#,#")),"")</f>
        <v/>
      </c>
    </row>
    <row r="46" spans="1:18" x14ac:dyDescent="0.25">
      <c r="A46">
        <v>100004</v>
      </c>
      <c r="B46" t="s">
        <v>3</v>
      </c>
      <c r="F46">
        <v>0</v>
      </c>
      <c r="G46">
        <v>7</v>
      </c>
      <c r="H46" s="1">
        <v>43770</v>
      </c>
      <c r="I46" s="1">
        <v>44075</v>
      </c>
      <c r="J46">
        <v>10</v>
      </c>
      <c r="K46">
        <v>9</v>
      </c>
      <c r="L46" s="1">
        <v>43922</v>
      </c>
      <c r="M46">
        <v>0</v>
      </c>
      <c r="N46" s="8" cm="1">
        <f t="array" ref="N46">_xlfn.SWITCH(Sales[[#This Row],[Subscription Type]],"Basic",10,"Premium",10,"Business",25,"Enterprise",27)</f>
        <v>10</v>
      </c>
      <c r="O46">
        <f>IF(Sales[[#This Row],[Number of Users]]-Sales[[#This Row],[Licenses Bought]]&lt;0,0,Sales[[#This Row],[Number of Users]]-Sales[[#This Row],[Licenses Bought]])</f>
        <v>7</v>
      </c>
      <c r="P46" s="8">
        <f>IF(Sales[[#This Row],[Sales Month]]=MAX(Sales[Sales Month]),Sales[[#This Row],[Non-Paying Users]]*Sales[[#This Row],[Upsell $ per Non-Paying User]],0)</f>
        <v>0</v>
      </c>
      <c r="Q46" t="str" cm="1">
        <f t="array" ref="Q46">_xlfn.IFS(Sales[[#This Row],[Current Upsell $]]=0,"",Sales[[#This Row],[Current Upsell $]]&gt;=400,"High",Sales[[#This Row],[Current Upsell $]]&gt;=100,"Medium",Sales[[#This Row],[Current Upsell $]]&lt;100,"Low")</f>
        <v/>
      </c>
      <c r="R46" t="str">
        <f>IF(Sales[[#This Row],[Current Upsell $]]&gt;0,_xlfn.CONCAT(Sales[[#This Row],[Subscription Type]]," ",Sales[[#This Row],[Upsell Priority]]," ",TEXT(Sales[[#This Row],[Current Upsell $]],"$#,#")),"")</f>
        <v/>
      </c>
    </row>
    <row r="47" spans="1:18" x14ac:dyDescent="0.25">
      <c r="A47">
        <v>100004</v>
      </c>
      <c r="B47" t="s">
        <v>3</v>
      </c>
      <c r="F47">
        <v>0</v>
      </c>
      <c r="G47">
        <v>7</v>
      </c>
      <c r="H47" s="1">
        <v>43770</v>
      </c>
      <c r="I47" s="1">
        <v>44075</v>
      </c>
      <c r="J47">
        <v>10</v>
      </c>
      <c r="K47">
        <v>9</v>
      </c>
      <c r="L47" s="1">
        <v>43952</v>
      </c>
      <c r="M47">
        <v>0</v>
      </c>
      <c r="N47" s="8" cm="1">
        <f t="array" ref="N47">_xlfn.SWITCH(Sales[[#This Row],[Subscription Type]],"Basic",10,"Premium",10,"Business",25,"Enterprise",27)</f>
        <v>10</v>
      </c>
      <c r="O47">
        <f>IF(Sales[[#This Row],[Number of Users]]-Sales[[#This Row],[Licenses Bought]]&lt;0,0,Sales[[#This Row],[Number of Users]]-Sales[[#This Row],[Licenses Bought]])</f>
        <v>7</v>
      </c>
      <c r="P47" s="8">
        <f>IF(Sales[[#This Row],[Sales Month]]=MAX(Sales[Sales Month]),Sales[[#This Row],[Non-Paying Users]]*Sales[[#This Row],[Upsell $ per Non-Paying User]],0)</f>
        <v>0</v>
      </c>
      <c r="Q47" t="str" cm="1">
        <f t="array" ref="Q47">_xlfn.IFS(Sales[[#This Row],[Current Upsell $]]=0,"",Sales[[#This Row],[Current Upsell $]]&gt;=400,"High",Sales[[#This Row],[Current Upsell $]]&gt;=100,"Medium",Sales[[#This Row],[Current Upsell $]]&lt;100,"Low")</f>
        <v/>
      </c>
      <c r="R47" t="str">
        <f>IF(Sales[[#This Row],[Current Upsell $]]&gt;0,_xlfn.CONCAT(Sales[[#This Row],[Subscription Type]]," ",Sales[[#This Row],[Upsell Priority]]," ",TEXT(Sales[[#This Row],[Current Upsell $]],"$#,#")),"")</f>
        <v/>
      </c>
    </row>
    <row r="48" spans="1:18" x14ac:dyDescent="0.25">
      <c r="A48">
        <v>100004</v>
      </c>
      <c r="B48" t="s">
        <v>3</v>
      </c>
      <c r="F48">
        <v>0</v>
      </c>
      <c r="G48">
        <v>7</v>
      </c>
      <c r="H48" s="1">
        <v>43770</v>
      </c>
      <c r="I48" s="1">
        <v>44075</v>
      </c>
      <c r="J48">
        <v>10</v>
      </c>
      <c r="K48">
        <v>9</v>
      </c>
      <c r="L48" s="1">
        <v>43983</v>
      </c>
      <c r="M48">
        <v>0</v>
      </c>
      <c r="N48" s="8" cm="1">
        <f t="array" ref="N48">_xlfn.SWITCH(Sales[[#This Row],[Subscription Type]],"Basic",10,"Premium",10,"Business",25,"Enterprise",27)</f>
        <v>10</v>
      </c>
      <c r="O48">
        <f>IF(Sales[[#This Row],[Number of Users]]-Sales[[#This Row],[Licenses Bought]]&lt;0,0,Sales[[#This Row],[Number of Users]]-Sales[[#This Row],[Licenses Bought]])</f>
        <v>7</v>
      </c>
      <c r="P48" s="8">
        <f>IF(Sales[[#This Row],[Sales Month]]=MAX(Sales[Sales Month]),Sales[[#This Row],[Non-Paying Users]]*Sales[[#This Row],[Upsell $ per Non-Paying User]],0)</f>
        <v>0</v>
      </c>
      <c r="Q48" t="str" cm="1">
        <f t="array" ref="Q48">_xlfn.IFS(Sales[[#This Row],[Current Upsell $]]=0,"",Sales[[#This Row],[Current Upsell $]]&gt;=400,"High",Sales[[#This Row],[Current Upsell $]]&gt;=100,"Medium",Sales[[#This Row],[Current Upsell $]]&lt;100,"Low")</f>
        <v/>
      </c>
      <c r="R48" t="str">
        <f>IF(Sales[[#This Row],[Current Upsell $]]&gt;0,_xlfn.CONCAT(Sales[[#This Row],[Subscription Type]]," ",Sales[[#This Row],[Upsell Priority]]," ",TEXT(Sales[[#This Row],[Current Upsell $]],"$#,#")),"")</f>
        <v/>
      </c>
    </row>
    <row r="49" spans="1:18" x14ac:dyDescent="0.25">
      <c r="A49">
        <v>100004</v>
      </c>
      <c r="B49" t="s">
        <v>3</v>
      </c>
      <c r="F49">
        <v>0</v>
      </c>
      <c r="G49">
        <v>7</v>
      </c>
      <c r="H49" s="1">
        <v>43770</v>
      </c>
      <c r="I49" s="1">
        <v>44075</v>
      </c>
      <c r="J49">
        <v>10</v>
      </c>
      <c r="K49">
        <v>9</v>
      </c>
      <c r="L49" s="1">
        <v>44013</v>
      </c>
      <c r="M49">
        <v>0</v>
      </c>
      <c r="N49" s="8" cm="1">
        <f t="array" ref="N49">_xlfn.SWITCH(Sales[[#This Row],[Subscription Type]],"Basic",10,"Premium",10,"Business",25,"Enterprise",27)</f>
        <v>10</v>
      </c>
      <c r="O49">
        <f>IF(Sales[[#This Row],[Number of Users]]-Sales[[#This Row],[Licenses Bought]]&lt;0,0,Sales[[#This Row],[Number of Users]]-Sales[[#This Row],[Licenses Bought]])</f>
        <v>7</v>
      </c>
      <c r="P49" s="8">
        <f>IF(Sales[[#This Row],[Sales Month]]=MAX(Sales[Sales Month]),Sales[[#This Row],[Non-Paying Users]]*Sales[[#This Row],[Upsell $ per Non-Paying User]],0)</f>
        <v>0</v>
      </c>
      <c r="Q49" t="str" cm="1">
        <f t="array" ref="Q49">_xlfn.IFS(Sales[[#This Row],[Current Upsell $]]=0,"",Sales[[#This Row],[Current Upsell $]]&gt;=400,"High",Sales[[#This Row],[Current Upsell $]]&gt;=100,"Medium",Sales[[#This Row],[Current Upsell $]]&lt;100,"Low")</f>
        <v/>
      </c>
      <c r="R49" t="str">
        <f>IF(Sales[[#This Row],[Current Upsell $]]&gt;0,_xlfn.CONCAT(Sales[[#This Row],[Subscription Type]]," ",Sales[[#This Row],[Upsell Priority]]," ",TEXT(Sales[[#This Row],[Current Upsell $]],"$#,#")),"")</f>
        <v/>
      </c>
    </row>
    <row r="50" spans="1:18" x14ac:dyDescent="0.25">
      <c r="A50">
        <v>100004</v>
      </c>
      <c r="B50" t="s">
        <v>3</v>
      </c>
      <c r="F50">
        <v>0</v>
      </c>
      <c r="G50">
        <v>9</v>
      </c>
      <c r="H50" s="1">
        <v>43770</v>
      </c>
      <c r="I50" s="1">
        <v>44075</v>
      </c>
      <c r="J50">
        <v>10</v>
      </c>
      <c r="K50">
        <v>9</v>
      </c>
      <c r="L50" s="1">
        <v>44044</v>
      </c>
      <c r="M50">
        <v>0</v>
      </c>
      <c r="N50" s="8" cm="1">
        <f t="array" ref="N50">_xlfn.SWITCH(Sales[[#This Row],[Subscription Type]],"Basic",10,"Premium",10,"Business",25,"Enterprise",27)</f>
        <v>10</v>
      </c>
      <c r="O50">
        <f>IF(Sales[[#This Row],[Number of Users]]-Sales[[#This Row],[Licenses Bought]]&lt;0,0,Sales[[#This Row],[Number of Users]]-Sales[[#This Row],[Licenses Bought]])</f>
        <v>9</v>
      </c>
      <c r="P50" s="8">
        <f>IF(Sales[[#This Row],[Sales Month]]=MAX(Sales[Sales Month]),Sales[[#This Row],[Non-Paying Users]]*Sales[[#This Row],[Upsell $ per Non-Paying User]],0)</f>
        <v>0</v>
      </c>
      <c r="Q50" t="str" cm="1">
        <f t="array" ref="Q50">_xlfn.IFS(Sales[[#This Row],[Current Upsell $]]=0,"",Sales[[#This Row],[Current Upsell $]]&gt;=400,"High",Sales[[#This Row],[Current Upsell $]]&gt;=100,"Medium",Sales[[#This Row],[Current Upsell $]]&lt;100,"Low")</f>
        <v/>
      </c>
      <c r="R50" t="str">
        <f>IF(Sales[[#This Row],[Current Upsell $]]&gt;0,_xlfn.CONCAT(Sales[[#This Row],[Subscription Type]]," ",Sales[[#This Row],[Upsell Priority]]," ",TEXT(Sales[[#This Row],[Current Upsell $]],"$#,#")),"")</f>
        <v/>
      </c>
    </row>
    <row r="51" spans="1:18" x14ac:dyDescent="0.25">
      <c r="A51">
        <v>100004</v>
      </c>
      <c r="B51" t="s">
        <v>3</v>
      </c>
      <c r="F51">
        <v>0</v>
      </c>
      <c r="G51">
        <v>7</v>
      </c>
      <c r="H51" s="1">
        <v>43770</v>
      </c>
      <c r="I51" s="1">
        <v>44075</v>
      </c>
      <c r="J51">
        <v>10</v>
      </c>
      <c r="K51">
        <v>9</v>
      </c>
      <c r="L51" s="1">
        <v>44075</v>
      </c>
      <c r="M51">
        <v>0</v>
      </c>
      <c r="N51" s="8" cm="1">
        <f t="array" ref="N51">_xlfn.SWITCH(Sales[[#This Row],[Subscription Type]],"Basic",10,"Premium",10,"Business",25,"Enterprise",27)</f>
        <v>10</v>
      </c>
      <c r="O51">
        <f>IF(Sales[[#This Row],[Number of Users]]-Sales[[#This Row],[Licenses Bought]]&lt;0,0,Sales[[#This Row],[Number of Users]]-Sales[[#This Row],[Licenses Bought]])</f>
        <v>7</v>
      </c>
      <c r="P51" s="8">
        <f>IF(Sales[[#This Row],[Sales Month]]=MAX(Sales[Sales Month]),Sales[[#This Row],[Non-Paying Users]]*Sales[[#This Row],[Upsell $ per Non-Paying User]],0)</f>
        <v>0</v>
      </c>
      <c r="Q51" t="str" cm="1">
        <f t="array" ref="Q51">_xlfn.IFS(Sales[[#This Row],[Current Upsell $]]=0,"",Sales[[#This Row],[Current Upsell $]]&gt;=400,"High",Sales[[#This Row],[Current Upsell $]]&gt;=100,"Medium",Sales[[#This Row],[Current Upsell $]]&lt;100,"Low")</f>
        <v/>
      </c>
      <c r="R51" t="str">
        <f>IF(Sales[[#This Row],[Current Upsell $]]&gt;0,_xlfn.CONCAT(Sales[[#This Row],[Subscription Type]]," ",Sales[[#This Row],[Upsell Priority]]," ",TEXT(Sales[[#This Row],[Current Upsell $]],"$#,#")),"")</f>
        <v/>
      </c>
    </row>
    <row r="52" spans="1:18" x14ac:dyDescent="0.25">
      <c r="A52">
        <v>100005</v>
      </c>
      <c r="B52" t="s">
        <v>3</v>
      </c>
      <c r="D52" s="1"/>
      <c r="E52" s="1"/>
      <c r="F52">
        <v>0</v>
      </c>
      <c r="G52">
        <v>47</v>
      </c>
      <c r="H52" s="1">
        <v>43800</v>
      </c>
      <c r="I52" s="1">
        <v>44378</v>
      </c>
      <c r="J52">
        <v>19</v>
      </c>
      <c r="K52">
        <v>0</v>
      </c>
      <c r="L52" s="1">
        <v>43800</v>
      </c>
      <c r="M52">
        <v>0</v>
      </c>
      <c r="N52" s="8" cm="1">
        <f t="array" ref="N52">_xlfn.SWITCH(Sales[[#This Row],[Subscription Type]],"Basic",10,"Premium",10,"Business",25,"Enterprise",27)</f>
        <v>10</v>
      </c>
      <c r="O52">
        <f>IF(Sales[[#This Row],[Number of Users]]-Sales[[#This Row],[Licenses Bought]]&lt;0,0,Sales[[#This Row],[Number of Users]]-Sales[[#This Row],[Licenses Bought]])</f>
        <v>47</v>
      </c>
      <c r="P52" s="8">
        <f>IF(Sales[[#This Row],[Sales Month]]=MAX(Sales[Sales Month]),Sales[[#This Row],[Non-Paying Users]]*Sales[[#This Row],[Upsell $ per Non-Paying User]],0)</f>
        <v>0</v>
      </c>
      <c r="Q52" t="str" cm="1">
        <f t="array" ref="Q52">_xlfn.IFS(Sales[[#This Row],[Current Upsell $]]=0,"",Sales[[#This Row],[Current Upsell $]]&gt;=400,"High",Sales[[#This Row],[Current Upsell $]]&gt;=100,"Medium",Sales[[#This Row],[Current Upsell $]]&lt;100,"Low")</f>
        <v/>
      </c>
      <c r="R52" t="str">
        <f>IF(Sales[[#This Row],[Current Upsell $]]&gt;0,_xlfn.CONCAT(Sales[[#This Row],[Subscription Type]]," ",Sales[[#This Row],[Upsell Priority]]," ",TEXT(Sales[[#This Row],[Current Upsell $]],"$#,#")),"")</f>
        <v/>
      </c>
    </row>
    <row r="53" spans="1:18" x14ac:dyDescent="0.25">
      <c r="A53">
        <v>100005</v>
      </c>
      <c r="B53" t="s">
        <v>1</v>
      </c>
      <c r="D53" s="1"/>
      <c r="E53" s="1"/>
      <c r="F53">
        <v>23</v>
      </c>
      <c r="G53">
        <v>40</v>
      </c>
      <c r="H53" s="1">
        <v>43800</v>
      </c>
      <c r="I53" s="1">
        <v>44378</v>
      </c>
      <c r="J53">
        <v>19</v>
      </c>
      <c r="K53">
        <v>0</v>
      </c>
      <c r="L53" s="1">
        <v>43831</v>
      </c>
      <c r="M53">
        <v>575</v>
      </c>
      <c r="N53" s="8" cm="1">
        <f t="array" ref="N53">_xlfn.SWITCH(Sales[[#This Row],[Subscription Type]],"Basic",10,"Premium",10,"Business",25,"Enterprise",27)</f>
        <v>25</v>
      </c>
      <c r="O53">
        <f>IF(Sales[[#This Row],[Number of Users]]-Sales[[#This Row],[Licenses Bought]]&lt;0,0,Sales[[#This Row],[Number of Users]]-Sales[[#This Row],[Licenses Bought]])</f>
        <v>17</v>
      </c>
      <c r="P53" s="8">
        <f>IF(Sales[[#This Row],[Sales Month]]=MAX(Sales[Sales Month]),Sales[[#This Row],[Non-Paying Users]]*Sales[[#This Row],[Upsell $ per Non-Paying User]],0)</f>
        <v>0</v>
      </c>
      <c r="Q53" t="str" cm="1">
        <f t="array" ref="Q53">_xlfn.IFS(Sales[[#This Row],[Current Upsell $]]=0,"",Sales[[#This Row],[Current Upsell $]]&gt;=400,"High",Sales[[#This Row],[Current Upsell $]]&gt;=100,"Medium",Sales[[#This Row],[Current Upsell $]]&lt;100,"Low")</f>
        <v/>
      </c>
      <c r="R53" t="str">
        <f>IF(Sales[[#This Row],[Current Upsell $]]&gt;0,_xlfn.CONCAT(Sales[[#This Row],[Subscription Type]]," ",Sales[[#This Row],[Upsell Priority]]," ",TEXT(Sales[[#This Row],[Current Upsell $]],"$#,#")),"")</f>
        <v/>
      </c>
    </row>
    <row r="54" spans="1:18" x14ac:dyDescent="0.25">
      <c r="A54">
        <v>100005</v>
      </c>
      <c r="B54" t="s">
        <v>1</v>
      </c>
      <c r="D54" s="1"/>
      <c r="E54" s="1"/>
      <c r="F54">
        <v>37</v>
      </c>
      <c r="G54">
        <v>32</v>
      </c>
      <c r="H54" s="1">
        <v>43800</v>
      </c>
      <c r="I54" s="1">
        <v>44378</v>
      </c>
      <c r="J54">
        <v>19</v>
      </c>
      <c r="K54">
        <v>0</v>
      </c>
      <c r="L54" s="1">
        <v>43862</v>
      </c>
      <c r="M54">
        <v>925</v>
      </c>
      <c r="N54" s="8" cm="1">
        <f t="array" ref="N54">_xlfn.SWITCH(Sales[[#This Row],[Subscription Type]],"Basic",10,"Premium",10,"Business",25,"Enterprise",27)</f>
        <v>25</v>
      </c>
      <c r="O54">
        <f>IF(Sales[[#This Row],[Number of Users]]-Sales[[#This Row],[Licenses Bought]]&lt;0,0,Sales[[#This Row],[Number of Users]]-Sales[[#This Row],[Licenses Bought]])</f>
        <v>0</v>
      </c>
      <c r="P54" s="8">
        <f>IF(Sales[[#This Row],[Sales Month]]=MAX(Sales[Sales Month]),Sales[[#This Row],[Non-Paying Users]]*Sales[[#This Row],[Upsell $ per Non-Paying User]],0)</f>
        <v>0</v>
      </c>
      <c r="Q54" t="str" cm="1">
        <f t="array" ref="Q54">_xlfn.IFS(Sales[[#This Row],[Current Upsell $]]=0,"",Sales[[#This Row],[Current Upsell $]]&gt;=400,"High",Sales[[#This Row],[Current Upsell $]]&gt;=100,"Medium",Sales[[#This Row],[Current Upsell $]]&lt;100,"Low")</f>
        <v/>
      </c>
      <c r="R54" t="str">
        <f>IF(Sales[[#This Row],[Current Upsell $]]&gt;0,_xlfn.CONCAT(Sales[[#This Row],[Subscription Type]]," ",Sales[[#This Row],[Upsell Priority]]," ",TEXT(Sales[[#This Row],[Current Upsell $]],"$#,#")),"")</f>
        <v/>
      </c>
    </row>
    <row r="55" spans="1:18" x14ac:dyDescent="0.25">
      <c r="A55">
        <v>100005</v>
      </c>
      <c r="B55" t="s">
        <v>1</v>
      </c>
      <c r="D55" s="1"/>
      <c r="E55" s="1"/>
      <c r="F55">
        <v>29</v>
      </c>
      <c r="G55">
        <v>47</v>
      </c>
      <c r="H55" s="1">
        <v>43800</v>
      </c>
      <c r="I55" s="1">
        <v>44378</v>
      </c>
      <c r="J55">
        <v>19</v>
      </c>
      <c r="K55">
        <v>0</v>
      </c>
      <c r="L55" s="1">
        <v>43891</v>
      </c>
      <c r="M55">
        <v>725</v>
      </c>
      <c r="N55" s="8" cm="1">
        <f t="array" ref="N55">_xlfn.SWITCH(Sales[[#This Row],[Subscription Type]],"Basic",10,"Premium",10,"Business",25,"Enterprise",27)</f>
        <v>25</v>
      </c>
      <c r="O55">
        <f>IF(Sales[[#This Row],[Number of Users]]-Sales[[#This Row],[Licenses Bought]]&lt;0,0,Sales[[#This Row],[Number of Users]]-Sales[[#This Row],[Licenses Bought]])</f>
        <v>18</v>
      </c>
      <c r="P55" s="8">
        <f>IF(Sales[[#This Row],[Sales Month]]=MAX(Sales[Sales Month]),Sales[[#This Row],[Non-Paying Users]]*Sales[[#This Row],[Upsell $ per Non-Paying User]],0)</f>
        <v>0</v>
      </c>
      <c r="Q55" t="str" cm="1">
        <f t="array" ref="Q55">_xlfn.IFS(Sales[[#This Row],[Current Upsell $]]=0,"",Sales[[#This Row],[Current Upsell $]]&gt;=400,"High",Sales[[#This Row],[Current Upsell $]]&gt;=100,"Medium",Sales[[#This Row],[Current Upsell $]]&lt;100,"Low")</f>
        <v/>
      </c>
      <c r="R55" t="str">
        <f>IF(Sales[[#This Row],[Current Upsell $]]&gt;0,_xlfn.CONCAT(Sales[[#This Row],[Subscription Type]]," ",Sales[[#This Row],[Upsell Priority]]," ",TEXT(Sales[[#This Row],[Current Upsell $]],"$#,#")),"")</f>
        <v/>
      </c>
    </row>
    <row r="56" spans="1:18" x14ac:dyDescent="0.25">
      <c r="A56">
        <v>100005</v>
      </c>
      <c r="B56" t="s">
        <v>1</v>
      </c>
      <c r="D56" s="1"/>
      <c r="E56" s="1"/>
      <c r="F56">
        <v>37</v>
      </c>
      <c r="G56">
        <v>44</v>
      </c>
      <c r="H56" s="1">
        <v>43800</v>
      </c>
      <c r="I56" s="1">
        <v>44378</v>
      </c>
      <c r="J56">
        <v>19</v>
      </c>
      <c r="K56">
        <v>0</v>
      </c>
      <c r="L56" s="1">
        <v>43922</v>
      </c>
      <c r="M56">
        <v>925</v>
      </c>
      <c r="N56" s="8" cm="1">
        <f t="array" ref="N56">_xlfn.SWITCH(Sales[[#This Row],[Subscription Type]],"Basic",10,"Premium",10,"Business",25,"Enterprise",27)</f>
        <v>25</v>
      </c>
      <c r="O56">
        <f>IF(Sales[[#This Row],[Number of Users]]-Sales[[#This Row],[Licenses Bought]]&lt;0,0,Sales[[#This Row],[Number of Users]]-Sales[[#This Row],[Licenses Bought]])</f>
        <v>7</v>
      </c>
      <c r="P56" s="8">
        <f>IF(Sales[[#This Row],[Sales Month]]=MAX(Sales[Sales Month]),Sales[[#This Row],[Non-Paying Users]]*Sales[[#This Row],[Upsell $ per Non-Paying User]],0)</f>
        <v>0</v>
      </c>
      <c r="Q56" t="str" cm="1">
        <f t="array" ref="Q56">_xlfn.IFS(Sales[[#This Row],[Current Upsell $]]=0,"",Sales[[#This Row],[Current Upsell $]]&gt;=400,"High",Sales[[#This Row],[Current Upsell $]]&gt;=100,"Medium",Sales[[#This Row],[Current Upsell $]]&lt;100,"Low")</f>
        <v/>
      </c>
      <c r="R56" t="str">
        <f>IF(Sales[[#This Row],[Current Upsell $]]&gt;0,_xlfn.CONCAT(Sales[[#This Row],[Subscription Type]]," ",Sales[[#This Row],[Upsell Priority]]," ",TEXT(Sales[[#This Row],[Current Upsell $]],"$#,#")),"")</f>
        <v/>
      </c>
    </row>
    <row r="57" spans="1:18" x14ac:dyDescent="0.25">
      <c r="A57">
        <v>100005</v>
      </c>
      <c r="B57" t="s">
        <v>1</v>
      </c>
      <c r="D57" s="1"/>
      <c r="E57" s="1"/>
      <c r="F57">
        <v>37</v>
      </c>
      <c r="G57">
        <v>41</v>
      </c>
      <c r="H57" s="1">
        <v>43800</v>
      </c>
      <c r="I57" s="1">
        <v>44378</v>
      </c>
      <c r="J57">
        <v>19</v>
      </c>
      <c r="K57">
        <v>0</v>
      </c>
      <c r="L57" s="1">
        <v>43952</v>
      </c>
      <c r="M57">
        <v>925</v>
      </c>
      <c r="N57" s="8" cm="1">
        <f t="array" ref="N57">_xlfn.SWITCH(Sales[[#This Row],[Subscription Type]],"Basic",10,"Premium",10,"Business",25,"Enterprise",27)</f>
        <v>25</v>
      </c>
      <c r="O57">
        <f>IF(Sales[[#This Row],[Number of Users]]-Sales[[#This Row],[Licenses Bought]]&lt;0,0,Sales[[#This Row],[Number of Users]]-Sales[[#This Row],[Licenses Bought]])</f>
        <v>4</v>
      </c>
      <c r="P57" s="8">
        <f>IF(Sales[[#This Row],[Sales Month]]=MAX(Sales[Sales Month]),Sales[[#This Row],[Non-Paying Users]]*Sales[[#This Row],[Upsell $ per Non-Paying User]],0)</f>
        <v>0</v>
      </c>
      <c r="Q57" t="str" cm="1">
        <f t="array" ref="Q57">_xlfn.IFS(Sales[[#This Row],[Current Upsell $]]=0,"",Sales[[#This Row],[Current Upsell $]]&gt;=400,"High",Sales[[#This Row],[Current Upsell $]]&gt;=100,"Medium",Sales[[#This Row],[Current Upsell $]]&lt;100,"Low")</f>
        <v/>
      </c>
      <c r="R57" t="str">
        <f>IF(Sales[[#This Row],[Current Upsell $]]&gt;0,_xlfn.CONCAT(Sales[[#This Row],[Subscription Type]]," ",Sales[[#This Row],[Upsell Priority]]," ",TEXT(Sales[[#This Row],[Current Upsell $]],"$#,#")),"")</f>
        <v/>
      </c>
    </row>
    <row r="58" spans="1:18" x14ac:dyDescent="0.25">
      <c r="A58">
        <v>100005</v>
      </c>
      <c r="B58" t="s">
        <v>1</v>
      </c>
      <c r="D58" s="1"/>
      <c r="E58" s="1"/>
      <c r="F58">
        <v>37</v>
      </c>
      <c r="G58">
        <v>53</v>
      </c>
      <c r="H58" s="1">
        <v>43800</v>
      </c>
      <c r="I58" s="1">
        <v>44378</v>
      </c>
      <c r="J58">
        <v>19</v>
      </c>
      <c r="K58">
        <v>0</v>
      </c>
      <c r="L58" s="1">
        <v>43983</v>
      </c>
      <c r="M58">
        <v>925</v>
      </c>
      <c r="N58" s="8" cm="1">
        <f t="array" ref="N58">_xlfn.SWITCH(Sales[[#This Row],[Subscription Type]],"Basic",10,"Premium",10,"Business",25,"Enterprise",27)</f>
        <v>25</v>
      </c>
      <c r="O58">
        <f>IF(Sales[[#This Row],[Number of Users]]-Sales[[#This Row],[Licenses Bought]]&lt;0,0,Sales[[#This Row],[Number of Users]]-Sales[[#This Row],[Licenses Bought]])</f>
        <v>16</v>
      </c>
      <c r="P58" s="8">
        <f>IF(Sales[[#This Row],[Sales Month]]=MAX(Sales[Sales Month]),Sales[[#This Row],[Non-Paying Users]]*Sales[[#This Row],[Upsell $ per Non-Paying User]],0)</f>
        <v>0</v>
      </c>
      <c r="Q58" t="str" cm="1">
        <f t="array" ref="Q58">_xlfn.IFS(Sales[[#This Row],[Current Upsell $]]=0,"",Sales[[#This Row],[Current Upsell $]]&gt;=400,"High",Sales[[#This Row],[Current Upsell $]]&gt;=100,"Medium",Sales[[#This Row],[Current Upsell $]]&lt;100,"Low")</f>
        <v/>
      </c>
      <c r="R58" t="str">
        <f>IF(Sales[[#This Row],[Current Upsell $]]&gt;0,_xlfn.CONCAT(Sales[[#This Row],[Subscription Type]]," ",Sales[[#This Row],[Upsell Priority]]," ",TEXT(Sales[[#This Row],[Current Upsell $]],"$#,#")),"")</f>
        <v/>
      </c>
    </row>
    <row r="59" spans="1:18" x14ac:dyDescent="0.25">
      <c r="A59">
        <v>100005</v>
      </c>
      <c r="B59" t="s">
        <v>1</v>
      </c>
      <c r="D59" s="1"/>
      <c r="E59" s="1"/>
      <c r="F59">
        <v>37</v>
      </c>
      <c r="G59">
        <v>50</v>
      </c>
      <c r="H59" s="1">
        <v>43800</v>
      </c>
      <c r="I59" s="1">
        <v>44378</v>
      </c>
      <c r="J59">
        <v>19</v>
      </c>
      <c r="K59">
        <v>0</v>
      </c>
      <c r="L59" s="1">
        <v>44013</v>
      </c>
      <c r="M59">
        <v>925</v>
      </c>
      <c r="N59" s="8" cm="1">
        <f t="array" ref="N59">_xlfn.SWITCH(Sales[[#This Row],[Subscription Type]],"Basic",10,"Premium",10,"Business",25,"Enterprise",27)</f>
        <v>25</v>
      </c>
      <c r="O59">
        <f>IF(Sales[[#This Row],[Number of Users]]-Sales[[#This Row],[Licenses Bought]]&lt;0,0,Sales[[#This Row],[Number of Users]]-Sales[[#This Row],[Licenses Bought]])</f>
        <v>13</v>
      </c>
      <c r="P59" s="8">
        <f>IF(Sales[[#This Row],[Sales Month]]=MAX(Sales[Sales Month]),Sales[[#This Row],[Non-Paying Users]]*Sales[[#This Row],[Upsell $ per Non-Paying User]],0)</f>
        <v>0</v>
      </c>
      <c r="Q59" t="str" cm="1">
        <f t="array" ref="Q59">_xlfn.IFS(Sales[[#This Row],[Current Upsell $]]=0,"",Sales[[#This Row],[Current Upsell $]]&gt;=400,"High",Sales[[#This Row],[Current Upsell $]]&gt;=100,"Medium",Sales[[#This Row],[Current Upsell $]]&lt;100,"Low")</f>
        <v/>
      </c>
      <c r="R59" t="str">
        <f>IF(Sales[[#This Row],[Current Upsell $]]&gt;0,_xlfn.CONCAT(Sales[[#This Row],[Subscription Type]]," ",Sales[[#This Row],[Upsell Priority]]," ",TEXT(Sales[[#This Row],[Current Upsell $]],"$#,#")),"")</f>
        <v/>
      </c>
    </row>
    <row r="60" spans="1:18" x14ac:dyDescent="0.25">
      <c r="A60">
        <v>100005</v>
      </c>
      <c r="B60" t="s">
        <v>1</v>
      </c>
      <c r="D60" s="1"/>
      <c r="E60" s="1"/>
      <c r="F60">
        <v>37</v>
      </c>
      <c r="G60">
        <v>47</v>
      </c>
      <c r="H60" s="1">
        <v>43800</v>
      </c>
      <c r="I60" s="1">
        <v>44378</v>
      </c>
      <c r="J60">
        <v>19</v>
      </c>
      <c r="K60">
        <v>0</v>
      </c>
      <c r="L60" s="1">
        <v>44044</v>
      </c>
      <c r="M60">
        <v>925</v>
      </c>
      <c r="N60" s="8" cm="1">
        <f t="array" ref="N60">_xlfn.SWITCH(Sales[[#This Row],[Subscription Type]],"Basic",10,"Premium",10,"Business",25,"Enterprise",27)</f>
        <v>25</v>
      </c>
      <c r="O60">
        <f>IF(Sales[[#This Row],[Number of Users]]-Sales[[#This Row],[Licenses Bought]]&lt;0,0,Sales[[#This Row],[Number of Users]]-Sales[[#This Row],[Licenses Bought]])</f>
        <v>10</v>
      </c>
      <c r="P60" s="8">
        <f>IF(Sales[[#This Row],[Sales Month]]=MAX(Sales[Sales Month]),Sales[[#This Row],[Non-Paying Users]]*Sales[[#This Row],[Upsell $ per Non-Paying User]],0)</f>
        <v>0</v>
      </c>
      <c r="Q60" t="str" cm="1">
        <f t="array" ref="Q60">_xlfn.IFS(Sales[[#This Row],[Current Upsell $]]=0,"",Sales[[#This Row],[Current Upsell $]]&gt;=400,"High",Sales[[#This Row],[Current Upsell $]]&gt;=100,"Medium",Sales[[#This Row],[Current Upsell $]]&lt;100,"Low")</f>
        <v/>
      </c>
      <c r="R60" t="str">
        <f>IF(Sales[[#This Row],[Current Upsell $]]&gt;0,_xlfn.CONCAT(Sales[[#This Row],[Subscription Type]]," ",Sales[[#This Row],[Upsell Priority]]," ",TEXT(Sales[[#This Row],[Current Upsell $]],"$#,#")),"")</f>
        <v/>
      </c>
    </row>
    <row r="61" spans="1:18" x14ac:dyDescent="0.25">
      <c r="A61">
        <v>100005</v>
      </c>
      <c r="B61" t="s">
        <v>1</v>
      </c>
      <c r="D61" s="1"/>
      <c r="E61" s="1"/>
      <c r="F61">
        <v>37</v>
      </c>
      <c r="G61">
        <v>46</v>
      </c>
      <c r="H61" s="1">
        <v>43800</v>
      </c>
      <c r="I61" s="1">
        <v>44378</v>
      </c>
      <c r="J61">
        <v>19</v>
      </c>
      <c r="K61">
        <v>0</v>
      </c>
      <c r="L61" s="1">
        <v>44075</v>
      </c>
      <c r="M61">
        <v>925</v>
      </c>
      <c r="N61" s="8" cm="1">
        <f t="array" ref="N61">_xlfn.SWITCH(Sales[[#This Row],[Subscription Type]],"Basic",10,"Premium",10,"Business",25,"Enterprise",27)</f>
        <v>25</v>
      </c>
      <c r="O61">
        <f>IF(Sales[[#This Row],[Number of Users]]-Sales[[#This Row],[Licenses Bought]]&lt;0,0,Sales[[#This Row],[Number of Users]]-Sales[[#This Row],[Licenses Bought]])</f>
        <v>9</v>
      </c>
      <c r="P61" s="8">
        <f>IF(Sales[[#This Row],[Sales Month]]=MAX(Sales[Sales Month]),Sales[[#This Row],[Non-Paying Users]]*Sales[[#This Row],[Upsell $ per Non-Paying User]],0)</f>
        <v>0</v>
      </c>
      <c r="Q61" t="str" cm="1">
        <f t="array" ref="Q61">_xlfn.IFS(Sales[[#This Row],[Current Upsell $]]=0,"",Sales[[#This Row],[Current Upsell $]]&gt;=400,"High",Sales[[#This Row],[Current Upsell $]]&gt;=100,"Medium",Sales[[#This Row],[Current Upsell $]]&lt;100,"Low")</f>
        <v/>
      </c>
      <c r="R61" t="str">
        <f>IF(Sales[[#This Row],[Current Upsell $]]&gt;0,_xlfn.CONCAT(Sales[[#This Row],[Subscription Type]]," ",Sales[[#This Row],[Upsell Priority]]," ",TEXT(Sales[[#This Row],[Current Upsell $]],"$#,#")),"")</f>
        <v/>
      </c>
    </row>
    <row r="62" spans="1:18" x14ac:dyDescent="0.25">
      <c r="A62">
        <v>100005</v>
      </c>
      <c r="B62" t="s">
        <v>1</v>
      </c>
      <c r="D62" s="1"/>
      <c r="E62" s="1"/>
      <c r="F62">
        <v>37</v>
      </c>
      <c r="G62">
        <v>42</v>
      </c>
      <c r="H62" s="1">
        <v>43800</v>
      </c>
      <c r="I62" s="1">
        <v>44378</v>
      </c>
      <c r="J62">
        <v>19</v>
      </c>
      <c r="K62">
        <v>0</v>
      </c>
      <c r="L62" s="1">
        <v>44105</v>
      </c>
      <c r="M62">
        <v>925</v>
      </c>
      <c r="N62" s="8" cm="1">
        <f t="array" ref="N62">_xlfn.SWITCH(Sales[[#This Row],[Subscription Type]],"Basic",10,"Premium",10,"Business",25,"Enterprise",27)</f>
        <v>25</v>
      </c>
      <c r="O62">
        <f>IF(Sales[[#This Row],[Number of Users]]-Sales[[#This Row],[Licenses Bought]]&lt;0,0,Sales[[#This Row],[Number of Users]]-Sales[[#This Row],[Licenses Bought]])</f>
        <v>5</v>
      </c>
      <c r="P62" s="8">
        <f>IF(Sales[[#This Row],[Sales Month]]=MAX(Sales[Sales Month]),Sales[[#This Row],[Non-Paying Users]]*Sales[[#This Row],[Upsell $ per Non-Paying User]],0)</f>
        <v>0</v>
      </c>
      <c r="Q62" t="str" cm="1">
        <f t="array" ref="Q62">_xlfn.IFS(Sales[[#This Row],[Current Upsell $]]=0,"",Sales[[#This Row],[Current Upsell $]]&gt;=400,"High",Sales[[#This Row],[Current Upsell $]]&gt;=100,"Medium",Sales[[#This Row],[Current Upsell $]]&lt;100,"Low")</f>
        <v/>
      </c>
      <c r="R62" t="str">
        <f>IF(Sales[[#This Row],[Current Upsell $]]&gt;0,_xlfn.CONCAT(Sales[[#This Row],[Subscription Type]]," ",Sales[[#This Row],[Upsell Priority]]," ",TEXT(Sales[[#This Row],[Current Upsell $]],"$#,#")),"")</f>
        <v/>
      </c>
    </row>
    <row r="63" spans="1:18" x14ac:dyDescent="0.25">
      <c r="A63">
        <v>100005</v>
      </c>
      <c r="B63" t="s">
        <v>1</v>
      </c>
      <c r="D63" s="1"/>
      <c r="E63" s="1"/>
      <c r="F63">
        <v>37</v>
      </c>
      <c r="G63">
        <v>45</v>
      </c>
      <c r="H63" s="1">
        <v>43800</v>
      </c>
      <c r="I63" s="1">
        <v>44378</v>
      </c>
      <c r="J63">
        <v>19</v>
      </c>
      <c r="K63">
        <v>0</v>
      </c>
      <c r="L63" s="1">
        <v>44136</v>
      </c>
      <c r="M63">
        <v>925</v>
      </c>
      <c r="N63" s="8" cm="1">
        <f t="array" ref="N63">_xlfn.SWITCH(Sales[[#This Row],[Subscription Type]],"Basic",10,"Premium",10,"Business",25,"Enterprise",27)</f>
        <v>25</v>
      </c>
      <c r="O63">
        <f>IF(Sales[[#This Row],[Number of Users]]-Sales[[#This Row],[Licenses Bought]]&lt;0,0,Sales[[#This Row],[Number of Users]]-Sales[[#This Row],[Licenses Bought]])</f>
        <v>8</v>
      </c>
      <c r="P63" s="8">
        <f>IF(Sales[[#This Row],[Sales Month]]=MAX(Sales[Sales Month]),Sales[[#This Row],[Non-Paying Users]]*Sales[[#This Row],[Upsell $ per Non-Paying User]],0)</f>
        <v>0</v>
      </c>
      <c r="Q63" t="str" cm="1">
        <f t="array" ref="Q63">_xlfn.IFS(Sales[[#This Row],[Current Upsell $]]=0,"",Sales[[#This Row],[Current Upsell $]]&gt;=400,"High",Sales[[#This Row],[Current Upsell $]]&gt;=100,"Medium",Sales[[#This Row],[Current Upsell $]]&lt;100,"Low")</f>
        <v/>
      </c>
      <c r="R63" t="str">
        <f>IF(Sales[[#This Row],[Current Upsell $]]&gt;0,_xlfn.CONCAT(Sales[[#This Row],[Subscription Type]]," ",Sales[[#This Row],[Upsell Priority]]," ",TEXT(Sales[[#This Row],[Current Upsell $]],"$#,#")),"")</f>
        <v/>
      </c>
    </row>
    <row r="64" spans="1:18" x14ac:dyDescent="0.25">
      <c r="A64">
        <v>100005</v>
      </c>
      <c r="B64" t="s">
        <v>1</v>
      </c>
      <c r="D64" s="1"/>
      <c r="E64" s="1"/>
      <c r="F64">
        <v>37</v>
      </c>
      <c r="G64">
        <v>46</v>
      </c>
      <c r="H64" s="1">
        <v>43800</v>
      </c>
      <c r="I64" s="1">
        <v>44378</v>
      </c>
      <c r="J64">
        <v>19</v>
      </c>
      <c r="K64">
        <v>0</v>
      </c>
      <c r="L64" s="1">
        <v>44166</v>
      </c>
      <c r="M64">
        <v>925</v>
      </c>
      <c r="N64" s="8" cm="1">
        <f t="array" ref="N64">_xlfn.SWITCH(Sales[[#This Row],[Subscription Type]],"Basic",10,"Premium",10,"Business",25,"Enterprise",27)</f>
        <v>25</v>
      </c>
      <c r="O64">
        <f>IF(Sales[[#This Row],[Number of Users]]-Sales[[#This Row],[Licenses Bought]]&lt;0,0,Sales[[#This Row],[Number of Users]]-Sales[[#This Row],[Licenses Bought]])</f>
        <v>9</v>
      </c>
      <c r="P64" s="8">
        <f>IF(Sales[[#This Row],[Sales Month]]=MAX(Sales[Sales Month]),Sales[[#This Row],[Non-Paying Users]]*Sales[[#This Row],[Upsell $ per Non-Paying User]],0)</f>
        <v>0</v>
      </c>
      <c r="Q64" t="str" cm="1">
        <f t="array" ref="Q64">_xlfn.IFS(Sales[[#This Row],[Current Upsell $]]=0,"",Sales[[#This Row],[Current Upsell $]]&gt;=400,"High",Sales[[#This Row],[Current Upsell $]]&gt;=100,"Medium",Sales[[#This Row],[Current Upsell $]]&lt;100,"Low")</f>
        <v/>
      </c>
      <c r="R64" t="str">
        <f>IF(Sales[[#This Row],[Current Upsell $]]&gt;0,_xlfn.CONCAT(Sales[[#This Row],[Subscription Type]]," ",Sales[[#This Row],[Upsell Priority]]," ",TEXT(Sales[[#This Row],[Current Upsell $]],"$#,#")),"")</f>
        <v/>
      </c>
    </row>
    <row r="65" spans="1:18" x14ac:dyDescent="0.25">
      <c r="A65">
        <v>100005</v>
      </c>
      <c r="B65" t="s">
        <v>1</v>
      </c>
      <c r="D65" s="1"/>
      <c r="E65" s="1"/>
      <c r="F65">
        <v>37</v>
      </c>
      <c r="G65">
        <v>49</v>
      </c>
      <c r="H65" s="1">
        <v>43800</v>
      </c>
      <c r="I65" s="1">
        <v>44378</v>
      </c>
      <c r="J65">
        <v>19</v>
      </c>
      <c r="K65">
        <v>0</v>
      </c>
      <c r="L65" s="1">
        <v>44197</v>
      </c>
      <c r="M65">
        <v>925</v>
      </c>
      <c r="N65" s="8" cm="1">
        <f t="array" ref="N65">_xlfn.SWITCH(Sales[[#This Row],[Subscription Type]],"Basic",10,"Premium",10,"Business",25,"Enterprise",27)</f>
        <v>25</v>
      </c>
      <c r="O65">
        <f>IF(Sales[[#This Row],[Number of Users]]-Sales[[#This Row],[Licenses Bought]]&lt;0,0,Sales[[#This Row],[Number of Users]]-Sales[[#This Row],[Licenses Bought]])</f>
        <v>12</v>
      </c>
      <c r="P65" s="8">
        <f>IF(Sales[[#This Row],[Sales Month]]=MAX(Sales[Sales Month]),Sales[[#This Row],[Non-Paying Users]]*Sales[[#This Row],[Upsell $ per Non-Paying User]],0)</f>
        <v>0</v>
      </c>
      <c r="Q65" t="str" cm="1">
        <f t="array" ref="Q65">_xlfn.IFS(Sales[[#This Row],[Current Upsell $]]=0,"",Sales[[#This Row],[Current Upsell $]]&gt;=400,"High",Sales[[#This Row],[Current Upsell $]]&gt;=100,"Medium",Sales[[#This Row],[Current Upsell $]]&lt;100,"Low")</f>
        <v/>
      </c>
      <c r="R65" t="str">
        <f>IF(Sales[[#This Row],[Current Upsell $]]&gt;0,_xlfn.CONCAT(Sales[[#This Row],[Subscription Type]]," ",Sales[[#This Row],[Upsell Priority]]," ",TEXT(Sales[[#This Row],[Current Upsell $]],"$#,#")),"")</f>
        <v/>
      </c>
    </row>
    <row r="66" spans="1:18" x14ac:dyDescent="0.25">
      <c r="A66">
        <v>100005</v>
      </c>
      <c r="B66" t="s">
        <v>1</v>
      </c>
      <c r="D66" s="1"/>
      <c r="E66" s="1"/>
      <c r="F66">
        <v>37</v>
      </c>
      <c r="G66">
        <v>34</v>
      </c>
      <c r="H66" s="1">
        <v>43800</v>
      </c>
      <c r="I66" s="1">
        <v>44378</v>
      </c>
      <c r="J66">
        <v>19</v>
      </c>
      <c r="K66">
        <v>0</v>
      </c>
      <c r="L66" s="1">
        <v>44228</v>
      </c>
      <c r="M66">
        <v>925</v>
      </c>
      <c r="N66" s="8" cm="1">
        <f t="array" ref="N66">_xlfn.SWITCH(Sales[[#This Row],[Subscription Type]],"Basic",10,"Premium",10,"Business",25,"Enterprise",27)</f>
        <v>25</v>
      </c>
      <c r="O66">
        <f>IF(Sales[[#This Row],[Number of Users]]-Sales[[#This Row],[Licenses Bought]]&lt;0,0,Sales[[#This Row],[Number of Users]]-Sales[[#This Row],[Licenses Bought]])</f>
        <v>0</v>
      </c>
      <c r="P66" s="8">
        <f>IF(Sales[[#This Row],[Sales Month]]=MAX(Sales[Sales Month]),Sales[[#This Row],[Non-Paying Users]]*Sales[[#This Row],[Upsell $ per Non-Paying User]],0)</f>
        <v>0</v>
      </c>
      <c r="Q66" t="str" cm="1">
        <f t="array" ref="Q66">_xlfn.IFS(Sales[[#This Row],[Current Upsell $]]=0,"",Sales[[#This Row],[Current Upsell $]]&gt;=400,"High",Sales[[#This Row],[Current Upsell $]]&gt;=100,"Medium",Sales[[#This Row],[Current Upsell $]]&lt;100,"Low")</f>
        <v/>
      </c>
      <c r="R66" t="str">
        <f>IF(Sales[[#This Row],[Current Upsell $]]&gt;0,_xlfn.CONCAT(Sales[[#This Row],[Subscription Type]]," ",Sales[[#This Row],[Upsell Priority]]," ",TEXT(Sales[[#This Row],[Current Upsell $]],"$#,#")),"")</f>
        <v/>
      </c>
    </row>
    <row r="67" spans="1:18" x14ac:dyDescent="0.25">
      <c r="A67">
        <v>100005</v>
      </c>
      <c r="B67" t="s">
        <v>1</v>
      </c>
      <c r="D67" s="1"/>
      <c r="E67" s="1"/>
      <c r="F67">
        <v>37</v>
      </c>
      <c r="G67">
        <v>52</v>
      </c>
      <c r="H67" s="1">
        <v>43800</v>
      </c>
      <c r="I67" s="1">
        <v>44378</v>
      </c>
      <c r="J67">
        <v>19</v>
      </c>
      <c r="K67">
        <v>0</v>
      </c>
      <c r="L67" s="1">
        <v>44256</v>
      </c>
      <c r="M67">
        <v>925</v>
      </c>
      <c r="N67" s="8" cm="1">
        <f t="array" ref="N67">_xlfn.SWITCH(Sales[[#This Row],[Subscription Type]],"Basic",10,"Premium",10,"Business",25,"Enterprise",27)</f>
        <v>25</v>
      </c>
      <c r="O67">
        <f>IF(Sales[[#This Row],[Number of Users]]-Sales[[#This Row],[Licenses Bought]]&lt;0,0,Sales[[#This Row],[Number of Users]]-Sales[[#This Row],[Licenses Bought]])</f>
        <v>15</v>
      </c>
      <c r="P67" s="8">
        <f>IF(Sales[[#This Row],[Sales Month]]=MAX(Sales[Sales Month]),Sales[[#This Row],[Non-Paying Users]]*Sales[[#This Row],[Upsell $ per Non-Paying User]],0)</f>
        <v>0</v>
      </c>
      <c r="Q67" t="str" cm="1">
        <f t="array" ref="Q67">_xlfn.IFS(Sales[[#This Row],[Current Upsell $]]=0,"",Sales[[#This Row],[Current Upsell $]]&gt;=400,"High",Sales[[#This Row],[Current Upsell $]]&gt;=100,"Medium",Sales[[#This Row],[Current Upsell $]]&lt;100,"Low")</f>
        <v/>
      </c>
      <c r="R67" t="str">
        <f>IF(Sales[[#This Row],[Current Upsell $]]&gt;0,_xlfn.CONCAT(Sales[[#This Row],[Subscription Type]]," ",Sales[[#This Row],[Upsell Priority]]," ",TEXT(Sales[[#This Row],[Current Upsell $]],"$#,#")),"")</f>
        <v/>
      </c>
    </row>
    <row r="68" spans="1:18" x14ac:dyDescent="0.25">
      <c r="A68">
        <v>100005</v>
      </c>
      <c r="B68" t="s">
        <v>1</v>
      </c>
      <c r="D68" s="1"/>
      <c r="E68" s="1"/>
      <c r="F68">
        <v>37</v>
      </c>
      <c r="G68">
        <v>48</v>
      </c>
      <c r="H68" s="1">
        <v>43800</v>
      </c>
      <c r="I68" s="1">
        <v>44378</v>
      </c>
      <c r="J68">
        <v>19</v>
      </c>
      <c r="K68">
        <v>0</v>
      </c>
      <c r="L68" s="1">
        <v>44287</v>
      </c>
      <c r="M68">
        <v>925</v>
      </c>
      <c r="N68" s="8" cm="1">
        <f t="array" ref="N68">_xlfn.SWITCH(Sales[[#This Row],[Subscription Type]],"Basic",10,"Premium",10,"Business",25,"Enterprise",27)</f>
        <v>25</v>
      </c>
      <c r="O68">
        <f>IF(Sales[[#This Row],[Number of Users]]-Sales[[#This Row],[Licenses Bought]]&lt;0,0,Sales[[#This Row],[Number of Users]]-Sales[[#This Row],[Licenses Bought]])</f>
        <v>11</v>
      </c>
      <c r="P68" s="8">
        <f>IF(Sales[[#This Row],[Sales Month]]=MAX(Sales[Sales Month]),Sales[[#This Row],[Non-Paying Users]]*Sales[[#This Row],[Upsell $ per Non-Paying User]],0)</f>
        <v>0</v>
      </c>
      <c r="Q68" t="str" cm="1">
        <f t="array" ref="Q68">_xlfn.IFS(Sales[[#This Row],[Current Upsell $]]=0,"",Sales[[#This Row],[Current Upsell $]]&gt;=400,"High",Sales[[#This Row],[Current Upsell $]]&gt;=100,"Medium",Sales[[#This Row],[Current Upsell $]]&lt;100,"Low")</f>
        <v/>
      </c>
      <c r="R68" t="str">
        <f>IF(Sales[[#This Row],[Current Upsell $]]&gt;0,_xlfn.CONCAT(Sales[[#This Row],[Subscription Type]]," ",Sales[[#This Row],[Upsell Priority]]," ",TEXT(Sales[[#This Row],[Current Upsell $]],"$#,#")),"")</f>
        <v/>
      </c>
    </row>
    <row r="69" spans="1:18" x14ac:dyDescent="0.25">
      <c r="A69">
        <v>100005</v>
      </c>
      <c r="B69" t="s">
        <v>1</v>
      </c>
      <c r="D69" s="1"/>
      <c r="E69" s="1"/>
      <c r="F69">
        <v>37</v>
      </c>
      <c r="G69">
        <v>55</v>
      </c>
      <c r="H69" s="1">
        <v>43800</v>
      </c>
      <c r="I69" s="1">
        <v>44378</v>
      </c>
      <c r="J69">
        <v>19</v>
      </c>
      <c r="K69">
        <v>0</v>
      </c>
      <c r="L69" s="1">
        <v>44317</v>
      </c>
      <c r="M69">
        <v>925</v>
      </c>
      <c r="N69" s="8" cm="1">
        <f t="array" ref="N69">_xlfn.SWITCH(Sales[[#This Row],[Subscription Type]],"Basic",10,"Premium",10,"Business",25,"Enterprise",27)</f>
        <v>25</v>
      </c>
      <c r="O69">
        <f>IF(Sales[[#This Row],[Number of Users]]-Sales[[#This Row],[Licenses Bought]]&lt;0,0,Sales[[#This Row],[Number of Users]]-Sales[[#This Row],[Licenses Bought]])</f>
        <v>18</v>
      </c>
      <c r="P69" s="8">
        <f>IF(Sales[[#This Row],[Sales Month]]=MAX(Sales[Sales Month]),Sales[[#This Row],[Non-Paying Users]]*Sales[[#This Row],[Upsell $ per Non-Paying User]],0)</f>
        <v>0</v>
      </c>
      <c r="Q69" t="str" cm="1">
        <f t="array" ref="Q69">_xlfn.IFS(Sales[[#This Row],[Current Upsell $]]=0,"",Sales[[#This Row],[Current Upsell $]]&gt;=400,"High",Sales[[#This Row],[Current Upsell $]]&gt;=100,"Medium",Sales[[#This Row],[Current Upsell $]]&lt;100,"Low")</f>
        <v/>
      </c>
      <c r="R69" t="str">
        <f>IF(Sales[[#This Row],[Current Upsell $]]&gt;0,_xlfn.CONCAT(Sales[[#This Row],[Subscription Type]]," ",Sales[[#This Row],[Upsell Priority]]," ",TEXT(Sales[[#This Row],[Current Upsell $]],"$#,#")),"")</f>
        <v/>
      </c>
    </row>
    <row r="70" spans="1:18" x14ac:dyDescent="0.25">
      <c r="A70">
        <v>100005</v>
      </c>
      <c r="B70" t="s">
        <v>1</v>
      </c>
      <c r="D70" s="1"/>
      <c r="E70" s="1"/>
      <c r="F70">
        <v>37</v>
      </c>
      <c r="G70">
        <v>43</v>
      </c>
      <c r="H70" s="1">
        <v>43800</v>
      </c>
      <c r="I70" s="1">
        <v>44378</v>
      </c>
      <c r="J70">
        <v>19</v>
      </c>
      <c r="K70">
        <v>0</v>
      </c>
      <c r="L70" s="1">
        <v>44348</v>
      </c>
      <c r="M70">
        <v>925</v>
      </c>
      <c r="N70" s="8" cm="1">
        <f t="array" ref="N70">_xlfn.SWITCH(Sales[[#This Row],[Subscription Type]],"Basic",10,"Premium",10,"Business",25,"Enterprise",27)</f>
        <v>25</v>
      </c>
      <c r="O70">
        <f>IF(Sales[[#This Row],[Number of Users]]-Sales[[#This Row],[Licenses Bought]]&lt;0,0,Sales[[#This Row],[Number of Users]]-Sales[[#This Row],[Licenses Bought]])</f>
        <v>6</v>
      </c>
      <c r="P70" s="8">
        <f>IF(Sales[[#This Row],[Sales Month]]=MAX(Sales[Sales Month]),Sales[[#This Row],[Non-Paying Users]]*Sales[[#This Row],[Upsell $ per Non-Paying User]],0)</f>
        <v>150</v>
      </c>
      <c r="Q70" t="str" cm="1">
        <f t="array" ref="Q70">_xlfn.IFS(Sales[[#This Row],[Current Upsell $]]=0,"",Sales[[#This Row],[Current Upsell $]]&gt;=400,"High",Sales[[#This Row],[Current Upsell $]]&gt;=100,"Medium",Sales[[#This Row],[Current Upsell $]]&lt;100,"Low")</f>
        <v>Medium</v>
      </c>
      <c r="R70" t="str">
        <f>IF(Sales[[#This Row],[Current Upsell $]]&gt;0,_xlfn.CONCAT(Sales[[#This Row],[Subscription Type]]," ",Sales[[#This Row],[Upsell Priority]]," ",TEXT(Sales[[#This Row],[Current Upsell $]],"$#,#")),"")</f>
        <v>Business Medium $150</v>
      </c>
    </row>
    <row r="71" spans="1:18" x14ac:dyDescent="0.25">
      <c r="A71">
        <v>100006</v>
      </c>
      <c r="B71" t="s">
        <v>3</v>
      </c>
      <c r="F71">
        <v>0</v>
      </c>
      <c r="G71">
        <v>5</v>
      </c>
      <c r="H71" s="1">
        <v>43800</v>
      </c>
      <c r="I71" s="1">
        <v>44287</v>
      </c>
      <c r="J71">
        <v>16</v>
      </c>
      <c r="K71">
        <v>2</v>
      </c>
      <c r="L71" s="1">
        <v>43800</v>
      </c>
      <c r="M71">
        <v>0</v>
      </c>
      <c r="N71" s="8" cm="1">
        <f t="array" ref="N71">_xlfn.SWITCH(Sales[[#This Row],[Subscription Type]],"Basic",10,"Premium",10,"Business",25,"Enterprise",27)</f>
        <v>10</v>
      </c>
      <c r="O71">
        <f>IF(Sales[[#This Row],[Number of Users]]-Sales[[#This Row],[Licenses Bought]]&lt;0,0,Sales[[#This Row],[Number of Users]]-Sales[[#This Row],[Licenses Bought]])</f>
        <v>5</v>
      </c>
      <c r="P71" s="8">
        <f>IF(Sales[[#This Row],[Sales Month]]=MAX(Sales[Sales Month]),Sales[[#This Row],[Non-Paying Users]]*Sales[[#This Row],[Upsell $ per Non-Paying User]],0)</f>
        <v>0</v>
      </c>
      <c r="Q71" t="str" cm="1">
        <f t="array" ref="Q71">_xlfn.IFS(Sales[[#This Row],[Current Upsell $]]=0,"",Sales[[#This Row],[Current Upsell $]]&gt;=400,"High",Sales[[#This Row],[Current Upsell $]]&gt;=100,"Medium",Sales[[#This Row],[Current Upsell $]]&lt;100,"Low")</f>
        <v/>
      </c>
      <c r="R71" t="str">
        <f>IF(Sales[[#This Row],[Current Upsell $]]&gt;0,_xlfn.CONCAT(Sales[[#This Row],[Subscription Type]]," ",Sales[[#This Row],[Upsell Priority]]," ",TEXT(Sales[[#This Row],[Current Upsell $]],"$#,#")),"")</f>
        <v/>
      </c>
    </row>
    <row r="72" spans="1:18" x14ac:dyDescent="0.25">
      <c r="A72">
        <v>100006</v>
      </c>
      <c r="B72" t="s">
        <v>0</v>
      </c>
      <c r="F72">
        <v>3</v>
      </c>
      <c r="G72">
        <v>8</v>
      </c>
      <c r="H72" s="1">
        <v>43800</v>
      </c>
      <c r="I72" s="1">
        <v>44287</v>
      </c>
      <c r="J72">
        <v>16</v>
      </c>
      <c r="K72">
        <v>2</v>
      </c>
      <c r="L72" s="1">
        <v>43831</v>
      </c>
      <c r="M72">
        <v>30</v>
      </c>
      <c r="N72" s="8" cm="1">
        <f t="array" ref="N72">_xlfn.SWITCH(Sales[[#This Row],[Subscription Type]],"Basic",10,"Premium",10,"Business",25,"Enterprise",27)</f>
        <v>10</v>
      </c>
      <c r="O72">
        <f>IF(Sales[[#This Row],[Number of Users]]-Sales[[#This Row],[Licenses Bought]]&lt;0,0,Sales[[#This Row],[Number of Users]]-Sales[[#This Row],[Licenses Bought]])</f>
        <v>5</v>
      </c>
      <c r="P72" s="8">
        <f>IF(Sales[[#This Row],[Sales Month]]=MAX(Sales[Sales Month]),Sales[[#This Row],[Non-Paying Users]]*Sales[[#This Row],[Upsell $ per Non-Paying User]],0)</f>
        <v>0</v>
      </c>
      <c r="Q72" t="str" cm="1">
        <f t="array" ref="Q72">_xlfn.IFS(Sales[[#This Row],[Current Upsell $]]=0,"",Sales[[#This Row],[Current Upsell $]]&gt;=400,"High",Sales[[#This Row],[Current Upsell $]]&gt;=100,"Medium",Sales[[#This Row],[Current Upsell $]]&lt;100,"Low")</f>
        <v/>
      </c>
      <c r="R72" t="str">
        <f>IF(Sales[[#This Row],[Current Upsell $]]&gt;0,_xlfn.CONCAT(Sales[[#This Row],[Subscription Type]]," ",Sales[[#This Row],[Upsell Priority]]," ",TEXT(Sales[[#This Row],[Current Upsell $]],"$#,#")),"")</f>
        <v/>
      </c>
    </row>
    <row r="73" spans="1:18" x14ac:dyDescent="0.25">
      <c r="A73">
        <v>100006</v>
      </c>
      <c r="B73" t="s">
        <v>0</v>
      </c>
      <c r="F73">
        <v>5</v>
      </c>
      <c r="G73">
        <v>6</v>
      </c>
      <c r="H73" s="1">
        <v>43800</v>
      </c>
      <c r="I73" s="1">
        <v>44287</v>
      </c>
      <c r="J73">
        <v>16</v>
      </c>
      <c r="K73">
        <v>2</v>
      </c>
      <c r="L73" s="1">
        <v>43862</v>
      </c>
      <c r="M73">
        <v>50</v>
      </c>
      <c r="N73" s="8" cm="1">
        <f t="array" ref="N73">_xlfn.SWITCH(Sales[[#This Row],[Subscription Type]],"Basic",10,"Premium",10,"Business",25,"Enterprise",27)</f>
        <v>10</v>
      </c>
      <c r="O73">
        <f>IF(Sales[[#This Row],[Number of Users]]-Sales[[#This Row],[Licenses Bought]]&lt;0,0,Sales[[#This Row],[Number of Users]]-Sales[[#This Row],[Licenses Bought]])</f>
        <v>1</v>
      </c>
      <c r="P73" s="8">
        <f>IF(Sales[[#This Row],[Sales Month]]=MAX(Sales[Sales Month]),Sales[[#This Row],[Non-Paying Users]]*Sales[[#This Row],[Upsell $ per Non-Paying User]],0)</f>
        <v>0</v>
      </c>
      <c r="Q73" t="str" cm="1">
        <f t="array" ref="Q73">_xlfn.IFS(Sales[[#This Row],[Current Upsell $]]=0,"",Sales[[#This Row],[Current Upsell $]]&gt;=400,"High",Sales[[#This Row],[Current Upsell $]]&gt;=100,"Medium",Sales[[#This Row],[Current Upsell $]]&lt;100,"Low")</f>
        <v/>
      </c>
      <c r="R73" t="str">
        <f>IF(Sales[[#This Row],[Current Upsell $]]&gt;0,_xlfn.CONCAT(Sales[[#This Row],[Subscription Type]]," ",Sales[[#This Row],[Upsell Priority]]," ",TEXT(Sales[[#This Row],[Current Upsell $]],"$#,#")),"")</f>
        <v/>
      </c>
    </row>
    <row r="74" spans="1:18" x14ac:dyDescent="0.25">
      <c r="A74">
        <v>100006</v>
      </c>
      <c r="B74" t="s">
        <v>0</v>
      </c>
      <c r="F74">
        <v>5</v>
      </c>
      <c r="G74">
        <v>7</v>
      </c>
      <c r="H74" s="1">
        <v>43800</v>
      </c>
      <c r="I74" s="1">
        <v>44287</v>
      </c>
      <c r="J74">
        <v>16</v>
      </c>
      <c r="K74">
        <v>2</v>
      </c>
      <c r="L74" s="1">
        <v>43891</v>
      </c>
      <c r="M74">
        <v>50</v>
      </c>
      <c r="N74" s="8" cm="1">
        <f t="array" ref="N74">_xlfn.SWITCH(Sales[[#This Row],[Subscription Type]],"Basic",10,"Premium",10,"Business",25,"Enterprise",27)</f>
        <v>10</v>
      </c>
      <c r="O74">
        <f>IF(Sales[[#This Row],[Number of Users]]-Sales[[#This Row],[Licenses Bought]]&lt;0,0,Sales[[#This Row],[Number of Users]]-Sales[[#This Row],[Licenses Bought]])</f>
        <v>2</v>
      </c>
      <c r="P74" s="8">
        <f>IF(Sales[[#This Row],[Sales Month]]=MAX(Sales[Sales Month]),Sales[[#This Row],[Non-Paying Users]]*Sales[[#This Row],[Upsell $ per Non-Paying User]],0)</f>
        <v>0</v>
      </c>
      <c r="Q74" t="str" cm="1">
        <f t="array" ref="Q74">_xlfn.IFS(Sales[[#This Row],[Current Upsell $]]=0,"",Sales[[#This Row],[Current Upsell $]]&gt;=400,"High",Sales[[#This Row],[Current Upsell $]]&gt;=100,"Medium",Sales[[#This Row],[Current Upsell $]]&lt;100,"Low")</f>
        <v/>
      </c>
      <c r="R74" t="str">
        <f>IF(Sales[[#This Row],[Current Upsell $]]&gt;0,_xlfn.CONCAT(Sales[[#This Row],[Subscription Type]]," ",Sales[[#This Row],[Upsell Priority]]," ",TEXT(Sales[[#This Row],[Current Upsell $]],"$#,#")),"")</f>
        <v/>
      </c>
    </row>
    <row r="75" spans="1:18" x14ac:dyDescent="0.25">
      <c r="A75">
        <v>100006</v>
      </c>
      <c r="B75" t="s">
        <v>0</v>
      </c>
      <c r="F75">
        <v>5</v>
      </c>
      <c r="G75">
        <v>7</v>
      </c>
      <c r="H75" s="1">
        <v>43800</v>
      </c>
      <c r="I75" s="1">
        <v>44287</v>
      </c>
      <c r="J75">
        <v>16</v>
      </c>
      <c r="K75">
        <v>2</v>
      </c>
      <c r="L75" s="1">
        <v>43922</v>
      </c>
      <c r="M75">
        <v>50</v>
      </c>
      <c r="N75" s="8" cm="1">
        <f t="array" ref="N75">_xlfn.SWITCH(Sales[[#This Row],[Subscription Type]],"Basic",10,"Premium",10,"Business",25,"Enterprise",27)</f>
        <v>10</v>
      </c>
      <c r="O75">
        <f>IF(Sales[[#This Row],[Number of Users]]-Sales[[#This Row],[Licenses Bought]]&lt;0,0,Sales[[#This Row],[Number of Users]]-Sales[[#This Row],[Licenses Bought]])</f>
        <v>2</v>
      </c>
      <c r="P75" s="8">
        <f>IF(Sales[[#This Row],[Sales Month]]=MAX(Sales[Sales Month]),Sales[[#This Row],[Non-Paying Users]]*Sales[[#This Row],[Upsell $ per Non-Paying User]],0)</f>
        <v>0</v>
      </c>
      <c r="Q75" t="str" cm="1">
        <f t="array" ref="Q75">_xlfn.IFS(Sales[[#This Row],[Current Upsell $]]=0,"",Sales[[#This Row],[Current Upsell $]]&gt;=400,"High",Sales[[#This Row],[Current Upsell $]]&gt;=100,"Medium",Sales[[#This Row],[Current Upsell $]]&lt;100,"Low")</f>
        <v/>
      </c>
      <c r="R75" t="str">
        <f>IF(Sales[[#This Row],[Current Upsell $]]&gt;0,_xlfn.CONCAT(Sales[[#This Row],[Subscription Type]]," ",Sales[[#This Row],[Upsell Priority]]," ",TEXT(Sales[[#This Row],[Current Upsell $]],"$#,#")),"")</f>
        <v/>
      </c>
    </row>
    <row r="76" spans="1:18" x14ac:dyDescent="0.25">
      <c r="A76">
        <v>100006</v>
      </c>
      <c r="B76" t="s">
        <v>0</v>
      </c>
      <c r="F76">
        <v>5</v>
      </c>
      <c r="G76">
        <v>5</v>
      </c>
      <c r="H76" s="1">
        <v>43800</v>
      </c>
      <c r="I76" s="1">
        <v>44287</v>
      </c>
      <c r="J76">
        <v>16</v>
      </c>
      <c r="K76">
        <v>2</v>
      </c>
      <c r="L76" s="1">
        <v>43952</v>
      </c>
      <c r="M76">
        <v>50</v>
      </c>
      <c r="N76" s="8" cm="1">
        <f t="array" ref="N76">_xlfn.SWITCH(Sales[[#This Row],[Subscription Type]],"Basic",10,"Premium",10,"Business",25,"Enterprise",27)</f>
        <v>10</v>
      </c>
      <c r="O76">
        <f>IF(Sales[[#This Row],[Number of Users]]-Sales[[#This Row],[Licenses Bought]]&lt;0,0,Sales[[#This Row],[Number of Users]]-Sales[[#This Row],[Licenses Bought]])</f>
        <v>0</v>
      </c>
      <c r="P76" s="8">
        <f>IF(Sales[[#This Row],[Sales Month]]=MAX(Sales[Sales Month]),Sales[[#This Row],[Non-Paying Users]]*Sales[[#This Row],[Upsell $ per Non-Paying User]],0)</f>
        <v>0</v>
      </c>
      <c r="Q76" t="str" cm="1">
        <f t="array" ref="Q76">_xlfn.IFS(Sales[[#This Row],[Current Upsell $]]=0,"",Sales[[#This Row],[Current Upsell $]]&gt;=400,"High",Sales[[#This Row],[Current Upsell $]]&gt;=100,"Medium",Sales[[#This Row],[Current Upsell $]]&lt;100,"Low")</f>
        <v/>
      </c>
      <c r="R76" t="str">
        <f>IF(Sales[[#This Row],[Current Upsell $]]&gt;0,_xlfn.CONCAT(Sales[[#This Row],[Subscription Type]]," ",Sales[[#This Row],[Upsell Priority]]," ",TEXT(Sales[[#This Row],[Current Upsell $]],"$#,#")),"")</f>
        <v/>
      </c>
    </row>
    <row r="77" spans="1:18" x14ac:dyDescent="0.25">
      <c r="A77">
        <v>100006</v>
      </c>
      <c r="B77" t="s">
        <v>0</v>
      </c>
      <c r="F77">
        <v>5</v>
      </c>
      <c r="G77">
        <v>6</v>
      </c>
      <c r="H77" s="1">
        <v>43800</v>
      </c>
      <c r="I77" s="1">
        <v>44287</v>
      </c>
      <c r="J77">
        <v>16</v>
      </c>
      <c r="K77">
        <v>2</v>
      </c>
      <c r="L77" s="1">
        <v>43983</v>
      </c>
      <c r="M77">
        <v>50</v>
      </c>
      <c r="N77" s="8" cm="1">
        <f t="array" ref="N77">_xlfn.SWITCH(Sales[[#This Row],[Subscription Type]],"Basic",10,"Premium",10,"Business",25,"Enterprise",27)</f>
        <v>10</v>
      </c>
      <c r="O77">
        <f>IF(Sales[[#This Row],[Number of Users]]-Sales[[#This Row],[Licenses Bought]]&lt;0,0,Sales[[#This Row],[Number of Users]]-Sales[[#This Row],[Licenses Bought]])</f>
        <v>1</v>
      </c>
      <c r="P77" s="8">
        <f>IF(Sales[[#This Row],[Sales Month]]=MAX(Sales[Sales Month]),Sales[[#This Row],[Non-Paying Users]]*Sales[[#This Row],[Upsell $ per Non-Paying User]],0)</f>
        <v>0</v>
      </c>
      <c r="Q77" t="str" cm="1">
        <f t="array" ref="Q77">_xlfn.IFS(Sales[[#This Row],[Current Upsell $]]=0,"",Sales[[#This Row],[Current Upsell $]]&gt;=400,"High",Sales[[#This Row],[Current Upsell $]]&gt;=100,"Medium",Sales[[#This Row],[Current Upsell $]]&lt;100,"Low")</f>
        <v/>
      </c>
      <c r="R77" t="str">
        <f>IF(Sales[[#This Row],[Current Upsell $]]&gt;0,_xlfn.CONCAT(Sales[[#This Row],[Subscription Type]]," ",Sales[[#This Row],[Upsell Priority]]," ",TEXT(Sales[[#This Row],[Current Upsell $]],"$#,#")),"")</f>
        <v/>
      </c>
    </row>
    <row r="78" spans="1:18" x14ac:dyDescent="0.25">
      <c r="A78">
        <v>100006</v>
      </c>
      <c r="B78" t="s">
        <v>0</v>
      </c>
      <c r="F78">
        <v>5</v>
      </c>
      <c r="G78">
        <v>4</v>
      </c>
      <c r="H78" s="1">
        <v>43800</v>
      </c>
      <c r="I78" s="1">
        <v>44287</v>
      </c>
      <c r="J78">
        <v>16</v>
      </c>
      <c r="K78">
        <v>2</v>
      </c>
      <c r="L78" s="1">
        <v>44013</v>
      </c>
      <c r="M78">
        <v>50</v>
      </c>
      <c r="N78" s="8" cm="1">
        <f t="array" ref="N78">_xlfn.SWITCH(Sales[[#This Row],[Subscription Type]],"Basic",10,"Premium",10,"Business",25,"Enterprise",27)</f>
        <v>10</v>
      </c>
      <c r="O78">
        <f>IF(Sales[[#This Row],[Number of Users]]-Sales[[#This Row],[Licenses Bought]]&lt;0,0,Sales[[#This Row],[Number of Users]]-Sales[[#This Row],[Licenses Bought]])</f>
        <v>0</v>
      </c>
      <c r="P78" s="8">
        <f>IF(Sales[[#This Row],[Sales Month]]=MAX(Sales[Sales Month]),Sales[[#This Row],[Non-Paying Users]]*Sales[[#This Row],[Upsell $ per Non-Paying User]],0)</f>
        <v>0</v>
      </c>
      <c r="Q78" t="str" cm="1">
        <f t="array" ref="Q78">_xlfn.IFS(Sales[[#This Row],[Current Upsell $]]=0,"",Sales[[#This Row],[Current Upsell $]]&gt;=400,"High",Sales[[#This Row],[Current Upsell $]]&gt;=100,"Medium",Sales[[#This Row],[Current Upsell $]]&lt;100,"Low")</f>
        <v/>
      </c>
      <c r="R78" t="str">
        <f>IF(Sales[[#This Row],[Current Upsell $]]&gt;0,_xlfn.CONCAT(Sales[[#This Row],[Subscription Type]]," ",Sales[[#This Row],[Upsell Priority]]," ",TEXT(Sales[[#This Row],[Current Upsell $]],"$#,#")),"")</f>
        <v/>
      </c>
    </row>
    <row r="79" spans="1:18" x14ac:dyDescent="0.25">
      <c r="A79">
        <v>100006</v>
      </c>
      <c r="B79" t="s">
        <v>0</v>
      </c>
      <c r="F79">
        <v>5</v>
      </c>
      <c r="G79">
        <v>7</v>
      </c>
      <c r="H79" s="1">
        <v>43800</v>
      </c>
      <c r="I79" s="1">
        <v>44287</v>
      </c>
      <c r="J79">
        <v>16</v>
      </c>
      <c r="K79">
        <v>2</v>
      </c>
      <c r="L79" s="1">
        <v>44044</v>
      </c>
      <c r="M79">
        <v>50</v>
      </c>
      <c r="N79" s="8" cm="1">
        <f t="array" ref="N79">_xlfn.SWITCH(Sales[[#This Row],[Subscription Type]],"Basic",10,"Premium",10,"Business",25,"Enterprise",27)</f>
        <v>10</v>
      </c>
      <c r="O79">
        <f>IF(Sales[[#This Row],[Number of Users]]-Sales[[#This Row],[Licenses Bought]]&lt;0,0,Sales[[#This Row],[Number of Users]]-Sales[[#This Row],[Licenses Bought]])</f>
        <v>2</v>
      </c>
      <c r="P79" s="8">
        <f>IF(Sales[[#This Row],[Sales Month]]=MAX(Sales[Sales Month]),Sales[[#This Row],[Non-Paying Users]]*Sales[[#This Row],[Upsell $ per Non-Paying User]],0)</f>
        <v>0</v>
      </c>
      <c r="Q79" t="str" cm="1">
        <f t="array" ref="Q79">_xlfn.IFS(Sales[[#This Row],[Current Upsell $]]=0,"",Sales[[#This Row],[Current Upsell $]]&gt;=400,"High",Sales[[#This Row],[Current Upsell $]]&gt;=100,"Medium",Sales[[#This Row],[Current Upsell $]]&lt;100,"Low")</f>
        <v/>
      </c>
      <c r="R79" t="str">
        <f>IF(Sales[[#This Row],[Current Upsell $]]&gt;0,_xlfn.CONCAT(Sales[[#This Row],[Subscription Type]]," ",Sales[[#This Row],[Upsell Priority]]," ",TEXT(Sales[[#This Row],[Current Upsell $]],"$#,#")),"")</f>
        <v/>
      </c>
    </row>
    <row r="80" spans="1:18" x14ac:dyDescent="0.25">
      <c r="A80">
        <v>100006</v>
      </c>
      <c r="B80" t="s">
        <v>0</v>
      </c>
      <c r="F80">
        <v>5</v>
      </c>
      <c r="G80">
        <v>6</v>
      </c>
      <c r="H80" s="1">
        <v>43800</v>
      </c>
      <c r="I80" s="1">
        <v>44287</v>
      </c>
      <c r="J80">
        <v>16</v>
      </c>
      <c r="K80">
        <v>2</v>
      </c>
      <c r="L80" s="1">
        <v>44075</v>
      </c>
      <c r="M80">
        <v>50</v>
      </c>
      <c r="N80" s="8" cm="1">
        <f t="array" ref="N80">_xlfn.SWITCH(Sales[[#This Row],[Subscription Type]],"Basic",10,"Premium",10,"Business",25,"Enterprise",27)</f>
        <v>10</v>
      </c>
      <c r="O80">
        <f>IF(Sales[[#This Row],[Number of Users]]-Sales[[#This Row],[Licenses Bought]]&lt;0,0,Sales[[#This Row],[Number of Users]]-Sales[[#This Row],[Licenses Bought]])</f>
        <v>1</v>
      </c>
      <c r="P80" s="8">
        <f>IF(Sales[[#This Row],[Sales Month]]=MAX(Sales[Sales Month]),Sales[[#This Row],[Non-Paying Users]]*Sales[[#This Row],[Upsell $ per Non-Paying User]],0)</f>
        <v>0</v>
      </c>
      <c r="Q80" t="str" cm="1">
        <f t="array" ref="Q80">_xlfn.IFS(Sales[[#This Row],[Current Upsell $]]=0,"",Sales[[#This Row],[Current Upsell $]]&gt;=400,"High",Sales[[#This Row],[Current Upsell $]]&gt;=100,"Medium",Sales[[#This Row],[Current Upsell $]]&lt;100,"Low")</f>
        <v/>
      </c>
      <c r="R80" t="str">
        <f>IF(Sales[[#This Row],[Current Upsell $]]&gt;0,_xlfn.CONCAT(Sales[[#This Row],[Subscription Type]]," ",Sales[[#This Row],[Upsell Priority]]," ",TEXT(Sales[[#This Row],[Current Upsell $]],"$#,#")),"")</f>
        <v/>
      </c>
    </row>
    <row r="81" spans="1:18" x14ac:dyDescent="0.25">
      <c r="A81">
        <v>100006</v>
      </c>
      <c r="B81" t="s">
        <v>0</v>
      </c>
      <c r="F81">
        <v>5</v>
      </c>
      <c r="G81">
        <v>7</v>
      </c>
      <c r="H81" s="1">
        <v>43800</v>
      </c>
      <c r="I81" s="1">
        <v>44287</v>
      </c>
      <c r="J81">
        <v>16</v>
      </c>
      <c r="K81">
        <v>2</v>
      </c>
      <c r="L81" s="1">
        <v>44105</v>
      </c>
      <c r="M81">
        <v>50</v>
      </c>
      <c r="N81" s="8" cm="1">
        <f t="array" ref="N81">_xlfn.SWITCH(Sales[[#This Row],[Subscription Type]],"Basic",10,"Premium",10,"Business",25,"Enterprise",27)</f>
        <v>10</v>
      </c>
      <c r="O81">
        <f>IF(Sales[[#This Row],[Number of Users]]-Sales[[#This Row],[Licenses Bought]]&lt;0,0,Sales[[#This Row],[Number of Users]]-Sales[[#This Row],[Licenses Bought]])</f>
        <v>2</v>
      </c>
      <c r="P81" s="8">
        <f>IF(Sales[[#This Row],[Sales Month]]=MAX(Sales[Sales Month]),Sales[[#This Row],[Non-Paying Users]]*Sales[[#This Row],[Upsell $ per Non-Paying User]],0)</f>
        <v>0</v>
      </c>
      <c r="Q81" t="str" cm="1">
        <f t="array" ref="Q81">_xlfn.IFS(Sales[[#This Row],[Current Upsell $]]=0,"",Sales[[#This Row],[Current Upsell $]]&gt;=400,"High",Sales[[#This Row],[Current Upsell $]]&gt;=100,"Medium",Sales[[#This Row],[Current Upsell $]]&lt;100,"Low")</f>
        <v/>
      </c>
      <c r="R81" t="str">
        <f>IF(Sales[[#This Row],[Current Upsell $]]&gt;0,_xlfn.CONCAT(Sales[[#This Row],[Subscription Type]]," ",Sales[[#This Row],[Upsell Priority]]," ",TEXT(Sales[[#This Row],[Current Upsell $]],"$#,#")),"")</f>
        <v/>
      </c>
    </row>
    <row r="82" spans="1:18" x14ac:dyDescent="0.25">
      <c r="A82">
        <v>100006</v>
      </c>
      <c r="B82" t="s">
        <v>0</v>
      </c>
      <c r="F82">
        <v>5</v>
      </c>
      <c r="G82">
        <v>7</v>
      </c>
      <c r="H82" s="1">
        <v>43800</v>
      </c>
      <c r="I82" s="1">
        <v>44287</v>
      </c>
      <c r="J82">
        <v>16</v>
      </c>
      <c r="K82">
        <v>2</v>
      </c>
      <c r="L82" s="1">
        <v>44136</v>
      </c>
      <c r="M82">
        <v>50</v>
      </c>
      <c r="N82" s="8" cm="1">
        <f t="array" ref="N82">_xlfn.SWITCH(Sales[[#This Row],[Subscription Type]],"Basic",10,"Premium",10,"Business",25,"Enterprise",27)</f>
        <v>10</v>
      </c>
      <c r="O82">
        <f>IF(Sales[[#This Row],[Number of Users]]-Sales[[#This Row],[Licenses Bought]]&lt;0,0,Sales[[#This Row],[Number of Users]]-Sales[[#This Row],[Licenses Bought]])</f>
        <v>2</v>
      </c>
      <c r="P82" s="8">
        <f>IF(Sales[[#This Row],[Sales Month]]=MAX(Sales[Sales Month]),Sales[[#This Row],[Non-Paying Users]]*Sales[[#This Row],[Upsell $ per Non-Paying User]],0)</f>
        <v>0</v>
      </c>
      <c r="Q82" t="str" cm="1">
        <f t="array" ref="Q82">_xlfn.IFS(Sales[[#This Row],[Current Upsell $]]=0,"",Sales[[#This Row],[Current Upsell $]]&gt;=400,"High",Sales[[#This Row],[Current Upsell $]]&gt;=100,"Medium",Sales[[#This Row],[Current Upsell $]]&lt;100,"Low")</f>
        <v/>
      </c>
      <c r="R82" t="str">
        <f>IF(Sales[[#This Row],[Current Upsell $]]&gt;0,_xlfn.CONCAT(Sales[[#This Row],[Subscription Type]]," ",Sales[[#This Row],[Upsell Priority]]," ",TEXT(Sales[[#This Row],[Current Upsell $]],"$#,#")),"")</f>
        <v/>
      </c>
    </row>
    <row r="83" spans="1:18" x14ac:dyDescent="0.25">
      <c r="A83">
        <v>100006</v>
      </c>
      <c r="B83" t="s">
        <v>0</v>
      </c>
      <c r="F83">
        <v>5</v>
      </c>
      <c r="G83">
        <v>6</v>
      </c>
      <c r="H83" s="1">
        <v>43800</v>
      </c>
      <c r="I83" s="1">
        <v>44287</v>
      </c>
      <c r="J83">
        <v>16</v>
      </c>
      <c r="K83">
        <v>2</v>
      </c>
      <c r="L83" s="1">
        <v>44166</v>
      </c>
      <c r="M83">
        <v>50</v>
      </c>
      <c r="N83" s="8" cm="1">
        <f t="array" ref="N83">_xlfn.SWITCH(Sales[[#This Row],[Subscription Type]],"Basic",10,"Premium",10,"Business",25,"Enterprise",27)</f>
        <v>10</v>
      </c>
      <c r="O83">
        <f>IF(Sales[[#This Row],[Number of Users]]-Sales[[#This Row],[Licenses Bought]]&lt;0,0,Sales[[#This Row],[Number of Users]]-Sales[[#This Row],[Licenses Bought]])</f>
        <v>1</v>
      </c>
      <c r="P83" s="8">
        <f>IF(Sales[[#This Row],[Sales Month]]=MAX(Sales[Sales Month]),Sales[[#This Row],[Non-Paying Users]]*Sales[[#This Row],[Upsell $ per Non-Paying User]],0)</f>
        <v>0</v>
      </c>
      <c r="Q83" t="str" cm="1">
        <f t="array" ref="Q83">_xlfn.IFS(Sales[[#This Row],[Current Upsell $]]=0,"",Sales[[#This Row],[Current Upsell $]]&gt;=400,"High",Sales[[#This Row],[Current Upsell $]]&gt;=100,"Medium",Sales[[#This Row],[Current Upsell $]]&lt;100,"Low")</f>
        <v/>
      </c>
      <c r="R83" t="str">
        <f>IF(Sales[[#This Row],[Current Upsell $]]&gt;0,_xlfn.CONCAT(Sales[[#This Row],[Subscription Type]]," ",Sales[[#This Row],[Upsell Priority]]," ",TEXT(Sales[[#This Row],[Current Upsell $]],"$#,#")),"")</f>
        <v/>
      </c>
    </row>
    <row r="84" spans="1:18" x14ac:dyDescent="0.25">
      <c r="A84">
        <v>100006</v>
      </c>
      <c r="B84" t="s">
        <v>0</v>
      </c>
      <c r="F84">
        <v>5</v>
      </c>
      <c r="G84">
        <v>7</v>
      </c>
      <c r="H84" s="1">
        <v>43800</v>
      </c>
      <c r="I84" s="1">
        <v>44287</v>
      </c>
      <c r="J84">
        <v>16</v>
      </c>
      <c r="K84">
        <v>2</v>
      </c>
      <c r="L84" s="1">
        <v>44197</v>
      </c>
      <c r="M84">
        <v>50</v>
      </c>
      <c r="N84" s="8" cm="1">
        <f t="array" ref="N84">_xlfn.SWITCH(Sales[[#This Row],[Subscription Type]],"Basic",10,"Premium",10,"Business",25,"Enterprise",27)</f>
        <v>10</v>
      </c>
      <c r="O84">
        <f>IF(Sales[[#This Row],[Number of Users]]-Sales[[#This Row],[Licenses Bought]]&lt;0,0,Sales[[#This Row],[Number of Users]]-Sales[[#This Row],[Licenses Bought]])</f>
        <v>2</v>
      </c>
      <c r="P84" s="8">
        <f>IF(Sales[[#This Row],[Sales Month]]=MAX(Sales[Sales Month]),Sales[[#This Row],[Non-Paying Users]]*Sales[[#This Row],[Upsell $ per Non-Paying User]],0)</f>
        <v>0</v>
      </c>
      <c r="Q84" t="str" cm="1">
        <f t="array" ref="Q84">_xlfn.IFS(Sales[[#This Row],[Current Upsell $]]=0,"",Sales[[#This Row],[Current Upsell $]]&gt;=400,"High",Sales[[#This Row],[Current Upsell $]]&gt;=100,"Medium",Sales[[#This Row],[Current Upsell $]]&lt;100,"Low")</f>
        <v/>
      </c>
      <c r="R84" t="str">
        <f>IF(Sales[[#This Row],[Current Upsell $]]&gt;0,_xlfn.CONCAT(Sales[[#This Row],[Subscription Type]]," ",Sales[[#This Row],[Upsell Priority]]," ",TEXT(Sales[[#This Row],[Current Upsell $]],"$#,#")),"")</f>
        <v/>
      </c>
    </row>
    <row r="85" spans="1:18" x14ac:dyDescent="0.25">
      <c r="A85">
        <v>100006</v>
      </c>
      <c r="B85" t="s">
        <v>0</v>
      </c>
      <c r="F85">
        <v>5</v>
      </c>
      <c r="G85">
        <v>6</v>
      </c>
      <c r="H85" s="1">
        <v>43800</v>
      </c>
      <c r="I85" s="1">
        <v>44287</v>
      </c>
      <c r="J85">
        <v>16</v>
      </c>
      <c r="K85">
        <v>2</v>
      </c>
      <c r="L85" s="1">
        <v>44228</v>
      </c>
      <c r="M85">
        <v>50</v>
      </c>
      <c r="N85" s="8" cm="1">
        <f t="array" ref="N85">_xlfn.SWITCH(Sales[[#This Row],[Subscription Type]],"Basic",10,"Premium",10,"Business",25,"Enterprise",27)</f>
        <v>10</v>
      </c>
      <c r="O85">
        <f>IF(Sales[[#This Row],[Number of Users]]-Sales[[#This Row],[Licenses Bought]]&lt;0,0,Sales[[#This Row],[Number of Users]]-Sales[[#This Row],[Licenses Bought]])</f>
        <v>1</v>
      </c>
      <c r="P85" s="8">
        <f>IF(Sales[[#This Row],[Sales Month]]=MAX(Sales[Sales Month]),Sales[[#This Row],[Non-Paying Users]]*Sales[[#This Row],[Upsell $ per Non-Paying User]],0)</f>
        <v>0</v>
      </c>
      <c r="Q85" t="str" cm="1">
        <f t="array" ref="Q85">_xlfn.IFS(Sales[[#This Row],[Current Upsell $]]=0,"",Sales[[#This Row],[Current Upsell $]]&gt;=400,"High",Sales[[#This Row],[Current Upsell $]]&gt;=100,"Medium",Sales[[#This Row],[Current Upsell $]]&lt;100,"Low")</f>
        <v/>
      </c>
      <c r="R85" t="str">
        <f>IF(Sales[[#This Row],[Current Upsell $]]&gt;0,_xlfn.CONCAT(Sales[[#This Row],[Subscription Type]]," ",Sales[[#This Row],[Upsell Priority]]," ",TEXT(Sales[[#This Row],[Current Upsell $]],"$#,#")),"")</f>
        <v/>
      </c>
    </row>
    <row r="86" spans="1:18" x14ac:dyDescent="0.25">
      <c r="A86">
        <v>100006</v>
      </c>
      <c r="B86" t="s">
        <v>0</v>
      </c>
      <c r="F86">
        <v>5</v>
      </c>
      <c r="G86">
        <v>6</v>
      </c>
      <c r="H86" s="1">
        <v>43800</v>
      </c>
      <c r="I86" s="1">
        <v>44287</v>
      </c>
      <c r="J86">
        <v>16</v>
      </c>
      <c r="K86">
        <v>2</v>
      </c>
      <c r="L86" s="1">
        <v>44256</v>
      </c>
      <c r="M86">
        <v>50</v>
      </c>
      <c r="N86" s="8" cm="1">
        <f t="array" ref="N86">_xlfn.SWITCH(Sales[[#This Row],[Subscription Type]],"Basic",10,"Premium",10,"Business",25,"Enterprise",27)</f>
        <v>10</v>
      </c>
      <c r="O86">
        <f>IF(Sales[[#This Row],[Number of Users]]-Sales[[#This Row],[Licenses Bought]]&lt;0,0,Sales[[#This Row],[Number of Users]]-Sales[[#This Row],[Licenses Bought]])</f>
        <v>1</v>
      </c>
      <c r="P86" s="8">
        <f>IF(Sales[[#This Row],[Sales Month]]=MAX(Sales[Sales Month]),Sales[[#This Row],[Non-Paying Users]]*Sales[[#This Row],[Upsell $ per Non-Paying User]],0)</f>
        <v>0</v>
      </c>
      <c r="Q86" t="str" cm="1">
        <f t="array" ref="Q86">_xlfn.IFS(Sales[[#This Row],[Current Upsell $]]=0,"",Sales[[#This Row],[Current Upsell $]]&gt;=400,"High",Sales[[#This Row],[Current Upsell $]]&gt;=100,"Medium",Sales[[#This Row],[Current Upsell $]]&lt;100,"Low")</f>
        <v/>
      </c>
      <c r="R86" t="str">
        <f>IF(Sales[[#This Row],[Current Upsell $]]&gt;0,_xlfn.CONCAT(Sales[[#This Row],[Subscription Type]]," ",Sales[[#This Row],[Upsell Priority]]," ",TEXT(Sales[[#This Row],[Current Upsell $]],"$#,#")),"")</f>
        <v/>
      </c>
    </row>
    <row r="87" spans="1:18" x14ac:dyDescent="0.25">
      <c r="A87">
        <v>100006</v>
      </c>
      <c r="B87" t="s">
        <v>0</v>
      </c>
      <c r="F87">
        <v>5</v>
      </c>
      <c r="G87">
        <v>6</v>
      </c>
      <c r="H87" s="1">
        <v>43800</v>
      </c>
      <c r="I87" s="1">
        <v>44287</v>
      </c>
      <c r="J87">
        <v>16</v>
      </c>
      <c r="K87">
        <v>2</v>
      </c>
      <c r="L87" s="1">
        <v>44287</v>
      </c>
      <c r="M87">
        <v>50</v>
      </c>
      <c r="N87" s="8" cm="1">
        <f t="array" ref="N87">_xlfn.SWITCH(Sales[[#This Row],[Subscription Type]],"Basic",10,"Premium",10,"Business",25,"Enterprise",27)</f>
        <v>10</v>
      </c>
      <c r="O87">
        <f>IF(Sales[[#This Row],[Number of Users]]-Sales[[#This Row],[Licenses Bought]]&lt;0,0,Sales[[#This Row],[Number of Users]]-Sales[[#This Row],[Licenses Bought]])</f>
        <v>1</v>
      </c>
      <c r="P87" s="8">
        <f>IF(Sales[[#This Row],[Sales Month]]=MAX(Sales[Sales Month]),Sales[[#This Row],[Non-Paying Users]]*Sales[[#This Row],[Upsell $ per Non-Paying User]],0)</f>
        <v>0</v>
      </c>
      <c r="Q87" t="str" cm="1">
        <f t="array" ref="Q87">_xlfn.IFS(Sales[[#This Row],[Current Upsell $]]=0,"",Sales[[#This Row],[Current Upsell $]]&gt;=400,"High",Sales[[#This Row],[Current Upsell $]]&gt;=100,"Medium",Sales[[#This Row],[Current Upsell $]]&lt;100,"Low")</f>
        <v/>
      </c>
      <c r="R87" t="str">
        <f>IF(Sales[[#This Row],[Current Upsell $]]&gt;0,_xlfn.CONCAT(Sales[[#This Row],[Subscription Type]]," ",Sales[[#This Row],[Upsell Priority]]," ",TEXT(Sales[[#This Row],[Current Upsell $]],"$#,#")),"")</f>
        <v/>
      </c>
    </row>
    <row r="88" spans="1:18" x14ac:dyDescent="0.25">
      <c r="A88">
        <v>100007</v>
      </c>
      <c r="B88" t="s">
        <v>3</v>
      </c>
      <c r="D88" s="1"/>
      <c r="E88" s="1"/>
      <c r="F88">
        <v>0</v>
      </c>
      <c r="G88">
        <v>555</v>
      </c>
      <c r="H88" s="1">
        <v>43831</v>
      </c>
      <c r="I88" s="1">
        <v>44378</v>
      </c>
      <c r="J88">
        <v>18</v>
      </c>
      <c r="K88">
        <v>0</v>
      </c>
      <c r="L88" s="1">
        <v>43831</v>
      </c>
      <c r="M88">
        <v>0</v>
      </c>
      <c r="N88" s="8" cm="1">
        <f t="array" ref="N88">_xlfn.SWITCH(Sales[[#This Row],[Subscription Type]],"Basic",10,"Premium",10,"Business",25,"Enterprise",27)</f>
        <v>10</v>
      </c>
      <c r="O88">
        <f>IF(Sales[[#This Row],[Number of Users]]-Sales[[#This Row],[Licenses Bought]]&lt;0,0,Sales[[#This Row],[Number of Users]]-Sales[[#This Row],[Licenses Bought]])</f>
        <v>555</v>
      </c>
      <c r="P88" s="8">
        <f>IF(Sales[[#This Row],[Sales Month]]=MAX(Sales[Sales Month]),Sales[[#This Row],[Non-Paying Users]]*Sales[[#This Row],[Upsell $ per Non-Paying User]],0)</f>
        <v>0</v>
      </c>
      <c r="Q88" t="str" cm="1">
        <f t="array" ref="Q88">_xlfn.IFS(Sales[[#This Row],[Current Upsell $]]=0,"",Sales[[#This Row],[Current Upsell $]]&gt;=400,"High",Sales[[#This Row],[Current Upsell $]]&gt;=100,"Medium",Sales[[#This Row],[Current Upsell $]]&lt;100,"Low")</f>
        <v/>
      </c>
      <c r="R88" t="str">
        <f>IF(Sales[[#This Row],[Current Upsell $]]&gt;0,_xlfn.CONCAT(Sales[[#This Row],[Subscription Type]]," ",Sales[[#This Row],[Upsell Priority]]," ",TEXT(Sales[[#This Row],[Current Upsell $]],"$#,#")),"")</f>
        <v/>
      </c>
    </row>
    <row r="89" spans="1:18" x14ac:dyDescent="0.25">
      <c r="A89">
        <v>100007</v>
      </c>
      <c r="B89" t="s">
        <v>2</v>
      </c>
      <c r="C89">
        <v>12</v>
      </c>
      <c r="D89" s="1">
        <v>44378</v>
      </c>
      <c r="E89" s="1">
        <v>44742</v>
      </c>
      <c r="F89">
        <v>600</v>
      </c>
      <c r="G89">
        <v>628</v>
      </c>
      <c r="H89" s="1">
        <v>43831</v>
      </c>
      <c r="I89" s="1">
        <v>44378</v>
      </c>
      <c r="J89">
        <v>18</v>
      </c>
      <c r="K89">
        <v>0</v>
      </c>
      <c r="L89" s="1">
        <v>43862</v>
      </c>
      <c r="M89">
        <v>4710</v>
      </c>
      <c r="N89" s="8" cm="1">
        <f t="array" ref="N89">_xlfn.SWITCH(Sales[[#This Row],[Subscription Type]],"Basic",10,"Premium",10,"Business",25,"Enterprise",27)</f>
        <v>27</v>
      </c>
      <c r="O89">
        <f>IF(Sales[[#This Row],[Number of Users]]-Sales[[#This Row],[Licenses Bought]]&lt;0,0,Sales[[#This Row],[Number of Users]]-Sales[[#This Row],[Licenses Bought]])</f>
        <v>28</v>
      </c>
      <c r="P89" s="8">
        <f>IF(Sales[[#This Row],[Sales Month]]=MAX(Sales[Sales Month]),Sales[[#This Row],[Non-Paying Users]]*Sales[[#This Row],[Upsell $ per Non-Paying User]],0)</f>
        <v>0</v>
      </c>
      <c r="Q89" t="str" cm="1">
        <f t="array" ref="Q89">_xlfn.IFS(Sales[[#This Row],[Current Upsell $]]=0,"",Sales[[#This Row],[Current Upsell $]]&gt;=400,"High",Sales[[#This Row],[Current Upsell $]]&gt;=100,"Medium",Sales[[#This Row],[Current Upsell $]]&lt;100,"Low")</f>
        <v/>
      </c>
      <c r="R89" t="str">
        <f>IF(Sales[[#This Row],[Current Upsell $]]&gt;0,_xlfn.CONCAT(Sales[[#This Row],[Subscription Type]]," ",Sales[[#This Row],[Upsell Priority]]," ",TEXT(Sales[[#This Row],[Current Upsell $]],"$#,#")),"")</f>
        <v/>
      </c>
    </row>
    <row r="90" spans="1:18" x14ac:dyDescent="0.25">
      <c r="A90">
        <v>100007</v>
      </c>
      <c r="B90" t="s">
        <v>2</v>
      </c>
      <c r="C90">
        <v>12</v>
      </c>
      <c r="D90" s="1">
        <v>44378</v>
      </c>
      <c r="E90" s="1">
        <v>44742</v>
      </c>
      <c r="F90">
        <v>600</v>
      </c>
      <c r="G90">
        <v>639</v>
      </c>
      <c r="H90" s="1">
        <v>43831</v>
      </c>
      <c r="I90" s="1">
        <v>44378</v>
      </c>
      <c r="J90">
        <v>18</v>
      </c>
      <c r="K90">
        <v>0</v>
      </c>
      <c r="L90" s="1">
        <v>43891</v>
      </c>
      <c r="M90">
        <v>10110</v>
      </c>
      <c r="N90" s="8" cm="1">
        <f t="array" ref="N90">_xlfn.SWITCH(Sales[[#This Row],[Subscription Type]],"Basic",10,"Premium",10,"Business",25,"Enterprise",27)</f>
        <v>27</v>
      </c>
      <c r="O90">
        <f>IF(Sales[[#This Row],[Number of Users]]-Sales[[#This Row],[Licenses Bought]]&lt;0,0,Sales[[#This Row],[Number of Users]]-Sales[[#This Row],[Licenses Bought]])</f>
        <v>39</v>
      </c>
      <c r="P90" s="8">
        <f>IF(Sales[[#This Row],[Sales Month]]=MAX(Sales[Sales Month]),Sales[[#This Row],[Non-Paying Users]]*Sales[[#This Row],[Upsell $ per Non-Paying User]],0)</f>
        <v>0</v>
      </c>
      <c r="Q90" t="str" cm="1">
        <f t="array" ref="Q90">_xlfn.IFS(Sales[[#This Row],[Current Upsell $]]=0,"",Sales[[#This Row],[Current Upsell $]]&gt;=400,"High",Sales[[#This Row],[Current Upsell $]]&gt;=100,"Medium",Sales[[#This Row],[Current Upsell $]]&lt;100,"Low")</f>
        <v/>
      </c>
      <c r="R90" t="str">
        <f>IF(Sales[[#This Row],[Current Upsell $]]&gt;0,_xlfn.CONCAT(Sales[[#This Row],[Subscription Type]]," ",Sales[[#This Row],[Upsell Priority]]," ",TEXT(Sales[[#This Row],[Current Upsell $]],"$#,#")),"")</f>
        <v/>
      </c>
    </row>
    <row r="91" spans="1:18" x14ac:dyDescent="0.25">
      <c r="A91">
        <v>100007</v>
      </c>
      <c r="B91" t="s">
        <v>2</v>
      </c>
      <c r="C91">
        <v>12</v>
      </c>
      <c r="D91" s="1">
        <v>44378</v>
      </c>
      <c r="E91" s="1">
        <v>44742</v>
      </c>
      <c r="F91">
        <v>600</v>
      </c>
      <c r="G91">
        <v>639</v>
      </c>
      <c r="H91" s="1">
        <v>43831</v>
      </c>
      <c r="I91" s="1">
        <v>44378</v>
      </c>
      <c r="J91">
        <v>18</v>
      </c>
      <c r="K91">
        <v>0</v>
      </c>
      <c r="L91" s="1">
        <v>43922</v>
      </c>
      <c r="M91">
        <v>16080</v>
      </c>
      <c r="N91" s="8" cm="1">
        <f t="array" ref="N91">_xlfn.SWITCH(Sales[[#This Row],[Subscription Type]],"Basic",10,"Premium",10,"Business",25,"Enterprise",27)</f>
        <v>27</v>
      </c>
      <c r="O91">
        <f>IF(Sales[[#This Row],[Number of Users]]-Sales[[#This Row],[Licenses Bought]]&lt;0,0,Sales[[#This Row],[Number of Users]]-Sales[[#This Row],[Licenses Bought]])</f>
        <v>39</v>
      </c>
      <c r="P91" s="8">
        <f>IF(Sales[[#This Row],[Sales Month]]=MAX(Sales[Sales Month]),Sales[[#This Row],[Non-Paying Users]]*Sales[[#This Row],[Upsell $ per Non-Paying User]],0)</f>
        <v>0</v>
      </c>
      <c r="Q91" t="str" cm="1">
        <f t="array" ref="Q91">_xlfn.IFS(Sales[[#This Row],[Current Upsell $]]=0,"",Sales[[#This Row],[Current Upsell $]]&gt;=400,"High",Sales[[#This Row],[Current Upsell $]]&gt;=100,"Medium",Sales[[#This Row],[Current Upsell $]]&lt;100,"Low")</f>
        <v/>
      </c>
      <c r="R91" t="str">
        <f>IF(Sales[[#This Row],[Current Upsell $]]&gt;0,_xlfn.CONCAT(Sales[[#This Row],[Subscription Type]]," ",Sales[[#This Row],[Upsell Priority]]," ",TEXT(Sales[[#This Row],[Current Upsell $]],"$#,#")),"")</f>
        <v/>
      </c>
    </row>
    <row r="92" spans="1:18" x14ac:dyDescent="0.25">
      <c r="A92">
        <v>100007</v>
      </c>
      <c r="B92" t="s">
        <v>2</v>
      </c>
      <c r="C92">
        <v>12</v>
      </c>
      <c r="D92" s="1">
        <v>44378</v>
      </c>
      <c r="E92" s="1">
        <v>44742</v>
      </c>
      <c r="F92">
        <v>600</v>
      </c>
      <c r="G92">
        <v>658</v>
      </c>
      <c r="H92" s="1">
        <v>43831</v>
      </c>
      <c r="I92" s="1">
        <v>44378</v>
      </c>
      <c r="J92">
        <v>18</v>
      </c>
      <c r="K92">
        <v>0</v>
      </c>
      <c r="L92" s="1">
        <v>43952</v>
      </c>
      <c r="M92">
        <v>18000</v>
      </c>
      <c r="N92" s="8" cm="1">
        <f t="array" ref="N92">_xlfn.SWITCH(Sales[[#This Row],[Subscription Type]],"Basic",10,"Premium",10,"Business",25,"Enterprise",27)</f>
        <v>27</v>
      </c>
      <c r="O92">
        <f>IF(Sales[[#This Row],[Number of Users]]-Sales[[#This Row],[Licenses Bought]]&lt;0,0,Sales[[#This Row],[Number of Users]]-Sales[[#This Row],[Licenses Bought]])</f>
        <v>58</v>
      </c>
      <c r="P92" s="8">
        <f>IF(Sales[[#This Row],[Sales Month]]=MAX(Sales[Sales Month]),Sales[[#This Row],[Non-Paying Users]]*Sales[[#This Row],[Upsell $ per Non-Paying User]],0)</f>
        <v>0</v>
      </c>
      <c r="Q92" t="str" cm="1">
        <f t="array" ref="Q92">_xlfn.IFS(Sales[[#This Row],[Current Upsell $]]=0,"",Sales[[#This Row],[Current Upsell $]]&gt;=400,"High",Sales[[#This Row],[Current Upsell $]]&gt;=100,"Medium",Sales[[#This Row],[Current Upsell $]]&lt;100,"Low")</f>
        <v/>
      </c>
      <c r="R92" t="str">
        <f>IF(Sales[[#This Row],[Current Upsell $]]&gt;0,_xlfn.CONCAT(Sales[[#This Row],[Subscription Type]]," ",Sales[[#This Row],[Upsell Priority]]," ",TEXT(Sales[[#This Row],[Current Upsell $]],"$#,#")),"")</f>
        <v/>
      </c>
    </row>
    <row r="93" spans="1:18" x14ac:dyDescent="0.25">
      <c r="A93">
        <v>100007</v>
      </c>
      <c r="B93" t="s">
        <v>2</v>
      </c>
      <c r="C93">
        <v>12</v>
      </c>
      <c r="D93" s="1">
        <v>44378</v>
      </c>
      <c r="E93" s="1">
        <v>44742</v>
      </c>
      <c r="F93">
        <v>600</v>
      </c>
      <c r="G93">
        <v>653</v>
      </c>
      <c r="H93" s="1">
        <v>43831</v>
      </c>
      <c r="I93" s="1">
        <v>44378</v>
      </c>
      <c r="J93">
        <v>18</v>
      </c>
      <c r="K93">
        <v>0</v>
      </c>
      <c r="L93" s="1">
        <v>43983</v>
      </c>
      <c r="M93">
        <v>18000</v>
      </c>
      <c r="N93" s="8" cm="1">
        <f t="array" ref="N93">_xlfn.SWITCH(Sales[[#This Row],[Subscription Type]],"Basic",10,"Premium",10,"Business",25,"Enterprise",27)</f>
        <v>27</v>
      </c>
      <c r="O93">
        <f>IF(Sales[[#This Row],[Number of Users]]-Sales[[#This Row],[Licenses Bought]]&lt;0,0,Sales[[#This Row],[Number of Users]]-Sales[[#This Row],[Licenses Bought]])</f>
        <v>53</v>
      </c>
      <c r="P93" s="8">
        <f>IF(Sales[[#This Row],[Sales Month]]=MAX(Sales[Sales Month]),Sales[[#This Row],[Non-Paying Users]]*Sales[[#This Row],[Upsell $ per Non-Paying User]],0)</f>
        <v>0</v>
      </c>
      <c r="Q93" t="str" cm="1">
        <f t="array" ref="Q93">_xlfn.IFS(Sales[[#This Row],[Current Upsell $]]=0,"",Sales[[#This Row],[Current Upsell $]]&gt;=400,"High",Sales[[#This Row],[Current Upsell $]]&gt;=100,"Medium",Sales[[#This Row],[Current Upsell $]]&lt;100,"Low")</f>
        <v/>
      </c>
      <c r="R93" t="str">
        <f>IF(Sales[[#This Row],[Current Upsell $]]&gt;0,_xlfn.CONCAT(Sales[[#This Row],[Subscription Type]]," ",Sales[[#This Row],[Upsell Priority]]," ",TEXT(Sales[[#This Row],[Current Upsell $]],"$#,#")),"")</f>
        <v/>
      </c>
    </row>
    <row r="94" spans="1:18" x14ac:dyDescent="0.25">
      <c r="A94">
        <v>100007</v>
      </c>
      <c r="B94" t="s">
        <v>2</v>
      </c>
      <c r="C94">
        <v>12</v>
      </c>
      <c r="D94" s="1">
        <v>44378</v>
      </c>
      <c r="E94" s="1">
        <v>44742</v>
      </c>
      <c r="F94">
        <v>600</v>
      </c>
      <c r="G94">
        <v>646</v>
      </c>
      <c r="H94" s="1">
        <v>43831</v>
      </c>
      <c r="I94" s="1">
        <v>44378</v>
      </c>
      <c r="J94">
        <v>18</v>
      </c>
      <c r="K94">
        <v>0</v>
      </c>
      <c r="L94" s="1">
        <v>44013</v>
      </c>
      <c r="M94">
        <v>18000</v>
      </c>
      <c r="N94" s="8" cm="1">
        <f t="array" ref="N94">_xlfn.SWITCH(Sales[[#This Row],[Subscription Type]],"Basic",10,"Premium",10,"Business",25,"Enterprise",27)</f>
        <v>27</v>
      </c>
      <c r="O94">
        <f>IF(Sales[[#This Row],[Number of Users]]-Sales[[#This Row],[Licenses Bought]]&lt;0,0,Sales[[#This Row],[Number of Users]]-Sales[[#This Row],[Licenses Bought]])</f>
        <v>46</v>
      </c>
      <c r="P94" s="8">
        <f>IF(Sales[[#This Row],[Sales Month]]=MAX(Sales[Sales Month]),Sales[[#This Row],[Non-Paying Users]]*Sales[[#This Row],[Upsell $ per Non-Paying User]],0)</f>
        <v>0</v>
      </c>
      <c r="Q94" t="str" cm="1">
        <f t="array" ref="Q94">_xlfn.IFS(Sales[[#This Row],[Current Upsell $]]=0,"",Sales[[#This Row],[Current Upsell $]]&gt;=400,"High",Sales[[#This Row],[Current Upsell $]]&gt;=100,"Medium",Sales[[#This Row],[Current Upsell $]]&lt;100,"Low")</f>
        <v/>
      </c>
      <c r="R94" t="str">
        <f>IF(Sales[[#This Row],[Current Upsell $]]&gt;0,_xlfn.CONCAT(Sales[[#This Row],[Subscription Type]]," ",Sales[[#This Row],[Upsell Priority]]," ",TEXT(Sales[[#This Row],[Current Upsell $]],"$#,#")),"")</f>
        <v/>
      </c>
    </row>
    <row r="95" spans="1:18" x14ac:dyDescent="0.25">
      <c r="A95">
        <v>100007</v>
      </c>
      <c r="B95" t="s">
        <v>2</v>
      </c>
      <c r="C95">
        <v>12</v>
      </c>
      <c r="D95" s="1">
        <v>44378</v>
      </c>
      <c r="E95" s="1">
        <v>44742</v>
      </c>
      <c r="F95">
        <v>600</v>
      </c>
      <c r="G95">
        <v>643</v>
      </c>
      <c r="H95" s="1">
        <v>43831</v>
      </c>
      <c r="I95" s="1">
        <v>44378</v>
      </c>
      <c r="J95">
        <v>18</v>
      </c>
      <c r="K95">
        <v>0</v>
      </c>
      <c r="L95" s="1">
        <v>44044</v>
      </c>
      <c r="M95">
        <v>18000</v>
      </c>
      <c r="N95" s="8" cm="1">
        <f t="array" ref="N95">_xlfn.SWITCH(Sales[[#This Row],[Subscription Type]],"Basic",10,"Premium",10,"Business",25,"Enterprise",27)</f>
        <v>27</v>
      </c>
      <c r="O95">
        <f>IF(Sales[[#This Row],[Number of Users]]-Sales[[#This Row],[Licenses Bought]]&lt;0,0,Sales[[#This Row],[Number of Users]]-Sales[[#This Row],[Licenses Bought]])</f>
        <v>43</v>
      </c>
      <c r="P95" s="8">
        <f>IF(Sales[[#This Row],[Sales Month]]=MAX(Sales[Sales Month]),Sales[[#This Row],[Non-Paying Users]]*Sales[[#This Row],[Upsell $ per Non-Paying User]],0)</f>
        <v>0</v>
      </c>
      <c r="Q95" t="str" cm="1">
        <f t="array" ref="Q95">_xlfn.IFS(Sales[[#This Row],[Current Upsell $]]=0,"",Sales[[#This Row],[Current Upsell $]]&gt;=400,"High",Sales[[#This Row],[Current Upsell $]]&gt;=100,"Medium",Sales[[#This Row],[Current Upsell $]]&lt;100,"Low")</f>
        <v/>
      </c>
      <c r="R95" t="str">
        <f>IF(Sales[[#This Row],[Current Upsell $]]&gt;0,_xlfn.CONCAT(Sales[[#This Row],[Subscription Type]]," ",Sales[[#This Row],[Upsell Priority]]," ",TEXT(Sales[[#This Row],[Current Upsell $]],"$#,#")),"")</f>
        <v/>
      </c>
    </row>
    <row r="96" spans="1:18" x14ac:dyDescent="0.25">
      <c r="A96">
        <v>100007</v>
      </c>
      <c r="B96" t="s">
        <v>2</v>
      </c>
      <c r="C96">
        <v>12</v>
      </c>
      <c r="D96" s="1">
        <v>44378</v>
      </c>
      <c r="E96" s="1">
        <v>44742</v>
      </c>
      <c r="F96">
        <v>600</v>
      </c>
      <c r="G96">
        <v>656</v>
      </c>
      <c r="H96" s="1">
        <v>43831</v>
      </c>
      <c r="I96" s="1">
        <v>44378</v>
      </c>
      <c r="J96">
        <v>18</v>
      </c>
      <c r="K96">
        <v>0</v>
      </c>
      <c r="L96" s="1">
        <v>44075</v>
      </c>
      <c r="M96">
        <v>18000</v>
      </c>
      <c r="N96" s="8" cm="1">
        <f t="array" ref="N96">_xlfn.SWITCH(Sales[[#This Row],[Subscription Type]],"Basic",10,"Premium",10,"Business",25,"Enterprise",27)</f>
        <v>27</v>
      </c>
      <c r="O96">
        <f>IF(Sales[[#This Row],[Number of Users]]-Sales[[#This Row],[Licenses Bought]]&lt;0,0,Sales[[#This Row],[Number of Users]]-Sales[[#This Row],[Licenses Bought]])</f>
        <v>56</v>
      </c>
      <c r="P96" s="8">
        <f>IF(Sales[[#This Row],[Sales Month]]=MAX(Sales[Sales Month]),Sales[[#This Row],[Non-Paying Users]]*Sales[[#This Row],[Upsell $ per Non-Paying User]],0)</f>
        <v>0</v>
      </c>
      <c r="Q96" t="str" cm="1">
        <f t="array" ref="Q96">_xlfn.IFS(Sales[[#This Row],[Current Upsell $]]=0,"",Sales[[#This Row],[Current Upsell $]]&gt;=400,"High",Sales[[#This Row],[Current Upsell $]]&gt;=100,"Medium",Sales[[#This Row],[Current Upsell $]]&lt;100,"Low")</f>
        <v/>
      </c>
      <c r="R96" t="str">
        <f>IF(Sales[[#This Row],[Current Upsell $]]&gt;0,_xlfn.CONCAT(Sales[[#This Row],[Subscription Type]]," ",Sales[[#This Row],[Upsell Priority]]," ",TEXT(Sales[[#This Row],[Current Upsell $]],"$#,#")),"")</f>
        <v/>
      </c>
    </row>
    <row r="97" spans="1:18" x14ac:dyDescent="0.25">
      <c r="A97">
        <v>100007</v>
      </c>
      <c r="B97" t="s">
        <v>2</v>
      </c>
      <c r="C97">
        <v>12</v>
      </c>
      <c r="D97" s="1">
        <v>44378</v>
      </c>
      <c r="E97" s="1">
        <v>44742</v>
      </c>
      <c r="F97">
        <v>600</v>
      </c>
      <c r="G97">
        <v>640</v>
      </c>
      <c r="H97" s="1">
        <v>43831</v>
      </c>
      <c r="I97" s="1">
        <v>44378</v>
      </c>
      <c r="J97">
        <v>18</v>
      </c>
      <c r="K97">
        <v>0</v>
      </c>
      <c r="L97" s="1">
        <v>44105</v>
      </c>
      <c r="M97">
        <v>18000</v>
      </c>
      <c r="N97" s="8" cm="1">
        <f t="array" ref="N97">_xlfn.SWITCH(Sales[[#This Row],[Subscription Type]],"Basic",10,"Premium",10,"Business",25,"Enterprise",27)</f>
        <v>27</v>
      </c>
      <c r="O97">
        <f>IF(Sales[[#This Row],[Number of Users]]-Sales[[#This Row],[Licenses Bought]]&lt;0,0,Sales[[#This Row],[Number of Users]]-Sales[[#This Row],[Licenses Bought]])</f>
        <v>40</v>
      </c>
      <c r="P97" s="8">
        <f>IF(Sales[[#This Row],[Sales Month]]=MAX(Sales[Sales Month]),Sales[[#This Row],[Non-Paying Users]]*Sales[[#This Row],[Upsell $ per Non-Paying User]],0)</f>
        <v>0</v>
      </c>
      <c r="Q97" t="str" cm="1">
        <f t="array" ref="Q97">_xlfn.IFS(Sales[[#This Row],[Current Upsell $]]=0,"",Sales[[#This Row],[Current Upsell $]]&gt;=400,"High",Sales[[#This Row],[Current Upsell $]]&gt;=100,"Medium",Sales[[#This Row],[Current Upsell $]]&lt;100,"Low")</f>
        <v/>
      </c>
      <c r="R97" t="str">
        <f>IF(Sales[[#This Row],[Current Upsell $]]&gt;0,_xlfn.CONCAT(Sales[[#This Row],[Subscription Type]]," ",Sales[[#This Row],[Upsell Priority]]," ",TEXT(Sales[[#This Row],[Current Upsell $]],"$#,#")),"")</f>
        <v/>
      </c>
    </row>
    <row r="98" spans="1:18" x14ac:dyDescent="0.25">
      <c r="A98">
        <v>100007</v>
      </c>
      <c r="B98" t="s">
        <v>2</v>
      </c>
      <c r="C98">
        <v>12</v>
      </c>
      <c r="D98" s="1">
        <v>44378</v>
      </c>
      <c r="E98" s="1">
        <v>44742</v>
      </c>
      <c r="F98">
        <v>600</v>
      </c>
      <c r="G98">
        <v>636</v>
      </c>
      <c r="H98" s="1">
        <v>43831</v>
      </c>
      <c r="I98" s="1">
        <v>44378</v>
      </c>
      <c r="J98">
        <v>18</v>
      </c>
      <c r="K98">
        <v>0</v>
      </c>
      <c r="L98" s="1">
        <v>44136</v>
      </c>
      <c r="M98">
        <v>18000</v>
      </c>
      <c r="N98" s="8" cm="1">
        <f t="array" ref="N98">_xlfn.SWITCH(Sales[[#This Row],[Subscription Type]],"Basic",10,"Premium",10,"Business",25,"Enterprise",27)</f>
        <v>27</v>
      </c>
      <c r="O98">
        <f>IF(Sales[[#This Row],[Number of Users]]-Sales[[#This Row],[Licenses Bought]]&lt;0,0,Sales[[#This Row],[Number of Users]]-Sales[[#This Row],[Licenses Bought]])</f>
        <v>36</v>
      </c>
      <c r="P98" s="8">
        <f>IF(Sales[[#This Row],[Sales Month]]=MAX(Sales[Sales Month]),Sales[[#This Row],[Non-Paying Users]]*Sales[[#This Row],[Upsell $ per Non-Paying User]],0)</f>
        <v>0</v>
      </c>
      <c r="Q98" t="str" cm="1">
        <f t="array" ref="Q98">_xlfn.IFS(Sales[[#This Row],[Current Upsell $]]=0,"",Sales[[#This Row],[Current Upsell $]]&gt;=400,"High",Sales[[#This Row],[Current Upsell $]]&gt;=100,"Medium",Sales[[#This Row],[Current Upsell $]]&lt;100,"Low")</f>
        <v/>
      </c>
      <c r="R98" t="str">
        <f>IF(Sales[[#This Row],[Current Upsell $]]&gt;0,_xlfn.CONCAT(Sales[[#This Row],[Subscription Type]]," ",Sales[[#This Row],[Upsell Priority]]," ",TEXT(Sales[[#This Row],[Current Upsell $]],"$#,#")),"")</f>
        <v/>
      </c>
    </row>
    <row r="99" spans="1:18" x14ac:dyDescent="0.25">
      <c r="A99">
        <v>100007</v>
      </c>
      <c r="B99" t="s">
        <v>2</v>
      </c>
      <c r="C99">
        <v>12</v>
      </c>
      <c r="D99" s="1">
        <v>44378</v>
      </c>
      <c r="E99" s="1">
        <v>44742</v>
      </c>
      <c r="F99">
        <v>600</v>
      </c>
      <c r="G99">
        <v>641</v>
      </c>
      <c r="H99" s="1">
        <v>43831</v>
      </c>
      <c r="I99" s="1">
        <v>44378</v>
      </c>
      <c r="J99">
        <v>18</v>
      </c>
      <c r="K99">
        <v>0</v>
      </c>
      <c r="L99" s="1">
        <v>44166</v>
      </c>
      <c r="M99">
        <v>18000</v>
      </c>
      <c r="N99" s="8" cm="1">
        <f t="array" ref="N99">_xlfn.SWITCH(Sales[[#This Row],[Subscription Type]],"Basic",10,"Premium",10,"Business",25,"Enterprise",27)</f>
        <v>27</v>
      </c>
      <c r="O99">
        <f>IF(Sales[[#This Row],[Number of Users]]-Sales[[#This Row],[Licenses Bought]]&lt;0,0,Sales[[#This Row],[Number of Users]]-Sales[[#This Row],[Licenses Bought]])</f>
        <v>41</v>
      </c>
      <c r="P99" s="8">
        <f>IF(Sales[[#This Row],[Sales Month]]=MAX(Sales[Sales Month]),Sales[[#This Row],[Non-Paying Users]]*Sales[[#This Row],[Upsell $ per Non-Paying User]],0)</f>
        <v>0</v>
      </c>
      <c r="Q99" t="str" cm="1">
        <f t="array" ref="Q99">_xlfn.IFS(Sales[[#This Row],[Current Upsell $]]=0,"",Sales[[#This Row],[Current Upsell $]]&gt;=400,"High",Sales[[#This Row],[Current Upsell $]]&gt;=100,"Medium",Sales[[#This Row],[Current Upsell $]]&lt;100,"Low")</f>
        <v/>
      </c>
      <c r="R99" t="str">
        <f>IF(Sales[[#This Row],[Current Upsell $]]&gt;0,_xlfn.CONCAT(Sales[[#This Row],[Subscription Type]]," ",Sales[[#This Row],[Upsell Priority]]," ",TEXT(Sales[[#This Row],[Current Upsell $]],"$#,#")),"")</f>
        <v/>
      </c>
    </row>
    <row r="100" spans="1:18" x14ac:dyDescent="0.25">
      <c r="A100">
        <v>100007</v>
      </c>
      <c r="B100" t="s">
        <v>2</v>
      </c>
      <c r="C100">
        <v>12</v>
      </c>
      <c r="D100" s="1">
        <v>44378</v>
      </c>
      <c r="E100" s="1">
        <v>44742</v>
      </c>
      <c r="F100">
        <v>600</v>
      </c>
      <c r="G100">
        <v>657</v>
      </c>
      <c r="H100" s="1">
        <v>43831</v>
      </c>
      <c r="I100" s="1">
        <v>44378</v>
      </c>
      <c r="J100">
        <v>18</v>
      </c>
      <c r="K100">
        <v>0</v>
      </c>
      <c r="L100" s="1">
        <v>44197</v>
      </c>
      <c r="M100">
        <v>18000</v>
      </c>
      <c r="N100" s="8" cm="1">
        <f t="array" ref="N100">_xlfn.SWITCH(Sales[[#This Row],[Subscription Type]],"Basic",10,"Premium",10,"Business",25,"Enterprise",27)</f>
        <v>27</v>
      </c>
      <c r="O100">
        <f>IF(Sales[[#This Row],[Number of Users]]-Sales[[#This Row],[Licenses Bought]]&lt;0,0,Sales[[#This Row],[Number of Users]]-Sales[[#This Row],[Licenses Bought]])</f>
        <v>57</v>
      </c>
      <c r="P100" s="8">
        <f>IF(Sales[[#This Row],[Sales Month]]=MAX(Sales[Sales Month]),Sales[[#This Row],[Non-Paying Users]]*Sales[[#This Row],[Upsell $ per Non-Paying User]],0)</f>
        <v>0</v>
      </c>
      <c r="Q100" t="str" cm="1">
        <f t="array" ref="Q100">_xlfn.IFS(Sales[[#This Row],[Current Upsell $]]=0,"",Sales[[#This Row],[Current Upsell $]]&gt;=400,"High",Sales[[#This Row],[Current Upsell $]]&gt;=100,"Medium",Sales[[#This Row],[Current Upsell $]]&lt;100,"Low")</f>
        <v/>
      </c>
      <c r="R100" t="str">
        <f>IF(Sales[[#This Row],[Current Upsell $]]&gt;0,_xlfn.CONCAT(Sales[[#This Row],[Subscription Type]]," ",Sales[[#This Row],[Upsell Priority]]," ",TEXT(Sales[[#This Row],[Current Upsell $]],"$#,#")),"")</f>
        <v/>
      </c>
    </row>
    <row r="101" spans="1:18" x14ac:dyDescent="0.25">
      <c r="A101">
        <v>100007</v>
      </c>
      <c r="B101" t="s">
        <v>2</v>
      </c>
      <c r="C101">
        <v>12</v>
      </c>
      <c r="D101" s="1">
        <v>44378</v>
      </c>
      <c r="E101" s="1">
        <v>44742</v>
      </c>
      <c r="F101">
        <v>600</v>
      </c>
      <c r="G101">
        <v>642</v>
      </c>
      <c r="H101" s="1">
        <v>43831</v>
      </c>
      <c r="I101" s="1">
        <v>44378</v>
      </c>
      <c r="J101">
        <v>18</v>
      </c>
      <c r="K101">
        <v>0</v>
      </c>
      <c r="L101" s="1">
        <v>44228</v>
      </c>
      <c r="M101">
        <v>18000</v>
      </c>
      <c r="N101" s="8" cm="1">
        <f t="array" ref="N101">_xlfn.SWITCH(Sales[[#This Row],[Subscription Type]],"Basic",10,"Premium",10,"Business",25,"Enterprise",27)</f>
        <v>27</v>
      </c>
      <c r="O101">
        <f>IF(Sales[[#This Row],[Number of Users]]-Sales[[#This Row],[Licenses Bought]]&lt;0,0,Sales[[#This Row],[Number of Users]]-Sales[[#This Row],[Licenses Bought]])</f>
        <v>42</v>
      </c>
      <c r="P101" s="8">
        <f>IF(Sales[[#This Row],[Sales Month]]=MAX(Sales[Sales Month]),Sales[[#This Row],[Non-Paying Users]]*Sales[[#This Row],[Upsell $ per Non-Paying User]],0)</f>
        <v>0</v>
      </c>
      <c r="Q101" t="str" cm="1">
        <f t="array" ref="Q101">_xlfn.IFS(Sales[[#This Row],[Current Upsell $]]=0,"",Sales[[#This Row],[Current Upsell $]]&gt;=400,"High",Sales[[#This Row],[Current Upsell $]]&gt;=100,"Medium",Sales[[#This Row],[Current Upsell $]]&lt;100,"Low")</f>
        <v/>
      </c>
      <c r="R101" t="str">
        <f>IF(Sales[[#This Row],[Current Upsell $]]&gt;0,_xlfn.CONCAT(Sales[[#This Row],[Subscription Type]]," ",Sales[[#This Row],[Upsell Priority]]," ",TEXT(Sales[[#This Row],[Current Upsell $]],"$#,#")),"")</f>
        <v/>
      </c>
    </row>
    <row r="102" spans="1:18" x14ac:dyDescent="0.25">
      <c r="A102">
        <v>100007</v>
      </c>
      <c r="B102" t="s">
        <v>2</v>
      </c>
      <c r="C102">
        <v>12</v>
      </c>
      <c r="D102" s="1">
        <v>44378</v>
      </c>
      <c r="E102" s="1">
        <v>44742</v>
      </c>
      <c r="F102">
        <v>600</v>
      </c>
      <c r="G102">
        <v>655</v>
      </c>
      <c r="H102" s="1">
        <v>43831</v>
      </c>
      <c r="I102" s="1">
        <v>44378</v>
      </c>
      <c r="J102">
        <v>18</v>
      </c>
      <c r="K102">
        <v>0</v>
      </c>
      <c r="L102" s="1">
        <v>44256</v>
      </c>
      <c r="M102">
        <v>18000</v>
      </c>
      <c r="N102" s="8" cm="1">
        <f t="array" ref="N102">_xlfn.SWITCH(Sales[[#This Row],[Subscription Type]],"Basic",10,"Premium",10,"Business",25,"Enterprise",27)</f>
        <v>27</v>
      </c>
      <c r="O102">
        <f>IF(Sales[[#This Row],[Number of Users]]-Sales[[#This Row],[Licenses Bought]]&lt;0,0,Sales[[#This Row],[Number of Users]]-Sales[[#This Row],[Licenses Bought]])</f>
        <v>55</v>
      </c>
      <c r="P102" s="8">
        <f>IF(Sales[[#This Row],[Sales Month]]=MAX(Sales[Sales Month]),Sales[[#This Row],[Non-Paying Users]]*Sales[[#This Row],[Upsell $ per Non-Paying User]],0)</f>
        <v>0</v>
      </c>
      <c r="Q102" t="str" cm="1">
        <f t="array" ref="Q102">_xlfn.IFS(Sales[[#This Row],[Current Upsell $]]=0,"",Sales[[#This Row],[Current Upsell $]]&gt;=400,"High",Sales[[#This Row],[Current Upsell $]]&gt;=100,"Medium",Sales[[#This Row],[Current Upsell $]]&lt;100,"Low")</f>
        <v/>
      </c>
      <c r="R102" t="str">
        <f>IF(Sales[[#This Row],[Current Upsell $]]&gt;0,_xlfn.CONCAT(Sales[[#This Row],[Subscription Type]]," ",Sales[[#This Row],[Upsell Priority]]," ",TEXT(Sales[[#This Row],[Current Upsell $]],"$#,#")),"")</f>
        <v/>
      </c>
    </row>
    <row r="103" spans="1:18" x14ac:dyDescent="0.25">
      <c r="A103">
        <v>100007</v>
      </c>
      <c r="B103" t="s">
        <v>2</v>
      </c>
      <c r="C103">
        <v>12</v>
      </c>
      <c r="D103" s="1">
        <v>44378</v>
      </c>
      <c r="E103" s="1">
        <v>44742</v>
      </c>
      <c r="F103">
        <v>600</v>
      </c>
      <c r="G103">
        <v>677</v>
      </c>
      <c r="H103" s="1">
        <v>43831</v>
      </c>
      <c r="I103" s="1">
        <v>44378</v>
      </c>
      <c r="J103">
        <v>18</v>
      </c>
      <c r="K103">
        <v>0</v>
      </c>
      <c r="L103" s="1">
        <v>44287</v>
      </c>
      <c r="M103">
        <v>18000</v>
      </c>
      <c r="N103" s="8" cm="1">
        <f t="array" ref="N103">_xlfn.SWITCH(Sales[[#This Row],[Subscription Type]],"Basic",10,"Premium",10,"Business",25,"Enterprise",27)</f>
        <v>27</v>
      </c>
      <c r="O103">
        <f>IF(Sales[[#This Row],[Number of Users]]-Sales[[#This Row],[Licenses Bought]]&lt;0,0,Sales[[#This Row],[Number of Users]]-Sales[[#This Row],[Licenses Bought]])</f>
        <v>77</v>
      </c>
      <c r="P103" s="8">
        <f>IF(Sales[[#This Row],[Sales Month]]=MAX(Sales[Sales Month]),Sales[[#This Row],[Non-Paying Users]]*Sales[[#This Row],[Upsell $ per Non-Paying User]],0)</f>
        <v>0</v>
      </c>
      <c r="Q103" t="str" cm="1">
        <f t="array" ref="Q103">_xlfn.IFS(Sales[[#This Row],[Current Upsell $]]=0,"",Sales[[#This Row],[Current Upsell $]]&gt;=400,"High",Sales[[#This Row],[Current Upsell $]]&gt;=100,"Medium",Sales[[#This Row],[Current Upsell $]]&lt;100,"Low")</f>
        <v/>
      </c>
      <c r="R103" t="str">
        <f>IF(Sales[[#This Row],[Current Upsell $]]&gt;0,_xlfn.CONCAT(Sales[[#This Row],[Subscription Type]]," ",Sales[[#This Row],[Upsell Priority]]," ",TEXT(Sales[[#This Row],[Current Upsell $]],"$#,#")),"")</f>
        <v/>
      </c>
    </row>
    <row r="104" spans="1:18" x14ac:dyDescent="0.25">
      <c r="A104">
        <v>100007</v>
      </c>
      <c r="B104" t="s">
        <v>2</v>
      </c>
      <c r="C104">
        <v>12</v>
      </c>
      <c r="D104" s="1">
        <v>44378</v>
      </c>
      <c r="E104" s="1">
        <v>44742</v>
      </c>
      <c r="F104">
        <v>600</v>
      </c>
      <c r="G104">
        <v>682</v>
      </c>
      <c r="H104" s="1">
        <v>43831</v>
      </c>
      <c r="I104" s="1">
        <v>44378</v>
      </c>
      <c r="J104">
        <v>18</v>
      </c>
      <c r="K104">
        <v>0</v>
      </c>
      <c r="L104" s="1">
        <v>44317</v>
      </c>
      <c r="M104">
        <v>18000</v>
      </c>
      <c r="N104" s="8" cm="1">
        <f t="array" ref="N104">_xlfn.SWITCH(Sales[[#This Row],[Subscription Type]],"Basic",10,"Premium",10,"Business",25,"Enterprise",27)</f>
        <v>27</v>
      </c>
      <c r="O104">
        <f>IF(Sales[[#This Row],[Number of Users]]-Sales[[#This Row],[Licenses Bought]]&lt;0,0,Sales[[#This Row],[Number of Users]]-Sales[[#This Row],[Licenses Bought]])</f>
        <v>82</v>
      </c>
      <c r="P104" s="8">
        <f>IF(Sales[[#This Row],[Sales Month]]=MAX(Sales[Sales Month]),Sales[[#This Row],[Non-Paying Users]]*Sales[[#This Row],[Upsell $ per Non-Paying User]],0)</f>
        <v>0</v>
      </c>
      <c r="Q104" t="str" cm="1">
        <f t="array" ref="Q104">_xlfn.IFS(Sales[[#This Row],[Current Upsell $]]=0,"",Sales[[#This Row],[Current Upsell $]]&gt;=400,"High",Sales[[#This Row],[Current Upsell $]]&gt;=100,"Medium",Sales[[#This Row],[Current Upsell $]]&lt;100,"Low")</f>
        <v/>
      </c>
      <c r="R104" t="str">
        <f>IF(Sales[[#This Row],[Current Upsell $]]&gt;0,_xlfn.CONCAT(Sales[[#This Row],[Subscription Type]]," ",Sales[[#This Row],[Upsell Priority]]," ",TEXT(Sales[[#This Row],[Current Upsell $]],"$#,#")),"")</f>
        <v/>
      </c>
    </row>
    <row r="105" spans="1:18" x14ac:dyDescent="0.25">
      <c r="A105">
        <v>100007</v>
      </c>
      <c r="B105" t="s">
        <v>2</v>
      </c>
      <c r="C105">
        <v>12</v>
      </c>
      <c r="D105" s="1">
        <v>44378</v>
      </c>
      <c r="E105" s="1">
        <v>44742</v>
      </c>
      <c r="F105">
        <v>600</v>
      </c>
      <c r="G105">
        <v>687</v>
      </c>
      <c r="H105" s="1">
        <v>43831</v>
      </c>
      <c r="I105" s="1">
        <v>44378</v>
      </c>
      <c r="J105">
        <v>18</v>
      </c>
      <c r="K105">
        <v>0</v>
      </c>
      <c r="L105" s="1">
        <v>44348</v>
      </c>
      <c r="M105">
        <v>18000</v>
      </c>
      <c r="N105" s="8" cm="1">
        <f t="array" ref="N105">_xlfn.SWITCH(Sales[[#This Row],[Subscription Type]],"Basic",10,"Premium",10,"Business",25,"Enterprise",27)</f>
        <v>27</v>
      </c>
      <c r="O105">
        <f>IF(Sales[[#This Row],[Number of Users]]-Sales[[#This Row],[Licenses Bought]]&lt;0,0,Sales[[#This Row],[Number of Users]]-Sales[[#This Row],[Licenses Bought]])</f>
        <v>87</v>
      </c>
      <c r="P105" s="8">
        <f>IF(Sales[[#This Row],[Sales Month]]=MAX(Sales[Sales Month]),Sales[[#This Row],[Non-Paying Users]]*Sales[[#This Row],[Upsell $ per Non-Paying User]],0)</f>
        <v>2349</v>
      </c>
      <c r="Q105" t="str" cm="1">
        <f t="array" ref="Q105">_xlfn.IFS(Sales[[#This Row],[Current Upsell $]]=0,"",Sales[[#This Row],[Current Upsell $]]&gt;=400,"High",Sales[[#This Row],[Current Upsell $]]&gt;=100,"Medium",Sales[[#This Row],[Current Upsell $]]&lt;100,"Low")</f>
        <v>High</v>
      </c>
      <c r="R105" t="str">
        <f>IF(Sales[[#This Row],[Current Upsell $]]&gt;0,_xlfn.CONCAT(Sales[[#This Row],[Subscription Type]]," ",Sales[[#This Row],[Upsell Priority]]," ",TEXT(Sales[[#This Row],[Current Upsell $]],"$#,#")),"")</f>
        <v>Enterprise High $2,349</v>
      </c>
    </row>
    <row r="106" spans="1:18" x14ac:dyDescent="0.25">
      <c r="A106">
        <v>100008</v>
      </c>
      <c r="B106" t="s">
        <v>3</v>
      </c>
      <c r="D106" s="1"/>
      <c r="E106" s="1"/>
      <c r="F106">
        <v>0</v>
      </c>
      <c r="G106">
        <v>2</v>
      </c>
      <c r="H106" s="1">
        <v>43831</v>
      </c>
      <c r="I106" s="1">
        <v>44378</v>
      </c>
      <c r="J106">
        <v>18</v>
      </c>
      <c r="K106">
        <v>0</v>
      </c>
      <c r="L106" s="1">
        <v>43831</v>
      </c>
      <c r="M106">
        <v>0</v>
      </c>
      <c r="N106" s="8" cm="1">
        <f t="array" ref="N106">_xlfn.SWITCH(Sales[[#This Row],[Subscription Type]],"Basic",10,"Premium",10,"Business",25,"Enterprise",27)</f>
        <v>10</v>
      </c>
      <c r="O106">
        <f>IF(Sales[[#This Row],[Number of Users]]-Sales[[#This Row],[Licenses Bought]]&lt;0,0,Sales[[#This Row],[Number of Users]]-Sales[[#This Row],[Licenses Bought]])</f>
        <v>2</v>
      </c>
      <c r="P106" s="8">
        <f>IF(Sales[[#This Row],[Sales Month]]=MAX(Sales[Sales Month]),Sales[[#This Row],[Non-Paying Users]]*Sales[[#This Row],[Upsell $ per Non-Paying User]],0)</f>
        <v>0</v>
      </c>
      <c r="Q106" t="str" cm="1">
        <f t="array" ref="Q106">_xlfn.IFS(Sales[[#This Row],[Current Upsell $]]=0,"",Sales[[#This Row],[Current Upsell $]]&gt;=400,"High",Sales[[#This Row],[Current Upsell $]]&gt;=100,"Medium",Sales[[#This Row],[Current Upsell $]]&lt;100,"Low")</f>
        <v/>
      </c>
      <c r="R106" t="str">
        <f>IF(Sales[[#This Row],[Current Upsell $]]&gt;0,_xlfn.CONCAT(Sales[[#This Row],[Subscription Type]]," ",Sales[[#This Row],[Upsell Priority]]," ",TEXT(Sales[[#This Row],[Current Upsell $]],"$#,#")),"")</f>
        <v/>
      </c>
    </row>
    <row r="107" spans="1:18" x14ac:dyDescent="0.25">
      <c r="A107">
        <v>100008</v>
      </c>
      <c r="B107" t="s">
        <v>0</v>
      </c>
      <c r="D107" s="1"/>
      <c r="E107" s="1"/>
      <c r="F107">
        <v>1</v>
      </c>
      <c r="G107">
        <v>2</v>
      </c>
      <c r="H107" s="1">
        <v>43831</v>
      </c>
      <c r="I107" s="1">
        <v>44378</v>
      </c>
      <c r="J107">
        <v>18</v>
      </c>
      <c r="K107">
        <v>0</v>
      </c>
      <c r="L107" s="1">
        <v>43862</v>
      </c>
      <c r="M107">
        <v>10</v>
      </c>
      <c r="N107" s="8" cm="1">
        <f t="array" ref="N107">_xlfn.SWITCH(Sales[[#This Row],[Subscription Type]],"Basic",10,"Premium",10,"Business",25,"Enterprise",27)</f>
        <v>10</v>
      </c>
      <c r="O107">
        <f>IF(Sales[[#This Row],[Number of Users]]-Sales[[#This Row],[Licenses Bought]]&lt;0,0,Sales[[#This Row],[Number of Users]]-Sales[[#This Row],[Licenses Bought]])</f>
        <v>1</v>
      </c>
      <c r="P107" s="8">
        <f>IF(Sales[[#This Row],[Sales Month]]=MAX(Sales[Sales Month]),Sales[[#This Row],[Non-Paying Users]]*Sales[[#This Row],[Upsell $ per Non-Paying User]],0)</f>
        <v>0</v>
      </c>
      <c r="Q107" t="str" cm="1">
        <f t="array" ref="Q107">_xlfn.IFS(Sales[[#This Row],[Current Upsell $]]=0,"",Sales[[#This Row],[Current Upsell $]]&gt;=400,"High",Sales[[#This Row],[Current Upsell $]]&gt;=100,"Medium",Sales[[#This Row],[Current Upsell $]]&lt;100,"Low")</f>
        <v/>
      </c>
      <c r="R107" t="str">
        <f>IF(Sales[[#This Row],[Current Upsell $]]&gt;0,_xlfn.CONCAT(Sales[[#This Row],[Subscription Type]]," ",Sales[[#This Row],[Upsell Priority]]," ",TEXT(Sales[[#This Row],[Current Upsell $]],"$#,#")),"")</f>
        <v/>
      </c>
    </row>
    <row r="108" spans="1:18" x14ac:dyDescent="0.25">
      <c r="A108">
        <v>100008</v>
      </c>
      <c r="B108" t="s">
        <v>0</v>
      </c>
      <c r="D108" s="1"/>
      <c r="E108" s="1"/>
      <c r="F108">
        <v>1</v>
      </c>
      <c r="G108">
        <v>2</v>
      </c>
      <c r="H108" s="1">
        <v>43831</v>
      </c>
      <c r="I108" s="1">
        <v>44378</v>
      </c>
      <c r="J108">
        <v>18</v>
      </c>
      <c r="K108">
        <v>0</v>
      </c>
      <c r="L108" s="1">
        <v>43891</v>
      </c>
      <c r="M108">
        <v>10</v>
      </c>
      <c r="N108" s="8" cm="1">
        <f t="array" ref="N108">_xlfn.SWITCH(Sales[[#This Row],[Subscription Type]],"Basic",10,"Premium",10,"Business",25,"Enterprise",27)</f>
        <v>10</v>
      </c>
      <c r="O108">
        <f>IF(Sales[[#This Row],[Number of Users]]-Sales[[#This Row],[Licenses Bought]]&lt;0,0,Sales[[#This Row],[Number of Users]]-Sales[[#This Row],[Licenses Bought]])</f>
        <v>1</v>
      </c>
      <c r="P108" s="8">
        <f>IF(Sales[[#This Row],[Sales Month]]=MAX(Sales[Sales Month]),Sales[[#This Row],[Non-Paying Users]]*Sales[[#This Row],[Upsell $ per Non-Paying User]],0)</f>
        <v>0</v>
      </c>
      <c r="Q108" t="str" cm="1">
        <f t="array" ref="Q108">_xlfn.IFS(Sales[[#This Row],[Current Upsell $]]=0,"",Sales[[#This Row],[Current Upsell $]]&gt;=400,"High",Sales[[#This Row],[Current Upsell $]]&gt;=100,"Medium",Sales[[#This Row],[Current Upsell $]]&lt;100,"Low")</f>
        <v/>
      </c>
      <c r="R108" t="str">
        <f>IF(Sales[[#This Row],[Current Upsell $]]&gt;0,_xlfn.CONCAT(Sales[[#This Row],[Subscription Type]]," ",Sales[[#This Row],[Upsell Priority]]," ",TEXT(Sales[[#This Row],[Current Upsell $]],"$#,#")),"")</f>
        <v/>
      </c>
    </row>
    <row r="109" spans="1:18" x14ac:dyDescent="0.25">
      <c r="A109">
        <v>100008</v>
      </c>
      <c r="B109" t="s">
        <v>0</v>
      </c>
      <c r="D109" s="1"/>
      <c r="E109" s="1"/>
      <c r="F109">
        <v>1</v>
      </c>
      <c r="G109">
        <v>2</v>
      </c>
      <c r="H109" s="1">
        <v>43831</v>
      </c>
      <c r="I109" s="1">
        <v>44378</v>
      </c>
      <c r="J109">
        <v>18</v>
      </c>
      <c r="K109">
        <v>0</v>
      </c>
      <c r="L109" s="1">
        <v>43922</v>
      </c>
      <c r="M109">
        <v>10</v>
      </c>
      <c r="N109" s="8" cm="1">
        <f t="array" ref="N109">_xlfn.SWITCH(Sales[[#This Row],[Subscription Type]],"Basic",10,"Premium",10,"Business",25,"Enterprise",27)</f>
        <v>10</v>
      </c>
      <c r="O109">
        <f>IF(Sales[[#This Row],[Number of Users]]-Sales[[#This Row],[Licenses Bought]]&lt;0,0,Sales[[#This Row],[Number of Users]]-Sales[[#This Row],[Licenses Bought]])</f>
        <v>1</v>
      </c>
      <c r="P109" s="8">
        <f>IF(Sales[[#This Row],[Sales Month]]=MAX(Sales[Sales Month]),Sales[[#This Row],[Non-Paying Users]]*Sales[[#This Row],[Upsell $ per Non-Paying User]],0)</f>
        <v>0</v>
      </c>
      <c r="Q109" t="str" cm="1">
        <f t="array" ref="Q109">_xlfn.IFS(Sales[[#This Row],[Current Upsell $]]=0,"",Sales[[#This Row],[Current Upsell $]]&gt;=400,"High",Sales[[#This Row],[Current Upsell $]]&gt;=100,"Medium",Sales[[#This Row],[Current Upsell $]]&lt;100,"Low")</f>
        <v/>
      </c>
      <c r="R109" t="str">
        <f>IF(Sales[[#This Row],[Current Upsell $]]&gt;0,_xlfn.CONCAT(Sales[[#This Row],[Subscription Type]]," ",Sales[[#This Row],[Upsell Priority]]," ",TEXT(Sales[[#This Row],[Current Upsell $]],"$#,#")),"")</f>
        <v/>
      </c>
    </row>
    <row r="110" spans="1:18" x14ac:dyDescent="0.25">
      <c r="A110">
        <v>100008</v>
      </c>
      <c r="B110" t="s">
        <v>0</v>
      </c>
      <c r="D110" s="1"/>
      <c r="E110" s="1"/>
      <c r="F110">
        <v>1</v>
      </c>
      <c r="G110">
        <v>2</v>
      </c>
      <c r="H110" s="1">
        <v>43831</v>
      </c>
      <c r="I110" s="1">
        <v>44378</v>
      </c>
      <c r="J110">
        <v>18</v>
      </c>
      <c r="K110">
        <v>0</v>
      </c>
      <c r="L110" s="1">
        <v>43952</v>
      </c>
      <c r="M110">
        <v>10</v>
      </c>
      <c r="N110" s="8" cm="1">
        <f t="array" ref="N110">_xlfn.SWITCH(Sales[[#This Row],[Subscription Type]],"Basic",10,"Premium",10,"Business",25,"Enterprise",27)</f>
        <v>10</v>
      </c>
      <c r="O110">
        <f>IF(Sales[[#This Row],[Number of Users]]-Sales[[#This Row],[Licenses Bought]]&lt;0,0,Sales[[#This Row],[Number of Users]]-Sales[[#This Row],[Licenses Bought]])</f>
        <v>1</v>
      </c>
      <c r="P110" s="8">
        <f>IF(Sales[[#This Row],[Sales Month]]=MAX(Sales[Sales Month]),Sales[[#This Row],[Non-Paying Users]]*Sales[[#This Row],[Upsell $ per Non-Paying User]],0)</f>
        <v>0</v>
      </c>
      <c r="Q110" t="str" cm="1">
        <f t="array" ref="Q110">_xlfn.IFS(Sales[[#This Row],[Current Upsell $]]=0,"",Sales[[#This Row],[Current Upsell $]]&gt;=400,"High",Sales[[#This Row],[Current Upsell $]]&gt;=100,"Medium",Sales[[#This Row],[Current Upsell $]]&lt;100,"Low")</f>
        <v/>
      </c>
      <c r="R110" t="str">
        <f>IF(Sales[[#This Row],[Current Upsell $]]&gt;0,_xlfn.CONCAT(Sales[[#This Row],[Subscription Type]]," ",Sales[[#This Row],[Upsell Priority]]," ",TEXT(Sales[[#This Row],[Current Upsell $]],"$#,#")),"")</f>
        <v/>
      </c>
    </row>
    <row r="111" spans="1:18" x14ac:dyDescent="0.25">
      <c r="A111">
        <v>100008</v>
      </c>
      <c r="B111" t="s">
        <v>0</v>
      </c>
      <c r="D111" s="1"/>
      <c r="E111" s="1"/>
      <c r="F111">
        <v>1</v>
      </c>
      <c r="G111">
        <v>2</v>
      </c>
      <c r="H111" s="1">
        <v>43831</v>
      </c>
      <c r="I111" s="1">
        <v>44378</v>
      </c>
      <c r="J111">
        <v>18</v>
      </c>
      <c r="K111">
        <v>0</v>
      </c>
      <c r="L111" s="1">
        <v>43983</v>
      </c>
      <c r="M111">
        <v>10</v>
      </c>
      <c r="N111" s="8" cm="1">
        <f t="array" ref="N111">_xlfn.SWITCH(Sales[[#This Row],[Subscription Type]],"Basic",10,"Premium",10,"Business",25,"Enterprise",27)</f>
        <v>10</v>
      </c>
      <c r="O111">
        <f>IF(Sales[[#This Row],[Number of Users]]-Sales[[#This Row],[Licenses Bought]]&lt;0,0,Sales[[#This Row],[Number of Users]]-Sales[[#This Row],[Licenses Bought]])</f>
        <v>1</v>
      </c>
      <c r="P111" s="8">
        <f>IF(Sales[[#This Row],[Sales Month]]=MAX(Sales[Sales Month]),Sales[[#This Row],[Non-Paying Users]]*Sales[[#This Row],[Upsell $ per Non-Paying User]],0)</f>
        <v>0</v>
      </c>
      <c r="Q111" t="str" cm="1">
        <f t="array" ref="Q111">_xlfn.IFS(Sales[[#This Row],[Current Upsell $]]=0,"",Sales[[#This Row],[Current Upsell $]]&gt;=400,"High",Sales[[#This Row],[Current Upsell $]]&gt;=100,"Medium",Sales[[#This Row],[Current Upsell $]]&lt;100,"Low")</f>
        <v/>
      </c>
      <c r="R111" t="str">
        <f>IF(Sales[[#This Row],[Current Upsell $]]&gt;0,_xlfn.CONCAT(Sales[[#This Row],[Subscription Type]]," ",Sales[[#This Row],[Upsell Priority]]," ",TEXT(Sales[[#This Row],[Current Upsell $]],"$#,#")),"")</f>
        <v/>
      </c>
    </row>
    <row r="112" spans="1:18" x14ac:dyDescent="0.25">
      <c r="A112">
        <v>100008</v>
      </c>
      <c r="B112" t="s">
        <v>0</v>
      </c>
      <c r="D112" s="1"/>
      <c r="E112" s="1"/>
      <c r="F112">
        <v>1</v>
      </c>
      <c r="G112">
        <v>2</v>
      </c>
      <c r="H112" s="1">
        <v>43831</v>
      </c>
      <c r="I112" s="1">
        <v>44378</v>
      </c>
      <c r="J112">
        <v>18</v>
      </c>
      <c r="K112">
        <v>0</v>
      </c>
      <c r="L112" s="1">
        <v>44013</v>
      </c>
      <c r="M112">
        <v>10</v>
      </c>
      <c r="N112" s="8" cm="1">
        <f t="array" ref="N112">_xlfn.SWITCH(Sales[[#This Row],[Subscription Type]],"Basic",10,"Premium",10,"Business",25,"Enterprise",27)</f>
        <v>10</v>
      </c>
      <c r="O112">
        <f>IF(Sales[[#This Row],[Number of Users]]-Sales[[#This Row],[Licenses Bought]]&lt;0,0,Sales[[#This Row],[Number of Users]]-Sales[[#This Row],[Licenses Bought]])</f>
        <v>1</v>
      </c>
      <c r="P112" s="8">
        <f>IF(Sales[[#This Row],[Sales Month]]=MAX(Sales[Sales Month]),Sales[[#This Row],[Non-Paying Users]]*Sales[[#This Row],[Upsell $ per Non-Paying User]],0)</f>
        <v>0</v>
      </c>
      <c r="Q112" t="str" cm="1">
        <f t="array" ref="Q112">_xlfn.IFS(Sales[[#This Row],[Current Upsell $]]=0,"",Sales[[#This Row],[Current Upsell $]]&gt;=400,"High",Sales[[#This Row],[Current Upsell $]]&gt;=100,"Medium",Sales[[#This Row],[Current Upsell $]]&lt;100,"Low")</f>
        <v/>
      </c>
      <c r="R112" t="str">
        <f>IF(Sales[[#This Row],[Current Upsell $]]&gt;0,_xlfn.CONCAT(Sales[[#This Row],[Subscription Type]]," ",Sales[[#This Row],[Upsell Priority]]," ",TEXT(Sales[[#This Row],[Current Upsell $]],"$#,#")),"")</f>
        <v/>
      </c>
    </row>
    <row r="113" spans="1:18" x14ac:dyDescent="0.25">
      <c r="A113">
        <v>100008</v>
      </c>
      <c r="B113" t="s">
        <v>0</v>
      </c>
      <c r="D113" s="1"/>
      <c r="E113" s="1"/>
      <c r="F113">
        <v>1</v>
      </c>
      <c r="G113">
        <v>2</v>
      </c>
      <c r="H113" s="1">
        <v>43831</v>
      </c>
      <c r="I113" s="1">
        <v>44378</v>
      </c>
      <c r="J113">
        <v>18</v>
      </c>
      <c r="K113">
        <v>0</v>
      </c>
      <c r="L113" s="1">
        <v>44044</v>
      </c>
      <c r="M113">
        <v>10</v>
      </c>
      <c r="N113" s="8" cm="1">
        <f t="array" ref="N113">_xlfn.SWITCH(Sales[[#This Row],[Subscription Type]],"Basic",10,"Premium",10,"Business",25,"Enterprise",27)</f>
        <v>10</v>
      </c>
      <c r="O113">
        <f>IF(Sales[[#This Row],[Number of Users]]-Sales[[#This Row],[Licenses Bought]]&lt;0,0,Sales[[#This Row],[Number of Users]]-Sales[[#This Row],[Licenses Bought]])</f>
        <v>1</v>
      </c>
      <c r="P113" s="8">
        <f>IF(Sales[[#This Row],[Sales Month]]=MAX(Sales[Sales Month]),Sales[[#This Row],[Non-Paying Users]]*Sales[[#This Row],[Upsell $ per Non-Paying User]],0)</f>
        <v>0</v>
      </c>
      <c r="Q113" t="str" cm="1">
        <f t="array" ref="Q113">_xlfn.IFS(Sales[[#This Row],[Current Upsell $]]=0,"",Sales[[#This Row],[Current Upsell $]]&gt;=400,"High",Sales[[#This Row],[Current Upsell $]]&gt;=100,"Medium",Sales[[#This Row],[Current Upsell $]]&lt;100,"Low")</f>
        <v/>
      </c>
      <c r="R113" t="str">
        <f>IF(Sales[[#This Row],[Current Upsell $]]&gt;0,_xlfn.CONCAT(Sales[[#This Row],[Subscription Type]]," ",Sales[[#This Row],[Upsell Priority]]," ",TEXT(Sales[[#This Row],[Current Upsell $]],"$#,#")),"")</f>
        <v/>
      </c>
    </row>
    <row r="114" spans="1:18" x14ac:dyDescent="0.25">
      <c r="A114">
        <v>100008</v>
      </c>
      <c r="B114" t="s">
        <v>0</v>
      </c>
      <c r="D114" s="1"/>
      <c r="E114" s="1"/>
      <c r="F114">
        <v>1</v>
      </c>
      <c r="G114">
        <v>2</v>
      </c>
      <c r="H114" s="1">
        <v>43831</v>
      </c>
      <c r="I114" s="1">
        <v>44378</v>
      </c>
      <c r="J114">
        <v>18</v>
      </c>
      <c r="K114">
        <v>0</v>
      </c>
      <c r="L114" s="1">
        <v>44075</v>
      </c>
      <c r="M114">
        <v>10</v>
      </c>
      <c r="N114" s="8" cm="1">
        <f t="array" ref="N114">_xlfn.SWITCH(Sales[[#This Row],[Subscription Type]],"Basic",10,"Premium",10,"Business",25,"Enterprise",27)</f>
        <v>10</v>
      </c>
      <c r="O114">
        <f>IF(Sales[[#This Row],[Number of Users]]-Sales[[#This Row],[Licenses Bought]]&lt;0,0,Sales[[#This Row],[Number of Users]]-Sales[[#This Row],[Licenses Bought]])</f>
        <v>1</v>
      </c>
      <c r="P114" s="8">
        <f>IF(Sales[[#This Row],[Sales Month]]=MAX(Sales[Sales Month]),Sales[[#This Row],[Non-Paying Users]]*Sales[[#This Row],[Upsell $ per Non-Paying User]],0)</f>
        <v>0</v>
      </c>
      <c r="Q114" t="str" cm="1">
        <f t="array" ref="Q114">_xlfn.IFS(Sales[[#This Row],[Current Upsell $]]=0,"",Sales[[#This Row],[Current Upsell $]]&gt;=400,"High",Sales[[#This Row],[Current Upsell $]]&gt;=100,"Medium",Sales[[#This Row],[Current Upsell $]]&lt;100,"Low")</f>
        <v/>
      </c>
      <c r="R114" t="str">
        <f>IF(Sales[[#This Row],[Current Upsell $]]&gt;0,_xlfn.CONCAT(Sales[[#This Row],[Subscription Type]]," ",Sales[[#This Row],[Upsell Priority]]," ",TEXT(Sales[[#This Row],[Current Upsell $]],"$#,#")),"")</f>
        <v/>
      </c>
    </row>
    <row r="115" spans="1:18" x14ac:dyDescent="0.25">
      <c r="A115">
        <v>100008</v>
      </c>
      <c r="B115" t="s">
        <v>0</v>
      </c>
      <c r="D115" s="1"/>
      <c r="E115" s="1"/>
      <c r="F115">
        <v>1</v>
      </c>
      <c r="G115">
        <v>1</v>
      </c>
      <c r="H115" s="1">
        <v>43831</v>
      </c>
      <c r="I115" s="1">
        <v>44378</v>
      </c>
      <c r="J115">
        <v>18</v>
      </c>
      <c r="K115">
        <v>0</v>
      </c>
      <c r="L115" s="1">
        <v>44105</v>
      </c>
      <c r="M115">
        <v>10</v>
      </c>
      <c r="N115" s="8" cm="1">
        <f t="array" ref="N115">_xlfn.SWITCH(Sales[[#This Row],[Subscription Type]],"Basic",10,"Premium",10,"Business",25,"Enterprise",27)</f>
        <v>10</v>
      </c>
      <c r="O115">
        <f>IF(Sales[[#This Row],[Number of Users]]-Sales[[#This Row],[Licenses Bought]]&lt;0,0,Sales[[#This Row],[Number of Users]]-Sales[[#This Row],[Licenses Bought]])</f>
        <v>0</v>
      </c>
      <c r="P115" s="8">
        <f>IF(Sales[[#This Row],[Sales Month]]=MAX(Sales[Sales Month]),Sales[[#This Row],[Non-Paying Users]]*Sales[[#This Row],[Upsell $ per Non-Paying User]],0)</f>
        <v>0</v>
      </c>
      <c r="Q115" t="str" cm="1">
        <f t="array" ref="Q115">_xlfn.IFS(Sales[[#This Row],[Current Upsell $]]=0,"",Sales[[#This Row],[Current Upsell $]]&gt;=400,"High",Sales[[#This Row],[Current Upsell $]]&gt;=100,"Medium",Sales[[#This Row],[Current Upsell $]]&lt;100,"Low")</f>
        <v/>
      </c>
      <c r="R115" t="str">
        <f>IF(Sales[[#This Row],[Current Upsell $]]&gt;0,_xlfn.CONCAT(Sales[[#This Row],[Subscription Type]]," ",Sales[[#This Row],[Upsell Priority]]," ",TEXT(Sales[[#This Row],[Current Upsell $]],"$#,#")),"")</f>
        <v/>
      </c>
    </row>
    <row r="116" spans="1:18" x14ac:dyDescent="0.25">
      <c r="A116">
        <v>100008</v>
      </c>
      <c r="B116" t="s">
        <v>0</v>
      </c>
      <c r="D116" s="1"/>
      <c r="E116" s="1"/>
      <c r="F116">
        <v>1</v>
      </c>
      <c r="G116">
        <v>2</v>
      </c>
      <c r="H116" s="1">
        <v>43831</v>
      </c>
      <c r="I116" s="1">
        <v>44378</v>
      </c>
      <c r="J116">
        <v>18</v>
      </c>
      <c r="K116">
        <v>0</v>
      </c>
      <c r="L116" s="1">
        <v>44136</v>
      </c>
      <c r="M116">
        <v>10</v>
      </c>
      <c r="N116" s="8" cm="1">
        <f t="array" ref="N116">_xlfn.SWITCH(Sales[[#This Row],[Subscription Type]],"Basic",10,"Premium",10,"Business",25,"Enterprise",27)</f>
        <v>10</v>
      </c>
      <c r="O116">
        <f>IF(Sales[[#This Row],[Number of Users]]-Sales[[#This Row],[Licenses Bought]]&lt;0,0,Sales[[#This Row],[Number of Users]]-Sales[[#This Row],[Licenses Bought]])</f>
        <v>1</v>
      </c>
      <c r="P116" s="8">
        <f>IF(Sales[[#This Row],[Sales Month]]=MAX(Sales[Sales Month]),Sales[[#This Row],[Non-Paying Users]]*Sales[[#This Row],[Upsell $ per Non-Paying User]],0)</f>
        <v>0</v>
      </c>
      <c r="Q116" t="str" cm="1">
        <f t="array" ref="Q116">_xlfn.IFS(Sales[[#This Row],[Current Upsell $]]=0,"",Sales[[#This Row],[Current Upsell $]]&gt;=400,"High",Sales[[#This Row],[Current Upsell $]]&gt;=100,"Medium",Sales[[#This Row],[Current Upsell $]]&lt;100,"Low")</f>
        <v/>
      </c>
      <c r="R116" t="str">
        <f>IF(Sales[[#This Row],[Current Upsell $]]&gt;0,_xlfn.CONCAT(Sales[[#This Row],[Subscription Type]]," ",Sales[[#This Row],[Upsell Priority]]," ",TEXT(Sales[[#This Row],[Current Upsell $]],"$#,#")),"")</f>
        <v/>
      </c>
    </row>
    <row r="117" spans="1:18" x14ac:dyDescent="0.25">
      <c r="A117">
        <v>100008</v>
      </c>
      <c r="B117" t="s">
        <v>0</v>
      </c>
      <c r="D117" s="1"/>
      <c r="E117" s="1"/>
      <c r="F117">
        <v>1</v>
      </c>
      <c r="G117">
        <v>2</v>
      </c>
      <c r="H117" s="1">
        <v>43831</v>
      </c>
      <c r="I117" s="1">
        <v>44378</v>
      </c>
      <c r="J117">
        <v>18</v>
      </c>
      <c r="K117">
        <v>0</v>
      </c>
      <c r="L117" s="1">
        <v>44166</v>
      </c>
      <c r="M117">
        <v>10</v>
      </c>
      <c r="N117" s="8" cm="1">
        <f t="array" ref="N117">_xlfn.SWITCH(Sales[[#This Row],[Subscription Type]],"Basic",10,"Premium",10,"Business",25,"Enterprise",27)</f>
        <v>10</v>
      </c>
      <c r="O117">
        <f>IF(Sales[[#This Row],[Number of Users]]-Sales[[#This Row],[Licenses Bought]]&lt;0,0,Sales[[#This Row],[Number of Users]]-Sales[[#This Row],[Licenses Bought]])</f>
        <v>1</v>
      </c>
      <c r="P117" s="8">
        <f>IF(Sales[[#This Row],[Sales Month]]=MAX(Sales[Sales Month]),Sales[[#This Row],[Non-Paying Users]]*Sales[[#This Row],[Upsell $ per Non-Paying User]],0)</f>
        <v>0</v>
      </c>
      <c r="Q117" t="str" cm="1">
        <f t="array" ref="Q117">_xlfn.IFS(Sales[[#This Row],[Current Upsell $]]=0,"",Sales[[#This Row],[Current Upsell $]]&gt;=400,"High",Sales[[#This Row],[Current Upsell $]]&gt;=100,"Medium",Sales[[#This Row],[Current Upsell $]]&lt;100,"Low")</f>
        <v/>
      </c>
      <c r="R117" t="str">
        <f>IF(Sales[[#This Row],[Current Upsell $]]&gt;0,_xlfn.CONCAT(Sales[[#This Row],[Subscription Type]]," ",Sales[[#This Row],[Upsell Priority]]," ",TEXT(Sales[[#This Row],[Current Upsell $]],"$#,#")),"")</f>
        <v/>
      </c>
    </row>
    <row r="118" spans="1:18" x14ac:dyDescent="0.25">
      <c r="A118">
        <v>100008</v>
      </c>
      <c r="B118" t="s">
        <v>0</v>
      </c>
      <c r="D118" s="1"/>
      <c r="E118" s="1"/>
      <c r="F118">
        <v>1</v>
      </c>
      <c r="G118">
        <v>1</v>
      </c>
      <c r="H118" s="1">
        <v>43831</v>
      </c>
      <c r="I118" s="1">
        <v>44378</v>
      </c>
      <c r="J118">
        <v>18</v>
      </c>
      <c r="K118">
        <v>0</v>
      </c>
      <c r="L118" s="1">
        <v>44197</v>
      </c>
      <c r="M118">
        <v>10</v>
      </c>
      <c r="N118" s="8" cm="1">
        <f t="array" ref="N118">_xlfn.SWITCH(Sales[[#This Row],[Subscription Type]],"Basic",10,"Premium",10,"Business",25,"Enterprise",27)</f>
        <v>10</v>
      </c>
      <c r="O118">
        <f>IF(Sales[[#This Row],[Number of Users]]-Sales[[#This Row],[Licenses Bought]]&lt;0,0,Sales[[#This Row],[Number of Users]]-Sales[[#This Row],[Licenses Bought]])</f>
        <v>0</v>
      </c>
      <c r="P118" s="8">
        <f>IF(Sales[[#This Row],[Sales Month]]=MAX(Sales[Sales Month]),Sales[[#This Row],[Non-Paying Users]]*Sales[[#This Row],[Upsell $ per Non-Paying User]],0)</f>
        <v>0</v>
      </c>
      <c r="Q118" t="str" cm="1">
        <f t="array" ref="Q118">_xlfn.IFS(Sales[[#This Row],[Current Upsell $]]=0,"",Sales[[#This Row],[Current Upsell $]]&gt;=400,"High",Sales[[#This Row],[Current Upsell $]]&gt;=100,"Medium",Sales[[#This Row],[Current Upsell $]]&lt;100,"Low")</f>
        <v/>
      </c>
      <c r="R118" t="str">
        <f>IF(Sales[[#This Row],[Current Upsell $]]&gt;0,_xlfn.CONCAT(Sales[[#This Row],[Subscription Type]]," ",Sales[[#This Row],[Upsell Priority]]," ",TEXT(Sales[[#This Row],[Current Upsell $]],"$#,#")),"")</f>
        <v/>
      </c>
    </row>
    <row r="119" spans="1:18" x14ac:dyDescent="0.25">
      <c r="A119">
        <v>100008</v>
      </c>
      <c r="B119" t="s">
        <v>0</v>
      </c>
      <c r="D119" s="1"/>
      <c r="E119" s="1"/>
      <c r="F119">
        <v>1</v>
      </c>
      <c r="G119">
        <v>1</v>
      </c>
      <c r="H119" s="1">
        <v>43831</v>
      </c>
      <c r="I119" s="1">
        <v>44378</v>
      </c>
      <c r="J119">
        <v>18</v>
      </c>
      <c r="K119">
        <v>0</v>
      </c>
      <c r="L119" s="1">
        <v>44228</v>
      </c>
      <c r="M119">
        <v>10</v>
      </c>
      <c r="N119" s="8" cm="1">
        <f t="array" ref="N119">_xlfn.SWITCH(Sales[[#This Row],[Subscription Type]],"Basic",10,"Premium",10,"Business",25,"Enterprise",27)</f>
        <v>10</v>
      </c>
      <c r="O119">
        <f>IF(Sales[[#This Row],[Number of Users]]-Sales[[#This Row],[Licenses Bought]]&lt;0,0,Sales[[#This Row],[Number of Users]]-Sales[[#This Row],[Licenses Bought]])</f>
        <v>0</v>
      </c>
      <c r="P119" s="8">
        <f>IF(Sales[[#This Row],[Sales Month]]=MAX(Sales[Sales Month]),Sales[[#This Row],[Non-Paying Users]]*Sales[[#This Row],[Upsell $ per Non-Paying User]],0)</f>
        <v>0</v>
      </c>
      <c r="Q119" t="str" cm="1">
        <f t="array" ref="Q119">_xlfn.IFS(Sales[[#This Row],[Current Upsell $]]=0,"",Sales[[#This Row],[Current Upsell $]]&gt;=400,"High",Sales[[#This Row],[Current Upsell $]]&gt;=100,"Medium",Sales[[#This Row],[Current Upsell $]]&lt;100,"Low")</f>
        <v/>
      </c>
      <c r="R119" t="str">
        <f>IF(Sales[[#This Row],[Current Upsell $]]&gt;0,_xlfn.CONCAT(Sales[[#This Row],[Subscription Type]]," ",Sales[[#This Row],[Upsell Priority]]," ",TEXT(Sales[[#This Row],[Current Upsell $]],"$#,#")),"")</f>
        <v/>
      </c>
    </row>
    <row r="120" spans="1:18" x14ac:dyDescent="0.25">
      <c r="A120">
        <v>100008</v>
      </c>
      <c r="B120" t="s">
        <v>0</v>
      </c>
      <c r="D120" s="1"/>
      <c r="E120" s="1"/>
      <c r="F120">
        <v>1</v>
      </c>
      <c r="G120">
        <v>2</v>
      </c>
      <c r="H120" s="1">
        <v>43831</v>
      </c>
      <c r="I120" s="1">
        <v>44378</v>
      </c>
      <c r="J120">
        <v>18</v>
      </c>
      <c r="K120">
        <v>0</v>
      </c>
      <c r="L120" s="1">
        <v>44256</v>
      </c>
      <c r="M120">
        <v>10</v>
      </c>
      <c r="N120" s="8" cm="1">
        <f t="array" ref="N120">_xlfn.SWITCH(Sales[[#This Row],[Subscription Type]],"Basic",10,"Premium",10,"Business",25,"Enterprise",27)</f>
        <v>10</v>
      </c>
      <c r="O120">
        <f>IF(Sales[[#This Row],[Number of Users]]-Sales[[#This Row],[Licenses Bought]]&lt;0,0,Sales[[#This Row],[Number of Users]]-Sales[[#This Row],[Licenses Bought]])</f>
        <v>1</v>
      </c>
      <c r="P120" s="8">
        <f>IF(Sales[[#This Row],[Sales Month]]=MAX(Sales[Sales Month]),Sales[[#This Row],[Non-Paying Users]]*Sales[[#This Row],[Upsell $ per Non-Paying User]],0)</f>
        <v>0</v>
      </c>
      <c r="Q120" t="str" cm="1">
        <f t="array" ref="Q120">_xlfn.IFS(Sales[[#This Row],[Current Upsell $]]=0,"",Sales[[#This Row],[Current Upsell $]]&gt;=400,"High",Sales[[#This Row],[Current Upsell $]]&gt;=100,"Medium",Sales[[#This Row],[Current Upsell $]]&lt;100,"Low")</f>
        <v/>
      </c>
      <c r="R120" t="str">
        <f>IF(Sales[[#This Row],[Current Upsell $]]&gt;0,_xlfn.CONCAT(Sales[[#This Row],[Subscription Type]]," ",Sales[[#This Row],[Upsell Priority]]," ",TEXT(Sales[[#This Row],[Current Upsell $]],"$#,#")),"")</f>
        <v/>
      </c>
    </row>
    <row r="121" spans="1:18" x14ac:dyDescent="0.25">
      <c r="A121">
        <v>100008</v>
      </c>
      <c r="B121" t="s">
        <v>0</v>
      </c>
      <c r="D121" s="1"/>
      <c r="E121" s="1"/>
      <c r="F121">
        <v>1</v>
      </c>
      <c r="G121">
        <v>2</v>
      </c>
      <c r="H121" s="1">
        <v>43831</v>
      </c>
      <c r="I121" s="1">
        <v>44378</v>
      </c>
      <c r="J121">
        <v>18</v>
      </c>
      <c r="K121">
        <v>0</v>
      </c>
      <c r="L121" s="1">
        <v>44287</v>
      </c>
      <c r="M121">
        <v>10</v>
      </c>
      <c r="N121" s="8" cm="1">
        <f t="array" ref="N121">_xlfn.SWITCH(Sales[[#This Row],[Subscription Type]],"Basic",10,"Premium",10,"Business",25,"Enterprise",27)</f>
        <v>10</v>
      </c>
      <c r="O121">
        <f>IF(Sales[[#This Row],[Number of Users]]-Sales[[#This Row],[Licenses Bought]]&lt;0,0,Sales[[#This Row],[Number of Users]]-Sales[[#This Row],[Licenses Bought]])</f>
        <v>1</v>
      </c>
      <c r="P121" s="8">
        <f>IF(Sales[[#This Row],[Sales Month]]=MAX(Sales[Sales Month]),Sales[[#This Row],[Non-Paying Users]]*Sales[[#This Row],[Upsell $ per Non-Paying User]],0)</f>
        <v>0</v>
      </c>
      <c r="Q121" t="str" cm="1">
        <f t="array" ref="Q121">_xlfn.IFS(Sales[[#This Row],[Current Upsell $]]=0,"",Sales[[#This Row],[Current Upsell $]]&gt;=400,"High",Sales[[#This Row],[Current Upsell $]]&gt;=100,"Medium",Sales[[#This Row],[Current Upsell $]]&lt;100,"Low")</f>
        <v/>
      </c>
      <c r="R121" t="str">
        <f>IF(Sales[[#This Row],[Current Upsell $]]&gt;0,_xlfn.CONCAT(Sales[[#This Row],[Subscription Type]]," ",Sales[[#This Row],[Upsell Priority]]," ",TEXT(Sales[[#This Row],[Current Upsell $]],"$#,#")),"")</f>
        <v/>
      </c>
    </row>
    <row r="122" spans="1:18" x14ac:dyDescent="0.25">
      <c r="A122">
        <v>100008</v>
      </c>
      <c r="B122" t="s">
        <v>0</v>
      </c>
      <c r="D122" s="1"/>
      <c r="E122" s="1"/>
      <c r="F122">
        <v>1</v>
      </c>
      <c r="G122">
        <v>2</v>
      </c>
      <c r="H122" s="1">
        <v>43831</v>
      </c>
      <c r="I122" s="1">
        <v>44378</v>
      </c>
      <c r="J122">
        <v>18</v>
      </c>
      <c r="K122">
        <v>0</v>
      </c>
      <c r="L122" s="1">
        <v>44317</v>
      </c>
      <c r="M122">
        <v>10</v>
      </c>
      <c r="N122" s="8" cm="1">
        <f t="array" ref="N122">_xlfn.SWITCH(Sales[[#This Row],[Subscription Type]],"Basic",10,"Premium",10,"Business",25,"Enterprise",27)</f>
        <v>10</v>
      </c>
      <c r="O122">
        <f>IF(Sales[[#This Row],[Number of Users]]-Sales[[#This Row],[Licenses Bought]]&lt;0,0,Sales[[#This Row],[Number of Users]]-Sales[[#This Row],[Licenses Bought]])</f>
        <v>1</v>
      </c>
      <c r="P122" s="8">
        <f>IF(Sales[[#This Row],[Sales Month]]=MAX(Sales[Sales Month]),Sales[[#This Row],[Non-Paying Users]]*Sales[[#This Row],[Upsell $ per Non-Paying User]],0)</f>
        <v>0</v>
      </c>
      <c r="Q122" t="str" cm="1">
        <f t="array" ref="Q122">_xlfn.IFS(Sales[[#This Row],[Current Upsell $]]=0,"",Sales[[#This Row],[Current Upsell $]]&gt;=400,"High",Sales[[#This Row],[Current Upsell $]]&gt;=100,"Medium",Sales[[#This Row],[Current Upsell $]]&lt;100,"Low")</f>
        <v/>
      </c>
      <c r="R122" t="str">
        <f>IF(Sales[[#This Row],[Current Upsell $]]&gt;0,_xlfn.CONCAT(Sales[[#This Row],[Subscription Type]]," ",Sales[[#This Row],[Upsell Priority]]," ",TEXT(Sales[[#This Row],[Current Upsell $]],"$#,#")),"")</f>
        <v/>
      </c>
    </row>
    <row r="123" spans="1:18" x14ac:dyDescent="0.25">
      <c r="A123">
        <v>100008</v>
      </c>
      <c r="B123" t="s">
        <v>0</v>
      </c>
      <c r="D123" s="1"/>
      <c r="E123" s="1"/>
      <c r="F123">
        <v>1</v>
      </c>
      <c r="G123">
        <v>2</v>
      </c>
      <c r="H123" s="1">
        <v>43831</v>
      </c>
      <c r="I123" s="1">
        <v>44378</v>
      </c>
      <c r="J123">
        <v>18</v>
      </c>
      <c r="K123">
        <v>0</v>
      </c>
      <c r="L123" s="1">
        <v>44348</v>
      </c>
      <c r="M123">
        <v>10</v>
      </c>
      <c r="N123" s="8" cm="1">
        <f t="array" ref="N123">_xlfn.SWITCH(Sales[[#This Row],[Subscription Type]],"Basic",10,"Premium",10,"Business",25,"Enterprise",27)</f>
        <v>10</v>
      </c>
      <c r="O123">
        <f>IF(Sales[[#This Row],[Number of Users]]-Sales[[#This Row],[Licenses Bought]]&lt;0,0,Sales[[#This Row],[Number of Users]]-Sales[[#This Row],[Licenses Bought]])</f>
        <v>1</v>
      </c>
      <c r="P123" s="8">
        <f>IF(Sales[[#This Row],[Sales Month]]=MAX(Sales[Sales Month]),Sales[[#This Row],[Non-Paying Users]]*Sales[[#This Row],[Upsell $ per Non-Paying User]],0)</f>
        <v>10</v>
      </c>
      <c r="Q123" t="str" cm="1">
        <f t="array" ref="Q123">_xlfn.IFS(Sales[[#This Row],[Current Upsell $]]=0,"",Sales[[#This Row],[Current Upsell $]]&gt;=400,"High",Sales[[#This Row],[Current Upsell $]]&gt;=100,"Medium",Sales[[#This Row],[Current Upsell $]]&lt;100,"Low")</f>
        <v>Low</v>
      </c>
      <c r="R123" t="str">
        <f>IF(Sales[[#This Row],[Current Upsell $]]&gt;0,_xlfn.CONCAT(Sales[[#This Row],[Subscription Type]]," ",Sales[[#This Row],[Upsell Priority]]," ",TEXT(Sales[[#This Row],[Current Upsell $]],"$#,#")),"")</f>
        <v>Premium Low $10</v>
      </c>
    </row>
    <row r="124" spans="1:18" x14ac:dyDescent="0.25">
      <c r="A124">
        <v>100009</v>
      </c>
      <c r="B124" t="s">
        <v>3</v>
      </c>
      <c r="D124" s="1"/>
      <c r="E124" s="1"/>
      <c r="F124">
        <v>0</v>
      </c>
      <c r="G124">
        <v>58</v>
      </c>
      <c r="H124" s="1">
        <v>43862</v>
      </c>
      <c r="I124" s="1">
        <v>44378</v>
      </c>
      <c r="J124">
        <v>17</v>
      </c>
      <c r="K124">
        <v>0</v>
      </c>
      <c r="L124" s="1">
        <v>43862</v>
      </c>
      <c r="M124">
        <v>0</v>
      </c>
      <c r="N124" s="8" cm="1">
        <f t="array" ref="N124">_xlfn.SWITCH(Sales[[#This Row],[Subscription Type]],"Basic",10,"Premium",10,"Business",25,"Enterprise",27)</f>
        <v>10</v>
      </c>
      <c r="O124">
        <f>IF(Sales[[#This Row],[Number of Users]]-Sales[[#This Row],[Licenses Bought]]&lt;0,0,Sales[[#This Row],[Number of Users]]-Sales[[#This Row],[Licenses Bought]])</f>
        <v>58</v>
      </c>
      <c r="P124" s="8">
        <f>IF(Sales[[#This Row],[Sales Month]]=MAX(Sales[Sales Month]),Sales[[#This Row],[Non-Paying Users]]*Sales[[#This Row],[Upsell $ per Non-Paying User]],0)</f>
        <v>0</v>
      </c>
      <c r="Q124" t="str" cm="1">
        <f t="array" ref="Q124">_xlfn.IFS(Sales[[#This Row],[Current Upsell $]]=0,"",Sales[[#This Row],[Current Upsell $]]&gt;=400,"High",Sales[[#This Row],[Current Upsell $]]&gt;=100,"Medium",Sales[[#This Row],[Current Upsell $]]&lt;100,"Low")</f>
        <v/>
      </c>
      <c r="R124" t="str">
        <f>IF(Sales[[#This Row],[Current Upsell $]]&gt;0,_xlfn.CONCAT(Sales[[#This Row],[Subscription Type]]," ",Sales[[#This Row],[Upsell Priority]]," ",TEXT(Sales[[#This Row],[Current Upsell $]],"$#,#")),"")</f>
        <v/>
      </c>
    </row>
    <row r="125" spans="1:18" x14ac:dyDescent="0.25">
      <c r="A125">
        <v>100009</v>
      </c>
      <c r="B125" t="s">
        <v>1</v>
      </c>
      <c r="D125" s="1"/>
      <c r="E125" s="1"/>
      <c r="F125">
        <v>15</v>
      </c>
      <c r="G125">
        <v>63</v>
      </c>
      <c r="H125" s="1">
        <v>43862</v>
      </c>
      <c r="I125" s="1">
        <v>44378</v>
      </c>
      <c r="J125">
        <v>17</v>
      </c>
      <c r="K125">
        <v>0</v>
      </c>
      <c r="L125" s="1">
        <v>43891</v>
      </c>
      <c r="M125">
        <v>375</v>
      </c>
      <c r="N125" s="8" cm="1">
        <f t="array" ref="N125">_xlfn.SWITCH(Sales[[#This Row],[Subscription Type]],"Basic",10,"Premium",10,"Business",25,"Enterprise",27)</f>
        <v>25</v>
      </c>
      <c r="O125">
        <f>IF(Sales[[#This Row],[Number of Users]]-Sales[[#This Row],[Licenses Bought]]&lt;0,0,Sales[[#This Row],[Number of Users]]-Sales[[#This Row],[Licenses Bought]])</f>
        <v>48</v>
      </c>
      <c r="P125" s="8">
        <f>IF(Sales[[#This Row],[Sales Month]]=MAX(Sales[Sales Month]),Sales[[#This Row],[Non-Paying Users]]*Sales[[#This Row],[Upsell $ per Non-Paying User]],0)</f>
        <v>0</v>
      </c>
      <c r="Q125" t="str" cm="1">
        <f t="array" ref="Q125">_xlfn.IFS(Sales[[#This Row],[Current Upsell $]]=0,"",Sales[[#This Row],[Current Upsell $]]&gt;=400,"High",Sales[[#This Row],[Current Upsell $]]&gt;=100,"Medium",Sales[[#This Row],[Current Upsell $]]&lt;100,"Low")</f>
        <v/>
      </c>
      <c r="R125" t="str">
        <f>IF(Sales[[#This Row],[Current Upsell $]]&gt;0,_xlfn.CONCAT(Sales[[#This Row],[Subscription Type]]," ",Sales[[#This Row],[Upsell Priority]]," ",TEXT(Sales[[#This Row],[Current Upsell $]],"$#,#")),"")</f>
        <v/>
      </c>
    </row>
    <row r="126" spans="1:18" x14ac:dyDescent="0.25">
      <c r="A126">
        <v>100009</v>
      </c>
      <c r="B126" t="s">
        <v>1</v>
      </c>
      <c r="D126" s="1"/>
      <c r="E126" s="1"/>
      <c r="F126">
        <v>38</v>
      </c>
      <c r="G126">
        <v>56</v>
      </c>
      <c r="H126" s="1">
        <v>43862</v>
      </c>
      <c r="I126" s="1">
        <v>44378</v>
      </c>
      <c r="J126">
        <v>17</v>
      </c>
      <c r="K126">
        <v>0</v>
      </c>
      <c r="L126" s="1">
        <v>43922</v>
      </c>
      <c r="M126">
        <v>950</v>
      </c>
      <c r="N126" s="8" cm="1">
        <f t="array" ref="N126">_xlfn.SWITCH(Sales[[#This Row],[Subscription Type]],"Basic",10,"Premium",10,"Business",25,"Enterprise",27)</f>
        <v>25</v>
      </c>
      <c r="O126">
        <f>IF(Sales[[#This Row],[Number of Users]]-Sales[[#This Row],[Licenses Bought]]&lt;0,0,Sales[[#This Row],[Number of Users]]-Sales[[#This Row],[Licenses Bought]])</f>
        <v>18</v>
      </c>
      <c r="P126" s="8">
        <f>IF(Sales[[#This Row],[Sales Month]]=MAX(Sales[Sales Month]),Sales[[#This Row],[Non-Paying Users]]*Sales[[#This Row],[Upsell $ per Non-Paying User]],0)</f>
        <v>0</v>
      </c>
      <c r="Q126" t="str" cm="1">
        <f t="array" ref="Q126">_xlfn.IFS(Sales[[#This Row],[Current Upsell $]]=0,"",Sales[[#This Row],[Current Upsell $]]&gt;=400,"High",Sales[[#This Row],[Current Upsell $]]&gt;=100,"Medium",Sales[[#This Row],[Current Upsell $]]&lt;100,"Low")</f>
        <v/>
      </c>
      <c r="R126" t="str">
        <f>IF(Sales[[#This Row],[Current Upsell $]]&gt;0,_xlfn.CONCAT(Sales[[#This Row],[Subscription Type]]," ",Sales[[#This Row],[Upsell Priority]]," ",TEXT(Sales[[#This Row],[Current Upsell $]],"$#,#")),"")</f>
        <v/>
      </c>
    </row>
    <row r="127" spans="1:18" x14ac:dyDescent="0.25">
      <c r="A127">
        <v>100009</v>
      </c>
      <c r="B127" t="s">
        <v>1</v>
      </c>
      <c r="D127" s="1"/>
      <c r="E127" s="1"/>
      <c r="F127">
        <v>44</v>
      </c>
      <c r="G127">
        <v>53</v>
      </c>
      <c r="H127" s="1">
        <v>43862</v>
      </c>
      <c r="I127" s="1">
        <v>44378</v>
      </c>
      <c r="J127">
        <v>17</v>
      </c>
      <c r="K127">
        <v>0</v>
      </c>
      <c r="L127" s="1">
        <v>43952</v>
      </c>
      <c r="M127">
        <v>1100</v>
      </c>
      <c r="N127" s="8" cm="1">
        <f t="array" ref="N127">_xlfn.SWITCH(Sales[[#This Row],[Subscription Type]],"Basic",10,"Premium",10,"Business",25,"Enterprise",27)</f>
        <v>25</v>
      </c>
      <c r="O127">
        <f>IF(Sales[[#This Row],[Number of Users]]-Sales[[#This Row],[Licenses Bought]]&lt;0,0,Sales[[#This Row],[Number of Users]]-Sales[[#This Row],[Licenses Bought]])</f>
        <v>9</v>
      </c>
      <c r="P127" s="8">
        <f>IF(Sales[[#This Row],[Sales Month]]=MAX(Sales[Sales Month]),Sales[[#This Row],[Non-Paying Users]]*Sales[[#This Row],[Upsell $ per Non-Paying User]],0)</f>
        <v>0</v>
      </c>
      <c r="Q127" t="str" cm="1">
        <f t="array" ref="Q127">_xlfn.IFS(Sales[[#This Row],[Current Upsell $]]=0,"",Sales[[#This Row],[Current Upsell $]]&gt;=400,"High",Sales[[#This Row],[Current Upsell $]]&gt;=100,"Medium",Sales[[#This Row],[Current Upsell $]]&lt;100,"Low")</f>
        <v/>
      </c>
      <c r="R127" t="str">
        <f>IF(Sales[[#This Row],[Current Upsell $]]&gt;0,_xlfn.CONCAT(Sales[[#This Row],[Subscription Type]]," ",Sales[[#This Row],[Upsell Priority]]," ",TEXT(Sales[[#This Row],[Current Upsell $]],"$#,#")),"")</f>
        <v/>
      </c>
    </row>
    <row r="128" spans="1:18" x14ac:dyDescent="0.25">
      <c r="A128">
        <v>100009</v>
      </c>
      <c r="B128" t="s">
        <v>1</v>
      </c>
      <c r="D128" s="1"/>
      <c r="E128" s="1"/>
      <c r="F128">
        <v>52</v>
      </c>
      <c r="G128">
        <v>74</v>
      </c>
      <c r="H128" s="1">
        <v>43862</v>
      </c>
      <c r="I128" s="1">
        <v>44378</v>
      </c>
      <c r="J128">
        <v>17</v>
      </c>
      <c r="K128">
        <v>0</v>
      </c>
      <c r="L128" s="1">
        <v>43983</v>
      </c>
      <c r="M128">
        <v>1300</v>
      </c>
      <c r="N128" s="8" cm="1">
        <f t="array" ref="N128">_xlfn.SWITCH(Sales[[#This Row],[Subscription Type]],"Basic",10,"Premium",10,"Business",25,"Enterprise",27)</f>
        <v>25</v>
      </c>
      <c r="O128">
        <f>IF(Sales[[#This Row],[Number of Users]]-Sales[[#This Row],[Licenses Bought]]&lt;0,0,Sales[[#This Row],[Number of Users]]-Sales[[#This Row],[Licenses Bought]])</f>
        <v>22</v>
      </c>
      <c r="P128" s="8">
        <f>IF(Sales[[#This Row],[Sales Month]]=MAX(Sales[Sales Month]),Sales[[#This Row],[Non-Paying Users]]*Sales[[#This Row],[Upsell $ per Non-Paying User]],0)</f>
        <v>0</v>
      </c>
      <c r="Q128" t="str" cm="1">
        <f t="array" ref="Q128">_xlfn.IFS(Sales[[#This Row],[Current Upsell $]]=0,"",Sales[[#This Row],[Current Upsell $]]&gt;=400,"High",Sales[[#This Row],[Current Upsell $]]&gt;=100,"Medium",Sales[[#This Row],[Current Upsell $]]&lt;100,"Low")</f>
        <v/>
      </c>
      <c r="R128" t="str">
        <f>IF(Sales[[#This Row],[Current Upsell $]]&gt;0,_xlfn.CONCAT(Sales[[#This Row],[Subscription Type]]," ",Sales[[#This Row],[Upsell Priority]]," ",TEXT(Sales[[#This Row],[Current Upsell $]],"$#,#")),"")</f>
        <v/>
      </c>
    </row>
    <row r="129" spans="1:18" x14ac:dyDescent="0.25">
      <c r="A129">
        <v>100009</v>
      </c>
      <c r="B129" t="s">
        <v>1</v>
      </c>
      <c r="D129" s="1"/>
      <c r="E129" s="1"/>
      <c r="F129">
        <v>52</v>
      </c>
      <c r="G129">
        <v>64</v>
      </c>
      <c r="H129" s="1">
        <v>43862</v>
      </c>
      <c r="I129" s="1">
        <v>44378</v>
      </c>
      <c r="J129">
        <v>17</v>
      </c>
      <c r="K129">
        <v>0</v>
      </c>
      <c r="L129" s="1">
        <v>44013</v>
      </c>
      <c r="M129">
        <v>1300</v>
      </c>
      <c r="N129" s="8" cm="1">
        <f t="array" ref="N129">_xlfn.SWITCH(Sales[[#This Row],[Subscription Type]],"Basic",10,"Premium",10,"Business",25,"Enterprise",27)</f>
        <v>25</v>
      </c>
      <c r="O129">
        <f>IF(Sales[[#This Row],[Number of Users]]-Sales[[#This Row],[Licenses Bought]]&lt;0,0,Sales[[#This Row],[Number of Users]]-Sales[[#This Row],[Licenses Bought]])</f>
        <v>12</v>
      </c>
      <c r="P129" s="8">
        <f>IF(Sales[[#This Row],[Sales Month]]=MAX(Sales[Sales Month]),Sales[[#This Row],[Non-Paying Users]]*Sales[[#This Row],[Upsell $ per Non-Paying User]],0)</f>
        <v>0</v>
      </c>
      <c r="Q129" t="str" cm="1">
        <f t="array" ref="Q129">_xlfn.IFS(Sales[[#This Row],[Current Upsell $]]=0,"",Sales[[#This Row],[Current Upsell $]]&gt;=400,"High",Sales[[#This Row],[Current Upsell $]]&gt;=100,"Medium",Sales[[#This Row],[Current Upsell $]]&lt;100,"Low")</f>
        <v/>
      </c>
      <c r="R129" t="str">
        <f>IF(Sales[[#This Row],[Current Upsell $]]&gt;0,_xlfn.CONCAT(Sales[[#This Row],[Subscription Type]]," ",Sales[[#This Row],[Upsell Priority]]," ",TEXT(Sales[[#This Row],[Current Upsell $]],"$#,#")),"")</f>
        <v/>
      </c>
    </row>
    <row r="130" spans="1:18" x14ac:dyDescent="0.25">
      <c r="A130">
        <v>100009</v>
      </c>
      <c r="B130" t="s">
        <v>1</v>
      </c>
      <c r="D130" s="1"/>
      <c r="E130" s="1"/>
      <c r="F130">
        <v>52</v>
      </c>
      <c r="G130">
        <v>51</v>
      </c>
      <c r="H130" s="1">
        <v>43862</v>
      </c>
      <c r="I130" s="1">
        <v>44378</v>
      </c>
      <c r="J130">
        <v>17</v>
      </c>
      <c r="K130">
        <v>0</v>
      </c>
      <c r="L130" s="1">
        <v>44044</v>
      </c>
      <c r="M130">
        <v>1300</v>
      </c>
      <c r="N130" s="8" cm="1">
        <f t="array" ref="N130">_xlfn.SWITCH(Sales[[#This Row],[Subscription Type]],"Basic",10,"Premium",10,"Business",25,"Enterprise",27)</f>
        <v>25</v>
      </c>
      <c r="O130">
        <f>IF(Sales[[#This Row],[Number of Users]]-Sales[[#This Row],[Licenses Bought]]&lt;0,0,Sales[[#This Row],[Number of Users]]-Sales[[#This Row],[Licenses Bought]])</f>
        <v>0</v>
      </c>
      <c r="P130" s="8">
        <f>IF(Sales[[#This Row],[Sales Month]]=MAX(Sales[Sales Month]),Sales[[#This Row],[Non-Paying Users]]*Sales[[#This Row],[Upsell $ per Non-Paying User]],0)</f>
        <v>0</v>
      </c>
      <c r="Q130" t="str" cm="1">
        <f t="array" ref="Q130">_xlfn.IFS(Sales[[#This Row],[Current Upsell $]]=0,"",Sales[[#This Row],[Current Upsell $]]&gt;=400,"High",Sales[[#This Row],[Current Upsell $]]&gt;=100,"Medium",Sales[[#This Row],[Current Upsell $]]&lt;100,"Low")</f>
        <v/>
      </c>
      <c r="R130" t="str">
        <f>IF(Sales[[#This Row],[Current Upsell $]]&gt;0,_xlfn.CONCAT(Sales[[#This Row],[Subscription Type]]," ",Sales[[#This Row],[Upsell Priority]]," ",TEXT(Sales[[#This Row],[Current Upsell $]],"$#,#")),"")</f>
        <v/>
      </c>
    </row>
    <row r="131" spans="1:18" x14ac:dyDescent="0.25">
      <c r="A131">
        <v>100009</v>
      </c>
      <c r="B131" t="s">
        <v>1</v>
      </c>
      <c r="D131" s="1"/>
      <c r="E131" s="1"/>
      <c r="F131">
        <v>52</v>
      </c>
      <c r="G131">
        <v>63</v>
      </c>
      <c r="H131" s="1">
        <v>43862</v>
      </c>
      <c r="I131" s="1">
        <v>44378</v>
      </c>
      <c r="J131">
        <v>17</v>
      </c>
      <c r="K131">
        <v>0</v>
      </c>
      <c r="L131" s="1">
        <v>44075</v>
      </c>
      <c r="M131">
        <v>1300</v>
      </c>
      <c r="N131" s="8" cm="1">
        <f t="array" ref="N131">_xlfn.SWITCH(Sales[[#This Row],[Subscription Type]],"Basic",10,"Premium",10,"Business",25,"Enterprise",27)</f>
        <v>25</v>
      </c>
      <c r="O131">
        <f>IF(Sales[[#This Row],[Number of Users]]-Sales[[#This Row],[Licenses Bought]]&lt;0,0,Sales[[#This Row],[Number of Users]]-Sales[[#This Row],[Licenses Bought]])</f>
        <v>11</v>
      </c>
      <c r="P131" s="8">
        <f>IF(Sales[[#This Row],[Sales Month]]=MAX(Sales[Sales Month]),Sales[[#This Row],[Non-Paying Users]]*Sales[[#This Row],[Upsell $ per Non-Paying User]],0)</f>
        <v>0</v>
      </c>
      <c r="Q131" t="str" cm="1">
        <f t="array" ref="Q131">_xlfn.IFS(Sales[[#This Row],[Current Upsell $]]=0,"",Sales[[#This Row],[Current Upsell $]]&gt;=400,"High",Sales[[#This Row],[Current Upsell $]]&gt;=100,"Medium",Sales[[#This Row],[Current Upsell $]]&lt;100,"Low")</f>
        <v/>
      </c>
      <c r="R131" t="str">
        <f>IF(Sales[[#This Row],[Current Upsell $]]&gt;0,_xlfn.CONCAT(Sales[[#This Row],[Subscription Type]]," ",Sales[[#This Row],[Upsell Priority]]," ",TEXT(Sales[[#This Row],[Current Upsell $]],"$#,#")),"")</f>
        <v/>
      </c>
    </row>
    <row r="132" spans="1:18" x14ac:dyDescent="0.25">
      <c r="A132">
        <v>100009</v>
      </c>
      <c r="B132" t="s">
        <v>1</v>
      </c>
      <c r="D132" s="1"/>
      <c r="E132" s="1"/>
      <c r="F132">
        <v>52</v>
      </c>
      <c r="G132">
        <v>62</v>
      </c>
      <c r="H132" s="1">
        <v>43862</v>
      </c>
      <c r="I132" s="1">
        <v>44378</v>
      </c>
      <c r="J132">
        <v>17</v>
      </c>
      <c r="K132">
        <v>0</v>
      </c>
      <c r="L132" s="1">
        <v>44105</v>
      </c>
      <c r="M132">
        <v>1300</v>
      </c>
      <c r="N132" s="8" cm="1">
        <f t="array" ref="N132">_xlfn.SWITCH(Sales[[#This Row],[Subscription Type]],"Basic",10,"Premium",10,"Business",25,"Enterprise",27)</f>
        <v>25</v>
      </c>
      <c r="O132">
        <f>IF(Sales[[#This Row],[Number of Users]]-Sales[[#This Row],[Licenses Bought]]&lt;0,0,Sales[[#This Row],[Number of Users]]-Sales[[#This Row],[Licenses Bought]])</f>
        <v>10</v>
      </c>
      <c r="P132" s="8">
        <f>IF(Sales[[#This Row],[Sales Month]]=MAX(Sales[Sales Month]),Sales[[#This Row],[Non-Paying Users]]*Sales[[#This Row],[Upsell $ per Non-Paying User]],0)</f>
        <v>0</v>
      </c>
      <c r="Q132" t="str" cm="1">
        <f t="array" ref="Q132">_xlfn.IFS(Sales[[#This Row],[Current Upsell $]]=0,"",Sales[[#This Row],[Current Upsell $]]&gt;=400,"High",Sales[[#This Row],[Current Upsell $]]&gt;=100,"Medium",Sales[[#This Row],[Current Upsell $]]&lt;100,"Low")</f>
        <v/>
      </c>
      <c r="R132" t="str">
        <f>IF(Sales[[#This Row],[Current Upsell $]]&gt;0,_xlfn.CONCAT(Sales[[#This Row],[Subscription Type]]," ",Sales[[#This Row],[Upsell Priority]]," ",TEXT(Sales[[#This Row],[Current Upsell $]],"$#,#")),"")</f>
        <v/>
      </c>
    </row>
    <row r="133" spans="1:18" x14ac:dyDescent="0.25">
      <c r="A133">
        <v>100009</v>
      </c>
      <c r="B133" t="s">
        <v>1</v>
      </c>
      <c r="D133" s="1"/>
      <c r="E133" s="1"/>
      <c r="F133">
        <v>52</v>
      </c>
      <c r="G133">
        <v>59</v>
      </c>
      <c r="H133" s="1">
        <v>43862</v>
      </c>
      <c r="I133" s="1">
        <v>44378</v>
      </c>
      <c r="J133">
        <v>17</v>
      </c>
      <c r="K133">
        <v>0</v>
      </c>
      <c r="L133" s="1">
        <v>44136</v>
      </c>
      <c r="M133">
        <v>1300</v>
      </c>
      <c r="N133" s="8" cm="1">
        <f t="array" ref="N133">_xlfn.SWITCH(Sales[[#This Row],[Subscription Type]],"Basic",10,"Premium",10,"Business",25,"Enterprise",27)</f>
        <v>25</v>
      </c>
      <c r="O133">
        <f>IF(Sales[[#This Row],[Number of Users]]-Sales[[#This Row],[Licenses Bought]]&lt;0,0,Sales[[#This Row],[Number of Users]]-Sales[[#This Row],[Licenses Bought]])</f>
        <v>7</v>
      </c>
      <c r="P133" s="8">
        <f>IF(Sales[[#This Row],[Sales Month]]=MAX(Sales[Sales Month]),Sales[[#This Row],[Non-Paying Users]]*Sales[[#This Row],[Upsell $ per Non-Paying User]],0)</f>
        <v>0</v>
      </c>
      <c r="Q133" t="str" cm="1">
        <f t="array" ref="Q133">_xlfn.IFS(Sales[[#This Row],[Current Upsell $]]=0,"",Sales[[#This Row],[Current Upsell $]]&gt;=400,"High",Sales[[#This Row],[Current Upsell $]]&gt;=100,"Medium",Sales[[#This Row],[Current Upsell $]]&lt;100,"Low")</f>
        <v/>
      </c>
      <c r="R133" t="str">
        <f>IF(Sales[[#This Row],[Current Upsell $]]&gt;0,_xlfn.CONCAT(Sales[[#This Row],[Subscription Type]]," ",Sales[[#This Row],[Upsell Priority]]," ",TEXT(Sales[[#This Row],[Current Upsell $]],"$#,#")),"")</f>
        <v/>
      </c>
    </row>
    <row r="134" spans="1:18" x14ac:dyDescent="0.25">
      <c r="A134">
        <v>100009</v>
      </c>
      <c r="B134" t="s">
        <v>1</v>
      </c>
      <c r="D134" s="1"/>
      <c r="E134" s="1"/>
      <c r="F134">
        <v>52</v>
      </c>
      <c r="G134">
        <v>66</v>
      </c>
      <c r="H134" s="1">
        <v>43862</v>
      </c>
      <c r="I134" s="1">
        <v>44378</v>
      </c>
      <c r="J134">
        <v>17</v>
      </c>
      <c r="K134">
        <v>0</v>
      </c>
      <c r="L134" s="1">
        <v>44166</v>
      </c>
      <c r="M134">
        <v>1300</v>
      </c>
      <c r="N134" s="8" cm="1">
        <f t="array" ref="N134">_xlfn.SWITCH(Sales[[#This Row],[Subscription Type]],"Basic",10,"Premium",10,"Business",25,"Enterprise",27)</f>
        <v>25</v>
      </c>
      <c r="O134">
        <f>IF(Sales[[#This Row],[Number of Users]]-Sales[[#This Row],[Licenses Bought]]&lt;0,0,Sales[[#This Row],[Number of Users]]-Sales[[#This Row],[Licenses Bought]])</f>
        <v>14</v>
      </c>
      <c r="P134" s="8">
        <f>IF(Sales[[#This Row],[Sales Month]]=MAX(Sales[Sales Month]),Sales[[#This Row],[Non-Paying Users]]*Sales[[#This Row],[Upsell $ per Non-Paying User]],0)</f>
        <v>0</v>
      </c>
      <c r="Q134" t="str" cm="1">
        <f t="array" ref="Q134">_xlfn.IFS(Sales[[#This Row],[Current Upsell $]]=0,"",Sales[[#This Row],[Current Upsell $]]&gt;=400,"High",Sales[[#This Row],[Current Upsell $]]&gt;=100,"Medium",Sales[[#This Row],[Current Upsell $]]&lt;100,"Low")</f>
        <v/>
      </c>
      <c r="R134" t="str">
        <f>IF(Sales[[#This Row],[Current Upsell $]]&gt;0,_xlfn.CONCAT(Sales[[#This Row],[Subscription Type]]," ",Sales[[#This Row],[Upsell Priority]]," ",TEXT(Sales[[#This Row],[Current Upsell $]],"$#,#")),"")</f>
        <v/>
      </c>
    </row>
    <row r="135" spans="1:18" x14ac:dyDescent="0.25">
      <c r="A135">
        <v>100009</v>
      </c>
      <c r="B135" t="s">
        <v>1</v>
      </c>
      <c r="D135" s="1"/>
      <c r="E135" s="1"/>
      <c r="F135">
        <v>52</v>
      </c>
      <c r="G135">
        <v>56</v>
      </c>
      <c r="H135" s="1">
        <v>43862</v>
      </c>
      <c r="I135" s="1">
        <v>44378</v>
      </c>
      <c r="J135">
        <v>17</v>
      </c>
      <c r="K135">
        <v>0</v>
      </c>
      <c r="L135" s="1">
        <v>44197</v>
      </c>
      <c r="M135">
        <v>1300</v>
      </c>
      <c r="N135" s="8" cm="1">
        <f t="array" ref="N135">_xlfn.SWITCH(Sales[[#This Row],[Subscription Type]],"Basic",10,"Premium",10,"Business",25,"Enterprise",27)</f>
        <v>25</v>
      </c>
      <c r="O135">
        <f>IF(Sales[[#This Row],[Number of Users]]-Sales[[#This Row],[Licenses Bought]]&lt;0,0,Sales[[#This Row],[Number of Users]]-Sales[[#This Row],[Licenses Bought]])</f>
        <v>4</v>
      </c>
      <c r="P135" s="8">
        <f>IF(Sales[[#This Row],[Sales Month]]=MAX(Sales[Sales Month]),Sales[[#This Row],[Non-Paying Users]]*Sales[[#This Row],[Upsell $ per Non-Paying User]],0)</f>
        <v>0</v>
      </c>
      <c r="Q135" t="str" cm="1">
        <f t="array" ref="Q135">_xlfn.IFS(Sales[[#This Row],[Current Upsell $]]=0,"",Sales[[#This Row],[Current Upsell $]]&gt;=400,"High",Sales[[#This Row],[Current Upsell $]]&gt;=100,"Medium",Sales[[#This Row],[Current Upsell $]]&lt;100,"Low")</f>
        <v/>
      </c>
      <c r="R135" t="str">
        <f>IF(Sales[[#This Row],[Current Upsell $]]&gt;0,_xlfn.CONCAT(Sales[[#This Row],[Subscription Type]]," ",Sales[[#This Row],[Upsell Priority]]," ",TEXT(Sales[[#This Row],[Current Upsell $]],"$#,#")),"")</f>
        <v/>
      </c>
    </row>
    <row r="136" spans="1:18" x14ac:dyDescent="0.25">
      <c r="A136">
        <v>100009</v>
      </c>
      <c r="B136" t="s">
        <v>1</v>
      </c>
      <c r="D136" s="1"/>
      <c r="E136" s="1"/>
      <c r="F136">
        <v>52</v>
      </c>
      <c r="G136">
        <v>62</v>
      </c>
      <c r="H136" s="1">
        <v>43862</v>
      </c>
      <c r="I136" s="1">
        <v>44378</v>
      </c>
      <c r="J136">
        <v>17</v>
      </c>
      <c r="K136">
        <v>0</v>
      </c>
      <c r="L136" s="1">
        <v>44228</v>
      </c>
      <c r="M136">
        <v>1300</v>
      </c>
      <c r="N136" s="8" cm="1">
        <f t="array" ref="N136">_xlfn.SWITCH(Sales[[#This Row],[Subscription Type]],"Basic",10,"Premium",10,"Business",25,"Enterprise",27)</f>
        <v>25</v>
      </c>
      <c r="O136">
        <f>IF(Sales[[#This Row],[Number of Users]]-Sales[[#This Row],[Licenses Bought]]&lt;0,0,Sales[[#This Row],[Number of Users]]-Sales[[#This Row],[Licenses Bought]])</f>
        <v>10</v>
      </c>
      <c r="P136" s="8">
        <f>IF(Sales[[#This Row],[Sales Month]]=MAX(Sales[Sales Month]),Sales[[#This Row],[Non-Paying Users]]*Sales[[#This Row],[Upsell $ per Non-Paying User]],0)</f>
        <v>0</v>
      </c>
      <c r="Q136" t="str" cm="1">
        <f t="array" ref="Q136">_xlfn.IFS(Sales[[#This Row],[Current Upsell $]]=0,"",Sales[[#This Row],[Current Upsell $]]&gt;=400,"High",Sales[[#This Row],[Current Upsell $]]&gt;=100,"Medium",Sales[[#This Row],[Current Upsell $]]&lt;100,"Low")</f>
        <v/>
      </c>
      <c r="R136" t="str">
        <f>IF(Sales[[#This Row],[Current Upsell $]]&gt;0,_xlfn.CONCAT(Sales[[#This Row],[Subscription Type]]," ",Sales[[#This Row],[Upsell Priority]]," ",TEXT(Sales[[#This Row],[Current Upsell $]],"$#,#")),"")</f>
        <v/>
      </c>
    </row>
    <row r="137" spans="1:18" x14ac:dyDescent="0.25">
      <c r="A137">
        <v>100009</v>
      </c>
      <c r="B137" t="s">
        <v>1</v>
      </c>
      <c r="D137" s="1"/>
      <c r="E137" s="1"/>
      <c r="F137">
        <v>52</v>
      </c>
      <c r="G137">
        <v>61</v>
      </c>
      <c r="H137" s="1">
        <v>43862</v>
      </c>
      <c r="I137" s="1">
        <v>44378</v>
      </c>
      <c r="J137">
        <v>17</v>
      </c>
      <c r="K137">
        <v>0</v>
      </c>
      <c r="L137" s="1">
        <v>44256</v>
      </c>
      <c r="M137">
        <v>1300</v>
      </c>
      <c r="N137" s="8" cm="1">
        <f t="array" ref="N137">_xlfn.SWITCH(Sales[[#This Row],[Subscription Type]],"Basic",10,"Premium",10,"Business",25,"Enterprise",27)</f>
        <v>25</v>
      </c>
      <c r="O137">
        <f>IF(Sales[[#This Row],[Number of Users]]-Sales[[#This Row],[Licenses Bought]]&lt;0,0,Sales[[#This Row],[Number of Users]]-Sales[[#This Row],[Licenses Bought]])</f>
        <v>9</v>
      </c>
      <c r="P137" s="8">
        <f>IF(Sales[[#This Row],[Sales Month]]=MAX(Sales[Sales Month]),Sales[[#This Row],[Non-Paying Users]]*Sales[[#This Row],[Upsell $ per Non-Paying User]],0)</f>
        <v>0</v>
      </c>
      <c r="Q137" t="str" cm="1">
        <f t="array" ref="Q137">_xlfn.IFS(Sales[[#This Row],[Current Upsell $]]=0,"",Sales[[#This Row],[Current Upsell $]]&gt;=400,"High",Sales[[#This Row],[Current Upsell $]]&gt;=100,"Medium",Sales[[#This Row],[Current Upsell $]]&lt;100,"Low")</f>
        <v/>
      </c>
      <c r="R137" t="str">
        <f>IF(Sales[[#This Row],[Current Upsell $]]&gt;0,_xlfn.CONCAT(Sales[[#This Row],[Subscription Type]]," ",Sales[[#This Row],[Upsell Priority]]," ",TEXT(Sales[[#This Row],[Current Upsell $]],"$#,#")),"")</f>
        <v/>
      </c>
    </row>
    <row r="138" spans="1:18" x14ac:dyDescent="0.25">
      <c r="A138">
        <v>100009</v>
      </c>
      <c r="B138" t="s">
        <v>1</v>
      </c>
      <c r="D138" s="1"/>
      <c r="E138" s="1"/>
      <c r="F138">
        <v>52</v>
      </c>
      <c r="G138">
        <v>64</v>
      </c>
      <c r="H138" s="1">
        <v>43862</v>
      </c>
      <c r="I138" s="1">
        <v>44378</v>
      </c>
      <c r="J138">
        <v>17</v>
      </c>
      <c r="K138">
        <v>0</v>
      </c>
      <c r="L138" s="1">
        <v>44287</v>
      </c>
      <c r="M138">
        <v>1300</v>
      </c>
      <c r="N138" s="8" cm="1">
        <f t="array" ref="N138">_xlfn.SWITCH(Sales[[#This Row],[Subscription Type]],"Basic",10,"Premium",10,"Business",25,"Enterprise",27)</f>
        <v>25</v>
      </c>
      <c r="O138">
        <f>IF(Sales[[#This Row],[Number of Users]]-Sales[[#This Row],[Licenses Bought]]&lt;0,0,Sales[[#This Row],[Number of Users]]-Sales[[#This Row],[Licenses Bought]])</f>
        <v>12</v>
      </c>
      <c r="P138" s="8">
        <f>IF(Sales[[#This Row],[Sales Month]]=MAX(Sales[Sales Month]),Sales[[#This Row],[Non-Paying Users]]*Sales[[#This Row],[Upsell $ per Non-Paying User]],0)</f>
        <v>0</v>
      </c>
      <c r="Q138" t="str" cm="1">
        <f t="array" ref="Q138">_xlfn.IFS(Sales[[#This Row],[Current Upsell $]]=0,"",Sales[[#This Row],[Current Upsell $]]&gt;=400,"High",Sales[[#This Row],[Current Upsell $]]&gt;=100,"Medium",Sales[[#This Row],[Current Upsell $]]&lt;100,"Low")</f>
        <v/>
      </c>
      <c r="R138" t="str">
        <f>IF(Sales[[#This Row],[Current Upsell $]]&gt;0,_xlfn.CONCAT(Sales[[#This Row],[Subscription Type]]," ",Sales[[#This Row],[Upsell Priority]]," ",TEXT(Sales[[#This Row],[Current Upsell $]],"$#,#")),"")</f>
        <v/>
      </c>
    </row>
    <row r="139" spans="1:18" x14ac:dyDescent="0.25">
      <c r="A139">
        <v>100009</v>
      </c>
      <c r="B139" t="s">
        <v>1</v>
      </c>
      <c r="D139" s="1"/>
      <c r="E139" s="1"/>
      <c r="F139">
        <v>52</v>
      </c>
      <c r="G139">
        <v>63</v>
      </c>
      <c r="H139" s="1">
        <v>43862</v>
      </c>
      <c r="I139" s="1">
        <v>44378</v>
      </c>
      <c r="J139">
        <v>17</v>
      </c>
      <c r="K139">
        <v>0</v>
      </c>
      <c r="L139" s="1">
        <v>44317</v>
      </c>
      <c r="M139">
        <v>1300</v>
      </c>
      <c r="N139" s="8" cm="1">
        <f t="array" ref="N139">_xlfn.SWITCH(Sales[[#This Row],[Subscription Type]],"Basic",10,"Premium",10,"Business",25,"Enterprise",27)</f>
        <v>25</v>
      </c>
      <c r="O139">
        <f>IF(Sales[[#This Row],[Number of Users]]-Sales[[#This Row],[Licenses Bought]]&lt;0,0,Sales[[#This Row],[Number of Users]]-Sales[[#This Row],[Licenses Bought]])</f>
        <v>11</v>
      </c>
      <c r="P139" s="8">
        <f>IF(Sales[[#This Row],[Sales Month]]=MAX(Sales[Sales Month]),Sales[[#This Row],[Non-Paying Users]]*Sales[[#This Row],[Upsell $ per Non-Paying User]],0)</f>
        <v>0</v>
      </c>
      <c r="Q139" t="str" cm="1">
        <f t="array" ref="Q139">_xlfn.IFS(Sales[[#This Row],[Current Upsell $]]=0,"",Sales[[#This Row],[Current Upsell $]]&gt;=400,"High",Sales[[#This Row],[Current Upsell $]]&gt;=100,"Medium",Sales[[#This Row],[Current Upsell $]]&lt;100,"Low")</f>
        <v/>
      </c>
      <c r="R139" t="str">
        <f>IF(Sales[[#This Row],[Current Upsell $]]&gt;0,_xlfn.CONCAT(Sales[[#This Row],[Subscription Type]]," ",Sales[[#This Row],[Upsell Priority]]," ",TEXT(Sales[[#This Row],[Current Upsell $]],"$#,#")),"")</f>
        <v/>
      </c>
    </row>
    <row r="140" spans="1:18" x14ac:dyDescent="0.25">
      <c r="A140">
        <v>100009</v>
      </c>
      <c r="B140" t="s">
        <v>1</v>
      </c>
      <c r="D140" s="1"/>
      <c r="E140" s="1"/>
      <c r="F140">
        <v>52</v>
      </c>
      <c r="G140">
        <v>53</v>
      </c>
      <c r="H140" s="1">
        <v>43862</v>
      </c>
      <c r="I140" s="1">
        <v>44378</v>
      </c>
      <c r="J140">
        <v>17</v>
      </c>
      <c r="K140">
        <v>0</v>
      </c>
      <c r="L140" s="1">
        <v>44348</v>
      </c>
      <c r="M140">
        <v>1300</v>
      </c>
      <c r="N140" s="8" cm="1">
        <f t="array" ref="N140">_xlfn.SWITCH(Sales[[#This Row],[Subscription Type]],"Basic",10,"Premium",10,"Business",25,"Enterprise",27)</f>
        <v>25</v>
      </c>
      <c r="O140">
        <f>IF(Sales[[#This Row],[Number of Users]]-Sales[[#This Row],[Licenses Bought]]&lt;0,0,Sales[[#This Row],[Number of Users]]-Sales[[#This Row],[Licenses Bought]])</f>
        <v>1</v>
      </c>
      <c r="P140" s="8">
        <f>IF(Sales[[#This Row],[Sales Month]]=MAX(Sales[Sales Month]),Sales[[#This Row],[Non-Paying Users]]*Sales[[#This Row],[Upsell $ per Non-Paying User]],0)</f>
        <v>25</v>
      </c>
      <c r="Q140" t="str" cm="1">
        <f t="array" ref="Q140">_xlfn.IFS(Sales[[#This Row],[Current Upsell $]]=0,"",Sales[[#This Row],[Current Upsell $]]&gt;=400,"High",Sales[[#This Row],[Current Upsell $]]&gt;=100,"Medium",Sales[[#This Row],[Current Upsell $]]&lt;100,"Low")</f>
        <v>Low</v>
      </c>
      <c r="R140" t="str">
        <f>IF(Sales[[#This Row],[Current Upsell $]]&gt;0,_xlfn.CONCAT(Sales[[#This Row],[Subscription Type]]," ",Sales[[#This Row],[Upsell Priority]]," ",TEXT(Sales[[#This Row],[Current Upsell $]],"$#,#")),"")</f>
        <v>Business Low $25</v>
      </c>
    </row>
    <row r="141" spans="1:18" x14ac:dyDescent="0.25">
      <c r="A141">
        <v>100010</v>
      </c>
      <c r="B141" t="s">
        <v>3</v>
      </c>
      <c r="F141">
        <v>0</v>
      </c>
      <c r="G141">
        <v>2</v>
      </c>
      <c r="H141" s="1">
        <v>43862</v>
      </c>
      <c r="I141" s="1">
        <v>44075</v>
      </c>
      <c r="J141">
        <v>7</v>
      </c>
      <c r="K141">
        <v>9</v>
      </c>
      <c r="L141" s="1">
        <v>43862</v>
      </c>
      <c r="M141">
        <v>0</v>
      </c>
      <c r="N141" s="8" cm="1">
        <f t="array" ref="N141">_xlfn.SWITCH(Sales[[#This Row],[Subscription Type]],"Basic",10,"Premium",10,"Business",25,"Enterprise",27)</f>
        <v>10</v>
      </c>
      <c r="O141">
        <f>IF(Sales[[#This Row],[Number of Users]]-Sales[[#This Row],[Licenses Bought]]&lt;0,0,Sales[[#This Row],[Number of Users]]-Sales[[#This Row],[Licenses Bought]])</f>
        <v>2</v>
      </c>
      <c r="P141" s="8">
        <f>IF(Sales[[#This Row],[Sales Month]]=MAX(Sales[Sales Month]),Sales[[#This Row],[Non-Paying Users]]*Sales[[#This Row],[Upsell $ per Non-Paying User]],0)</f>
        <v>0</v>
      </c>
      <c r="Q141" t="str" cm="1">
        <f t="array" ref="Q141">_xlfn.IFS(Sales[[#This Row],[Current Upsell $]]=0,"",Sales[[#This Row],[Current Upsell $]]&gt;=400,"High",Sales[[#This Row],[Current Upsell $]]&gt;=100,"Medium",Sales[[#This Row],[Current Upsell $]]&lt;100,"Low")</f>
        <v/>
      </c>
      <c r="R141" t="str">
        <f>IF(Sales[[#This Row],[Current Upsell $]]&gt;0,_xlfn.CONCAT(Sales[[#This Row],[Subscription Type]]," ",Sales[[#This Row],[Upsell Priority]]," ",TEXT(Sales[[#This Row],[Current Upsell $]],"$#,#")),"")</f>
        <v/>
      </c>
    </row>
    <row r="142" spans="1:18" x14ac:dyDescent="0.25">
      <c r="A142">
        <v>100010</v>
      </c>
      <c r="B142" t="s">
        <v>3</v>
      </c>
      <c r="F142">
        <v>0</v>
      </c>
      <c r="G142">
        <v>2</v>
      </c>
      <c r="H142" s="1">
        <v>43862</v>
      </c>
      <c r="I142" s="1">
        <v>44075</v>
      </c>
      <c r="J142">
        <v>7</v>
      </c>
      <c r="K142">
        <v>9</v>
      </c>
      <c r="L142" s="1">
        <v>43891</v>
      </c>
      <c r="M142">
        <v>0</v>
      </c>
      <c r="N142" s="8" cm="1">
        <f t="array" ref="N142">_xlfn.SWITCH(Sales[[#This Row],[Subscription Type]],"Basic",10,"Premium",10,"Business",25,"Enterprise",27)</f>
        <v>10</v>
      </c>
      <c r="O142">
        <f>IF(Sales[[#This Row],[Number of Users]]-Sales[[#This Row],[Licenses Bought]]&lt;0,0,Sales[[#This Row],[Number of Users]]-Sales[[#This Row],[Licenses Bought]])</f>
        <v>2</v>
      </c>
      <c r="P142" s="8">
        <f>IF(Sales[[#This Row],[Sales Month]]=MAX(Sales[Sales Month]),Sales[[#This Row],[Non-Paying Users]]*Sales[[#This Row],[Upsell $ per Non-Paying User]],0)</f>
        <v>0</v>
      </c>
      <c r="Q142" t="str" cm="1">
        <f t="array" ref="Q142">_xlfn.IFS(Sales[[#This Row],[Current Upsell $]]=0,"",Sales[[#This Row],[Current Upsell $]]&gt;=400,"High",Sales[[#This Row],[Current Upsell $]]&gt;=100,"Medium",Sales[[#This Row],[Current Upsell $]]&lt;100,"Low")</f>
        <v/>
      </c>
      <c r="R142" t="str">
        <f>IF(Sales[[#This Row],[Current Upsell $]]&gt;0,_xlfn.CONCAT(Sales[[#This Row],[Subscription Type]]," ",Sales[[#This Row],[Upsell Priority]]," ",TEXT(Sales[[#This Row],[Current Upsell $]],"$#,#")),"")</f>
        <v/>
      </c>
    </row>
    <row r="143" spans="1:18" x14ac:dyDescent="0.25">
      <c r="A143">
        <v>100010</v>
      </c>
      <c r="B143" t="s">
        <v>3</v>
      </c>
      <c r="F143">
        <v>0</v>
      </c>
      <c r="G143">
        <v>2</v>
      </c>
      <c r="H143" s="1">
        <v>43862</v>
      </c>
      <c r="I143" s="1">
        <v>44075</v>
      </c>
      <c r="J143">
        <v>7</v>
      </c>
      <c r="K143">
        <v>9</v>
      </c>
      <c r="L143" s="1">
        <v>43922</v>
      </c>
      <c r="M143">
        <v>0</v>
      </c>
      <c r="N143" s="8" cm="1">
        <f t="array" ref="N143">_xlfn.SWITCH(Sales[[#This Row],[Subscription Type]],"Basic",10,"Premium",10,"Business",25,"Enterprise",27)</f>
        <v>10</v>
      </c>
      <c r="O143">
        <f>IF(Sales[[#This Row],[Number of Users]]-Sales[[#This Row],[Licenses Bought]]&lt;0,0,Sales[[#This Row],[Number of Users]]-Sales[[#This Row],[Licenses Bought]])</f>
        <v>2</v>
      </c>
      <c r="P143" s="8">
        <f>IF(Sales[[#This Row],[Sales Month]]=MAX(Sales[Sales Month]),Sales[[#This Row],[Non-Paying Users]]*Sales[[#This Row],[Upsell $ per Non-Paying User]],0)</f>
        <v>0</v>
      </c>
      <c r="Q143" t="str" cm="1">
        <f t="array" ref="Q143">_xlfn.IFS(Sales[[#This Row],[Current Upsell $]]=0,"",Sales[[#This Row],[Current Upsell $]]&gt;=400,"High",Sales[[#This Row],[Current Upsell $]]&gt;=100,"Medium",Sales[[#This Row],[Current Upsell $]]&lt;100,"Low")</f>
        <v/>
      </c>
      <c r="R143" t="str">
        <f>IF(Sales[[#This Row],[Current Upsell $]]&gt;0,_xlfn.CONCAT(Sales[[#This Row],[Subscription Type]]," ",Sales[[#This Row],[Upsell Priority]]," ",TEXT(Sales[[#This Row],[Current Upsell $]],"$#,#")),"")</f>
        <v/>
      </c>
    </row>
    <row r="144" spans="1:18" x14ac:dyDescent="0.25">
      <c r="A144">
        <v>100010</v>
      </c>
      <c r="B144" t="s">
        <v>3</v>
      </c>
      <c r="F144">
        <v>0</v>
      </c>
      <c r="G144">
        <v>2</v>
      </c>
      <c r="H144" s="1">
        <v>43862</v>
      </c>
      <c r="I144" s="1">
        <v>44075</v>
      </c>
      <c r="J144">
        <v>7</v>
      </c>
      <c r="K144">
        <v>9</v>
      </c>
      <c r="L144" s="1">
        <v>43952</v>
      </c>
      <c r="M144">
        <v>0</v>
      </c>
      <c r="N144" s="8" cm="1">
        <f t="array" ref="N144">_xlfn.SWITCH(Sales[[#This Row],[Subscription Type]],"Basic",10,"Premium",10,"Business",25,"Enterprise",27)</f>
        <v>10</v>
      </c>
      <c r="O144">
        <f>IF(Sales[[#This Row],[Number of Users]]-Sales[[#This Row],[Licenses Bought]]&lt;0,0,Sales[[#This Row],[Number of Users]]-Sales[[#This Row],[Licenses Bought]])</f>
        <v>2</v>
      </c>
      <c r="P144" s="8">
        <f>IF(Sales[[#This Row],[Sales Month]]=MAX(Sales[Sales Month]),Sales[[#This Row],[Non-Paying Users]]*Sales[[#This Row],[Upsell $ per Non-Paying User]],0)</f>
        <v>0</v>
      </c>
      <c r="Q144" t="str" cm="1">
        <f t="array" ref="Q144">_xlfn.IFS(Sales[[#This Row],[Current Upsell $]]=0,"",Sales[[#This Row],[Current Upsell $]]&gt;=400,"High",Sales[[#This Row],[Current Upsell $]]&gt;=100,"Medium",Sales[[#This Row],[Current Upsell $]]&lt;100,"Low")</f>
        <v/>
      </c>
      <c r="R144" t="str">
        <f>IF(Sales[[#This Row],[Current Upsell $]]&gt;0,_xlfn.CONCAT(Sales[[#This Row],[Subscription Type]]," ",Sales[[#This Row],[Upsell Priority]]," ",TEXT(Sales[[#This Row],[Current Upsell $]],"$#,#")),"")</f>
        <v/>
      </c>
    </row>
    <row r="145" spans="1:18" x14ac:dyDescent="0.25">
      <c r="A145">
        <v>100010</v>
      </c>
      <c r="B145" t="s">
        <v>3</v>
      </c>
      <c r="F145">
        <v>0</v>
      </c>
      <c r="G145">
        <v>2</v>
      </c>
      <c r="H145" s="1">
        <v>43862</v>
      </c>
      <c r="I145" s="1">
        <v>44075</v>
      </c>
      <c r="J145">
        <v>7</v>
      </c>
      <c r="K145">
        <v>9</v>
      </c>
      <c r="L145" s="1">
        <v>43983</v>
      </c>
      <c r="M145">
        <v>0</v>
      </c>
      <c r="N145" s="8" cm="1">
        <f t="array" ref="N145">_xlfn.SWITCH(Sales[[#This Row],[Subscription Type]],"Basic",10,"Premium",10,"Business",25,"Enterprise",27)</f>
        <v>10</v>
      </c>
      <c r="O145">
        <f>IF(Sales[[#This Row],[Number of Users]]-Sales[[#This Row],[Licenses Bought]]&lt;0,0,Sales[[#This Row],[Number of Users]]-Sales[[#This Row],[Licenses Bought]])</f>
        <v>2</v>
      </c>
      <c r="P145" s="8">
        <f>IF(Sales[[#This Row],[Sales Month]]=MAX(Sales[Sales Month]),Sales[[#This Row],[Non-Paying Users]]*Sales[[#This Row],[Upsell $ per Non-Paying User]],0)</f>
        <v>0</v>
      </c>
      <c r="Q145" t="str" cm="1">
        <f t="array" ref="Q145">_xlfn.IFS(Sales[[#This Row],[Current Upsell $]]=0,"",Sales[[#This Row],[Current Upsell $]]&gt;=400,"High",Sales[[#This Row],[Current Upsell $]]&gt;=100,"Medium",Sales[[#This Row],[Current Upsell $]]&lt;100,"Low")</f>
        <v/>
      </c>
      <c r="R145" t="str">
        <f>IF(Sales[[#This Row],[Current Upsell $]]&gt;0,_xlfn.CONCAT(Sales[[#This Row],[Subscription Type]]," ",Sales[[#This Row],[Upsell Priority]]," ",TEXT(Sales[[#This Row],[Current Upsell $]],"$#,#")),"")</f>
        <v/>
      </c>
    </row>
    <row r="146" spans="1:18" x14ac:dyDescent="0.25">
      <c r="A146">
        <v>100010</v>
      </c>
      <c r="B146" t="s">
        <v>3</v>
      </c>
      <c r="F146">
        <v>0</v>
      </c>
      <c r="G146">
        <v>2</v>
      </c>
      <c r="H146" s="1">
        <v>43862</v>
      </c>
      <c r="I146" s="1">
        <v>44075</v>
      </c>
      <c r="J146">
        <v>7</v>
      </c>
      <c r="K146">
        <v>9</v>
      </c>
      <c r="L146" s="1">
        <v>44013</v>
      </c>
      <c r="M146">
        <v>0</v>
      </c>
      <c r="N146" s="8" cm="1">
        <f t="array" ref="N146">_xlfn.SWITCH(Sales[[#This Row],[Subscription Type]],"Basic",10,"Premium",10,"Business",25,"Enterprise",27)</f>
        <v>10</v>
      </c>
      <c r="O146">
        <f>IF(Sales[[#This Row],[Number of Users]]-Sales[[#This Row],[Licenses Bought]]&lt;0,0,Sales[[#This Row],[Number of Users]]-Sales[[#This Row],[Licenses Bought]])</f>
        <v>2</v>
      </c>
      <c r="P146" s="8">
        <f>IF(Sales[[#This Row],[Sales Month]]=MAX(Sales[Sales Month]),Sales[[#This Row],[Non-Paying Users]]*Sales[[#This Row],[Upsell $ per Non-Paying User]],0)</f>
        <v>0</v>
      </c>
      <c r="Q146" t="str" cm="1">
        <f t="array" ref="Q146">_xlfn.IFS(Sales[[#This Row],[Current Upsell $]]=0,"",Sales[[#This Row],[Current Upsell $]]&gt;=400,"High",Sales[[#This Row],[Current Upsell $]]&gt;=100,"Medium",Sales[[#This Row],[Current Upsell $]]&lt;100,"Low")</f>
        <v/>
      </c>
      <c r="R146" t="str">
        <f>IF(Sales[[#This Row],[Current Upsell $]]&gt;0,_xlfn.CONCAT(Sales[[#This Row],[Subscription Type]]," ",Sales[[#This Row],[Upsell Priority]]," ",TEXT(Sales[[#This Row],[Current Upsell $]],"$#,#")),"")</f>
        <v/>
      </c>
    </row>
    <row r="147" spans="1:18" x14ac:dyDescent="0.25">
      <c r="A147">
        <v>100010</v>
      </c>
      <c r="B147" t="s">
        <v>3</v>
      </c>
      <c r="F147">
        <v>0</v>
      </c>
      <c r="G147">
        <v>2</v>
      </c>
      <c r="H147" s="1">
        <v>43862</v>
      </c>
      <c r="I147" s="1">
        <v>44075</v>
      </c>
      <c r="J147">
        <v>7</v>
      </c>
      <c r="K147">
        <v>9</v>
      </c>
      <c r="L147" s="1">
        <v>44044</v>
      </c>
      <c r="M147">
        <v>0</v>
      </c>
      <c r="N147" s="8" cm="1">
        <f t="array" ref="N147">_xlfn.SWITCH(Sales[[#This Row],[Subscription Type]],"Basic",10,"Premium",10,"Business",25,"Enterprise",27)</f>
        <v>10</v>
      </c>
      <c r="O147">
        <f>IF(Sales[[#This Row],[Number of Users]]-Sales[[#This Row],[Licenses Bought]]&lt;0,0,Sales[[#This Row],[Number of Users]]-Sales[[#This Row],[Licenses Bought]])</f>
        <v>2</v>
      </c>
      <c r="P147" s="8">
        <f>IF(Sales[[#This Row],[Sales Month]]=MAX(Sales[Sales Month]),Sales[[#This Row],[Non-Paying Users]]*Sales[[#This Row],[Upsell $ per Non-Paying User]],0)</f>
        <v>0</v>
      </c>
      <c r="Q147" t="str" cm="1">
        <f t="array" ref="Q147">_xlfn.IFS(Sales[[#This Row],[Current Upsell $]]=0,"",Sales[[#This Row],[Current Upsell $]]&gt;=400,"High",Sales[[#This Row],[Current Upsell $]]&gt;=100,"Medium",Sales[[#This Row],[Current Upsell $]]&lt;100,"Low")</f>
        <v/>
      </c>
      <c r="R147" t="str">
        <f>IF(Sales[[#This Row],[Current Upsell $]]&gt;0,_xlfn.CONCAT(Sales[[#This Row],[Subscription Type]]," ",Sales[[#This Row],[Upsell Priority]]," ",TEXT(Sales[[#This Row],[Current Upsell $]],"$#,#")),"")</f>
        <v/>
      </c>
    </row>
    <row r="148" spans="1:18" x14ac:dyDescent="0.25">
      <c r="A148">
        <v>100010</v>
      </c>
      <c r="B148" t="s">
        <v>3</v>
      </c>
      <c r="F148">
        <v>0</v>
      </c>
      <c r="G148">
        <v>2</v>
      </c>
      <c r="H148" s="1">
        <v>43862</v>
      </c>
      <c r="I148" s="1">
        <v>44075</v>
      </c>
      <c r="J148">
        <v>7</v>
      </c>
      <c r="K148">
        <v>9</v>
      </c>
      <c r="L148" s="1">
        <v>44075</v>
      </c>
      <c r="M148">
        <v>0</v>
      </c>
      <c r="N148" s="8" cm="1">
        <f t="array" ref="N148">_xlfn.SWITCH(Sales[[#This Row],[Subscription Type]],"Basic",10,"Premium",10,"Business",25,"Enterprise",27)</f>
        <v>10</v>
      </c>
      <c r="O148">
        <f>IF(Sales[[#This Row],[Number of Users]]-Sales[[#This Row],[Licenses Bought]]&lt;0,0,Sales[[#This Row],[Number of Users]]-Sales[[#This Row],[Licenses Bought]])</f>
        <v>2</v>
      </c>
      <c r="P148" s="8">
        <f>IF(Sales[[#This Row],[Sales Month]]=MAX(Sales[Sales Month]),Sales[[#This Row],[Non-Paying Users]]*Sales[[#This Row],[Upsell $ per Non-Paying User]],0)</f>
        <v>0</v>
      </c>
      <c r="Q148" t="str" cm="1">
        <f t="array" ref="Q148">_xlfn.IFS(Sales[[#This Row],[Current Upsell $]]=0,"",Sales[[#This Row],[Current Upsell $]]&gt;=400,"High",Sales[[#This Row],[Current Upsell $]]&gt;=100,"Medium",Sales[[#This Row],[Current Upsell $]]&lt;100,"Low")</f>
        <v/>
      </c>
      <c r="R148" t="str">
        <f>IF(Sales[[#This Row],[Current Upsell $]]&gt;0,_xlfn.CONCAT(Sales[[#This Row],[Subscription Type]]," ",Sales[[#This Row],[Upsell Priority]]," ",TEXT(Sales[[#This Row],[Current Upsell $]],"$#,#")),"")</f>
        <v/>
      </c>
    </row>
    <row r="149" spans="1:18" x14ac:dyDescent="0.25">
      <c r="A149">
        <v>100011</v>
      </c>
      <c r="B149" t="s">
        <v>3</v>
      </c>
      <c r="D149" s="1"/>
      <c r="E149" s="1"/>
      <c r="F149">
        <v>0</v>
      </c>
      <c r="G149">
        <v>42</v>
      </c>
      <c r="H149" s="1">
        <v>43891</v>
      </c>
      <c r="I149" s="1">
        <v>44378</v>
      </c>
      <c r="J149">
        <v>16</v>
      </c>
      <c r="K149">
        <v>0</v>
      </c>
      <c r="L149" s="1">
        <v>43891</v>
      </c>
      <c r="M149">
        <v>0</v>
      </c>
      <c r="N149" s="8" cm="1">
        <f t="array" ref="N149">_xlfn.SWITCH(Sales[[#This Row],[Subscription Type]],"Basic",10,"Premium",10,"Business",25,"Enterprise",27)</f>
        <v>10</v>
      </c>
      <c r="O149">
        <f>IF(Sales[[#This Row],[Number of Users]]-Sales[[#This Row],[Licenses Bought]]&lt;0,0,Sales[[#This Row],[Number of Users]]-Sales[[#This Row],[Licenses Bought]])</f>
        <v>42</v>
      </c>
      <c r="P149" s="8">
        <f>IF(Sales[[#This Row],[Sales Month]]=MAX(Sales[Sales Month]),Sales[[#This Row],[Non-Paying Users]]*Sales[[#This Row],[Upsell $ per Non-Paying User]],0)</f>
        <v>0</v>
      </c>
      <c r="Q149" t="str" cm="1">
        <f t="array" ref="Q149">_xlfn.IFS(Sales[[#This Row],[Current Upsell $]]=0,"",Sales[[#This Row],[Current Upsell $]]&gt;=400,"High",Sales[[#This Row],[Current Upsell $]]&gt;=100,"Medium",Sales[[#This Row],[Current Upsell $]]&lt;100,"Low")</f>
        <v/>
      </c>
      <c r="R149" t="str">
        <f>IF(Sales[[#This Row],[Current Upsell $]]&gt;0,_xlfn.CONCAT(Sales[[#This Row],[Subscription Type]]," ",Sales[[#This Row],[Upsell Priority]]," ",TEXT(Sales[[#This Row],[Current Upsell $]],"$#,#")),"")</f>
        <v/>
      </c>
    </row>
    <row r="150" spans="1:18" x14ac:dyDescent="0.25">
      <c r="A150">
        <v>100011</v>
      </c>
      <c r="B150" t="s">
        <v>1</v>
      </c>
      <c r="D150" s="1"/>
      <c r="E150" s="1"/>
      <c r="F150">
        <v>32</v>
      </c>
      <c r="G150">
        <v>51</v>
      </c>
      <c r="H150" s="1">
        <v>43891</v>
      </c>
      <c r="I150" s="1">
        <v>44378</v>
      </c>
      <c r="J150">
        <v>16</v>
      </c>
      <c r="K150">
        <v>0</v>
      </c>
      <c r="L150" s="1">
        <v>43922</v>
      </c>
      <c r="M150">
        <v>800</v>
      </c>
      <c r="N150" s="8" cm="1">
        <f t="array" ref="N150">_xlfn.SWITCH(Sales[[#This Row],[Subscription Type]],"Basic",10,"Premium",10,"Business",25,"Enterprise",27)</f>
        <v>25</v>
      </c>
      <c r="O150">
        <f>IF(Sales[[#This Row],[Number of Users]]-Sales[[#This Row],[Licenses Bought]]&lt;0,0,Sales[[#This Row],[Number of Users]]-Sales[[#This Row],[Licenses Bought]])</f>
        <v>19</v>
      </c>
      <c r="P150" s="8">
        <f>IF(Sales[[#This Row],[Sales Month]]=MAX(Sales[Sales Month]),Sales[[#This Row],[Non-Paying Users]]*Sales[[#This Row],[Upsell $ per Non-Paying User]],0)</f>
        <v>0</v>
      </c>
      <c r="Q150" t="str" cm="1">
        <f t="array" ref="Q150">_xlfn.IFS(Sales[[#This Row],[Current Upsell $]]=0,"",Sales[[#This Row],[Current Upsell $]]&gt;=400,"High",Sales[[#This Row],[Current Upsell $]]&gt;=100,"Medium",Sales[[#This Row],[Current Upsell $]]&lt;100,"Low")</f>
        <v/>
      </c>
      <c r="R150" t="str">
        <f>IF(Sales[[#This Row],[Current Upsell $]]&gt;0,_xlfn.CONCAT(Sales[[#This Row],[Subscription Type]]," ",Sales[[#This Row],[Upsell Priority]]," ",TEXT(Sales[[#This Row],[Current Upsell $]],"$#,#")),"")</f>
        <v/>
      </c>
    </row>
    <row r="151" spans="1:18" x14ac:dyDescent="0.25">
      <c r="A151">
        <v>100011</v>
      </c>
      <c r="B151" t="s">
        <v>1</v>
      </c>
      <c r="D151" s="1"/>
      <c r="E151" s="1"/>
      <c r="F151">
        <v>23</v>
      </c>
      <c r="G151">
        <v>48</v>
      </c>
      <c r="H151" s="1">
        <v>43891</v>
      </c>
      <c r="I151" s="1">
        <v>44378</v>
      </c>
      <c r="J151">
        <v>16</v>
      </c>
      <c r="K151">
        <v>0</v>
      </c>
      <c r="L151" s="1">
        <v>43952</v>
      </c>
      <c r="M151">
        <v>575</v>
      </c>
      <c r="N151" s="8" cm="1">
        <f t="array" ref="N151">_xlfn.SWITCH(Sales[[#This Row],[Subscription Type]],"Basic",10,"Premium",10,"Business",25,"Enterprise",27)</f>
        <v>25</v>
      </c>
      <c r="O151">
        <f>IF(Sales[[#This Row],[Number of Users]]-Sales[[#This Row],[Licenses Bought]]&lt;0,0,Sales[[#This Row],[Number of Users]]-Sales[[#This Row],[Licenses Bought]])</f>
        <v>25</v>
      </c>
      <c r="P151" s="8">
        <f>IF(Sales[[#This Row],[Sales Month]]=MAX(Sales[Sales Month]),Sales[[#This Row],[Non-Paying Users]]*Sales[[#This Row],[Upsell $ per Non-Paying User]],0)</f>
        <v>0</v>
      </c>
      <c r="Q151" t="str" cm="1">
        <f t="array" ref="Q151">_xlfn.IFS(Sales[[#This Row],[Current Upsell $]]=0,"",Sales[[#This Row],[Current Upsell $]]&gt;=400,"High",Sales[[#This Row],[Current Upsell $]]&gt;=100,"Medium",Sales[[#This Row],[Current Upsell $]]&lt;100,"Low")</f>
        <v/>
      </c>
      <c r="R151" t="str">
        <f>IF(Sales[[#This Row],[Current Upsell $]]&gt;0,_xlfn.CONCAT(Sales[[#This Row],[Subscription Type]]," ",Sales[[#This Row],[Upsell Priority]]," ",TEXT(Sales[[#This Row],[Current Upsell $]],"$#,#")),"")</f>
        <v/>
      </c>
    </row>
    <row r="152" spans="1:18" x14ac:dyDescent="0.25">
      <c r="A152">
        <v>100011</v>
      </c>
      <c r="B152" t="s">
        <v>1</v>
      </c>
      <c r="D152" s="1"/>
      <c r="E152" s="1"/>
      <c r="F152">
        <v>37</v>
      </c>
      <c r="G152">
        <v>39</v>
      </c>
      <c r="H152" s="1">
        <v>43891</v>
      </c>
      <c r="I152" s="1">
        <v>44378</v>
      </c>
      <c r="J152">
        <v>16</v>
      </c>
      <c r="K152">
        <v>0</v>
      </c>
      <c r="L152" s="1">
        <v>43983</v>
      </c>
      <c r="M152">
        <v>925</v>
      </c>
      <c r="N152" s="8" cm="1">
        <f t="array" ref="N152">_xlfn.SWITCH(Sales[[#This Row],[Subscription Type]],"Basic",10,"Premium",10,"Business",25,"Enterprise",27)</f>
        <v>25</v>
      </c>
      <c r="O152">
        <f>IF(Sales[[#This Row],[Number of Users]]-Sales[[#This Row],[Licenses Bought]]&lt;0,0,Sales[[#This Row],[Number of Users]]-Sales[[#This Row],[Licenses Bought]])</f>
        <v>2</v>
      </c>
      <c r="P152" s="8">
        <f>IF(Sales[[#This Row],[Sales Month]]=MAX(Sales[Sales Month]),Sales[[#This Row],[Non-Paying Users]]*Sales[[#This Row],[Upsell $ per Non-Paying User]],0)</f>
        <v>0</v>
      </c>
      <c r="Q152" t="str" cm="1">
        <f t="array" ref="Q152">_xlfn.IFS(Sales[[#This Row],[Current Upsell $]]=0,"",Sales[[#This Row],[Current Upsell $]]&gt;=400,"High",Sales[[#This Row],[Current Upsell $]]&gt;=100,"Medium",Sales[[#This Row],[Current Upsell $]]&lt;100,"Low")</f>
        <v/>
      </c>
      <c r="R152" t="str">
        <f>IF(Sales[[#This Row],[Current Upsell $]]&gt;0,_xlfn.CONCAT(Sales[[#This Row],[Subscription Type]]," ",Sales[[#This Row],[Upsell Priority]]," ",TEXT(Sales[[#This Row],[Current Upsell $]],"$#,#")),"")</f>
        <v/>
      </c>
    </row>
    <row r="153" spans="1:18" x14ac:dyDescent="0.25">
      <c r="A153">
        <v>100011</v>
      </c>
      <c r="B153" t="s">
        <v>1</v>
      </c>
      <c r="D153" s="1"/>
      <c r="E153" s="1"/>
      <c r="F153">
        <v>37</v>
      </c>
      <c r="G153">
        <v>47</v>
      </c>
      <c r="H153" s="1">
        <v>43891</v>
      </c>
      <c r="I153" s="1">
        <v>44378</v>
      </c>
      <c r="J153">
        <v>16</v>
      </c>
      <c r="K153">
        <v>0</v>
      </c>
      <c r="L153" s="1">
        <v>44013</v>
      </c>
      <c r="M153">
        <v>925</v>
      </c>
      <c r="N153" s="8" cm="1">
        <f t="array" ref="N153">_xlfn.SWITCH(Sales[[#This Row],[Subscription Type]],"Basic",10,"Premium",10,"Business",25,"Enterprise",27)</f>
        <v>25</v>
      </c>
      <c r="O153">
        <f>IF(Sales[[#This Row],[Number of Users]]-Sales[[#This Row],[Licenses Bought]]&lt;0,0,Sales[[#This Row],[Number of Users]]-Sales[[#This Row],[Licenses Bought]])</f>
        <v>10</v>
      </c>
      <c r="P153" s="8">
        <f>IF(Sales[[#This Row],[Sales Month]]=MAX(Sales[Sales Month]),Sales[[#This Row],[Non-Paying Users]]*Sales[[#This Row],[Upsell $ per Non-Paying User]],0)</f>
        <v>0</v>
      </c>
      <c r="Q153" t="str" cm="1">
        <f t="array" ref="Q153">_xlfn.IFS(Sales[[#This Row],[Current Upsell $]]=0,"",Sales[[#This Row],[Current Upsell $]]&gt;=400,"High",Sales[[#This Row],[Current Upsell $]]&gt;=100,"Medium",Sales[[#This Row],[Current Upsell $]]&lt;100,"Low")</f>
        <v/>
      </c>
      <c r="R153" t="str">
        <f>IF(Sales[[#This Row],[Current Upsell $]]&gt;0,_xlfn.CONCAT(Sales[[#This Row],[Subscription Type]]," ",Sales[[#This Row],[Upsell Priority]]," ",TEXT(Sales[[#This Row],[Current Upsell $]],"$#,#")),"")</f>
        <v/>
      </c>
    </row>
    <row r="154" spans="1:18" x14ac:dyDescent="0.25">
      <c r="A154">
        <v>100011</v>
      </c>
      <c r="B154" t="s">
        <v>1</v>
      </c>
      <c r="D154" s="1"/>
      <c r="E154" s="1"/>
      <c r="F154">
        <v>37</v>
      </c>
      <c r="G154">
        <v>44</v>
      </c>
      <c r="H154" s="1">
        <v>43891</v>
      </c>
      <c r="I154" s="1">
        <v>44378</v>
      </c>
      <c r="J154">
        <v>16</v>
      </c>
      <c r="K154">
        <v>0</v>
      </c>
      <c r="L154" s="1">
        <v>44044</v>
      </c>
      <c r="M154">
        <v>925</v>
      </c>
      <c r="N154" s="8" cm="1">
        <f t="array" ref="N154">_xlfn.SWITCH(Sales[[#This Row],[Subscription Type]],"Basic",10,"Premium",10,"Business",25,"Enterprise",27)</f>
        <v>25</v>
      </c>
      <c r="O154">
        <f>IF(Sales[[#This Row],[Number of Users]]-Sales[[#This Row],[Licenses Bought]]&lt;0,0,Sales[[#This Row],[Number of Users]]-Sales[[#This Row],[Licenses Bought]])</f>
        <v>7</v>
      </c>
      <c r="P154" s="8">
        <f>IF(Sales[[#This Row],[Sales Month]]=MAX(Sales[Sales Month]),Sales[[#This Row],[Non-Paying Users]]*Sales[[#This Row],[Upsell $ per Non-Paying User]],0)</f>
        <v>0</v>
      </c>
      <c r="Q154" t="str" cm="1">
        <f t="array" ref="Q154">_xlfn.IFS(Sales[[#This Row],[Current Upsell $]]=0,"",Sales[[#This Row],[Current Upsell $]]&gt;=400,"High",Sales[[#This Row],[Current Upsell $]]&gt;=100,"Medium",Sales[[#This Row],[Current Upsell $]]&lt;100,"Low")</f>
        <v/>
      </c>
      <c r="R154" t="str">
        <f>IF(Sales[[#This Row],[Current Upsell $]]&gt;0,_xlfn.CONCAT(Sales[[#This Row],[Subscription Type]]," ",Sales[[#This Row],[Upsell Priority]]," ",TEXT(Sales[[#This Row],[Current Upsell $]],"$#,#")),"")</f>
        <v/>
      </c>
    </row>
    <row r="155" spans="1:18" x14ac:dyDescent="0.25">
      <c r="A155">
        <v>100011</v>
      </c>
      <c r="B155" t="s">
        <v>1</v>
      </c>
      <c r="D155" s="1"/>
      <c r="E155" s="1"/>
      <c r="F155">
        <v>37</v>
      </c>
      <c r="G155">
        <v>44</v>
      </c>
      <c r="H155" s="1">
        <v>43891</v>
      </c>
      <c r="I155" s="1">
        <v>44378</v>
      </c>
      <c r="J155">
        <v>16</v>
      </c>
      <c r="K155">
        <v>0</v>
      </c>
      <c r="L155" s="1">
        <v>44075</v>
      </c>
      <c r="M155">
        <v>925</v>
      </c>
      <c r="N155" s="8" cm="1">
        <f t="array" ref="N155">_xlfn.SWITCH(Sales[[#This Row],[Subscription Type]],"Basic",10,"Premium",10,"Business",25,"Enterprise",27)</f>
        <v>25</v>
      </c>
      <c r="O155">
        <f>IF(Sales[[#This Row],[Number of Users]]-Sales[[#This Row],[Licenses Bought]]&lt;0,0,Sales[[#This Row],[Number of Users]]-Sales[[#This Row],[Licenses Bought]])</f>
        <v>7</v>
      </c>
      <c r="P155" s="8">
        <f>IF(Sales[[#This Row],[Sales Month]]=MAX(Sales[Sales Month]),Sales[[#This Row],[Non-Paying Users]]*Sales[[#This Row],[Upsell $ per Non-Paying User]],0)</f>
        <v>0</v>
      </c>
      <c r="Q155" t="str" cm="1">
        <f t="array" ref="Q155">_xlfn.IFS(Sales[[#This Row],[Current Upsell $]]=0,"",Sales[[#This Row],[Current Upsell $]]&gt;=400,"High",Sales[[#This Row],[Current Upsell $]]&gt;=100,"Medium",Sales[[#This Row],[Current Upsell $]]&lt;100,"Low")</f>
        <v/>
      </c>
      <c r="R155" t="str">
        <f>IF(Sales[[#This Row],[Current Upsell $]]&gt;0,_xlfn.CONCAT(Sales[[#This Row],[Subscription Type]]," ",Sales[[#This Row],[Upsell Priority]]," ",TEXT(Sales[[#This Row],[Current Upsell $]],"$#,#")),"")</f>
        <v/>
      </c>
    </row>
    <row r="156" spans="1:18" x14ac:dyDescent="0.25">
      <c r="A156">
        <v>100011</v>
      </c>
      <c r="B156" t="s">
        <v>1</v>
      </c>
      <c r="D156" s="1"/>
      <c r="E156" s="1"/>
      <c r="F156">
        <v>37</v>
      </c>
      <c r="G156">
        <v>44</v>
      </c>
      <c r="H156" s="1">
        <v>43891</v>
      </c>
      <c r="I156" s="1">
        <v>44378</v>
      </c>
      <c r="J156">
        <v>16</v>
      </c>
      <c r="K156">
        <v>0</v>
      </c>
      <c r="L156" s="1">
        <v>44105</v>
      </c>
      <c r="M156">
        <v>925</v>
      </c>
      <c r="N156" s="8" cm="1">
        <f t="array" ref="N156">_xlfn.SWITCH(Sales[[#This Row],[Subscription Type]],"Basic",10,"Premium",10,"Business",25,"Enterprise",27)</f>
        <v>25</v>
      </c>
      <c r="O156">
        <f>IF(Sales[[#This Row],[Number of Users]]-Sales[[#This Row],[Licenses Bought]]&lt;0,0,Sales[[#This Row],[Number of Users]]-Sales[[#This Row],[Licenses Bought]])</f>
        <v>7</v>
      </c>
      <c r="P156" s="8">
        <f>IF(Sales[[#This Row],[Sales Month]]=MAX(Sales[Sales Month]),Sales[[#This Row],[Non-Paying Users]]*Sales[[#This Row],[Upsell $ per Non-Paying User]],0)</f>
        <v>0</v>
      </c>
      <c r="Q156" t="str" cm="1">
        <f t="array" ref="Q156">_xlfn.IFS(Sales[[#This Row],[Current Upsell $]]=0,"",Sales[[#This Row],[Current Upsell $]]&gt;=400,"High",Sales[[#This Row],[Current Upsell $]]&gt;=100,"Medium",Sales[[#This Row],[Current Upsell $]]&lt;100,"Low")</f>
        <v/>
      </c>
      <c r="R156" t="str">
        <f>IF(Sales[[#This Row],[Current Upsell $]]&gt;0,_xlfn.CONCAT(Sales[[#This Row],[Subscription Type]]," ",Sales[[#This Row],[Upsell Priority]]," ",TEXT(Sales[[#This Row],[Current Upsell $]],"$#,#")),"")</f>
        <v/>
      </c>
    </row>
    <row r="157" spans="1:18" x14ac:dyDescent="0.25">
      <c r="A157">
        <v>100011</v>
      </c>
      <c r="B157" t="s">
        <v>1</v>
      </c>
      <c r="D157" s="1"/>
      <c r="E157" s="1"/>
      <c r="F157">
        <v>37</v>
      </c>
      <c r="G157">
        <v>49</v>
      </c>
      <c r="H157" s="1">
        <v>43891</v>
      </c>
      <c r="I157" s="1">
        <v>44378</v>
      </c>
      <c r="J157">
        <v>16</v>
      </c>
      <c r="K157">
        <v>0</v>
      </c>
      <c r="L157" s="1">
        <v>44136</v>
      </c>
      <c r="M157">
        <v>925</v>
      </c>
      <c r="N157" s="8" cm="1">
        <f t="array" ref="N157">_xlfn.SWITCH(Sales[[#This Row],[Subscription Type]],"Basic",10,"Premium",10,"Business",25,"Enterprise",27)</f>
        <v>25</v>
      </c>
      <c r="O157">
        <f>IF(Sales[[#This Row],[Number of Users]]-Sales[[#This Row],[Licenses Bought]]&lt;0,0,Sales[[#This Row],[Number of Users]]-Sales[[#This Row],[Licenses Bought]])</f>
        <v>12</v>
      </c>
      <c r="P157" s="8">
        <f>IF(Sales[[#This Row],[Sales Month]]=MAX(Sales[Sales Month]),Sales[[#This Row],[Non-Paying Users]]*Sales[[#This Row],[Upsell $ per Non-Paying User]],0)</f>
        <v>0</v>
      </c>
      <c r="Q157" t="str" cm="1">
        <f t="array" ref="Q157">_xlfn.IFS(Sales[[#This Row],[Current Upsell $]]=0,"",Sales[[#This Row],[Current Upsell $]]&gt;=400,"High",Sales[[#This Row],[Current Upsell $]]&gt;=100,"Medium",Sales[[#This Row],[Current Upsell $]]&lt;100,"Low")</f>
        <v/>
      </c>
      <c r="R157" t="str">
        <f>IF(Sales[[#This Row],[Current Upsell $]]&gt;0,_xlfn.CONCAT(Sales[[#This Row],[Subscription Type]]," ",Sales[[#This Row],[Upsell Priority]]," ",TEXT(Sales[[#This Row],[Current Upsell $]],"$#,#")),"")</f>
        <v/>
      </c>
    </row>
    <row r="158" spans="1:18" x14ac:dyDescent="0.25">
      <c r="A158">
        <v>100011</v>
      </c>
      <c r="B158" t="s">
        <v>1</v>
      </c>
      <c r="D158" s="1"/>
      <c r="E158" s="1"/>
      <c r="F158">
        <v>37</v>
      </c>
      <c r="G158">
        <v>39</v>
      </c>
      <c r="H158" s="1">
        <v>43891</v>
      </c>
      <c r="I158" s="1">
        <v>44378</v>
      </c>
      <c r="J158">
        <v>16</v>
      </c>
      <c r="K158">
        <v>0</v>
      </c>
      <c r="L158" s="1">
        <v>44166</v>
      </c>
      <c r="M158">
        <v>925</v>
      </c>
      <c r="N158" s="8" cm="1">
        <f t="array" ref="N158">_xlfn.SWITCH(Sales[[#This Row],[Subscription Type]],"Basic",10,"Premium",10,"Business",25,"Enterprise",27)</f>
        <v>25</v>
      </c>
      <c r="O158">
        <f>IF(Sales[[#This Row],[Number of Users]]-Sales[[#This Row],[Licenses Bought]]&lt;0,0,Sales[[#This Row],[Number of Users]]-Sales[[#This Row],[Licenses Bought]])</f>
        <v>2</v>
      </c>
      <c r="P158" s="8">
        <f>IF(Sales[[#This Row],[Sales Month]]=MAX(Sales[Sales Month]),Sales[[#This Row],[Non-Paying Users]]*Sales[[#This Row],[Upsell $ per Non-Paying User]],0)</f>
        <v>0</v>
      </c>
      <c r="Q158" t="str" cm="1">
        <f t="array" ref="Q158">_xlfn.IFS(Sales[[#This Row],[Current Upsell $]]=0,"",Sales[[#This Row],[Current Upsell $]]&gt;=400,"High",Sales[[#This Row],[Current Upsell $]]&gt;=100,"Medium",Sales[[#This Row],[Current Upsell $]]&lt;100,"Low")</f>
        <v/>
      </c>
      <c r="R158" t="str">
        <f>IF(Sales[[#This Row],[Current Upsell $]]&gt;0,_xlfn.CONCAT(Sales[[#This Row],[Subscription Type]]," ",Sales[[#This Row],[Upsell Priority]]," ",TEXT(Sales[[#This Row],[Current Upsell $]],"$#,#")),"")</f>
        <v/>
      </c>
    </row>
    <row r="159" spans="1:18" x14ac:dyDescent="0.25">
      <c r="A159">
        <v>100011</v>
      </c>
      <c r="B159" t="s">
        <v>1</v>
      </c>
      <c r="D159" s="1"/>
      <c r="E159" s="1"/>
      <c r="F159">
        <v>37</v>
      </c>
      <c r="G159">
        <v>47</v>
      </c>
      <c r="H159" s="1">
        <v>43891</v>
      </c>
      <c r="I159" s="1">
        <v>44378</v>
      </c>
      <c r="J159">
        <v>16</v>
      </c>
      <c r="K159">
        <v>0</v>
      </c>
      <c r="L159" s="1">
        <v>44197</v>
      </c>
      <c r="M159">
        <v>925</v>
      </c>
      <c r="N159" s="8" cm="1">
        <f t="array" ref="N159">_xlfn.SWITCH(Sales[[#This Row],[Subscription Type]],"Basic",10,"Premium",10,"Business",25,"Enterprise",27)</f>
        <v>25</v>
      </c>
      <c r="O159">
        <f>IF(Sales[[#This Row],[Number of Users]]-Sales[[#This Row],[Licenses Bought]]&lt;0,0,Sales[[#This Row],[Number of Users]]-Sales[[#This Row],[Licenses Bought]])</f>
        <v>10</v>
      </c>
      <c r="P159" s="8">
        <f>IF(Sales[[#This Row],[Sales Month]]=MAX(Sales[Sales Month]),Sales[[#This Row],[Non-Paying Users]]*Sales[[#This Row],[Upsell $ per Non-Paying User]],0)</f>
        <v>0</v>
      </c>
      <c r="Q159" t="str" cm="1">
        <f t="array" ref="Q159">_xlfn.IFS(Sales[[#This Row],[Current Upsell $]]=0,"",Sales[[#This Row],[Current Upsell $]]&gt;=400,"High",Sales[[#This Row],[Current Upsell $]]&gt;=100,"Medium",Sales[[#This Row],[Current Upsell $]]&lt;100,"Low")</f>
        <v/>
      </c>
      <c r="R159" t="str">
        <f>IF(Sales[[#This Row],[Current Upsell $]]&gt;0,_xlfn.CONCAT(Sales[[#This Row],[Subscription Type]]," ",Sales[[#This Row],[Upsell Priority]]," ",TEXT(Sales[[#This Row],[Current Upsell $]],"$#,#")),"")</f>
        <v/>
      </c>
    </row>
    <row r="160" spans="1:18" x14ac:dyDescent="0.25">
      <c r="A160">
        <v>100011</v>
      </c>
      <c r="B160" t="s">
        <v>1</v>
      </c>
      <c r="D160" s="1"/>
      <c r="E160" s="1"/>
      <c r="F160">
        <v>37</v>
      </c>
      <c r="G160">
        <v>49</v>
      </c>
      <c r="H160" s="1">
        <v>43891</v>
      </c>
      <c r="I160" s="1">
        <v>44378</v>
      </c>
      <c r="J160">
        <v>16</v>
      </c>
      <c r="K160">
        <v>0</v>
      </c>
      <c r="L160" s="1">
        <v>44228</v>
      </c>
      <c r="M160">
        <v>925</v>
      </c>
      <c r="N160" s="8" cm="1">
        <f t="array" ref="N160">_xlfn.SWITCH(Sales[[#This Row],[Subscription Type]],"Basic",10,"Premium",10,"Business",25,"Enterprise",27)</f>
        <v>25</v>
      </c>
      <c r="O160">
        <f>IF(Sales[[#This Row],[Number of Users]]-Sales[[#This Row],[Licenses Bought]]&lt;0,0,Sales[[#This Row],[Number of Users]]-Sales[[#This Row],[Licenses Bought]])</f>
        <v>12</v>
      </c>
      <c r="P160" s="8">
        <f>IF(Sales[[#This Row],[Sales Month]]=MAX(Sales[Sales Month]),Sales[[#This Row],[Non-Paying Users]]*Sales[[#This Row],[Upsell $ per Non-Paying User]],0)</f>
        <v>0</v>
      </c>
      <c r="Q160" t="str" cm="1">
        <f t="array" ref="Q160">_xlfn.IFS(Sales[[#This Row],[Current Upsell $]]=0,"",Sales[[#This Row],[Current Upsell $]]&gt;=400,"High",Sales[[#This Row],[Current Upsell $]]&gt;=100,"Medium",Sales[[#This Row],[Current Upsell $]]&lt;100,"Low")</f>
        <v/>
      </c>
      <c r="R160" t="str">
        <f>IF(Sales[[#This Row],[Current Upsell $]]&gt;0,_xlfn.CONCAT(Sales[[#This Row],[Subscription Type]]," ",Sales[[#This Row],[Upsell Priority]]," ",TEXT(Sales[[#This Row],[Current Upsell $]],"$#,#")),"")</f>
        <v/>
      </c>
    </row>
    <row r="161" spans="1:18" x14ac:dyDescent="0.25">
      <c r="A161">
        <v>100011</v>
      </c>
      <c r="B161" t="s">
        <v>1</v>
      </c>
      <c r="D161" s="1"/>
      <c r="E161" s="1"/>
      <c r="F161">
        <v>37</v>
      </c>
      <c r="G161">
        <v>34</v>
      </c>
      <c r="H161" s="1">
        <v>43891</v>
      </c>
      <c r="I161" s="1">
        <v>44378</v>
      </c>
      <c r="J161">
        <v>16</v>
      </c>
      <c r="K161">
        <v>0</v>
      </c>
      <c r="L161" s="1">
        <v>44256</v>
      </c>
      <c r="M161">
        <v>925</v>
      </c>
      <c r="N161" s="8" cm="1">
        <f t="array" ref="N161">_xlfn.SWITCH(Sales[[#This Row],[Subscription Type]],"Basic",10,"Premium",10,"Business",25,"Enterprise",27)</f>
        <v>25</v>
      </c>
      <c r="O161">
        <f>IF(Sales[[#This Row],[Number of Users]]-Sales[[#This Row],[Licenses Bought]]&lt;0,0,Sales[[#This Row],[Number of Users]]-Sales[[#This Row],[Licenses Bought]])</f>
        <v>0</v>
      </c>
      <c r="P161" s="8">
        <f>IF(Sales[[#This Row],[Sales Month]]=MAX(Sales[Sales Month]),Sales[[#This Row],[Non-Paying Users]]*Sales[[#This Row],[Upsell $ per Non-Paying User]],0)</f>
        <v>0</v>
      </c>
      <c r="Q161" t="str" cm="1">
        <f t="array" ref="Q161">_xlfn.IFS(Sales[[#This Row],[Current Upsell $]]=0,"",Sales[[#This Row],[Current Upsell $]]&gt;=400,"High",Sales[[#This Row],[Current Upsell $]]&gt;=100,"Medium",Sales[[#This Row],[Current Upsell $]]&lt;100,"Low")</f>
        <v/>
      </c>
      <c r="R161" t="str">
        <f>IF(Sales[[#This Row],[Current Upsell $]]&gt;0,_xlfn.CONCAT(Sales[[#This Row],[Subscription Type]]," ",Sales[[#This Row],[Upsell Priority]]," ",TEXT(Sales[[#This Row],[Current Upsell $]],"$#,#")),"")</f>
        <v/>
      </c>
    </row>
    <row r="162" spans="1:18" x14ac:dyDescent="0.25">
      <c r="A162">
        <v>100011</v>
      </c>
      <c r="B162" t="s">
        <v>1</v>
      </c>
      <c r="D162" s="1"/>
      <c r="E162" s="1"/>
      <c r="F162">
        <v>37</v>
      </c>
      <c r="G162">
        <v>39</v>
      </c>
      <c r="H162" s="1">
        <v>43891</v>
      </c>
      <c r="I162" s="1">
        <v>44378</v>
      </c>
      <c r="J162">
        <v>16</v>
      </c>
      <c r="K162">
        <v>0</v>
      </c>
      <c r="L162" s="1">
        <v>44287</v>
      </c>
      <c r="M162">
        <v>925</v>
      </c>
      <c r="N162" s="8" cm="1">
        <f t="array" ref="N162">_xlfn.SWITCH(Sales[[#This Row],[Subscription Type]],"Basic",10,"Premium",10,"Business",25,"Enterprise",27)</f>
        <v>25</v>
      </c>
      <c r="O162">
        <f>IF(Sales[[#This Row],[Number of Users]]-Sales[[#This Row],[Licenses Bought]]&lt;0,0,Sales[[#This Row],[Number of Users]]-Sales[[#This Row],[Licenses Bought]])</f>
        <v>2</v>
      </c>
      <c r="P162" s="8">
        <f>IF(Sales[[#This Row],[Sales Month]]=MAX(Sales[Sales Month]),Sales[[#This Row],[Non-Paying Users]]*Sales[[#This Row],[Upsell $ per Non-Paying User]],0)</f>
        <v>0</v>
      </c>
      <c r="Q162" t="str" cm="1">
        <f t="array" ref="Q162">_xlfn.IFS(Sales[[#This Row],[Current Upsell $]]=0,"",Sales[[#This Row],[Current Upsell $]]&gt;=400,"High",Sales[[#This Row],[Current Upsell $]]&gt;=100,"Medium",Sales[[#This Row],[Current Upsell $]]&lt;100,"Low")</f>
        <v/>
      </c>
      <c r="R162" t="str">
        <f>IF(Sales[[#This Row],[Current Upsell $]]&gt;0,_xlfn.CONCAT(Sales[[#This Row],[Subscription Type]]," ",Sales[[#This Row],[Upsell Priority]]," ",TEXT(Sales[[#This Row],[Current Upsell $]],"$#,#")),"")</f>
        <v/>
      </c>
    </row>
    <row r="163" spans="1:18" x14ac:dyDescent="0.25">
      <c r="A163">
        <v>100011</v>
      </c>
      <c r="B163" t="s">
        <v>1</v>
      </c>
      <c r="D163" s="1"/>
      <c r="E163" s="1"/>
      <c r="F163">
        <v>37</v>
      </c>
      <c r="G163">
        <v>43</v>
      </c>
      <c r="H163" s="1">
        <v>43891</v>
      </c>
      <c r="I163" s="1">
        <v>44378</v>
      </c>
      <c r="J163">
        <v>16</v>
      </c>
      <c r="K163">
        <v>0</v>
      </c>
      <c r="L163" s="1">
        <v>44317</v>
      </c>
      <c r="M163">
        <v>925</v>
      </c>
      <c r="N163" s="8" cm="1">
        <f t="array" ref="N163">_xlfn.SWITCH(Sales[[#This Row],[Subscription Type]],"Basic",10,"Premium",10,"Business",25,"Enterprise",27)</f>
        <v>25</v>
      </c>
      <c r="O163">
        <f>IF(Sales[[#This Row],[Number of Users]]-Sales[[#This Row],[Licenses Bought]]&lt;0,0,Sales[[#This Row],[Number of Users]]-Sales[[#This Row],[Licenses Bought]])</f>
        <v>6</v>
      </c>
      <c r="P163" s="8">
        <f>IF(Sales[[#This Row],[Sales Month]]=MAX(Sales[Sales Month]),Sales[[#This Row],[Non-Paying Users]]*Sales[[#This Row],[Upsell $ per Non-Paying User]],0)</f>
        <v>0</v>
      </c>
      <c r="Q163" t="str" cm="1">
        <f t="array" ref="Q163">_xlfn.IFS(Sales[[#This Row],[Current Upsell $]]=0,"",Sales[[#This Row],[Current Upsell $]]&gt;=400,"High",Sales[[#This Row],[Current Upsell $]]&gt;=100,"Medium",Sales[[#This Row],[Current Upsell $]]&lt;100,"Low")</f>
        <v/>
      </c>
      <c r="R163" t="str">
        <f>IF(Sales[[#This Row],[Current Upsell $]]&gt;0,_xlfn.CONCAT(Sales[[#This Row],[Subscription Type]]," ",Sales[[#This Row],[Upsell Priority]]," ",TEXT(Sales[[#This Row],[Current Upsell $]],"$#,#")),"")</f>
        <v/>
      </c>
    </row>
    <row r="164" spans="1:18" x14ac:dyDescent="0.25">
      <c r="A164">
        <v>100011</v>
      </c>
      <c r="B164" t="s">
        <v>1</v>
      </c>
      <c r="D164" s="1"/>
      <c r="E164" s="1"/>
      <c r="F164">
        <v>37</v>
      </c>
      <c r="G164">
        <v>41</v>
      </c>
      <c r="H164" s="1">
        <v>43891</v>
      </c>
      <c r="I164" s="1">
        <v>44378</v>
      </c>
      <c r="J164">
        <v>16</v>
      </c>
      <c r="K164">
        <v>0</v>
      </c>
      <c r="L164" s="1">
        <v>44348</v>
      </c>
      <c r="M164">
        <v>925</v>
      </c>
      <c r="N164" s="8" cm="1">
        <f t="array" ref="N164">_xlfn.SWITCH(Sales[[#This Row],[Subscription Type]],"Basic",10,"Premium",10,"Business",25,"Enterprise",27)</f>
        <v>25</v>
      </c>
      <c r="O164">
        <f>IF(Sales[[#This Row],[Number of Users]]-Sales[[#This Row],[Licenses Bought]]&lt;0,0,Sales[[#This Row],[Number of Users]]-Sales[[#This Row],[Licenses Bought]])</f>
        <v>4</v>
      </c>
      <c r="P164" s="8">
        <f>IF(Sales[[#This Row],[Sales Month]]=MAX(Sales[Sales Month]),Sales[[#This Row],[Non-Paying Users]]*Sales[[#This Row],[Upsell $ per Non-Paying User]],0)</f>
        <v>100</v>
      </c>
      <c r="Q164" t="str" cm="1">
        <f t="array" ref="Q164">_xlfn.IFS(Sales[[#This Row],[Current Upsell $]]=0,"",Sales[[#This Row],[Current Upsell $]]&gt;=400,"High",Sales[[#This Row],[Current Upsell $]]&gt;=100,"Medium",Sales[[#This Row],[Current Upsell $]]&lt;100,"Low")</f>
        <v>Medium</v>
      </c>
      <c r="R164" t="str">
        <f>IF(Sales[[#This Row],[Current Upsell $]]&gt;0,_xlfn.CONCAT(Sales[[#This Row],[Subscription Type]]," ",Sales[[#This Row],[Upsell Priority]]," ",TEXT(Sales[[#This Row],[Current Upsell $]],"$#,#")),"")</f>
        <v>Business Medium $100</v>
      </c>
    </row>
    <row r="165" spans="1:18" x14ac:dyDescent="0.25">
      <c r="A165">
        <v>100012</v>
      </c>
      <c r="B165" t="s">
        <v>3</v>
      </c>
      <c r="D165" s="1"/>
      <c r="E165" s="1"/>
      <c r="F165">
        <v>0</v>
      </c>
      <c r="G165">
        <v>40</v>
      </c>
      <c r="H165" s="1">
        <v>43891</v>
      </c>
      <c r="I165" s="1">
        <v>44378</v>
      </c>
      <c r="J165">
        <v>16</v>
      </c>
      <c r="K165">
        <v>0</v>
      </c>
      <c r="L165" s="1">
        <v>43891</v>
      </c>
      <c r="M165">
        <v>0</v>
      </c>
      <c r="N165" s="8" cm="1">
        <f t="array" ref="N165">_xlfn.SWITCH(Sales[[#This Row],[Subscription Type]],"Basic",10,"Premium",10,"Business",25,"Enterprise",27)</f>
        <v>10</v>
      </c>
      <c r="O165">
        <f>IF(Sales[[#This Row],[Number of Users]]-Sales[[#This Row],[Licenses Bought]]&lt;0,0,Sales[[#This Row],[Number of Users]]-Sales[[#This Row],[Licenses Bought]])</f>
        <v>40</v>
      </c>
      <c r="P165" s="8">
        <f>IF(Sales[[#This Row],[Sales Month]]=MAX(Sales[Sales Month]),Sales[[#This Row],[Non-Paying Users]]*Sales[[#This Row],[Upsell $ per Non-Paying User]],0)</f>
        <v>0</v>
      </c>
      <c r="Q165" t="str" cm="1">
        <f t="array" ref="Q165">_xlfn.IFS(Sales[[#This Row],[Current Upsell $]]=0,"",Sales[[#This Row],[Current Upsell $]]&gt;=400,"High",Sales[[#This Row],[Current Upsell $]]&gt;=100,"Medium",Sales[[#This Row],[Current Upsell $]]&lt;100,"Low")</f>
        <v/>
      </c>
      <c r="R165" t="str">
        <f>IF(Sales[[#This Row],[Current Upsell $]]&gt;0,_xlfn.CONCAT(Sales[[#This Row],[Subscription Type]]," ",Sales[[#This Row],[Upsell Priority]]," ",TEXT(Sales[[#This Row],[Current Upsell $]],"$#,#")),"")</f>
        <v/>
      </c>
    </row>
    <row r="166" spans="1:18" x14ac:dyDescent="0.25">
      <c r="A166">
        <v>100012</v>
      </c>
      <c r="B166" t="s">
        <v>0</v>
      </c>
      <c r="D166" s="1"/>
      <c r="E166" s="1"/>
      <c r="F166">
        <v>32</v>
      </c>
      <c r="G166">
        <v>41</v>
      </c>
      <c r="H166" s="1">
        <v>43891</v>
      </c>
      <c r="I166" s="1">
        <v>44378</v>
      </c>
      <c r="J166">
        <v>16</v>
      </c>
      <c r="K166">
        <v>0</v>
      </c>
      <c r="L166" s="1">
        <v>43922</v>
      </c>
      <c r="M166">
        <v>320</v>
      </c>
      <c r="N166" s="8" cm="1">
        <f t="array" ref="N166">_xlfn.SWITCH(Sales[[#This Row],[Subscription Type]],"Basic",10,"Premium",10,"Business",25,"Enterprise",27)</f>
        <v>10</v>
      </c>
      <c r="O166">
        <f>IF(Sales[[#This Row],[Number of Users]]-Sales[[#This Row],[Licenses Bought]]&lt;0,0,Sales[[#This Row],[Number of Users]]-Sales[[#This Row],[Licenses Bought]])</f>
        <v>9</v>
      </c>
      <c r="P166" s="8">
        <f>IF(Sales[[#This Row],[Sales Month]]=MAX(Sales[Sales Month]),Sales[[#This Row],[Non-Paying Users]]*Sales[[#This Row],[Upsell $ per Non-Paying User]],0)</f>
        <v>0</v>
      </c>
      <c r="Q166" t="str" cm="1">
        <f t="array" ref="Q166">_xlfn.IFS(Sales[[#This Row],[Current Upsell $]]=0,"",Sales[[#This Row],[Current Upsell $]]&gt;=400,"High",Sales[[#This Row],[Current Upsell $]]&gt;=100,"Medium",Sales[[#This Row],[Current Upsell $]]&lt;100,"Low")</f>
        <v/>
      </c>
      <c r="R166" t="str">
        <f>IF(Sales[[#This Row],[Current Upsell $]]&gt;0,_xlfn.CONCAT(Sales[[#This Row],[Subscription Type]]," ",Sales[[#This Row],[Upsell Priority]]," ",TEXT(Sales[[#This Row],[Current Upsell $]],"$#,#")),"")</f>
        <v/>
      </c>
    </row>
    <row r="167" spans="1:18" x14ac:dyDescent="0.25">
      <c r="A167">
        <v>100012</v>
      </c>
      <c r="B167" t="s">
        <v>0</v>
      </c>
      <c r="D167" s="1"/>
      <c r="E167" s="1"/>
      <c r="F167">
        <v>23</v>
      </c>
      <c r="G167">
        <v>37</v>
      </c>
      <c r="H167" s="1">
        <v>43891</v>
      </c>
      <c r="I167" s="1">
        <v>44378</v>
      </c>
      <c r="J167">
        <v>16</v>
      </c>
      <c r="K167">
        <v>0</v>
      </c>
      <c r="L167" s="1">
        <v>43952</v>
      </c>
      <c r="M167">
        <v>230</v>
      </c>
      <c r="N167" s="8" cm="1">
        <f t="array" ref="N167">_xlfn.SWITCH(Sales[[#This Row],[Subscription Type]],"Basic",10,"Premium",10,"Business",25,"Enterprise",27)</f>
        <v>10</v>
      </c>
      <c r="O167">
        <f>IF(Sales[[#This Row],[Number of Users]]-Sales[[#This Row],[Licenses Bought]]&lt;0,0,Sales[[#This Row],[Number of Users]]-Sales[[#This Row],[Licenses Bought]])</f>
        <v>14</v>
      </c>
      <c r="P167" s="8">
        <f>IF(Sales[[#This Row],[Sales Month]]=MAX(Sales[Sales Month]),Sales[[#This Row],[Non-Paying Users]]*Sales[[#This Row],[Upsell $ per Non-Paying User]],0)</f>
        <v>0</v>
      </c>
      <c r="Q167" t="str" cm="1">
        <f t="array" ref="Q167">_xlfn.IFS(Sales[[#This Row],[Current Upsell $]]=0,"",Sales[[#This Row],[Current Upsell $]]&gt;=400,"High",Sales[[#This Row],[Current Upsell $]]&gt;=100,"Medium",Sales[[#This Row],[Current Upsell $]]&lt;100,"Low")</f>
        <v/>
      </c>
      <c r="R167" t="str">
        <f>IF(Sales[[#This Row],[Current Upsell $]]&gt;0,_xlfn.CONCAT(Sales[[#This Row],[Subscription Type]]," ",Sales[[#This Row],[Upsell Priority]]," ",TEXT(Sales[[#This Row],[Current Upsell $]],"$#,#")),"")</f>
        <v/>
      </c>
    </row>
    <row r="168" spans="1:18" x14ac:dyDescent="0.25">
      <c r="A168">
        <v>100012</v>
      </c>
      <c r="B168" t="s">
        <v>0</v>
      </c>
      <c r="D168" s="1"/>
      <c r="E168" s="1"/>
      <c r="F168">
        <v>30</v>
      </c>
      <c r="G168">
        <v>45</v>
      </c>
      <c r="H168" s="1">
        <v>43891</v>
      </c>
      <c r="I168" s="1">
        <v>44378</v>
      </c>
      <c r="J168">
        <v>16</v>
      </c>
      <c r="K168">
        <v>0</v>
      </c>
      <c r="L168" s="1">
        <v>43983</v>
      </c>
      <c r="M168">
        <v>300</v>
      </c>
      <c r="N168" s="8" cm="1">
        <f t="array" ref="N168">_xlfn.SWITCH(Sales[[#This Row],[Subscription Type]],"Basic",10,"Premium",10,"Business",25,"Enterprise",27)</f>
        <v>10</v>
      </c>
      <c r="O168">
        <f>IF(Sales[[#This Row],[Number of Users]]-Sales[[#This Row],[Licenses Bought]]&lt;0,0,Sales[[#This Row],[Number of Users]]-Sales[[#This Row],[Licenses Bought]])</f>
        <v>15</v>
      </c>
      <c r="P168" s="8">
        <f>IF(Sales[[#This Row],[Sales Month]]=MAX(Sales[Sales Month]),Sales[[#This Row],[Non-Paying Users]]*Sales[[#This Row],[Upsell $ per Non-Paying User]],0)</f>
        <v>0</v>
      </c>
      <c r="Q168" t="str" cm="1">
        <f t="array" ref="Q168">_xlfn.IFS(Sales[[#This Row],[Current Upsell $]]=0,"",Sales[[#This Row],[Current Upsell $]]&gt;=400,"High",Sales[[#This Row],[Current Upsell $]]&gt;=100,"Medium",Sales[[#This Row],[Current Upsell $]]&lt;100,"Low")</f>
        <v/>
      </c>
      <c r="R168" t="str">
        <f>IF(Sales[[#This Row],[Current Upsell $]]&gt;0,_xlfn.CONCAT(Sales[[#This Row],[Subscription Type]]," ",Sales[[#This Row],[Upsell Priority]]," ",TEXT(Sales[[#This Row],[Current Upsell $]],"$#,#")),"")</f>
        <v/>
      </c>
    </row>
    <row r="169" spans="1:18" x14ac:dyDescent="0.25">
      <c r="A169">
        <v>100012</v>
      </c>
      <c r="B169" t="s">
        <v>0</v>
      </c>
      <c r="D169" s="1"/>
      <c r="E169" s="1"/>
      <c r="F169">
        <v>32</v>
      </c>
      <c r="G169">
        <v>41</v>
      </c>
      <c r="H169" s="1">
        <v>43891</v>
      </c>
      <c r="I169" s="1">
        <v>44378</v>
      </c>
      <c r="J169">
        <v>16</v>
      </c>
      <c r="K169">
        <v>0</v>
      </c>
      <c r="L169" s="1">
        <v>44013</v>
      </c>
      <c r="M169">
        <v>320</v>
      </c>
      <c r="N169" s="8" cm="1">
        <f t="array" ref="N169">_xlfn.SWITCH(Sales[[#This Row],[Subscription Type]],"Basic",10,"Premium",10,"Business",25,"Enterprise",27)</f>
        <v>10</v>
      </c>
      <c r="O169">
        <f>IF(Sales[[#This Row],[Number of Users]]-Sales[[#This Row],[Licenses Bought]]&lt;0,0,Sales[[#This Row],[Number of Users]]-Sales[[#This Row],[Licenses Bought]])</f>
        <v>9</v>
      </c>
      <c r="P169" s="8">
        <f>IF(Sales[[#This Row],[Sales Month]]=MAX(Sales[Sales Month]),Sales[[#This Row],[Non-Paying Users]]*Sales[[#This Row],[Upsell $ per Non-Paying User]],0)</f>
        <v>0</v>
      </c>
      <c r="Q169" t="str" cm="1">
        <f t="array" ref="Q169">_xlfn.IFS(Sales[[#This Row],[Current Upsell $]]=0,"",Sales[[#This Row],[Current Upsell $]]&gt;=400,"High",Sales[[#This Row],[Current Upsell $]]&gt;=100,"Medium",Sales[[#This Row],[Current Upsell $]]&lt;100,"Low")</f>
        <v/>
      </c>
      <c r="R169" t="str">
        <f>IF(Sales[[#This Row],[Current Upsell $]]&gt;0,_xlfn.CONCAT(Sales[[#This Row],[Subscription Type]]," ",Sales[[#This Row],[Upsell Priority]]," ",TEXT(Sales[[#This Row],[Current Upsell $]],"$#,#")),"")</f>
        <v/>
      </c>
    </row>
    <row r="170" spans="1:18" x14ac:dyDescent="0.25">
      <c r="A170">
        <v>100012</v>
      </c>
      <c r="B170" t="s">
        <v>0</v>
      </c>
      <c r="D170" s="1"/>
      <c r="E170" s="1"/>
      <c r="F170">
        <v>32</v>
      </c>
      <c r="G170">
        <v>33</v>
      </c>
      <c r="H170" s="1">
        <v>43891</v>
      </c>
      <c r="I170" s="1">
        <v>44378</v>
      </c>
      <c r="J170">
        <v>16</v>
      </c>
      <c r="K170">
        <v>0</v>
      </c>
      <c r="L170" s="1">
        <v>44044</v>
      </c>
      <c r="M170">
        <v>320</v>
      </c>
      <c r="N170" s="8" cm="1">
        <f t="array" ref="N170">_xlfn.SWITCH(Sales[[#This Row],[Subscription Type]],"Basic",10,"Premium",10,"Business",25,"Enterprise",27)</f>
        <v>10</v>
      </c>
      <c r="O170">
        <f>IF(Sales[[#This Row],[Number of Users]]-Sales[[#This Row],[Licenses Bought]]&lt;0,0,Sales[[#This Row],[Number of Users]]-Sales[[#This Row],[Licenses Bought]])</f>
        <v>1</v>
      </c>
      <c r="P170" s="8">
        <f>IF(Sales[[#This Row],[Sales Month]]=MAX(Sales[Sales Month]),Sales[[#This Row],[Non-Paying Users]]*Sales[[#This Row],[Upsell $ per Non-Paying User]],0)</f>
        <v>0</v>
      </c>
      <c r="Q170" t="str" cm="1">
        <f t="array" ref="Q170">_xlfn.IFS(Sales[[#This Row],[Current Upsell $]]=0,"",Sales[[#This Row],[Current Upsell $]]&gt;=400,"High",Sales[[#This Row],[Current Upsell $]]&gt;=100,"Medium",Sales[[#This Row],[Current Upsell $]]&lt;100,"Low")</f>
        <v/>
      </c>
      <c r="R170" t="str">
        <f>IF(Sales[[#This Row],[Current Upsell $]]&gt;0,_xlfn.CONCAT(Sales[[#This Row],[Subscription Type]]," ",Sales[[#This Row],[Upsell Priority]]," ",TEXT(Sales[[#This Row],[Current Upsell $]],"$#,#")),"")</f>
        <v/>
      </c>
    </row>
    <row r="171" spans="1:18" x14ac:dyDescent="0.25">
      <c r="A171">
        <v>100012</v>
      </c>
      <c r="B171" t="s">
        <v>0</v>
      </c>
      <c r="D171" s="1"/>
      <c r="E171" s="1"/>
      <c r="F171">
        <v>32</v>
      </c>
      <c r="G171">
        <v>48</v>
      </c>
      <c r="H171" s="1">
        <v>43891</v>
      </c>
      <c r="I171" s="1">
        <v>44378</v>
      </c>
      <c r="J171">
        <v>16</v>
      </c>
      <c r="K171">
        <v>0</v>
      </c>
      <c r="L171" s="1">
        <v>44075</v>
      </c>
      <c r="M171">
        <v>320</v>
      </c>
      <c r="N171" s="8" cm="1">
        <f t="array" ref="N171">_xlfn.SWITCH(Sales[[#This Row],[Subscription Type]],"Basic",10,"Premium",10,"Business",25,"Enterprise",27)</f>
        <v>10</v>
      </c>
      <c r="O171">
        <f>IF(Sales[[#This Row],[Number of Users]]-Sales[[#This Row],[Licenses Bought]]&lt;0,0,Sales[[#This Row],[Number of Users]]-Sales[[#This Row],[Licenses Bought]])</f>
        <v>16</v>
      </c>
      <c r="P171" s="8">
        <f>IF(Sales[[#This Row],[Sales Month]]=MAX(Sales[Sales Month]),Sales[[#This Row],[Non-Paying Users]]*Sales[[#This Row],[Upsell $ per Non-Paying User]],0)</f>
        <v>0</v>
      </c>
      <c r="Q171" t="str" cm="1">
        <f t="array" ref="Q171">_xlfn.IFS(Sales[[#This Row],[Current Upsell $]]=0,"",Sales[[#This Row],[Current Upsell $]]&gt;=400,"High",Sales[[#This Row],[Current Upsell $]]&gt;=100,"Medium",Sales[[#This Row],[Current Upsell $]]&lt;100,"Low")</f>
        <v/>
      </c>
      <c r="R171" t="str">
        <f>IF(Sales[[#This Row],[Current Upsell $]]&gt;0,_xlfn.CONCAT(Sales[[#This Row],[Subscription Type]]," ",Sales[[#This Row],[Upsell Priority]]," ",TEXT(Sales[[#This Row],[Current Upsell $]],"$#,#")),"")</f>
        <v/>
      </c>
    </row>
    <row r="172" spans="1:18" x14ac:dyDescent="0.25">
      <c r="A172">
        <v>100012</v>
      </c>
      <c r="B172" t="s">
        <v>0</v>
      </c>
      <c r="D172" s="1"/>
      <c r="E172" s="1"/>
      <c r="F172">
        <v>32</v>
      </c>
      <c r="G172">
        <v>39</v>
      </c>
      <c r="H172" s="1">
        <v>43891</v>
      </c>
      <c r="I172" s="1">
        <v>44378</v>
      </c>
      <c r="J172">
        <v>16</v>
      </c>
      <c r="K172">
        <v>0</v>
      </c>
      <c r="L172" s="1">
        <v>44105</v>
      </c>
      <c r="M172">
        <v>320</v>
      </c>
      <c r="N172" s="8" cm="1">
        <f t="array" ref="N172">_xlfn.SWITCH(Sales[[#This Row],[Subscription Type]],"Basic",10,"Premium",10,"Business",25,"Enterprise",27)</f>
        <v>10</v>
      </c>
      <c r="O172">
        <f>IF(Sales[[#This Row],[Number of Users]]-Sales[[#This Row],[Licenses Bought]]&lt;0,0,Sales[[#This Row],[Number of Users]]-Sales[[#This Row],[Licenses Bought]])</f>
        <v>7</v>
      </c>
      <c r="P172" s="8">
        <f>IF(Sales[[#This Row],[Sales Month]]=MAX(Sales[Sales Month]),Sales[[#This Row],[Non-Paying Users]]*Sales[[#This Row],[Upsell $ per Non-Paying User]],0)</f>
        <v>0</v>
      </c>
      <c r="Q172" t="str" cm="1">
        <f t="array" ref="Q172">_xlfn.IFS(Sales[[#This Row],[Current Upsell $]]=0,"",Sales[[#This Row],[Current Upsell $]]&gt;=400,"High",Sales[[#This Row],[Current Upsell $]]&gt;=100,"Medium",Sales[[#This Row],[Current Upsell $]]&lt;100,"Low")</f>
        <v/>
      </c>
      <c r="R172" t="str">
        <f>IF(Sales[[#This Row],[Current Upsell $]]&gt;0,_xlfn.CONCAT(Sales[[#This Row],[Subscription Type]]," ",Sales[[#This Row],[Upsell Priority]]," ",TEXT(Sales[[#This Row],[Current Upsell $]],"$#,#")),"")</f>
        <v/>
      </c>
    </row>
    <row r="173" spans="1:18" x14ac:dyDescent="0.25">
      <c r="A173">
        <v>100012</v>
      </c>
      <c r="B173" t="s">
        <v>0</v>
      </c>
      <c r="D173" s="1"/>
      <c r="E173" s="1"/>
      <c r="F173">
        <v>32</v>
      </c>
      <c r="G173">
        <v>37</v>
      </c>
      <c r="H173" s="1">
        <v>43891</v>
      </c>
      <c r="I173" s="1">
        <v>44378</v>
      </c>
      <c r="J173">
        <v>16</v>
      </c>
      <c r="K173">
        <v>0</v>
      </c>
      <c r="L173" s="1">
        <v>44136</v>
      </c>
      <c r="M173">
        <v>320</v>
      </c>
      <c r="N173" s="8" cm="1">
        <f t="array" ref="N173">_xlfn.SWITCH(Sales[[#This Row],[Subscription Type]],"Basic",10,"Premium",10,"Business",25,"Enterprise",27)</f>
        <v>10</v>
      </c>
      <c r="O173">
        <f>IF(Sales[[#This Row],[Number of Users]]-Sales[[#This Row],[Licenses Bought]]&lt;0,0,Sales[[#This Row],[Number of Users]]-Sales[[#This Row],[Licenses Bought]])</f>
        <v>5</v>
      </c>
      <c r="P173" s="8">
        <f>IF(Sales[[#This Row],[Sales Month]]=MAX(Sales[Sales Month]),Sales[[#This Row],[Non-Paying Users]]*Sales[[#This Row],[Upsell $ per Non-Paying User]],0)</f>
        <v>0</v>
      </c>
      <c r="Q173" t="str" cm="1">
        <f t="array" ref="Q173">_xlfn.IFS(Sales[[#This Row],[Current Upsell $]]=0,"",Sales[[#This Row],[Current Upsell $]]&gt;=400,"High",Sales[[#This Row],[Current Upsell $]]&gt;=100,"Medium",Sales[[#This Row],[Current Upsell $]]&lt;100,"Low")</f>
        <v/>
      </c>
      <c r="R173" t="str">
        <f>IF(Sales[[#This Row],[Current Upsell $]]&gt;0,_xlfn.CONCAT(Sales[[#This Row],[Subscription Type]]," ",Sales[[#This Row],[Upsell Priority]]," ",TEXT(Sales[[#This Row],[Current Upsell $]],"$#,#")),"")</f>
        <v/>
      </c>
    </row>
    <row r="174" spans="1:18" x14ac:dyDescent="0.25">
      <c r="A174">
        <v>100012</v>
      </c>
      <c r="B174" t="s">
        <v>0</v>
      </c>
      <c r="D174" s="1"/>
      <c r="E174" s="1"/>
      <c r="F174">
        <v>32</v>
      </c>
      <c r="G174">
        <v>42</v>
      </c>
      <c r="H174" s="1">
        <v>43891</v>
      </c>
      <c r="I174" s="1">
        <v>44378</v>
      </c>
      <c r="J174">
        <v>16</v>
      </c>
      <c r="K174">
        <v>0</v>
      </c>
      <c r="L174" s="1">
        <v>44166</v>
      </c>
      <c r="M174">
        <v>320</v>
      </c>
      <c r="N174" s="8" cm="1">
        <f t="array" ref="N174">_xlfn.SWITCH(Sales[[#This Row],[Subscription Type]],"Basic",10,"Premium",10,"Business",25,"Enterprise",27)</f>
        <v>10</v>
      </c>
      <c r="O174">
        <f>IF(Sales[[#This Row],[Number of Users]]-Sales[[#This Row],[Licenses Bought]]&lt;0,0,Sales[[#This Row],[Number of Users]]-Sales[[#This Row],[Licenses Bought]])</f>
        <v>10</v>
      </c>
      <c r="P174" s="8">
        <f>IF(Sales[[#This Row],[Sales Month]]=MAX(Sales[Sales Month]),Sales[[#This Row],[Non-Paying Users]]*Sales[[#This Row],[Upsell $ per Non-Paying User]],0)</f>
        <v>0</v>
      </c>
      <c r="Q174" t="str" cm="1">
        <f t="array" ref="Q174">_xlfn.IFS(Sales[[#This Row],[Current Upsell $]]=0,"",Sales[[#This Row],[Current Upsell $]]&gt;=400,"High",Sales[[#This Row],[Current Upsell $]]&gt;=100,"Medium",Sales[[#This Row],[Current Upsell $]]&lt;100,"Low")</f>
        <v/>
      </c>
      <c r="R174" t="str">
        <f>IF(Sales[[#This Row],[Current Upsell $]]&gt;0,_xlfn.CONCAT(Sales[[#This Row],[Subscription Type]]," ",Sales[[#This Row],[Upsell Priority]]," ",TEXT(Sales[[#This Row],[Current Upsell $]],"$#,#")),"")</f>
        <v/>
      </c>
    </row>
    <row r="175" spans="1:18" x14ac:dyDescent="0.25">
      <c r="A175">
        <v>100012</v>
      </c>
      <c r="B175" t="s">
        <v>0</v>
      </c>
      <c r="D175" s="1"/>
      <c r="E175" s="1"/>
      <c r="F175">
        <v>32</v>
      </c>
      <c r="G175">
        <v>37</v>
      </c>
      <c r="H175" s="1">
        <v>43891</v>
      </c>
      <c r="I175" s="1">
        <v>44378</v>
      </c>
      <c r="J175">
        <v>16</v>
      </c>
      <c r="K175">
        <v>0</v>
      </c>
      <c r="L175" s="1">
        <v>44197</v>
      </c>
      <c r="M175">
        <v>320</v>
      </c>
      <c r="N175" s="8" cm="1">
        <f t="array" ref="N175">_xlfn.SWITCH(Sales[[#This Row],[Subscription Type]],"Basic",10,"Premium",10,"Business",25,"Enterprise",27)</f>
        <v>10</v>
      </c>
      <c r="O175">
        <f>IF(Sales[[#This Row],[Number of Users]]-Sales[[#This Row],[Licenses Bought]]&lt;0,0,Sales[[#This Row],[Number of Users]]-Sales[[#This Row],[Licenses Bought]])</f>
        <v>5</v>
      </c>
      <c r="P175" s="8">
        <f>IF(Sales[[#This Row],[Sales Month]]=MAX(Sales[Sales Month]),Sales[[#This Row],[Non-Paying Users]]*Sales[[#This Row],[Upsell $ per Non-Paying User]],0)</f>
        <v>0</v>
      </c>
      <c r="Q175" t="str" cm="1">
        <f t="array" ref="Q175">_xlfn.IFS(Sales[[#This Row],[Current Upsell $]]=0,"",Sales[[#This Row],[Current Upsell $]]&gt;=400,"High",Sales[[#This Row],[Current Upsell $]]&gt;=100,"Medium",Sales[[#This Row],[Current Upsell $]]&lt;100,"Low")</f>
        <v/>
      </c>
      <c r="R175" t="str">
        <f>IF(Sales[[#This Row],[Current Upsell $]]&gt;0,_xlfn.CONCAT(Sales[[#This Row],[Subscription Type]]," ",Sales[[#This Row],[Upsell Priority]]," ",TEXT(Sales[[#This Row],[Current Upsell $]],"$#,#")),"")</f>
        <v/>
      </c>
    </row>
    <row r="176" spans="1:18" x14ac:dyDescent="0.25">
      <c r="A176">
        <v>100012</v>
      </c>
      <c r="B176" t="s">
        <v>0</v>
      </c>
      <c r="D176" s="1"/>
      <c r="E176" s="1"/>
      <c r="F176">
        <v>32</v>
      </c>
      <c r="G176">
        <v>30</v>
      </c>
      <c r="H176" s="1">
        <v>43891</v>
      </c>
      <c r="I176" s="1">
        <v>44378</v>
      </c>
      <c r="J176">
        <v>16</v>
      </c>
      <c r="K176">
        <v>0</v>
      </c>
      <c r="L176" s="1">
        <v>44228</v>
      </c>
      <c r="M176">
        <v>320</v>
      </c>
      <c r="N176" s="8" cm="1">
        <f t="array" ref="N176">_xlfn.SWITCH(Sales[[#This Row],[Subscription Type]],"Basic",10,"Premium",10,"Business",25,"Enterprise",27)</f>
        <v>10</v>
      </c>
      <c r="O176">
        <f>IF(Sales[[#This Row],[Number of Users]]-Sales[[#This Row],[Licenses Bought]]&lt;0,0,Sales[[#This Row],[Number of Users]]-Sales[[#This Row],[Licenses Bought]])</f>
        <v>0</v>
      </c>
      <c r="P176" s="8">
        <f>IF(Sales[[#This Row],[Sales Month]]=MAX(Sales[Sales Month]),Sales[[#This Row],[Non-Paying Users]]*Sales[[#This Row],[Upsell $ per Non-Paying User]],0)</f>
        <v>0</v>
      </c>
      <c r="Q176" t="str" cm="1">
        <f t="array" ref="Q176">_xlfn.IFS(Sales[[#This Row],[Current Upsell $]]=0,"",Sales[[#This Row],[Current Upsell $]]&gt;=400,"High",Sales[[#This Row],[Current Upsell $]]&gt;=100,"Medium",Sales[[#This Row],[Current Upsell $]]&lt;100,"Low")</f>
        <v/>
      </c>
      <c r="R176" t="str">
        <f>IF(Sales[[#This Row],[Current Upsell $]]&gt;0,_xlfn.CONCAT(Sales[[#This Row],[Subscription Type]]," ",Sales[[#This Row],[Upsell Priority]]," ",TEXT(Sales[[#This Row],[Current Upsell $]],"$#,#")),"")</f>
        <v/>
      </c>
    </row>
    <row r="177" spans="1:18" x14ac:dyDescent="0.25">
      <c r="A177">
        <v>100012</v>
      </c>
      <c r="B177" t="s">
        <v>0</v>
      </c>
      <c r="D177" s="1"/>
      <c r="E177" s="1"/>
      <c r="F177">
        <v>32</v>
      </c>
      <c r="G177">
        <v>41</v>
      </c>
      <c r="H177" s="1">
        <v>43891</v>
      </c>
      <c r="I177" s="1">
        <v>44378</v>
      </c>
      <c r="J177">
        <v>16</v>
      </c>
      <c r="K177">
        <v>0</v>
      </c>
      <c r="L177" s="1">
        <v>44256</v>
      </c>
      <c r="M177">
        <v>320</v>
      </c>
      <c r="N177" s="8" cm="1">
        <f t="array" ref="N177">_xlfn.SWITCH(Sales[[#This Row],[Subscription Type]],"Basic",10,"Premium",10,"Business",25,"Enterprise",27)</f>
        <v>10</v>
      </c>
      <c r="O177">
        <f>IF(Sales[[#This Row],[Number of Users]]-Sales[[#This Row],[Licenses Bought]]&lt;0,0,Sales[[#This Row],[Number of Users]]-Sales[[#This Row],[Licenses Bought]])</f>
        <v>9</v>
      </c>
      <c r="P177" s="8">
        <f>IF(Sales[[#This Row],[Sales Month]]=MAX(Sales[Sales Month]),Sales[[#This Row],[Non-Paying Users]]*Sales[[#This Row],[Upsell $ per Non-Paying User]],0)</f>
        <v>0</v>
      </c>
      <c r="Q177" t="str" cm="1">
        <f t="array" ref="Q177">_xlfn.IFS(Sales[[#This Row],[Current Upsell $]]=0,"",Sales[[#This Row],[Current Upsell $]]&gt;=400,"High",Sales[[#This Row],[Current Upsell $]]&gt;=100,"Medium",Sales[[#This Row],[Current Upsell $]]&lt;100,"Low")</f>
        <v/>
      </c>
      <c r="R177" t="str">
        <f>IF(Sales[[#This Row],[Current Upsell $]]&gt;0,_xlfn.CONCAT(Sales[[#This Row],[Subscription Type]]," ",Sales[[#This Row],[Upsell Priority]]," ",TEXT(Sales[[#This Row],[Current Upsell $]],"$#,#")),"")</f>
        <v/>
      </c>
    </row>
    <row r="178" spans="1:18" x14ac:dyDescent="0.25">
      <c r="A178">
        <v>100012</v>
      </c>
      <c r="B178" t="s">
        <v>0</v>
      </c>
      <c r="D178" s="1"/>
      <c r="E178" s="1"/>
      <c r="F178">
        <v>32</v>
      </c>
      <c r="G178">
        <v>41</v>
      </c>
      <c r="H178" s="1">
        <v>43891</v>
      </c>
      <c r="I178" s="1">
        <v>44378</v>
      </c>
      <c r="J178">
        <v>16</v>
      </c>
      <c r="K178">
        <v>0</v>
      </c>
      <c r="L178" s="1">
        <v>44287</v>
      </c>
      <c r="M178">
        <v>320</v>
      </c>
      <c r="N178" s="8" cm="1">
        <f t="array" ref="N178">_xlfn.SWITCH(Sales[[#This Row],[Subscription Type]],"Basic",10,"Premium",10,"Business",25,"Enterprise",27)</f>
        <v>10</v>
      </c>
      <c r="O178">
        <f>IF(Sales[[#This Row],[Number of Users]]-Sales[[#This Row],[Licenses Bought]]&lt;0,0,Sales[[#This Row],[Number of Users]]-Sales[[#This Row],[Licenses Bought]])</f>
        <v>9</v>
      </c>
      <c r="P178" s="8">
        <f>IF(Sales[[#This Row],[Sales Month]]=MAX(Sales[Sales Month]),Sales[[#This Row],[Non-Paying Users]]*Sales[[#This Row],[Upsell $ per Non-Paying User]],0)</f>
        <v>0</v>
      </c>
      <c r="Q178" t="str" cm="1">
        <f t="array" ref="Q178">_xlfn.IFS(Sales[[#This Row],[Current Upsell $]]=0,"",Sales[[#This Row],[Current Upsell $]]&gt;=400,"High",Sales[[#This Row],[Current Upsell $]]&gt;=100,"Medium",Sales[[#This Row],[Current Upsell $]]&lt;100,"Low")</f>
        <v/>
      </c>
      <c r="R178" t="str">
        <f>IF(Sales[[#This Row],[Current Upsell $]]&gt;0,_xlfn.CONCAT(Sales[[#This Row],[Subscription Type]]," ",Sales[[#This Row],[Upsell Priority]]," ",TEXT(Sales[[#This Row],[Current Upsell $]],"$#,#")),"")</f>
        <v/>
      </c>
    </row>
    <row r="179" spans="1:18" x14ac:dyDescent="0.25">
      <c r="A179">
        <v>100012</v>
      </c>
      <c r="B179" t="s">
        <v>0</v>
      </c>
      <c r="D179" s="1"/>
      <c r="E179" s="1"/>
      <c r="F179">
        <v>32</v>
      </c>
      <c r="G179">
        <v>39</v>
      </c>
      <c r="H179" s="1">
        <v>43891</v>
      </c>
      <c r="I179" s="1">
        <v>44378</v>
      </c>
      <c r="J179">
        <v>16</v>
      </c>
      <c r="K179">
        <v>0</v>
      </c>
      <c r="L179" s="1">
        <v>44317</v>
      </c>
      <c r="M179">
        <v>320</v>
      </c>
      <c r="N179" s="8" cm="1">
        <f t="array" ref="N179">_xlfn.SWITCH(Sales[[#This Row],[Subscription Type]],"Basic",10,"Premium",10,"Business",25,"Enterprise",27)</f>
        <v>10</v>
      </c>
      <c r="O179">
        <f>IF(Sales[[#This Row],[Number of Users]]-Sales[[#This Row],[Licenses Bought]]&lt;0,0,Sales[[#This Row],[Number of Users]]-Sales[[#This Row],[Licenses Bought]])</f>
        <v>7</v>
      </c>
      <c r="P179" s="8">
        <f>IF(Sales[[#This Row],[Sales Month]]=MAX(Sales[Sales Month]),Sales[[#This Row],[Non-Paying Users]]*Sales[[#This Row],[Upsell $ per Non-Paying User]],0)</f>
        <v>0</v>
      </c>
      <c r="Q179" t="str" cm="1">
        <f t="array" ref="Q179">_xlfn.IFS(Sales[[#This Row],[Current Upsell $]]=0,"",Sales[[#This Row],[Current Upsell $]]&gt;=400,"High",Sales[[#This Row],[Current Upsell $]]&gt;=100,"Medium",Sales[[#This Row],[Current Upsell $]]&lt;100,"Low")</f>
        <v/>
      </c>
      <c r="R179" t="str">
        <f>IF(Sales[[#This Row],[Current Upsell $]]&gt;0,_xlfn.CONCAT(Sales[[#This Row],[Subscription Type]]," ",Sales[[#This Row],[Upsell Priority]]," ",TEXT(Sales[[#This Row],[Current Upsell $]],"$#,#")),"")</f>
        <v/>
      </c>
    </row>
    <row r="180" spans="1:18" x14ac:dyDescent="0.25">
      <c r="A180">
        <v>100012</v>
      </c>
      <c r="B180" t="s">
        <v>0</v>
      </c>
      <c r="D180" s="1"/>
      <c r="E180" s="1"/>
      <c r="F180">
        <v>32</v>
      </c>
      <c r="G180">
        <v>39</v>
      </c>
      <c r="H180" s="1">
        <v>43891</v>
      </c>
      <c r="I180" s="1">
        <v>44378</v>
      </c>
      <c r="J180">
        <v>16</v>
      </c>
      <c r="K180">
        <v>0</v>
      </c>
      <c r="L180" s="1">
        <v>44348</v>
      </c>
      <c r="M180">
        <v>320</v>
      </c>
      <c r="N180" s="8" cm="1">
        <f t="array" ref="N180">_xlfn.SWITCH(Sales[[#This Row],[Subscription Type]],"Basic",10,"Premium",10,"Business",25,"Enterprise",27)</f>
        <v>10</v>
      </c>
      <c r="O180">
        <f>IF(Sales[[#This Row],[Number of Users]]-Sales[[#This Row],[Licenses Bought]]&lt;0,0,Sales[[#This Row],[Number of Users]]-Sales[[#This Row],[Licenses Bought]])</f>
        <v>7</v>
      </c>
      <c r="P180" s="8">
        <f>IF(Sales[[#This Row],[Sales Month]]=MAX(Sales[Sales Month]),Sales[[#This Row],[Non-Paying Users]]*Sales[[#This Row],[Upsell $ per Non-Paying User]],0)</f>
        <v>70</v>
      </c>
      <c r="Q180" t="str" cm="1">
        <f t="array" ref="Q180">_xlfn.IFS(Sales[[#This Row],[Current Upsell $]]=0,"",Sales[[#This Row],[Current Upsell $]]&gt;=400,"High",Sales[[#This Row],[Current Upsell $]]&gt;=100,"Medium",Sales[[#This Row],[Current Upsell $]]&lt;100,"Low")</f>
        <v>Low</v>
      </c>
      <c r="R180" t="str">
        <f>IF(Sales[[#This Row],[Current Upsell $]]&gt;0,_xlfn.CONCAT(Sales[[#This Row],[Subscription Type]]," ",Sales[[#This Row],[Upsell Priority]]," ",TEXT(Sales[[#This Row],[Current Upsell $]],"$#,#")),"")</f>
        <v>Premium Low $70</v>
      </c>
    </row>
    <row r="181" spans="1:18" x14ac:dyDescent="0.25">
      <c r="A181">
        <v>100013</v>
      </c>
      <c r="B181" t="s">
        <v>3</v>
      </c>
      <c r="F181">
        <v>0</v>
      </c>
      <c r="G181">
        <v>13</v>
      </c>
      <c r="H181" s="1">
        <v>43891</v>
      </c>
      <c r="I181" s="1">
        <v>44256</v>
      </c>
      <c r="J181">
        <v>12</v>
      </c>
      <c r="K181">
        <v>3</v>
      </c>
      <c r="L181" s="1">
        <v>43891</v>
      </c>
      <c r="M181">
        <v>0</v>
      </c>
      <c r="N181" s="8" cm="1">
        <f t="array" ref="N181">_xlfn.SWITCH(Sales[[#This Row],[Subscription Type]],"Basic",10,"Premium",10,"Business",25,"Enterprise",27)</f>
        <v>10</v>
      </c>
      <c r="O181">
        <f>IF(Sales[[#This Row],[Number of Users]]-Sales[[#This Row],[Licenses Bought]]&lt;0,0,Sales[[#This Row],[Number of Users]]-Sales[[#This Row],[Licenses Bought]])</f>
        <v>13</v>
      </c>
      <c r="P181" s="8">
        <f>IF(Sales[[#This Row],[Sales Month]]=MAX(Sales[Sales Month]),Sales[[#This Row],[Non-Paying Users]]*Sales[[#This Row],[Upsell $ per Non-Paying User]],0)</f>
        <v>0</v>
      </c>
      <c r="Q181" t="str" cm="1">
        <f t="array" ref="Q181">_xlfn.IFS(Sales[[#This Row],[Current Upsell $]]=0,"",Sales[[#This Row],[Current Upsell $]]&gt;=400,"High",Sales[[#This Row],[Current Upsell $]]&gt;=100,"Medium",Sales[[#This Row],[Current Upsell $]]&lt;100,"Low")</f>
        <v/>
      </c>
      <c r="R181" t="str">
        <f>IF(Sales[[#This Row],[Current Upsell $]]&gt;0,_xlfn.CONCAT(Sales[[#This Row],[Subscription Type]]," ",Sales[[#This Row],[Upsell Priority]]," ",TEXT(Sales[[#This Row],[Current Upsell $]],"$#,#")),"")</f>
        <v/>
      </c>
    </row>
    <row r="182" spans="1:18" x14ac:dyDescent="0.25">
      <c r="A182">
        <v>100013</v>
      </c>
      <c r="B182" t="s">
        <v>0</v>
      </c>
      <c r="F182">
        <v>4</v>
      </c>
      <c r="G182">
        <v>13</v>
      </c>
      <c r="H182" s="1">
        <v>43891</v>
      </c>
      <c r="I182" s="1">
        <v>44256</v>
      </c>
      <c r="J182">
        <v>12</v>
      </c>
      <c r="K182">
        <v>3</v>
      </c>
      <c r="L182" s="1">
        <v>43922</v>
      </c>
      <c r="M182">
        <v>40</v>
      </c>
      <c r="N182" s="8" cm="1">
        <f t="array" ref="N182">_xlfn.SWITCH(Sales[[#This Row],[Subscription Type]],"Basic",10,"Premium",10,"Business",25,"Enterprise",27)</f>
        <v>10</v>
      </c>
      <c r="O182">
        <f>IF(Sales[[#This Row],[Number of Users]]-Sales[[#This Row],[Licenses Bought]]&lt;0,0,Sales[[#This Row],[Number of Users]]-Sales[[#This Row],[Licenses Bought]])</f>
        <v>9</v>
      </c>
      <c r="P182" s="8">
        <f>IF(Sales[[#This Row],[Sales Month]]=MAX(Sales[Sales Month]),Sales[[#This Row],[Non-Paying Users]]*Sales[[#This Row],[Upsell $ per Non-Paying User]],0)</f>
        <v>0</v>
      </c>
      <c r="Q182" t="str" cm="1">
        <f t="array" ref="Q182">_xlfn.IFS(Sales[[#This Row],[Current Upsell $]]=0,"",Sales[[#This Row],[Current Upsell $]]&gt;=400,"High",Sales[[#This Row],[Current Upsell $]]&gt;=100,"Medium",Sales[[#This Row],[Current Upsell $]]&lt;100,"Low")</f>
        <v/>
      </c>
      <c r="R182" t="str">
        <f>IF(Sales[[#This Row],[Current Upsell $]]&gt;0,_xlfn.CONCAT(Sales[[#This Row],[Subscription Type]]," ",Sales[[#This Row],[Upsell Priority]]," ",TEXT(Sales[[#This Row],[Current Upsell $]],"$#,#")),"")</f>
        <v/>
      </c>
    </row>
    <row r="183" spans="1:18" x14ac:dyDescent="0.25">
      <c r="A183">
        <v>100013</v>
      </c>
      <c r="B183" t="s">
        <v>0</v>
      </c>
      <c r="F183">
        <v>11</v>
      </c>
      <c r="G183">
        <v>14</v>
      </c>
      <c r="H183" s="1">
        <v>43891</v>
      </c>
      <c r="I183" s="1">
        <v>44256</v>
      </c>
      <c r="J183">
        <v>12</v>
      </c>
      <c r="K183">
        <v>3</v>
      </c>
      <c r="L183" s="1">
        <v>43952</v>
      </c>
      <c r="M183">
        <v>110</v>
      </c>
      <c r="N183" s="8" cm="1">
        <f t="array" ref="N183">_xlfn.SWITCH(Sales[[#This Row],[Subscription Type]],"Basic",10,"Premium",10,"Business",25,"Enterprise",27)</f>
        <v>10</v>
      </c>
      <c r="O183">
        <f>IF(Sales[[#This Row],[Number of Users]]-Sales[[#This Row],[Licenses Bought]]&lt;0,0,Sales[[#This Row],[Number of Users]]-Sales[[#This Row],[Licenses Bought]])</f>
        <v>3</v>
      </c>
      <c r="P183" s="8">
        <f>IF(Sales[[#This Row],[Sales Month]]=MAX(Sales[Sales Month]),Sales[[#This Row],[Non-Paying Users]]*Sales[[#This Row],[Upsell $ per Non-Paying User]],0)</f>
        <v>0</v>
      </c>
      <c r="Q183" t="str" cm="1">
        <f t="array" ref="Q183">_xlfn.IFS(Sales[[#This Row],[Current Upsell $]]=0,"",Sales[[#This Row],[Current Upsell $]]&gt;=400,"High",Sales[[#This Row],[Current Upsell $]]&gt;=100,"Medium",Sales[[#This Row],[Current Upsell $]]&lt;100,"Low")</f>
        <v/>
      </c>
      <c r="R183" t="str">
        <f>IF(Sales[[#This Row],[Current Upsell $]]&gt;0,_xlfn.CONCAT(Sales[[#This Row],[Subscription Type]]," ",Sales[[#This Row],[Upsell Priority]]," ",TEXT(Sales[[#This Row],[Current Upsell $]],"$#,#")),"")</f>
        <v/>
      </c>
    </row>
    <row r="184" spans="1:18" x14ac:dyDescent="0.25">
      <c r="A184">
        <v>100013</v>
      </c>
      <c r="B184" t="s">
        <v>0</v>
      </c>
      <c r="F184">
        <v>11</v>
      </c>
      <c r="G184">
        <v>14</v>
      </c>
      <c r="H184" s="1">
        <v>43891</v>
      </c>
      <c r="I184" s="1">
        <v>44256</v>
      </c>
      <c r="J184">
        <v>12</v>
      </c>
      <c r="K184">
        <v>3</v>
      </c>
      <c r="L184" s="1">
        <v>43983</v>
      </c>
      <c r="M184">
        <v>110</v>
      </c>
      <c r="N184" s="8" cm="1">
        <f t="array" ref="N184">_xlfn.SWITCH(Sales[[#This Row],[Subscription Type]],"Basic",10,"Premium",10,"Business",25,"Enterprise",27)</f>
        <v>10</v>
      </c>
      <c r="O184">
        <f>IF(Sales[[#This Row],[Number of Users]]-Sales[[#This Row],[Licenses Bought]]&lt;0,0,Sales[[#This Row],[Number of Users]]-Sales[[#This Row],[Licenses Bought]])</f>
        <v>3</v>
      </c>
      <c r="P184" s="8">
        <f>IF(Sales[[#This Row],[Sales Month]]=MAX(Sales[Sales Month]),Sales[[#This Row],[Non-Paying Users]]*Sales[[#This Row],[Upsell $ per Non-Paying User]],0)</f>
        <v>0</v>
      </c>
      <c r="Q184" t="str" cm="1">
        <f t="array" ref="Q184">_xlfn.IFS(Sales[[#This Row],[Current Upsell $]]=0,"",Sales[[#This Row],[Current Upsell $]]&gt;=400,"High",Sales[[#This Row],[Current Upsell $]]&gt;=100,"Medium",Sales[[#This Row],[Current Upsell $]]&lt;100,"Low")</f>
        <v/>
      </c>
      <c r="R184" t="str">
        <f>IF(Sales[[#This Row],[Current Upsell $]]&gt;0,_xlfn.CONCAT(Sales[[#This Row],[Subscription Type]]," ",Sales[[#This Row],[Upsell Priority]]," ",TEXT(Sales[[#This Row],[Current Upsell $]],"$#,#")),"")</f>
        <v/>
      </c>
    </row>
    <row r="185" spans="1:18" x14ac:dyDescent="0.25">
      <c r="A185">
        <v>100013</v>
      </c>
      <c r="B185" t="s">
        <v>0</v>
      </c>
      <c r="F185">
        <v>11</v>
      </c>
      <c r="G185">
        <v>11</v>
      </c>
      <c r="H185" s="1">
        <v>43891</v>
      </c>
      <c r="I185" s="1">
        <v>44256</v>
      </c>
      <c r="J185">
        <v>12</v>
      </c>
      <c r="K185">
        <v>3</v>
      </c>
      <c r="L185" s="1">
        <v>44013</v>
      </c>
      <c r="M185">
        <v>110</v>
      </c>
      <c r="N185" s="8" cm="1">
        <f t="array" ref="N185">_xlfn.SWITCH(Sales[[#This Row],[Subscription Type]],"Basic",10,"Premium",10,"Business",25,"Enterprise",27)</f>
        <v>10</v>
      </c>
      <c r="O185">
        <f>IF(Sales[[#This Row],[Number of Users]]-Sales[[#This Row],[Licenses Bought]]&lt;0,0,Sales[[#This Row],[Number of Users]]-Sales[[#This Row],[Licenses Bought]])</f>
        <v>0</v>
      </c>
      <c r="P185" s="8">
        <f>IF(Sales[[#This Row],[Sales Month]]=MAX(Sales[Sales Month]),Sales[[#This Row],[Non-Paying Users]]*Sales[[#This Row],[Upsell $ per Non-Paying User]],0)</f>
        <v>0</v>
      </c>
      <c r="Q185" t="str" cm="1">
        <f t="array" ref="Q185">_xlfn.IFS(Sales[[#This Row],[Current Upsell $]]=0,"",Sales[[#This Row],[Current Upsell $]]&gt;=400,"High",Sales[[#This Row],[Current Upsell $]]&gt;=100,"Medium",Sales[[#This Row],[Current Upsell $]]&lt;100,"Low")</f>
        <v/>
      </c>
      <c r="R185" t="str">
        <f>IF(Sales[[#This Row],[Current Upsell $]]&gt;0,_xlfn.CONCAT(Sales[[#This Row],[Subscription Type]]," ",Sales[[#This Row],[Upsell Priority]]," ",TEXT(Sales[[#This Row],[Current Upsell $]],"$#,#")),"")</f>
        <v/>
      </c>
    </row>
    <row r="186" spans="1:18" x14ac:dyDescent="0.25">
      <c r="A186">
        <v>100013</v>
      </c>
      <c r="B186" t="s">
        <v>0</v>
      </c>
      <c r="F186">
        <v>11</v>
      </c>
      <c r="G186">
        <v>11</v>
      </c>
      <c r="H186" s="1">
        <v>43891</v>
      </c>
      <c r="I186" s="1">
        <v>44256</v>
      </c>
      <c r="J186">
        <v>12</v>
      </c>
      <c r="K186">
        <v>3</v>
      </c>
      <c r="L186" s="1">
        <v>44044</v>
      </c>
      <c r="M186">
        <v>110</v>
      </c>
      <c r="N186" s="8" cm="1">
        <f t="array" ref="N186">_xlfn.SWITCH(Sales[[#This Row],[Subscription Type]],"Basic",10,"Premium",10,"Business",25,"Enterprise",27)</f>
        <v>10</v>
      </c>
      <c r="O186">
        <f>IF(Sales[[#This Row],[Number of Users]]-Sales[[#This Row],[Licenses Bought]]&lt;0,0,Sales[[#This Row],[Number of Users]]-Sales[[#This Row],[Licenses Bought]])</f>
        <v>0</v>
      </c>
      <c r="P186" s="8">
        <f>IF(Sales[[#This Row],[Sales Month]]=MAX(Sales[Sales Month]),Sales[[#This Row],[Non-Paying Users]]*Sales[[#This Row],[Upsell $ per Non-Paying User]],0)</f>
        <v>0</v>
      </c>
      <c r="Q186" t="str" cm="1">
        <f t="array" ref="Q186">_xlfn.IFS(Sales[[#This Row],[Current Upsell $]]=0,"",Sales[[#This Row],[Current Upsell $]]&gt;=400,"High",Sales[[#This Row],[Current Upsell $]]&gt;=100,"Medium",Sales[[#This Row],[Current Upsell $]]&lt;100,"Low")</f>
        <v/>
      </c>
      <c r="R186" t="str">
        <f>IF(Sales[[#This Row],[Current Upsell $]]&gt;0,_xlfn.CONCAT(Sales[[#This Row],[Subscription Type]]," ",Sales[[#This Row],[Upsell Priority]]," ",TEXT(Sales[[#This Row],[Current Upsell $]],"$#,#")),"")</f>
        <v/>
      </c>
    </row>
    <row r="187" spans="1:18" x14ac:dyDescent="0.25">
      <c r="A187">
        <v>100013</v>
      </c>
      <c r="B187" t="s">
        <v>0</v>
      </c>
      <c r="F187">
        <v>11</v>
      </c>
      <c r="G187">
        <v>13</v>
      </c>
      <c r="H187" s="1">
        <v>43891</v>
      </c>
      <c r="I187" s="1">
        <v>44256</v>
      </c>
      <c r="J187">
        <v>12</v>
      </c>
      <c r="K187">
        <v>3</v>
      </c>
      <c r="L187" s="1">
        <v>44075</v>
      </c>
      <c r="M187">
        <v>110</v>
      </c>
      <c r="N187" s="8" cm="1">
        <f t="array" ref="N187">_xlfn.SWITCH(Sales[[#This Row],[Subscription Type]],"Basic",10,"Premium",10,"Business",25,"Enterprise",27)</f>
        <v>10</v>
      </c>
      <c r="O187">
        <f>IF(Sales[[#This Row],[Number of Users]]-Sales[[#This Row],[Licenses Bought]]&lt;0,0,Sales[[#This Row],[Number of Users]]-Sales[[#This Row],[Licenses Bought]])</f>
        <v>2</v>
      </c>
      <c r="P187" s="8">
        <f>IF(Sales[[#This Row],[Sales Month]]=MAX(Sales[Sales Month]),Sales[[#This Row],[Non-Paying Users]]*Sales[[#This Row],[Upsell $ per Non-Paying User]],0)</f>
        <v>0</v>
      </c>
      <c r="Q187" t="str" cm="1">
        <f t="array" ref="Q187">_xlfn.IFS(Sales[[#This Row],[Current Upsell $]]=0,"",Sales[[#This Row],[Current Upsell $]]&gt;=400,"High",Sales[[#This Row],[Current Upsell $]]&gt;=100,"Medium",Sales[[#This Row],[Current Upsell $]]&lt;100,"Low")</f>
        <v/>
      </c>
      <c r="R187" t="str">
        <f>IF(Sales[[#This Row],[Current Upsell $]]&gt;0,_xlfn.CONCAT(Sales[[#This Row],[Subscription Type]]," ",Sales[[#This Row],[Upsell Priority]]," ",TEXT(Sales[[#This Row],[Current Upsell $]],"$#,#")),"")</f>
        <v/>
      </c>
    </row>
    <row r="188" spans="1:18" x14ac:dyDescent="0.25">
      <c r="A188">
        <v>100013</v>
      </c>
      <c r="B188" t="s">
        <v>0</v>
      </c>
      <c r="F188">
        <v>11</v>
      </c>
      <c r="G188">
        <v>15</v>
      </c>
      <c r="H188" s="1">
        <v>43891</v>
      </c>
      <c r="I188" s="1">
        <v>44256</v>
      </c>
      <c r="J188">
        <v>12</v>
      </c>
      <c r="K188">
        <v>3</v>
      </c>
      <c r="L188" s="1">
        <v>44105</v>
      </c>
      <c r="M188">
        <v>110</v>
      </c>
      <c r="N188" s="8" cm="1">
        <f t="array" ref="N188">_xlfn.SWITCH(Sales[[#This Row],[Subscription Type]],"Basic",10,"Premium",10,"Business",25,"Enterprise",27)</f>
        <v>10</v>
      </c>
      <c r="O188">
        <f>IF(Sales[[#This Row],[Number of Users]]-Sales[[#This Row],[Licenses Bought]]&lt;0,0,Sales[[#This Row],[Number of Users]]-Sales[[#This Row],[Licenses Bought]])</f>
        <v>4</v>
      </c>
      <c r="P188" s="8">
        <f>IF(Sales[[#This Row],[Sales Month]]=MAX(Sales[Sales Month]),Sales[[#This Row],[Non-Paying Users]]*Sales[[#This Row],[Upsell $ per Non-Paying User]],0)</f>
        <v>0</v>
      </c>
      <c r="Q188" t="str" cm="1">
        <f t="array" ref="Q188">_xlfn.IFS(Sales[[#This Row],[Current Upsell $]]=0,"",Sales[[#This Row],[Current Upsell $]]&gt;=400,"High",Sales[[#This Row],[Current Upsell $]]&gt;=100,"Medium",Sales[[#This Row],[Current Upsell $]]&lt;100,"Low")</f>
        <v/>
      </c>
      <c r="R188" t="str">
        <f>IF(Sales[[#This Row],[Current Upsell $]]&gt;0,_xlfn.CONCAT(Sales[[#This Row],[Subscription Type]]," ",Sales[[#This Row],[Upsell Priority]]," ",TEXT(Sales[[#This Row],[Current Upsell $]],"$#,#")),"")</f>
        <v/>
      </c>
    </row>
    <row r="189" spans="1:18" x14ac:dyDescent="0.25">
      <c r="A189">
        <v>100013</v>
      </c>
      <c r="B189" t="s">
        <v>0</v>
      </c>
      <c r="F189">
        <v>11</v>
      </c>
      <c r="G189">
        <v>14</v>
      </c>
      <c r="H189" s="1">
        <v>43891</v>
      </c>
      <c r="I189" s="1">
        <v>44256</v>
      </c>
      <c r="J189">
        <v>12</v>
      </c>
      <c r="K189">
        <v>3</v>
      </c>
      <c r="L189" s="1">
        <v>44136</v>
      </c>
      <c r="M189">
        <v>110</v>
      </c>
      <c r="N189" s="8" cm="1">
        <f t="array" ref="N189">_xlfn.SWITCH(Sales[[#This Row],[Subscription Type]],"Basic",10,"Premium",10,"Business",25,"Enterprise",27)</f>
        <v>10</v>
      </c>
      <c r="O189">
        <f>IF(Sales[[#This Row],[Number of Users]]-Sales[[#This Row],[Licenses Bought]]&lt;0,0,Sales[[#This Row],[Number of Users]]-Sales[[#This Row],[Licenses Bought]])</f>
        <v>3</v>
      </c>
      <c r="P189" s="8">
        <f>IF(Sales[[#This Row],[Sales Month]]=MAX(Sales[Sales Month]),Sales[[#This Row],[Non-Paying Users]]*Sales[[#This Row],[Upsell $ per Non-Paying User]],0)</f>
        <v>0</v>
      </c>
      <c r="Q189" t="str" cm="1">
        <f t="array" ref="Q189">_xlfn.IFS(Sales[[#This Row],[Current Upsell $]]=0,"",Sales[[#This Row],[Current Upsell $]]&gt;=400,"High",Sales[[#This Row],[Current Upsell $]]&gt;=100,"Medium",Sales[[#This Row],[Current Upsell $]]&lt;100,"Low")</f>
        <v/>
      </c>
      <c r="R189" t="str">
        <f>IF(Sales[[#This Row],[Current Upsell $]]&gt;0,_xlfn.CONCAT(Sales[[#This Row],[Subscription Type]]," ",Sales[[#This Row],[Upsell Priority]]," ",TEXT(Sales[[#This Row],[Current Upsell $]],"$#,#")),"")</f>
        <v/>
      </c>
    </row>
    <row r="190" spans="1:18" x14ac:dyDescent="0.25">
      <c r="A190">
        <v>100013</v>
      </c>
      <c r="B190" t="s">
        <v>0</v>
      </c>
      <c r="F190">
        <v>11</v>
      </c>
      <c r="G190">
        <v>13</v>
      </c>
      <c r="H190" s="1">
        <v>43891</v>
      </c>
      <c r="I190" s="1">
        <v>44256</v>
      </c>
      <c r="J190">
        <v>12</v>
      </c>
      <c r="K190">
        <v>3</v>
      </c>
      <c r="L190" s="1">
        <v>44166</v>
      </c>
      <c r="M190">
        <v>110</v>
      </c>
      <c r="N190" s="8" cm="1">
        <f t="array" ref="N190">_xlfn.SWITCH(Sales[[#This Row],[Subscription Type]],"Basic",10,"Premium",10,"Business",25,"Enterprise",27)</f>
        <v>10</v>
      </c>
      <c r="O190">
        <f>IF(Sales[[#This Row],[Number of Users]]-Sales[[#This Row],[Licenses Bought]]&lt;0,0,Sales[[#This Row],[Number of Users]]-Sales[[#This Row],[Licenses Bought]])</f>
        <v>2</v>
      </c>
      <c r="P190" s="8">
        <f>IF(Sales[[#This Row],[Sales Month]]=MAX(Sales[Sales Month]),Sales[[#This Row],[Non-Paying Users]]*Sales[[#This Row],[Upsell $ per Non-Paying User]],0)</f>
        <v>0</v>
      </c>
      <c r="Q190" t="str" cm="1">
        <f t="array" ref="Q190">_xlfn.IFS(Sales[[#This Row],[Current Upsell $]]=0,"",Sales[[#This Row],[Current Upsell $]]&gt;=400,"High",Sales[[#This Row],[Current Upsell $]]&gt;=100,"Medium",Sales[[#This Row],[Current Upsell $]]&lt;100,"Low")</f>
        <v/>
      </c>
      <c r="R190" t="str">
        <f>IF(Sales[[#This Row],[Current Upsell $]]&gt;0,_xlfn.CONCAT(Sales[[#This Row],[Subscription Type]]," ",Sales[[#This Row],[Upsell Priority]]," ",TEXT(Sales[[#This Row],[Current Upsell $]],"$#,#")),"")</f>
        <v/>
      </c>
    </row>
    <row r="191" spans="1:18" x14ac:dyDescent="0.25">
      <c r="A191">
        <v>100013</v>
      </c>
      <c r="B191" t="s">
        <v>0</v>
      </c>
      <c r="F191">
        <v>11</v>
      </c>
      <c r="G191">
        <v>17</v>
      </c>
      <c r="H191" s="1">
        <v>43891</v>
      </c>
      <c r="I191" s="1">
        <v>44256</v>
      </c>
      <c r="J191">
        <v>12</v>
      </c>
      <c r="K191">
        <v>3</v>
      </c>
      <c r="L191" s="1">
        <v>44197</v>
      </c>
      <c r="M191">
        <v>110</v>
      </c>
      <c r="N191" s="8" cm="1">
        <f t="array" ref="N191">_xlfn.SWITCH(Sales[[#This Row],[Subscription Type]],"Basic",10,"Premium",10,"Business",25,"Enterprise",27)</f>
        <v>10</v>
      </c>
      <c r="O191">
        <f>IF(Sales[[#This Row],[Number of Users]]-Sales[[#This Row],[Licenses Bought]]&lt;0,0,Sales[[#This Row],[Number of Users]]-Sales[[#This Row],[Licenses Bought]])</f>
        <v>6</v>
      </c>
      <c r="P191" s="8">
        <f>IF(Sales[[#This Row],[Sales Month]]=MAX(Sales[Sales Month]),Sales[[#This Row],[Non-Paying Users]]*Sales[[#This Row],[Upsell $ per Non-Paying User]],0)</f>
        <v>0</v>
      </c>
      <c r="Q191" t="str" cm="1">
        <f t="array" ref="Q191">_xlfn.IFS(Sales[[#This Row],[Current Upsell $]]=0,"",Sales[[#This Row],[Current Upsell $]]&gt;=400,"High",Sales[[#This Row],[Current Upsell $]]&gt;=100,"Medium",Sales[[#This Row],[Current Upsell $]]&lt;100,"Low")</f>
        <v/>
      </c>
      <c r="R191" t="str">
        <f>IF(Sales[[#This Row],[Current Upsell $]]&gt;0,_xlfn.CONCAT(Sales[[#This Row],[Subscription Type]]," ",Sales[[#This Row],[Upsell Priority]]," ",TEXT(Sales[[#This Row],[Current Upsell $]],"$#,#")),"")</f>
        <v/>
      </c>
    </row>
    <row r="192" spans="1:18" x14ac:dyDescent="0.25">
      <c r="A192">
        <v>100013</v>
      </c>
      <c r="B192" t="s">
        <v>0</v>
      </c>
      <c r="F192">
        <v>11</v>
      </c>
      <c r="G192">
        <v>12</v>
      </c>
      <c r="H192" s="1">
        <v>43891</v>
      </c>
      <c r="I192" s="1">
        <v>44256</v>
      </c>
      <c r="J192">
        <v>12</v>
      </c>
      <c r="K192">
        <v>3</v>
      </c>
      <c r="L192" s="1">
        <v>44228</v>
      </c>
      <c r="M192">
        <v>110</v>
      </c>
      <c r="N192" s="8" cm="1">
        <f t="array" ref="N192">_xlfn.SWITCH(Sales[[#This Row],[Subscription Type]],"Basic",10,"Premium",10,"Business",25,"Enterprise",27)</f>
        <v>10</v>
      </c>
      <c r="O192">
        <f>IF(Sales[[#This Row],[Number of Users]]-Sales[[#This Row],[Licenses Bought]]&lt;0,0,Sales[[#This Row],[Number of Users]]-Sales[[#This Row],[Licenses Bought]])</f>
        <v>1</v>
      </c>
      <c r="P192" s="8">
        <f>IF(Sales[[#This Row],[Sales Month]]=MAX(Sales[Sales Month]),Sales[[#This Row],[Non-Paying Users]]*Sales[[#This Row],[Upsell $ per Non-Paying User]],0)</f>
        <v>0</v>
      </c>
      <c r="Q192" t="str" cm="1">
        <f t="array" ref="Q192">_xlfn.IFS(Sales[[#This Row],[Current Upsell $]]=0,"",Sales[[#This Row],[Current Upsell $]]&gt;=400,"High",Sales[[#This Row],[Current Upsell $]]&gt;=100,"Medium",Sales[[#This Row],[Current Upsell $]]&lt;100,"Low")</f>
        <v/>
      </c>
      <c r="R192" t="str">
        <f>IF(Sales[[#This Row],[Current Upsell $]]&gt;0,_xlfn.CONCAT(Sales[[#This Row],[Subscription Type]]," ",Sales[[#This Row],[Upsell Priority]]," ",TEXT(Sales[[#This Row],[Current Upsell $]],"$#,#")),"")</f>
        <v/>
      </c>
    </row>
    <row r="193" spans="1:18" x14ac:dyDescent="0.25">
      <c r="A193">
        <v>100013</v>
      </c>
      <c r="B193" t="s">
        <v>0</v>
      </c>
      <c r="F193">
        <v>11</v>
      </c>
      <c r="G193">
        <v>14</v>
      </c>
      <c r="H193" s="1">
        <v>43891</v>
      </c>
      <c r="I193" s="1">
        <v>44256</v>
      </c>
      <c r="J193">
        <v>12</v>
      </c>
      <c r="K193">
        <v>3</v>
      </c>
      <c r="L193" s="1">
        <v>44256</v>
      </c>
      <c r="M193">
        <v>110</v>
      </c>
      <c r="N193" s="8" cm="1">
        <f t="array" ref="N193">_xlfn.SWITCH(Sales[[#This Row],[Subscription Type]],"Basic",10,"Premium",10,"Business",25,"Enterprise",27)</f>
        <v>10</v>
      </c>
      <c r="O193">
        <f>IF(Sales[[#This Row],[Number of Users]]-Sales[[#This Row],[Licenses Bought]]&lt;0,0,Sales[[#This Row],[Number of Users]]-Sales[[#This Row],[Licenses Bought]])</f>
        <v>3</v>
      </c>
      <c r="P193" s="8">
        <f>IF(Sales[[#This Row],[Sales Month]]=MAX(Sales[Sales Month]),Sales[[#This Row],[Non-Paying Users]]*Sales[[#This Row],[Upsell $ per Non-Paying User]],0)</f>
        <v>0</v>
      </c>
      <c r="Q193" t="str" cm="1">
        <f t="array" ref="Q193">_xlfn.IFS(Sales[[#This Row],[Current Upsell $]]=0,"",Sales[[#This Row],[Current Upsell $]]&gt;=400,"High",Sales[[#This Row],[Current Upsell $]]&gt;=100,"Medium",Sales[[#This Row],[Current Upsell $]]&lt;100,"Low")</f>
        <v/>
      </c>
      <c r="R193" t="str">
        <f>IF(Sales[[#This Row],[Current Upsell $]]&gt;0,_xlfn.CONCAT(Sales[[#This Row],[Subscription Type]]," ",Sales[[#This Row],[Upsell Priority]]," ",TEXT(Sales[[#This Row],[Current Upsell $]],"$#,#")),"")</f>
        <v/>
      </c>
    </row>
    <row r="194" spans="1:18" x14ac:dyDescent="0.25">
      <c r="A194">
        <v>100014</v>
      </c>
      <c r="B194" t="s">
        <v>3</v>
      </c>
      <c r="F194">
        <v>0</v>
      </c>
      <c r="G194">
        <v>4</v>
      </c>
      <c r="H194" s="1">
        <v>43891</v>
      </c>
      <c r="I194" s="1">
        <v>44166</v>
      </c>
      <c r="J194">
        <v>9</v>
      </c>
      <c r="K194">
        <v>6</v>
      </c>
      <c r="L194" s="1">
        <v>43891</v>
      </c>
      <c r="M194">
        <v>0</v>
      </c>
      <c r="N194" s="8" cm="1">
        <f t="array" ref="N194">_xlfn.SWITCH(Sales[[#This Row],[Subscription Type]],"Basic",10,"Premium",10,"Business",25,"Enterprise",27)</f>
        <v>10</v>
      </c>
      <c r="O194">
        <f>IF(Sales[[#This Row],[Number of Users]]-Sales[[#This Row],[Licenses Bought]]&lt;0,0,Sales[[#This Row],[Number of Users]]-Sales[[#This Row],[Licenses Bought]])</f>
        <v>4</v>
      </c>
      <c r="P194" s="8">
        <f>IF(Sales[[#This Row],[Sales Month]]=MAX(Sales[Sales Month]),Sales[[#This Row],[Non-Paying Users]]*Sales[[#This Row],[Upsell $ per Non-Paying User]],0)</f>
        <v>0</v>
      </c>
      <c r="Q194" t="str" cm="1">
        <f t="array" ref="Q194">_xlfn.IFS(Sales[[#This Row],[Current Upsell $]]=0,"",Sales[[#This Row],[Current Upsell $]]&gt;=400,"High",Sales[[#This Row],[Current Upsell $]]&gt;=100,"Medium",Sales[[#This Row],[Current Upsell $]]&lt;100,"Low")</f>
        <v/>
      </c>
      <c r="R194" t="str">
        <f>IF(Sales[[#This Row],[Current Upsell $]]&gt;0,_xlfn.CONCAT(Sales[[#This Row],[Subscription Type]]," ",Sales[[#This Row],[Upsell Priority]]," ",TEXT(Sales[[#This Row],[Current Upsell $]],"$#,#")),"")</f>
        <v/>
      </c>
    </row>
    <row r="195" spans="1:18" x14ac:dyDescent="0.25">
      <c r="A195">
        <v>100014</v>
      </c>
      <c r="B195" t="s">
        <v>0</v>
      </c>
      <c r="F195">
        <v>1</v>
      </c>
      <c r="G195">
        <v>4</v>
      </c>
      <c r="H195" s="1">
        <v>43891</v>
      </c>
      <c r="I195" s="1">
        <v>44166</v>
      </c>
      <c r="J195">
        <v>9</v>
      </c>
      <c r="K195">
        <v>6</v>
      </c>
      <c r="L195" s="1">
        <v>43922</v>
      </c>
      <c r="M195">
        <v>10</v>
      </c>
      <c r="N195" s="8" cm="1">
        <f t="array" ref="N195">_xlfn.SWITCH(Sales[[#This Row],[Subscription Type]],"Basic",10,"Premium",10,"Business",25,"Enterprise",27)</f>
        <v>10</v>
      </c>
      <c r="O195">
        <f>IF(Sales[[#This Row],[Number of Users]]-Sales[[#This Row],[Licenses Bought]]&lt;0,0,Sales[[#This Row],[Number of Users]]-Sales[[#This Row],[Licenses Bought]])</f>
        <v>3</v>
      </c>
      <c r="P195" s="8">
        <f>IF(Sales[[#This Row],[Sales Month]]=MAX(Sales[Sales Month]),Sales[[#This Row],[Non-Paying Users]]*Sales[[#This Row],[Upsell $ per Non-Paying User]],0)</f>
        <v>0</v>
      </c>
      <c r="Q195" t="str" cm="1">
        <f t="array" ref="Q195">_xlfn.IFS(Sales[[#This Row],[Current Upsell $]]=0,"",Sales[[#This Row],[Current Upsell $]]&gt;=400,"High",Sales[[#This Row],[Current Upsell $]]&gt;=100,"Medium",Sales[[#This Row],[Current Upsell $]]&lt;100,"Low")</f>
        <v/>
      </c>
      <c r="R195" t="str">
        <f>IF(Sales[[#This Row],[Current Upsell $]]&gt;0,_xlfn.CONCAT(Sales[[#This Row],[Subscription Type]]," ",Sales[[#This Row],[Upsell Priority]]," ",TEXT(Sales[[#This Row],[Current Upsell $]],"$#,#")),"")</f>
        <v/>
      </c>
    </row>
    <row r="196" spans="1:18" x14ac:dyDescent="0.25">
      <c r="A196">
        <v>100014</v>
      </c>
      <c r="B196" t="s">
        <v>0</v>
      </c>
      <c r="F196">
        <v>2</v>
      </c>
      <c r="G196">
        <v>4</v>
      </c>
      <c r="H196" s="1">
        <v>43891</v>
      </c>
      <c r="I196" s="1">
        <v>44166</v>
      </c>
      <c r="J196">
        <v>9</v>
      </c>
      <c r="K196">
        <v>6</v>
      </c>
      <c r="L196" s="1">
        <v>43952</v>
      </c>
      <c r="M196">
        <v>20</v>
      </c>
      <c r="N196" s="8" cm="1">
        <f t="array" ref="N196">_xlfn.SWITCH(Sales[[#This Row],[Subscription Type]],"Basic",10,"Premium",10,"Business",25,"Enterprise",27)</f>
        <v>10</v>
      </c>
      <c r="O196">
        <f>IF(Sales[[#This Row],[Number of Users]]-Sales[[#This Row],[Licenses Bought]]&lt;0,0,Sales[[#This Row],[Number of Users]]-Sales[[#This Row],[Licenses Bought]])</f>
        <v>2</v>
      </c>
      <c r="P196" s="8">
        <f>IF(Sales[[#This Row],[Sales Month]]=MAX(Sales[Sales Month]),Sales[[#This Row],[Non-Paying Users]]*Sales[[#This Row],[Upsell $ per Non-Paying User]],0)</f>
        <v>0</v>
      </c>
      <c r="Q196" t="str" cm="1">
        <f t="array" ref="Q196">_xlfn.IFS(Sales[[#This Row],[Current Upsell $]]=0,"",Sales[[#This Row],[Current Upsell $]]&gt;=400,"High",Sales[[#This Row],[Current Upsell $]]&gt;=100,"Medium",Sales[[#This Row],[Current Upsell $]]&lt;100,"Low")</f>
        <v/>
      </c>
      <c r="R196" t="str">
        <f>IF(Sales[[#This Row],[Current Upsell $]]&gt;0,_xlfn.CONCAT(Sales[[#This Row],[Subscription Type]]," ",Sales[[#This Row],[Upsell Priority]]," ",TEXT(Sales[[#This Row],[Current Upsell $]],"$#,#")),"")</f>
        <v/>
      </c>
    </row>
    <row r="197" spans="1:18" x14ac:dyDescent="0.25">
      <c r="A197">
        <v>100014</v>
      </c>
      <c r="B197" t="s">
        <v>0</v>
      </c>
      <c r="F197">
        <v>3</v>
      </c>
      <c r="G197">
        <v>4</v>
      </c>
      <c r="H197" s="1">
        <v>43891</v>
      </c>
      <c r="I197" s="1">
        <v>44166</v>
      </c>
      <c r="J197">
        <v>9</v>
      </c>
      <c r="K197">
        <v>6</v>
      </c>
      <c r="L197" s="1">
        <v>43983</v>
      </c>
      <c r="M197">
        <v>30</v>
      </c>
      <c r="N197" s="8" cm="1">
        <f t="array" ref="N197">_xlfn.SWITCH(Sales[[#This Row],[Subscription Type]],"Basic",10,"Premium",10,"Business",25,"Enterprise",27)</f>
        <v>10</v>
      </c>
      <c r="O197">
        <f>IF(Sales[[#This Row],[Number of Users]]-Sales[[#This Row],[Licenses Bought]]&lt;0,0,Sales[[#This Row],[Number of Users]]-Sales[[#This Row],[Licenses Bought]])</f>
        <v>1</v>
      </c>
      <c r="P197" s="8">
        <f>IF(Sales[[#This Row],[Sales Month]]=MAX(Sales[Sales Month]),Sales[[#This Row],[Non-Paying Users]]*Sales[[#This Row],[Upsell $ per Non-Paying User]],0)</f>
        <v>0</v>
      </c>
      <c r="Q197" t="str" cm="1">
        <f t="array" ref="Q197">_xlfn.IFS(Sales[[#This Row],[Current Upsell $]]=0,"",Sales[[#This Row],[Current Upsell $]]&gt;=400,"High",Sales[[#This Row],[Current Upsell $]]&gt;=100,"Medium",Sales[[#This Row],[Current Upsell $]]&lt;100,"Low")</f>
        <v/>
      </c>
      <c r="R197" t="str">
        <f>IF(Sales[[#This Row],[Current Upsell $]]&gt;0,_xlfn.CONCAT(Sales[[#This Row],[Subscription Type]]," ",Sales[[#This Row],[Upsell Priority]]," ",TEXT(Sales[[#This Row],[Current Upsell $]],"$#,#")),"")</f>
        <v/>
      </c>
    </row>
    <row r="198" spans="1:18" x14ac:dyDescent="0.25">
      <c r="A198">
        <v>100014</v>
      </c>
      <c r="B198" t="s">
        <v>0</v>
      </c>
      <c r="F198">
        <v>3</v>
      </c>
      <c r="G198">
        <v>4</v>
      </c>
      <c r="H198" s="1">
        <v>43891</v>
      </c>
      <c r="I198" s="1">
        <v>44166</v>
      </c>
      <c r="J198">
        <v>9</v>
      </c>
      <c r="K198">
        <v>6</v>
      </c>
      <c r="L198" s="1">
        <v>44013</v>
      </c>
      <c r="M198">
        <v>30</v>
      </c>
      <c r="N198" s="8" cm="1">
        <f t="array" ref="N198">_xlfn.SWITCH(Sales[[#This Row],[Subscription Type]],"Basic",10,"Premium",10,"Business",25,"Enterprise",27)</f>
        <v>10</v>
      </c>
      <c r="O198">
        <f>IF(Sales[[#This Row],[Number of Users]]-Sales[[#This Row],[Licenses Bought]]&lt;0,0,Sales[[#This Row],[Number of Users]]-Sales[[#This Row],[Licenses Bought]])</f>
        <v>1</v>
      </c>
      <c r="P198" s="8">
        <f>IF(Sales[[#This Row],[Sales Month]]=MAX(Sales[Sales Month]),Sales[[#This Row],[Non-Paying Users]]*Sales[[#This Row],[Upsell $ per Non-Paying User]],0)</f>
        <v>0</v>
      </c>
      <c r="Q198" t="str" cm="1">
        <f t="array" ref="Q198">_xlfn.IFS(Sales[[#This Row],[Current Upsell $]]=0,"",Sales[[#This Row],[Current Upsell $]]&gt;=400,"High",Sales[[#This Row],[Current Upsell $]]&gt;=100,"Medium",Sales[[#This Row],[Current Upsell $]]&lt;100,"Low")</f>
        <v/>
      </c>
      <c r="R198" t="str">
        <f>IF(Sales[[#This Row],[Current Upsell $]]&gt;0,_xlfn.CONCAT(Sales[[#This Row],[Subscription Type]]," ",Sales[[#This Row],[Upsell Priority]]," ",TEXT(Sales[[#This Row],[Current Upsell $]],"$#,#")),"")</f>
        <v/>
      </c>
    </row>
    <row r="199" spans="1:18" x14ac:dyDescent="0.25">
      <c r="A199">
        <v>100014</v>
      </c>
      <c r="B199" t="s">
        <v>0</v>
      </c>
      <c r="F199">
        <v>3</v>
      </c>
      <c r="G199">
        <v>4</v>
      </c>
      <c r="H199" s="1">
        <v>43891</v>
      </c>
      <c r="I199" s="1">
        <v>44166</v>
      </c>
      <c r="J199">
        <v>9</v>
      </c>
      <c r="K199">
        <v>6</v>
      </c>
      <c r="L199" s="1">
        <v>44044</v>
      </c>
      <c r="M199">
        <v>30</v>
      </c>
      <c r="N199" s="8" cm="1">
        <f t="array" ref="N199">_xlfn.SWITCH(Sales[[#This Row],[Subscription Type]],"Basic",10,"Premium",10,"Business",25,"Enterprise",27)</f>
        <v>10</v>
      </c>
      <c r="O199">
        <f>IF(Sales[[#This Row],[Number of Users]]-Sales[[#This Row],[Licenses Bought]]&lt;0,0,Sales[[#This Row],[Number of Users]]-Sales[[#This Row],[Licenses Bought]])</f>
        <v>1</v>
      </c>
      <c r="P199" s="8">
        <f>IF(Sales[[#This Row],[Sales Month]]=MAX(Sales[Sales Month]),Sales[[#This Row],[Non-Paying Users]]*Sales[[#This Row],[Upsell $ per Non-Paying User]],0)</f>
        <v>0</v>
      </c>
      <c r="Q199" t="str" cm="1">
        <f t="array" ref="Q199">_xlfn.IFS(Sales[[#This Row],[Current Upsell $]]=0,"",Sales[[#This Row],[Current Upsell $]]&gt;=400,"High",Sales[[#This Row],[Current Upsell $]]&gt;=100,"Medium",Sales[[#This Row],[Current Upsell $]]&lt;100,"Low")</f>
        <v/>
      </c>
      <c r="R199" t="str">
        <f>IF(Sales[[#This Row],[Current Upsell $]]&gt;0,_xlfn.CONCAT(Sales[[#This Row],[Subscription Type]]," ",Sales[[#This Row],[Upsell Priority]]," ",TEXT(Sales[[#This Row],[Current Upsell $]],"$#,#")),"")</f>
        <v/>
      </c>
    </row>
    <row r="200" spans="1:18" x14ac:dyDescent="0.25">
      <c r="A200">
        <v>100014</v>
      </c>
      <c r="B200" t="s">
        <v>0</v>
      </c>
      <c r="F200">
        <v>3</v>
      </c>
      <c r="G200">
        <v>4</v>
      </c>
      <c r="H200" s="1">
        <v>43891</v>
      </c>
      <c r="I200" s="1">
        <v>44166</v>
      </c>
      <c r="J200">
        <v>9</v>
      </c>
      <c r="K200">
        <v>6</v>
      </c>
      <c r="L200" s="1">
        <v>44075</v>
      </c>
      <c r="M200">
        <v>30</v>
      </c>
      <c r="N200" s="8" cm="1">
        <f t="array" ref="N200">_xlfn.SWITCH(Sales[[#This Row],[Subscription Type]],"Basic",10,"Premium",10,"Business",25,"Enterprise",27)</f>
        <v>10</v>
      </c>
      <c r="O200">
        <f>IF(Sales[[#This Row],[Number of Users]]-Sales[[#This Row],[Licenses Bought]]&lt;0,0,Sales[[#This Row],[Number of Users]]-Sales[[#This Row],[Licenses Bought]])</f>
        <v>1</v>
      </c>
      <c r="P200" s="8">
        <f>IF(Sales[[#This Row],[Sales Month]]=MAX(Sales[Sales Month]),Sales[[#This Row],[Non-Paying Users]]*Sales[[#This Row],[Upsell $ per Non-Paying User]],0)</f>
        <v>0</v>
      </c>
      <c r="Q200" t="str" cm="1">
        <f t="array" ref="Q200">_xlfn.IFS(Sales[[#This Row],[Current Upsell $]]=0,"",Sales[[#This Row],[Current Upsell $]]&gt;=400,"High",Sales[[#This Row],[Current Upsell $]]&gt;=100,"Medium",Sales[[#This Row],[Current Upsell $]]&lt;100,"Low")</f>
        <v/>
      </c>
      <c r="R200" t="str">
        <f>IF(Sales[[#This Row],[Current Upsell $]]&gt;0,_xlfn.CONCAT(Sales[[#This Row],[Subscription Type]]," ",Sales[[#This Row],[Upsell Priority]]," ",TEXT(Sales[[#This Row],[Current Upsell $]],"$#,#")),"")</f>
        <v/>
      </c>
    </row>
    <row r="201" spans="1:18" x14ac:dyDescent="0.25">
      <c r="A201">
        <v>100014</v>
      </c>
      <c r="B201" t="s">
        <v>0</v>
      </c>
      <c r="F201">
        <v>3</v>
      </c>
      <c r="G201">
        <v>4</v>
      </c>
      <c r="H201" s="1">
        <v>43891</v>
      </c>
      <c r="I201" s="1">
        <v>44166</v>
      </c>
      <c r="J201">
        <v>9</v>
      </c>
      <c r="K201">
        <v>6</v>
      </c>
      <c r="L201" s="1">
        <v>44105</v>
      </c>
      <c r="M201">
        <v>30</v>
      </c>
      <c r="N201" s="8" cm="1">
        <f t="array" ref="N201">_xlfn.SWITCH(Sales[[#This Row],[Subscription Type]],"Basic",10,"Premium",10,"Business",25,"Enterprise",27)</f>
        <v>10</v>
      </c>
      <c r="O201">
        <f>IF(Sales[[#This Row],[Number of Users]]-Sales[[#This Row],[Licenses Bought]]&lt;0,0,Sales[[#This Row],[Number of Users]]-Sales[[#This Row],[Licenses Bought]])</f>
        <v>1</v>
      </c>
      <c r="P201" s="8">
        <f>IF(Sales[[#This Row],[Sales Month]]=MAX(Sales[Sales Month]),Sales[[#This Row],[Non-Paying Users]]*Sales[[#This Row],[Upsell $ per Non-Paying User]],0)</f>
        <v>0</v>
      </c>
      <c r="Q201" t="str" cm="1">
        <f t="array" ref="Q201">_xlfn.IFS(Sales[[#This Row],[Current Upsell $]]=0,"",Sales[[#This Row],[Current Upsell $]]&gt;=400,"High",Sales[[#This Row],[Current Upsell $]]&gt;=100,"Medium",Sales[[#This Row],[Current Upsell $]]&lt;100,"Low")</f>
        <v/>
      </c>
      <c r="R201" t="str">
        <f>IF(Sales[[#This Row],[Current Upsell $]]&gt;0,_xlfn.CONCAT(Sales[[#This Row],[Subscription Type]]," ",Sales[[#This Row],[Upsell Priority]]," ",TEXT(Sales[[#This Row],[Current Upsell $]],"$#,#")),"")</f>
        <v/>
      </c>
    </row>
    <row r="202" spans="1:18" x14ac:dyDescent="0.25">
      <c r="A202">
        <v>100014</v>
      </c>
      <c r="B202" t="s">
        <v>0</v>
      </c>
      <c r="F202">
        <v>3</v>
      </c>
      <c r="G202">
        <v>4</v>
      </c>
      <c r="H202" s="1">
        <v>43891</v>
      </c>
      <c r="I202" s="1">
        <v>44166</v>
      </c>
      <c r="J202">
        <v>9</v>
      </c>
      <c r="K202">
        <v>6</v>
      </c>
      <c r="L202" s="1">
        <v>44136</v>
      </c>
      <c r="M202">
        <v>30</v>
      </c>
      <c r="N202" s="8" cm="1">
        <f t="array" ref="N202">_xlfn.SWITCH(Sales[[#This Row],[Subscription Type]],"Basic",10,"Premium",10,"Business",25,"Enterprise",27)</f>
        <v>10</v>
      </c>
      <c r="O202">
        <f>IF(Sales[[#This Row],[Number of Users]]-Sales[[#This Row],[Licenses Bought]]&lt;0,0,Sales[[#This Row],[Number of Users]]-Sales[[#This Row],[Licenses Bought]])</f>
        <v>1</v>
      </c>
      <c r="P202" s="8">
        <f>IF(Sales[[#This Row],[Sales Month]]=MAX(Sales[Sales Month]),Sales[[#This Row],[Non-Paying Users]]*Sales[[#This Row],[Upsell $ per Non-Paying User]],0)</f>
        <v>0</v>
      </c>
      <c r="Q202" t="str" cm="1">
        <f t="array" ref="Q202">_xlfn.IFS(Sales[[#This Row],[Current Upsell $]]=0,"",Sales[[#This Row],[Current Upsell $]]&gt;=400,"High",Sales[[#This Row],[Current Upsell $]]&gt;=100,"Medium",Sales[[#This Row],[Current Upsell $]]&lt;100,"Low")</f>
        <v/>
      </c>
      <c r="R202" t="str">
        <f>IF(Sales[[#This Row],[Current Upsell $]]&gt;0,_xlfn.CONCAT(Sales[[#This Row],[Subscription Type]]," ",Sales[[#This Row],[Upsell Priority]]," ",TEXT(Sales[[#This Row],[Current Upsell $]],"$#,#")),"")</f>
        <v/>
      </c>
    </row>
    <row r="203" spans="1:18" x14ac:dyDescent="0.25">
      <c r="A203">
        <v>100014</v>
      </c>
      <c r="B203" t="s">
        <v>0</v>
      </c>
      <c r="F203">
        <v>3</v>
      </c>
      <c r="G203">
        <v>5</v>
      </c>
      <c r="H203" s="1">
        <v>43891</v>
      </c>
      <c r="I203" s="1">
        <v>44166</v>
      </c>
      <c r="J203">
        <v>9</v>
      </c>
      <c r="K203">
        <v>6</v>
      </c>
      <c r="L203" s="1">
        <v>44166</v>
      </c>
      <c r="M203">
        <v>30</v>
      </c>
      <c r="N203" s="8" cm="1">
        <f t="array" ref="N203">_xlfn.SWITCH(Sales[[#This Row],[Subscription Type]],"Basic",10,"Premium",10,"Business",25,"Enterprise",27)</f>
        <v>10</v>
      </c>
      <c r="O203">
        <f>IF(Sales[[#This Row],[Number of Users]]-Sales[[#This Row],[Licenses Bought]]&lt;0,0,Sales[[#This Row],[Number of Users]]-Sales[[#This Row],[Licenses Bought]])</f>
        <v>2</v>
      </c>
      <c r="P203" s="8">
        <f>IF(Sales[[#This Row],[Sales Month]]=MAX(Sales[Sales Month]),Sales[[#This Row],[Non-Paying Users]]*Sales[[#This Row],[Upsell $ per Non-Paying User]],0)</f>
        <v>0</v>
      </c>
      <c r="Q203" t="str" cm="1">
        <f t="array" ref="Q203">_xlfn.IFS(Sales[[#This Row],[Current Upsell $]]=0,"",Sales[[#This Row],[Current Upsell $]]&gt;=400,"High",Sales[[#This Row],[Current Upsell $]]&gt;=100,"Medium",Sales[[#This Row],[Current Upsell $]]&lt;100,"Low")</f>
        <v/>
      </c>
      <c r="R203" t="str">
        <f>IF(Sales[[#This Row],[Current Upsell $]]&gt;0,_xlfn.CONCAT(Sales[[#This Row],[Subscription Type]]," ",Sales[[#This Row],[Upsell Priority]]," ",TEXT(Sales[[#This Row],[Current Upsell $]],"$#,#")),"")</f>
        <v/>
      </c>
    </row>
    <row r="204" spans="1:18" x14ac:dyDescent="0.25">
      <c r="A204">
        <v>100015</v>
      </c>
      <c r="B204" t="s">
        <v>3</v>
      </c>
      <c r="F204">
        <v>0</v>
      </c>
      <c r="G204">
        <v>2</v>
      </c>
      <c r="H204" s="1">
        <v>43891</v>
      </c>
      <c r="I204" s="1">
        <v>44075</v>
      </c>
      <c r="J204">
        <v>6</v>
      </c>
      <c r="K204">
        <v>9</v>
      </c>
      <c r="L204" s="1">
        <v>43891</v>
      </c>
      <c r="M204">
        <v>0</v>
      </c>
      <c r="N204" s="8" cm="1">
        <f t="array" ref="N204">_xlfn.SWITCH(Sales[[#This Row],[Subscription Type]],"Basic",10,"Premium",10,"Business",25,"Enterprise",27)</f>
        <v>10</v>
      </c>
      <c r="O204">
        <f>IF(Sales[[#This Row],[Number of Users]]-Sales[[#This Row],[Licenses Bought]]&lt;0,0,Sales[[#This Row],[Number of Users]]-Sales[[#This Row],[Licenses Bought]])</f>
        <v>2</v>
      </c>
      <c r="P204" s="8">
        <f>IF(Sales[[#This Row],[Sales Month]]=MAX(Sales[Sales Month]),Sales[[#This Row],[Non-Paying Users]]*Sales[[#This Row],[Upsell $ per Non-Paying User]],0)</f>
        <v>0</v>
      </c>
      <c r="Q204" t="str" cm="1">
        <f t="array" ref="Q204">_xlfn.IFS(Sales[[#This Row],[Current Upsell $]]=0,"",Sales[[#This Row],[Current Upsell $]]&gt;=400,"High",Sales[[#This Row],[Current Upsell $]]&gt;=100,"Medium",Sales[[#This Row],[Current Upsell $]]&lt;100,"Low")</f>
        <v/>
      </c>
      <c r="R204" t="str">
        <f>IF(Sales[[#This Row],[Current Upsell $]]&gt;0,_xlfn.CONCAT(Sales[[#This Row],[Subscription Type]]," ",Sales[[#This Row],[Upsell Priority]]," ",TEXT(Sales[[#This Row],[Current Upsell $]],"$#,#")),"")</f>
        <v/>
      </c>
    </row>
    <row r="205" spans="1:18" x14ac:dyDescent="0.25">
      <c r="A205">
        <v>100015</v>
      </c>
      <c r="B205" t="s">
        <v>3</v>
      </c>
      <c r="F205">
        <v>0</v>
      </c>
      <c r="G205">
        <v>2</v>
      </c>
      <c r="H205" s="1">
        <v>43891</v>
      </c>
      <c r="I205" s="1">
        <v>44075</v>
      </c>
      <c r="J205">
        <v>6</v>
      </c>
      <c r="K205">
        <v>9</v>
      </c>
      <c r="L205" s="1">
        <v>43922</v>
      </c>
      <c r="M205">
        <v>0</v>
      </c>
      <c r="N205" s="8" cm="1">
        <f t="array" ref="N205">_xlfn.SWITCH(Sales[[#This Row],[Subscription Type]],"Basic",10,"Premium",10,"Business",25,"Enterprise",27)</f>
        <v>10</v>
      </c>
      <c r="O205">
        <f>IF(Sales[[#This Row],[Number of Users]]-Sales[[#This Row],[Licenses Bought]]&lt;0,0,Sales[[#This Row],[Number of Users]]-Sales[[#This Row],[Licenses Bought]])</f>
        <v>2</v>
      </c>
      <c r="P205" s="8">
        <f>IF(Sales[[#This Row],[Sales Month]]=MAX(Sales[Sales Month]),Sales[[#This Row],[Non-Paying Users]]*Sales[[#This Row],[Upsell $ per Non-Paying User]],0)</f>
        <v>0</v>
      </c>
      <c r="Q205" t="str" cm="1">
        <f t="array" ref="Q205">_xlfn.IFS(Sales[[#This Row],[Current Upsell $]]=0,"",Sales[[#This Row],[Current Upsell $]]&gt;=400,"High",Sales[[#This Row],[Current Upsell $]]&gt;=100,"Medium",Sales[[#This Row],[Current Upsell $]]&lt;100,"Low")</f>
        <v/>
      </c>
      <c r="R205" t="str">
        <f>IF(Sales[[#This Row],[Current Upsell $]]&gt;0,_xlfn.CONCAT(Sales[[#This Row],[Subscription Type]]," ",Sales[[#This Row],[Upsell Priority]]," ",TEXT(Sales[[#This Row],[Current Upsell $]],"$#,#")),"")</f>
        <v/>
      </c>
    </row>
    <row r="206" spans="1:18" x14ac:dyDescent="0.25">
      <c r="A206">
        <v>100015</v>
      </c>
      <c r="B206" t="s">
        <v>3</v>
      </c>
      <c r="F206">
        <v>0</v>
      </c>
      <c r="G206">
        <v>2</v>
      </c>
      <c r="H206" s="1">
        <v>43891</v>
      </c>
      <c r="I206" s="1">
        <v>44075</v>
      </c>
      <c r="J206">
        <v>6</v>
      </c>
      <c r="K206">
        <v>9</v>
      </c>
      <c r="L206" s="1">
        <v>43952</v>
      </c>
      <c r="M206">
        <v>0</v>
      </c>
      <c r="N206" s="8" cm="1">
        <f t="array" ref="N206">_xlfn.SWITCH(Sales[[#This Row],[Subscription Type]],"Basic",10,"Premium",10,"Business",25,"Enterprise",27)</f>
        <v>10</v>
      </c>
      <c r="O206">
        <f>IF(Sales[[#This Row],[Number of Users]]-Sales[[#This Row],[Licenses Bought]]&lt;0,0,Sales[[#This Row],[Number of Users]]-Sales[[#This Row],[Licenses Bought]])</f>
        <v>2</v>
      </c>
      <c r="P206" s="8">
        <f>IF(Sales[[#This Row],[Sales Month]]=MAX(Sales[Sales Month]),Sales[[#This Row],[Non-Paying Users]]*Sales[[#This Row],[Upsell $ per Non-Paying User]],0)</f>
        <v>0</v>
      </c>
      <c r="Q206" t="str" cm="1">
        <f t="array" ref="Q206">_xlfn.IFS(Sales[[#This Row],[Current Upsell $]]=0,"",Sales[[#This Row],[Current Upsell $]]&gt;=400,"High",Sales[[#This Row],[Current Upsell $]]&gt;=100,"Medium",Sales[[#This Row],[Current Upsell $]]&lt;100,"Low")</f>
        <v/>
      </c>
      <c r="R206" t="str">
        <f>IF(Sales[[#This Row],[Current Upsell $]]&gt;0,_xlfn.CONCAT(Sales[[#This Row],[Subscription Type]]," ",Sales[[#This Row],[Upsell Priority]]," ",TEXT(Sales[[#This Row],[Current Upsell $]],"$#,#")),"")</f>
        <v/>
      </c>
    </row>
    <row r="207" spans="1:18" x14ac:dyDescent="0.25">
      <c r="A207">
        <v>100015</v>
      </c>
      <c r="B207" t="s">
        <v>3</v>
      </c>
      <c r="F207">
        <v>0</v>
      </c>
      <c r="G207">
        <v>2</v>
      </c>
      <c r="H207" s="1">
        <v>43891</v>
      </c>
      <c r="I207" s="1">
        <v>44075</v>
      </c>
      <c r="J207">
        <v>6</v>
      </c>
      <c r="K207">
        <v>9</v>
      </c>
      <c r="L207" s="1">
        <v>43983</v>
      </c>
      <c r="M207">
        <v>0</v>
      </c>
      <c r="N207" s="8" cm="1">
        <f t="array" ref="N207">_xlfn.SWITCH(Sales[[#This Row],[Subscription Type]],"Basic",10,"Premium",10,"Business",25,"Enterprise",27)</f>
        <v>10</v>
      </c>
      <c r="O207">
        <f>IF(Sales[[#This Row],[Number of Users]]-Sales[[#This Row],[Licenses Bought]]&lt;0,0,Sales[[#This Row],[Number of Users]]-Sales[[#This Row],[Licenses Bought]])</f>
        <v>2</v>
      </c>
      <c r="P207" s="8">
        <f>IF(Sales[[#This Row],[Sales Month]]=MAX(Sales[Sales Month]),Sales[[#This Row],[Non-Paying Users]]*Sales[[#This Row],[Upsell $ per Non-Paying User]],0)</f>
        <v>0</v>
      </c>
      <c r="Q207" t="str" cm="1">
        <f t="array" ref="Q207">_xlfn.IFS(Sales[[#This Row],[Current Upsell $]]=0,"",Sales[[#This Row],[Current Upsell $]]&gt;=400,"High",Sales[[#This Row],[Current Upsell $]]&gt;=100,"Medium",Sales[[#This Row],[Current Upsell $]]&lt;100,"Low")</f>
        <v/>
      </c>
      <c r="R207" t="str">
        <f>IF(Sales[[#This Row],[Current Upsell $]]&gt;0,_xlfn.CONCAT(Sales[[#This Row],[Subscription Type]]," ",Sales[[#This Row],[Upsell Priority]]," ",TEXT(Sales[[#This Row],[Current Upsell $]],"$#,#")),"")</f>
        <v/>
      </c>
    </row>
    <row r="208" spans="1:18" x14ac:dyDescent="0.25">
      <c r="A208">
        <v>100015</v>
      </c>
      <c r="B208" t="s">
        <v>3</v>
      </c>
      <c r="F208">
        <v>0</v>
      </c>
      <c r="G208">
        <v>1</v>
      </c>
      <c r="H208" s="1">
        <v>43891</v>
      </c>
      <c r="I208" s="1">
        <v>44075</v>
      </c>
      <c r="J208">
        <v>6</v>
      </c>
      <c r="K208">
        <v>9</v>
      </c>
      <c r="L208" s="1">
        <v>44013</v>
      </c>
      <c r="M208">
        <v>0</v>
      </c>
      <c r="N208" s="8" cm="1">
        <f t="array" ref="N208">_xlfn.SWITCH(Sales[[#This Row],[Subscription Type]],"Basic",10,"Premium",10,"Business",25,"Enterprise",27)</f>
        <v>10</v>
      </c>
      <c r="O208">
        <f>IF(Sales[[#This Row],[Number of Users]]-Sales[[#This Row],[Licenses Bought]]&lt;0,0,Sales[[#This Row],[Number of Users]]-Sales[[#This Row],[Licenses Bought]])</f>
        <v>1</v>
      </c>
      <c r="P208" s="8">
        <f>IF(Sales[[#This Row],[Sales Month]]=MAX(Sales[Sales Month]),Sales[[#This Row],[Non-Paying Users]]*Sales[[#This Row],[Upsell $ per Non-Paying User]],0)</f>
        <v>0</v>
      </c>
      <c r="Q208" t="str" cm="1">
        <f t="array" ref="Q208">_xlfn.IFS(Sales[[#This Row],[Current Upsell $]]=0,"",Sales[[#This Row],[Current Upsell $]]&gt;=400,"High",Sales[[#This Row],[Current Upsell $]]&gt;=100,"Medium",Sales[[#This Row],[Current Upsell $]]&lt;100,"Low")</f>
        <v/>
      </c>
      <c r="R208" t="str">
        <f>IF(Sales[[#This Row],[Current Upsell $]]&gt;0,_xlfn.CONCAT(Sales[[#This Row],[Subscription Type]]," ",Sales[[#This Row],[Upsell Priority]]," ",TEXT(Sales[[#This Row],[Current Upsell $]],"$#,#")),"")</f>
        <v/>
      </c>
    </row>
    <row r="209" spans="1:18" x14ac:dyDescent="0.25">
      <c r="A209">
        <v>100015</v>
      </c>
      <c r="B209" t="s">
        <v>3</v>
      </c>
      <c r="F209">
        <v>0</v>
      </c>
      <c r="G209">
        <v>2</v>
      </c>
      <c r="H209" s="1">
        <v>43891</v>
      </c>
      <c r="I209" s="1">
        <v>44075</v>
      </c>
      <c r="J209">
        <v>6</v>
      </c>
      <c r="K209">
        <v>9</v>
      </c>
      <c r="L209" s="1">
        <v>44044</v>
      </c>
      <c r="M209">
        <v>0</v>
      </c>
      <c r="N209" s="8" cm="1">
        <f t="array" ref="N209">_xlfn.SWITCH(Sales[[#This Row],[Subscription Type]],"Basic",10,"Premium",10,"Business",25,"Enterprise",27)</f>
        <v>10</v>
      </c>
      <c r="O209">
        <f>IF(Sales[[#This Row],[Number of Users]]-Sales[[#This Row],[Licenses Bought]]&lt;0,0,Sales[[#This Row],[Number of Users]]-Sales[[#This Row],[Licenses Bought]])</f>
        <v>2</v>
      </c>
      <c r="P209" s="8">
        <f>IF(Sales[[#This Row],[Sales Month]]=MAX(Sales[Sales Month]),Sales[[#This Row],[Non-Paying Users]]*Sales[[#This Row],[Upsell $ per Non-Paying User]],0)</f>
        <v>0</v>
      </c>
      <c r="Q209" t="str" cm="1">
        <f t="array" ref="Q209">_xlfn.IFS(Sales[[#This Row],[Current Upsell $]]=0,"",Sales[[#This Row],[Current Upsell $]]&gt;=400,"High",Sales[[#This Row],[Current Upsell $]]&gt;=100,"Medium",Sales[[#This Row],[Current Upsell $]]&lt;100,"Low")</f>
        <v/>
      </c>
      <c r="R209" t="str">
        <f>IF(Sales[[#This Row],[Current Upsell $]]&gt;0,_xlfn.CONCAT(Sales[[#This Row],[Subscription Type]]," ",Sales[[#This Row],[Upsell Priority]]," ",TEXT(Sales[[#This Row],[Current Upsell $]],"$#,#")),"")</f>
        <v/>
      </c>
    </row>
    <row r="210" spans="1:18" x14ac:dyDescent="0.25">
      <c r="A210">
        <v>100015</v>
      </c>
      <c r="B210" t="s">
        <v>3</v>
      </c>
      <c r="F210">
        <v>0</v>
      </c>
      <c r="G210">
        <v>1</v>
      </c>
      <c r="H210" s="1">
        <v>43891</v>
      </c>
      <c r="I210" s="1">
        <v>44075</v>
      </c>
      <c r="J210">
        <v>6</v>
      </c>
      <c r="K210">
        <v>9</v>
      </c>
      <c r="L210" s="1">
        <v>44075</v>
      </c>
      <c r="M210">
        <v>0</v>
      </c>
      <c r="N210" s="8" cm="1">
        <f t="array" ref="N210">_xlfn.SWITCH(Sales[[#This Row],[Subscription Type]],"Basic",10,"Premium",10,"Business",25,"Enterprise",27)</f>
        <v>10</v>
      </c>
      <c r="O210">
        <f>IF(Sales[[#This Row],[Number of Users]]-Sales[[#This Row],[Licenses Bought]]&lt;0,0,Sales[[#This Row],[Number of Users]]-Sales[[#This Row],[Licenses Bought]])</f>
        <v>1</v>
      </c>
      <c r="P210" s="8">
        <f>IF(Sales[[#This Row],[Sales Month]]=MAX(Sales[Sales Month]),Sales[[#This Row],[Non-Paying Users]]*Sales[[#This Row],[Upsell $ per Non-Paying User]],0)</f>
        <v>0</v>
      </c>
      <c r="Q210" t="str" cm="1">
        <f t="array" ref="Q210">_xlfn.IFS(Sales[[#This Row],[Current Upsell $]]=0,"",Sales[[#This Row],[Current Upsell $]]&gt;=400,"High",Sales[[#This Row],[Current Upsell $]]&gt;=100,"Medium",Sales[[#This Row],[Current Upsell $]]&lt;100,"Low")</f>
        <v/>
      </c>
      <c r="R210" t="str">
        <f>IF(Sales[[#This Row],[Current Upsell $]]&gt;0,_xlfn.CONCAT(Sales[[#This Row],[Subscription Type]]," ",Sales[[#This Row],[Upsell Priority]]," ",TEXT(Sales[[#This Row],[Current Upsell $]],"$#,#")),"")</f>
        <v/>
      </c>
    </row>
    <row r="211" spans="1:18" x14ac:dyDescent="0.25">
      <c r="A211">
        <v>100016</v>
      </c>
      <c r="B211" t="s">
        <v>3</v>
      </c>
      <c r="F211">
        <v>0</v>
      </c>
      <c r="G211">
        <v>1</v>
      </c>
      <c r="H211" s="1">
        <v>43891</v>
      </c>
      <c r="I211" s="1">
        <v>44348</v>
      </c>
      <c r="J211">
        <v>15</v>
      </c>
      <c r="K211">
        <v>0</v>
      </c>
      <c r="L211" s="1">
        <v>43891</v>
      </c>
      <c r="M211">
        <v>0</v>
      </c>
      <c r="N211" s="8" cm="1">
        <f t="array" ref="N211">_xlfn.SWITCH(Sales[[#This Row],[Subscription Type]],"Basic",10,"Premium",10,"Business",25,"Enterprise",27)</f>
        <v>10</v>
      </c>
      <c r="O211">
        <f>IF(Sales[[#This Row],[Number of Users]]-Sales[[#This Row],[Licenses Bought]]&lt;0,0,Sales[[#This Row],[Number of Users]]-Sales[[#This Row],[Licenses Bought]])</f>
        <v>1</v>
      </c>
      <c r="P211" s="8">
        <f>IF(Sales[[#This Row],[Sales Month]]=MAX(Sales[Sales Month]),Sales[[#This Row],[Non-Paying Users]]*Sales[[#This Row],[Upsell $ per Non-Paying User]],0)</f>
        <v>0</v>
      </c>
      <c r="Q211" t="str" cm="1">
        <f t="array" ref="Q211">_xlfn.IFS(Sales[[#This Row],[Current Upsell $]]=0,"",Sales[[#This Row],[Current Upsell $]]&gt;=400,"High",Sales[[#This Row],[Current Upsell $]]&gt;=100,"Medium",Sales[[#This Row],[Current Upsell $]]&lt;100,"Low")</f>
        <v/>
      </c>
      <c r="R211" t="str">
        <f>IF(Sales[[#This Row],[Current Upsell $]]&gt;0,_xlfn.CONCAT(Sales[[#This Row],[Subscription Type]]," ",Sales[[#This Row],[Upsell Priority]]," ",TEXT(Sales[[#This Row],[Current Upsell $]],"$#,#")),"")</f>
        <v/>
      </c>
    </row>
    <row r="212" spans="1:18" x14ac:dyDescent="0.25">
      <c r="A212">
        <v>100016</v>
      </c>
      <c r="B212" t="s">
        <v>3</v>
      </c>
      <c r="F212">
        <v>0</v>
      </c>
      <c r="G212">
        <v>2</v>
      </c>
      <c r="H212" s="1">
        <v>43891</v>
      </c>
      <c r="I212" s="1">
        <v>44348</v>
      </c>
      <c r="J212">
        <v>15</v>
      </c>
      <c r="K212">
        <v>0</v>
      </c>
      <c r="L212" s="1">
        <v>43922</v>
      </c>
      <c r="M212">
        <v>0</v>
      </c>
      <c r="N212" s="8" cm="1">
        <f t="array" ref="N212">_xlfn.SWITCH(Sales[[#This Row],[Subscription Type]],"Basic",10,"Premium",10,"Business",25,"Enterprise",27)</f>
        <v>10</v>
      </c>
      <c r="O212">
        <f>IF(Sales[[#This Row],[Number of Users]]-Sales[[#This Row],[Licenses Bought]]&lt;0,0,Sales[[#This Row],[Number of Users]]-Sales[[#This Row],[Licenses Bought]])</f>
        <v>2</v>
      </c>
      <c r="P212" s="8">
        <f>IF(Sales[[#This Row],[Sales Month]]=MAX(Sales[Sales Month]),Sales[[#This Row],[Non-Paying Users]]*Sales[[#This Row],[Upsell $ per Non-Paying User]],0)</f>
        <v>0</v>
      </c>
      <c r="Q212" t="str" cm="1">
        <f t="array" ref="Q212">_xlfn.IFS(Sales[[#This Row],[Current Upsell $]]=0,"",Sales[[#This Row],[Current Upsell $]]&gt;=400,"High",Sales[[#This Row],[Current Upsell $]]&gt;=100,"Medium",Sales[[#This Row],[Current Upsell $]]&lt;100,"Low")</f>
        <v/>
      </c>
      <c r="R212" t="str">
        <f>IF(Sales[[#This Row],[Current Upsell $]]&gt;0,_xlfn.CONCAT(Sales[[#This Row],[Subscription Type]]," ",Sales[[#This Row],[Upsell Priority]]," ",TEXT(Sales[[#This Row],[Current Upsell $]],"$#,#")),"")</f>
        <v/>
      </c>
    </row>
    <row r="213" spans="1:18" x14ac:dyDescent="0.25">
      <c r="A213">
        <v>100016</v>
      </c>
      <c r="B213" t="s">
        <v>3</v>
      </c>
      <c r="F213">
        <v>0</v>
      </c>
      <c r="G213">
        <v>2</v>
      </c>
      <c r="H213" s="1">
        <v>43891</v>
      </c>
      <c r="I213" s="1">
        <v>44348</v>
      </c>
      <c r="J213">
        <v>15</v>
      </c>
      <c r="K213">
        <v>0</v>
      </c>
      <c r="L213" s="1">
        <v>43952</v>
      </c>
      <c r="M213">
        <v>0</v>
      </c>
      <c r="N213" s="8" cm="1">
        <f t="array" ref="N213">_xlfn.SWITCH(Sales[[#This Row],[Subscription Type]],"Basic",10,"Premium",10,"Business",25,"Enterprise",27)</f>
        <v>10</v>
      </c>
      <c r="O213">
        <f>IF(Sales[[#This Row],[Number of Users]]-Sales[[#This Row],[Licenses Bought]]&lt;0,0,Sales[[#This Row],[Number of Users]]-Sales[[#This Row],[Licenses Bought]])</f>
        <v>2</v>
      </c>
      <c r="P213" s="8">
        <f>IF(Sales[[#This Row],[Sales Month]]=MAX(Sales[Sales Month]),Sales[[#This Row],[Non-Paying Users]]*Sales[[#This Row],[Upsell $ per Non-Paying User]],0)</f>
        <v>0</v>
      </c>
      <c r="Q213" t="str" cm="1">
        <f t="array" ref="Q213">_xlfn.IFS(Sales[[#This Row],[Current Upsell $]]=0,"",Sales[[#This Row],[Current Upsell $]]&gt;=400,"High",Sales[[#This Row],[Current Upsell $]]&gt;=100,"Medium",Sales[[#This Row],[Current Upsell $]]&lt;100,"Low")</f>
        <v/>
      </c>
      <c r="R213" t="str">
        <f>IF(Sales[[#This Row],[Current Upsell $]]&gt;0,_xlfn.CONCAT(Sales[[#This Row],[Subscription Type]]," ",Sales[[#This Row],[Upsell Priority]]," ",TEXT(Sales[[#This Row],[Current Upsell $]],"$#,#")),"")</f>
        <v/>
      </c>
    </row>
    <row r="214" spans="1:18" x14ac:dyDescent="0.25">
      <c r="A214">
        <v>100016</v>
      </c>
      <c r="B214" t="s">
        <v>3</v>
      </c>
      <c r="F214">
        <v>0</v>
      </c>
      <c r="G214">
        <v>2</v>
      </c>
      <c r="H214" s="1">
        <v>43891</v>
      </c>
      <c r="I214" s="1">
        <v>44348</v>
      </c>
      <c r="J214">
        <v>15</v>
      </c>
      <c r="K214">
        <v>0</v>
      </c>
      <c r="L214" s="1">
        <v>43983</v>
      </c>
      <c r="M214">
        <v>0</v>
      </c>
      <c r="N214" s="8" cm="1">
        <f t="array" ref="N214">_xlfn.SWITCH(Sales[[#This Row],[Subscription Type]],"Basic",10,"Premium",10,"Business",25,"Enterprise",27)</f>
        <v>10</v>
      </c>
      <c r="O214">
        <f>IF(Sales[[#This Row],[Number of Users]]-Sales[[#This Row],[Licenses Bought]]&lt;0,0,Sales[[#This Row],[Number of Users]]-Sales[[#This Row],[Licenses Bought]])</f>
        <v>2</v>
      </c>
      <c r="P214" s="8">
        <f>IF(Sales[[#This Row],[Sales Month]]=MAX(Sales[Sales Month]),Sales[[#This Row],[Non-Paying Users]]*Sales[[#This Row],[Upsell $ per Non-Paying User]],0)</f>
        <v>0</v>
      </c>
      <c r="Q214" t="str" cm="1">
        <f t="array" ref="Q214">_xlfn.IFS(Sales[[#This Row],[Current Upsell $]]=0,"",Sales[[#This Row],[Current Upsell $]]&gt;=400,"High",Sales[[#This Row],[Current Upsell $]]&gt;=100,"Medium",Sales[[#This Row],[Current Upsell $]]&lt;100,"Low")</f>
        <v/>
      </c>
      <c r="R214" t="str">
        <f>IF(Sales[[#This Row],[Current Upsell $]]&gt;0,_xlfn.CONCAT(Sales[[#This Row],[Subscription Type]]," ",Sales[[#This Row],[Upsell Priority]]," ",TEXT(Sales[[#This Row],[Current Upsell $]],"$#,#")),"")</f>
        <v/>
      </c>
    </row>
    <row r="215" spans="1:18" x14ac:dyDescent="0.25">
      <c r="A215">
        <v>100016</v>
      </c>
      <c r="B215" t="s">
        <v>3</v>
      </c>
      <c r="F215">
        <v>0</v>
      </c>
      <c r="G215">
        <v>2</v>
      </c>
      <c r="H215" s="1">
        <v>43891</v>
      </c>
      <c r="I215" s="1">
        <v>44348</v>
      </c>
      <c r="J215">
        <v>15</v>
      </c>
      <c r="K215">
        <v>0</v>
      </c>
      <c r="L215" s="1">
        <v>44013</v>
      </c>
      <c r="M215">
        <v>0</v>
      </c>
      <c r="N215" s="8" cm="1">
        <f t="array" ref="N215">_xlfn.SWITCH(Sales[[#This Row],[Subscription Type]],"Basic",10,"Premium",10,"Business",25,"Enterprise",27)</f>
        <v>10</v>
      </c>
      <c r="O215">
        <f>IF(Sales[[#This Row],[Number of Users]]-Sales[[#This Row],[Licenses Bought]]&lt;0,0,Sales[[#This Row],[Number of Users]]-Sales[[#This Row],[Licenses Bought]])</f>
        <v>2</v>
      </c>
      <c r="P215" s="8">
        <f>IF(Sales[[#This Row],[Sales Month]]=MAX(Sales[Sales Month]),Sales[[#This Row],[Non-Paying Users]]*Sales[[#This Row],[Upsell $ per Non-Paying User]],0)</f>
        <v>0</v>
      </c>
      <c r="Q215" t="str" cm="1">
        <f t="array" ref="Q215">_xlfn.IFS(Sales[[#This Row],[Current Upsell $]]=0,"",Sales[[#This Row],[Current Upsell $]]&gt;=400,"High",Sales[[#This Row],[Current Upsell $]]&gt;=100,"Medium",Sales[[#This Row],[Current Upsell $]]&lt;100,"Low")</f>
        <v/>
      </c>
      <c r="R215" t="str">
        <f>IF(Sales[[#This Row],[Current Upsell $]]&gt;0,_xlfn.CONCAT(Sales[[#This Row],[Subscription Type]]," ",Sales[[#This Row],[Upsell Priority]]," ",TEXT(Sales[[#This Row],[Current Upsell $]],"$#,#")),"")</f>
        <v/>
      </c>
    </row>
    <row r="216" spans="1:18" x14ac:dyDescent="0.25">
      <c r="A216">
        <v>100016</v>
      </c>
      <c r="B216" t="s">
        <v>3</v>
      </c>
      <c r="F216">
        <v>0</v>
      </c>
      <c r="G216">
        <v>2</v>
      </c>
      <c r="H216" s="1">
        <v>43891</v>
      </c>
      <c r="I216" s="1">
        <v>44348</v>
      </c>
      <c r="J216">
        <v>15</v>
      </c>
      <c r="K216">
        <v>0</v>
      </c>
      <c r="L216" s="1">
        <v>44044</v>
      </c>
      <c r="M216">
        <v>0</v>
      </c>
      <c r="N216" s="8" cm="1">
        <f t="array" ref="N216">_xlfn.SWITCH(Sales[[#This Row],[Subscription Type]],"Basic",10,"Premium",10,"Business",25,"Enterprise",27)</f>
        <v>10</v>
      </c>
      <c r="O216">
        <f>IF(Sales[[#This Row],[Number of Users]]-Sales[[#This Row],[Licenses Bought]]&lt;0,0,Sales[[#This Row],[Number of Users]]-Sales[[#This Row],[Licenses Bought]])</f>
        <v>2</v>
      </c>
      <c r="P216" s="8">
        <f>IF(Sales[[#This Row],[Sales Month]]=MAX(Sales[Sales Month]),Sales[[#This Row],[Non-Paying Users]]*Sales[[#This Row],[Upsell $ per Non-Paying User]],0)</f>
        <v>0</v>
      </c>
      <c r="Q216" t="str" cm="1">
        <f t="array" ref="Q216">_xlfn.IFS(Sales[[#This Row],[Current Upsell $]]=0,"",Sales[[#This Row],[Current Upsell $]]&gt;=400,"High",Sales[[#This Row],[Current Upsell $]]&gt;=100,"Medium",Sales[[#This Row],[Current Upsell $]]&lt;100,"Low")</f>
        <v/>
      </c>
      <c r="R216" t="str">
        <f>IF(Sales[[#This Row],[Current Upsell $]]&gt;0,_xlfn.CONCAT(Sales[[#This Row],[Subscription Type]]," ",Sales[[#This Row],[Upsell Priority]]," ",TEXT(Sales[[#This Row],[Current Upsell $]],"$#,#")),"")</f>
        <v/>
      </c>
    </row>
    <row r="217" spans="1:18" x14ac:dyDescent="0.25">
      <c r="A217">
        <v>100016</v>
      </c>
      <c r="B217" t="s">
        <v>3</v>
      </c>
      <c r="F217">
        <v>0</v>
      </c>
      <c r="G217">
        <v>2</v>
      </c>
      <c r="H217" s="1">
        <v>43891</v>
      </c>
      <c r="I217" s="1">
        <v>44348</v>
      </c>
      <c r="J217">
        <v>15</v>
      </c>
      <c r="K217">
        <v>0</v>
      </c>
      <c r="L217" s="1">
        <v>44075</v>
      </c>
      <c r="M217">
        <v>0</v>
      </c>
      <c r="N217" s="8" cm="1">
        <f t="array" ref="N217">_xlfn.SWITCH(Sales[[#This Row],[Subscription Type]],"Basic",10,"Premium",10,"Business",25,"Enterprise",27)</f>
        <v>10</v>
      </c>
      <c r="O217">
        <f>IF(Sales[[#This Row],[Number of Users]]-Sales[[#This Row],[Licenses Bought]]&lt;0,0,Sales[[#This Row],[Number of Users]]-Sales[[#This Row],[Licenses Bought]])</f>
        <v>2</v>
      </c>
      <c r="P217" s="8">
        <f>IF(Sales[[#This Row],[Sales Month]]=MAX(Sales[Sales Month]),Sales[[#This Row],[Non-Paying Users]]*Sales[[#This Row],[Upsell $ per Non-Paying User]],0)</f>
        <v>0</v>
      </c>
      <c r="Q217" t="str" cm="1">
        <f t="array" ref="Q217">_xlfn.IFS(Sales[[#This Row],[Current Upsell $]]=0,"",Sales[[#This Row],[Current Upsell $]]&gt;=400,"High",Sales[[#This Row],[Current Upsell $]]&gt;=100,"Medium",Sales[[#This Row],[Current Upsell $]]&lt;100,"Low")</f>
        <v/>
      </c>
      <c r="R217" t="str">
        <f>IF(Sales[[#This Row],[Current Upsell $]]&gt;0,_xlfn.CONCAT(Sales[[#This Row],[Subscription Type]]," ",Sales[[#This Row],[Upsell Priority]]," ",TEXT(Sales[[#This Row],[Current Upsell $]],"$#,#")),"")</f>
        <v/>
      </c>
    </row>
    <row r="218" spans="1:18" x14ac:dyDescent="0.25">
      <c r="A218">
        <v>100016</v>
      </c>
      <c r="B218" t="s">
        <v>3</v>
      </c>
      <c r="F218">
        <v>0</v>
      </c>
      <c r="G218">
        <v>1</v>
      </c>
      <c r="H218" s="1">
        <v>43891</v>
      </c>
      <c r="I218" s="1">
        <v>44348</v>
      </c>
      <c r="J218">
        <v>15</v>
      </c>
      <c r="K218">
        <v>0</v>
      </c>
      <c r="L218" s="1">
        <v>44105</v>
      </c>
      <c r="M218">
        <v>0</v>
      </c>
      <c r="N218" s="8" cm="1">
        <f t="array" ref="N218">_xlfn.SWITCH(Sales[[#This Row],[Subscription Type]],"Basic",10,"Premium",10,"Business",25,"Enterprise",27)</f>
        <v>10</v>
      </c>
      <c r="O218">
        <f>IF(Sales[[#This Row],[Number of Users]]-Sales[[#This Row],[Licenses Bought]]&lt;0,0,Sales[[#This Row],[Number of Users]]-Sales[[#This Row],[Licenses Bought]])</f>
        <v>1</v>
      </c>
      <c r="P218" s="8">
        <f>IF(Sales[[#This Row],[Sales Month]]=MAX(Sales[Sales Month]),Sales[[#This Row],[Non-Paying Users]]*Sales[[#This Row],[Upsell $ per Non-Paying User]],0)</f>
        <v>0</v>
      </c>
      <c r="Q218" t="str" cm="1">
        <f t="array" ref="Q218">_xlfn.IFS(Sales[[#This Row],[Current Upsell $]]=0,"",Sales[[#This Row],[Current Upsell $]]&gt;=400,"High",Sales[[#This Row],[Current Upsell $]]&gt;=100,"Medium",Sales[[#This Row],[Current Upsell $]]&lt;100,"Low")</f>
        <v/>
      </c>
      <c r="R218" t="str">
        <f>IF(Sales[[#This Row],[Current Upsell $]]&gt;0,_xlfn.CONCAT(Sales[[#This Row],[Subscription Type]]," ",Sales[[#This Row],[Upsell Priority]]," ",TEXT(Sales[[#This Row],[Current Upsell $]],"$#,#")),"")</f>
        <v/>
      </c>
    </row>
    <row r="219" spans="1:18" x14ac:dyDescent="0.25">
      <c r="A219">
        <v>100016</v>
      </c>
      <c r="B219" t="s">
        <v>3</v>
      </c>
      <c r="F219">
        <v>0</v>
      </c>
      <c r="G219">
        <v>2</v>
      </c>
      <c r="H219" s="1">
        <v>43891</v>
      </c>
      <c r="I219" s="1">
        <v>44348</v>
      </c>
      <c r="J219">
        <v>15</v>
      </c>
      <c r="K219">
        <v>0</v>
      </c>
      <c r="L219" s="1">
        <v>44136</v>
      </c>
      <c r="M219">
        <v>0</v>
      </c>
      <c r="N219" s="8" cm="1">
        <f t="array" ref="N219">_xlfn.SWITCH(Sales[[#This Row],[Subscription Type]],"Basic",10,"Premium",10,"Business",25,"Enterprise",27)</f>
        <v>10</v>
      </c>
      <c r="O219">
        <f>IF(Sales[[#This Row],[Number of Users]]-Sales[[#This Row],[Licenses Bought]]&lt;0,0,Sales[[#This Row],[Number of Users]]-Sales[[#This Row],[Licenses Bought]])</f>
        <v>2</v>
      </c>
      <c r="P219" s="8">
        <f>IF(Sales[[#This Row],[Sales Month]]=MAX(Sales[Sales Month]),Sales[[#This Row],[Non-Paying Users]]*Sales[[#This Row],[Upsell $ per Non-Paying User]],0)</f>
        <v>0</v>
      </c>
      <c r="Q219" t="str" cm="1">
        <f t="array" ref="Q219">_xlfn.IFS(Sales[[#This Row],[Current Upsell $]]=0,"",Sales[[#This Row],[Current Upsell $]]&gt;=400,"High",Sales[[#This Row],[Current Upsell $]]&gt;=100,"Medium",Sales[[#This Row],[Current Upsell $]]&lt;100,"Low")</f>
        <v/>
      </c>
      <c r="R219" t="str">
        <f>IF(Sales[[#This Row],[Current Upsell $]]&gt;0,_xlfn.CONCAT(Sales[[#This Row],[Subscription Type]]," ",Sales[[#This Row],[Upsell Priority]]," ",TEXT(Sales[[#This Row],[Current Upsell $]],"$#,#")),"")</f>
        <v/>
      </c>
    </row>
    <row r="220" spans="1:18" x14ac:dyDescent="0.25">
      <c r="A220">
        <v>100016</v>
      </c>
      <c r="B220" t="s">
        <v>3</v>
      </c>
      <c r="F220">
        <v>0</v>
      </c>
      <c r="G220">
        <v>2</v>
      </c>
      <c r="H220" s="1">
        <v>43891</v>
      </c>
      <c r="I220" s="1">
        <v>44348</v>
      </c>
      <c r="J220">
        <v>15</v>
      </c>
      <c r="K220">
        <v>0</v>
      </c>
      <c r="L220" s="1">
        <v>44166</v>
      </c>
      <c r="M220">
        <v>0</v>
      </c>
      <c r="N220" s="8" cm="1">
        <f t="array" ref="N220">_xlfn.SWITCH(Sales[[#This Row],[Subscription Type]],"Basic",10,"Premium",10,"Business",25,"Enterprise",27)</f>
        <v>10</v>
      </c>
      <c r="O220">
        <f>IF(Sales[[#This Row],[Number of Users]]-Sales[[#This Row],[Licenses Bought]]&lt;0,0,Sales[[#This Row],[Number of Users]]-Sales[[#This Row],[Licenses Bought]])</f>
        <v>2</v>
      </c>
      <c r="P220" s="8">
        <f>IF(Sales[[#This Row],[Sales Month]]=MAX(Sales[Sales Month]),Sales[[#This Row],[Non-Paying Users]]*Sales[[#This Row],[Upsell $ per Non-Paying User]],0)</f>
        <v>0</v>
      </c>
      <c r="Q220" t="str" cm="1">
        <f t="array" ref="Q220">_xlfn.IFS(Sales[[#This Row],[Current Upsell $]]=0,"",Sales[[#This Row],[Current Upsell $]]&gt;=400,"High",Sales[[#This Row],[Current Upsell $]]&gt;=100,"Medium",Sales[[#This Row],[Current Upsell $]]&lt;100,"Low")</f>
        <v/>
      </c>
      <c r="R220" t="str">
        <f>IF(Sales[[#This Row],[Current Upsell $]]&gt;0,_xlfn.CONCAT(Sales[[#This Row],[Subscription Type]]," ",Sales[[#This Row],[Upsell Priority]]," ",TEXT(Sales[[#This Row],[Current Upsell $]],"$#,#")),"")</f>
        <v/>
      </c>
    </row>
    <row r="221" spans="1:18" x14ac:dyDescent="0.25">
      <c r="A221">
        <v>100016</v>
      </c>
      <c r="B221" t="s">
        <v>3</v>
      </c>
      <c r="F221">
        <v>0</v>
      </c>
      <c r="G221">
        <v>2</v>
      </c>
      <c r="H221" s="1">
        <v>43891</v>
      </c>
      <c r="I221" s="1">
        <v>44348</v>
      </c>
      <c r="J221">
        <v>15</v>
      </c>
      <c r="K221">
        <v>0</v>
      </c>
      <c r="L221" s="1">
        <v>44197</v>
      </c>
      <c r="M221">
        <v>0</v>
      </c>
      <c r="N221" s="8" cm="1">
        <f t="array" ref="N221">_xlfn.SWITCH(Sales[[#This Row],[Subscription Type]],"Basic",10,"Premium",10,"Business",25,"Enterprise",27)</f>
        <v>10</v>
      </c>
      <c r="O221">
        <f>IF(Sales[[#This Row],[Number of Users]]-Sales[[#This Row],[Licenses Bought]]&lt;0,0,Sales[[#This Row],[Number of Users]]-Sales[[#This Row],[Licenses Bought]])</f>
        <v>2</v>
      </c>
      <c r="P221" s="8">
        <f>IF(Sales[[#This Row],[Sales Month]]=MAX(Sales[Sales Month]),Sales[[#This Row],[Non-Paying Users]]*Sales[[#This Row],[Upsell $ per Non-Paying User]],0)</f>
        <v>0</v>
      </c>
      <c r="Q221" t="str" cm="1">
        <f t="array" ref="Q221">_xlfn.IFS(Sales[[#This Row],[Current Upsell $]]=0,"",Sales[[#This Row],[Current Upsell $]]&gt;=400,"High",Sales[[#This Row],[Current Upsell $]]&gt;=100,"Medium",Sales[[#This Row],[Current Upsell $]]&lt;100,"Low")</f>
        <v/>
      </c>
      <c r="R221" t="str">
        <f>IF(Sales[[#This Row],[Current Upsell $]]&gt;0,_xlfn.CONCAT(Sales[[#This Row],[Subscription Type]]," ",Sales[[#This Row],[Upsell Priority]]," ",TEXT(Sales[[#This Row],[Current Upsell $]],"$#,#")),"")</f>
        <v/>
      </c>
    </row>
    <row r="222" spans="1:18" x14ac:dyDescent="0.25">
      <c r="A222">
        <v>100016</v>
      </c>
      <c r="B222" t="s">
        <v>3</v>
      </c>
      <c r="F222">
        <v>0</v>
      </c>
      <c r="G222">
        <v>2</v>
      </c>
      <c r="H222" s="1">
        <v>43891</v>
      </c>
      <c r="I222" s="1">
        <v>44348</v>
      </c>
      <c r="J222">
        <v>15</v>
      </c>
      <c r="K222">
        <v>0</v>
      </c>
      <c r="L222" s="1">
        <v>44228</v>
      </c>
      <c r="M222">
        <v>0</v>
      </c>
      <c r="N222" s="8" cm="1">
        <f t="array" ref="N222">_xlfn.SWITCH(Sales[[#This Row],[Subscription Type]],"Basic",10,"Premium",10,"Business",25,"Enterprise",27)</f>
        <v>10</v>
      </c>
      <c r="O222">
        <f>IF(Sales[[#This Row],[Number of Users]]-Sales[[#This Row],[Licenses Bought]]&lt;0,0,Sales[[#This Row],[Number of Users]]-Sales[[#This Row],[Licenses Bought]])</f>
        <v>2</v>
      </c>
      <c r="P222" s="8">
        <f>IF(Sales[[#This Row],[Sales Month]]=MAX(Sales[Sales Month]),Sales[[#This Row],[Non-Paying Users]]*Sales[[#This Row],[Upsell $ per Non-Paying User]],0)</f>
        <v>0</v>
      </c>
      <c r="Q222" t="str" cm="1">
        <f t="array" ref="Q222">_xlfn.IFS(Sales[[#This Row],[Current Upsell $]]=0,"",Sales[[#This Row],[Current Upsell $]]&gt;=400,"High",Sales[[#This Row],[Current Upsell $]]&gt;=100,"Medium",Sales[[#This Row],[Current Upsell $]]&lt;100,"Low")</f>
        <v/>
      </c>
      <c r="R222" t="str">
        <f>IF(Sales[[#This Row],[Current Upsell $]]&gt;0,_xlfn.CONCAT(Sales[[#This Row],[Subscription Type]]," ",Sales[[#This Row],[Upsell Priority]]," ",TEXT(Sales[[#This Row],[Current Upsell $]],"$#,#")),"")</f>
        <v/>
      </c>
    </row>
    <row r="223" spans="1:18" x14ac:dyDescent="0.25">
      <c r="A223">
        <v>100016</v>
      </c>
      <c r="B223" t="s">
        <v>3</v>
      </c>
      <c r="F223">
        <v>0</v>
      </c>
      <c r="G223">
        <v>2</v>
      </c>
      <c r="H223" s="1">
        <v>43891</v>
      </c>
      <c r="I223" s="1">
        <v>44348</v>
      </c>
      <c r="J223">
        <v>15</v>
      </c>
      <c r="K223">
        <v>0</v>
      </c>
      <c r="L223" s="1">
        <v>44256</v>
      </c>
      <c r="M223">
        <v>0</v>
      </c>
      <c r="N223" s="8" cm="1">
        <f t="array" ref="N223">_xlfn.SWITCH(Sales[[#This Row],[Subscription Type]],"Basic",10,"Premium",10,"Business",25,"Enterprise",27)</f>
        <v>10</v>
      </c>
      <c r="O223">
        <f>IF(Sales[[#This Row],[Number of Users]]-Sales[[#This Row],[Licenses Bought]]&lt;0,0,Sales[[#This Row],[Number of Users]]-Sales[[#This Row],[Licenses Bought]])</f>
        <v>2</v>
      </c>
      <c r="P223" s="8">
        <f>IF(Sales[[#This Row],[Sales Month]]=MAX(Sales[Sales Month]),Sales[[#This Row],[Non-Paying Users]]*Sales[[#This Row],[Upsell $ per Non-Paying User]],0)</f>
        <v>0</v>
      </c>
      <c r="Q223" t="str" cm="1">
        <f t="array" ref="Q223">_xlfn.IFS(Sales[[#This Row],[Current Upsell $]]=0,"",Sales[[#This Row],[Current Upsell $]]&gt;=400,"High",Sales[[#This Row],[Current Upsell $]]&gt;=100,"Medium",Sales[[#This Row],[Current Upsell $]]&lt;100,"Low")</f>
        <v/>
      </c>
      <c r="R223" t="str">
        <f>IF(Sales[[#This Row],[Current Upsell $]]&gt;0,_xlfn.CONCAT(Sales[[#This Row],[Subscription Type]]," ",Sales[[#This Row],[Upsell Priority]]," ",TEXT(Sales[[#This Row],[Current Upsell $]],"$#,#")),"")</f>
        <v/>
      </c>
    </row>
    <row r="224" spans="1:18" x14ac:dyDescent="0.25">
      <c r="A224">
        <v>100016</v>
      </c>
      <c r="B224" t="s">
        <v>3</v>
      </c>
      <c r="F224">
        <v>0</v>
      </c>
      <c r="G224">
        <v>2</v>
      </c>
      <c r="H224" s="1">
        <v>43891</v>
      </c>
      <c r="I224" s="1">
        <v>44348</v>
      </c>
      <c r="J224">
        <v>15</v>
      </c>
      <c r="K224">
        <v>0</v>
      </c>
      <c r="L224" s="1">
        <v>44287</v>
      </c>
      <c r="M224">
        <v>0</v>
      </c>
      <c r="N224" s="8" cm="1">
        <f t="array" ref="N224">_xlfn.SWITCH(Sales[[#This Row],[Subscription Type]],"Basic",10,"Premium",10,"Business",25,"Enterprise",27)</f>
        <v>10</v>
      </c>
      <c r="O224">
        <f>IF(Sales[[#This Row],[Number of Users]]-Sales[[#This Row],[Licenses Bought]]&lt;0,0,Sales[[#This Row],[Number of Users]]-Sales[[#This Row],[Licenses Bought]])</f>
        <v>2</v>
      </c>
      <c r="P224" s="8">
        <f>IF(Sales[[#This Row],[Sales Month]]=MAX(Sales[Sales Month]),Sales[[#This Row],[Non-Paying Users]]*Sales[[#This Row],[Upsell $ per Non-Paying User]],0)</f>
        <v>0</v>
      </c>
      <c r="Q224" t="str" cm="1">
        <f t="array" ref="Q224">_xlfn.IFS(Sales[[#This Row],[Current Upsell $]]=0,"",Sales[[#This Row],[Current Upsell $]]&gt;=400,"High",Sales[[#This Row],[Current Upsell $]]&gt;=100,"Medium",Sales[[#This Row],[Current Upsell $]]&lt;100,"Low")</f>
        <v/>
      </c>
      <c r="R224" t="str">
        <f>IF(Sales[[#This Row],[Current Upsell $]]&gt;0,_xlfn.CONCAT(Sales[[#This Row],[Subscription Type]]," ",Sales[[#This Row],[Upsell Priority]]," ",TEXT(Sales[[#This Row],[Current Upsell $]],"$#,#")),"")</f>
        <v/>
      </c>
    </row>
    <row r="225" spans="1:18" x14ac:dyDescent="0.25">
      <c r="A225">
        <v>100016</v>
      </c>
      <c r="B225" t="s">
        <v>3</v>
      </c>
      <c r="F225">
        <v>0</v>
      </c>
      <c r="G225">
        <v>2</v>
      </c>
      <c r="H225" s="1">
        <v>43891</v>
      </c>
      <c r="I225" s="1">
        <v>44348</v>
      </c>
      <c r="J225">
        <v>15</v>
      </c>
      <c r="K225">
        <v>0</v>
      </c>
      <c r="L225" s="1">
        <v>44317</v>
      </c>
      <c r="M225">
        <v>0</v>
      </c>
      <c r="N225" s="8" cm="1">
        <f t="array" ref="N225">_xlfn.SWITCH(Sales[[#This Row],[Subscription Type]],"Basic",10,"Premium",10,"Business",25,"Enterprise",27)</f>
        <v>10</v>
      </c>
      <c r="O225">
        <f>IF(Sales[[#This Row],[Number of Users]]-Sales[[#This Row],[Licenses Bought]]&lt;0,0,Sales[[#This Row],[Number of Users]]-Sales[[#This Row],[Licenses Bought]])</f>
        <v>2</v>
      </c>
      <c r="P225" s="8">
        <f>IF(Sales[[#This Row],[Sales Month]]=MAX(Sales[Sales Month]),Sales[[#This Row],[Non-Paying Users]]*Sales[[#This Row],[Upsell $ per Non-Paying User]],0)</f>
        <v>0</v>
      </c>
      <c r="Q225" t="str" cm="1">
        <f t="array" ref="Q225">_xlfn.IFS(Sales[[#This Row],[Current Upsell $]]=0,"",Sales[[#This Row],[Current Upsell $]]&gt;=400,"High",Sales[[#This Row],[Current Upsell $]]&gt;=100,"Medium",Sales[[#This Row],[Current Upsell $]]&lt;100,"Low")</f>
        <v/>
      </c>
      <c r="R225" t="str">
        <f>IF(Sales[[#This Row],[Current Upsell $]]&gt;0,_xlfn.CONCAT(Sales[[#This Row],[Subscription Type]]," ",Sales[[#This Row],[Upsell Priority]]," ",TEXT(Sales[[#This Row],[Current Upsell $]],"$#,#")),"")</f>
        <v/>
      </c>
    </row>
    <row r="226" spans="1:18" x14ac:dyDescent="0.25">
      <c r="A226">
        <v>100016</v>
      </c>
      <c r="B226" t="s">
        <v>3</v>
      </c>
      <c r="F226">
        <v>0</v>
      </c>
      <c r="G226">
        <v>2</v>
      </c>
      <c r="H226" s="1">
        <v>43891</v>
      </c>
      <c r="I226" s="1">
        <v>44348</v>
      </c>
      <c r="J226">
        <v>15</v>
      </c>
      <c r="K226">
        <v>0</v>
      </c>
      <c r="L226" s="1">
        <v>44348</v>
      </c>
      <c r="M226">
        <v>0</v>
      </c>
      <c r="N226" s="8" cm="1">
        <f t="array" ref="N226">_xlfn.SWITCH(Sales[[#This Row],[Subscription Type]],"Basic",10,"Premium",10,"Business",25,"Enterprise",27)</f>
        <v>10</v>
      </c>
      <c r="O226">
        <f>IF(Sales[[#This Row],[Number of Users]]-Sales[[#This Row],[Licenses Bought]]&lt;0,0,Sales[[#This Row],[Number of Users]]-Sales[[#This Row],[Licenses Bought]])</f>
        <v>2</v>
      </c>
      <c r="P226" s="8">
        <f>IF(Sales[[#This Row],[Sales Month]]=MAX(Sales[Sales Month]),Sales[[#This Row],[Non-Paying Users]]*Sales[[#This Row],[Upsell $ per Non-Paying User]],0)</f>
        <v>20</v>
      </c>
      <c r="Q226" t="str" cm="1">
        <f t="array" ref="Q226">_xlfn.IFS(Sales[[#This Row],[Current Upsell $]]=0,"",Sales[[#This Row],[Current Upsell $]]&gt;=400,"High",Sales[[#This Row],[Current Upsell $]]&gt;=100,"Medium",Sales[[#This Row],[Current Upsell $]]&lt;100,"Low")</f>
        <v>Low</v>
      </c>
      <c r="R226" t="str">
        <f>IF(Sales[[#This Row],[Current Upsell $]]&gt;0,_xlfn.CONCAT(Sales[[#This Row],[Subscription Type]]," ",Sales[[#This Row],[Upsell Priority]]," ",TEXT(Sales[[#This Row],[Current Upsell $]],"$#,#")),"")</f>
        <v>Basic Low $20</v>
      </c>
    </row>
    <row r="227" spans="1:18" x14ac:dyDescent="0.25">
      <c r="A227">
        <v>100017</v>
      </c>
      <c r="B227" t="s">
        <v>3</v>
      </c>
      <c r="D227" s="1"/>
      <c r="E227" s="1"/>
      <c r="F227">
        <v>0</v>
      </c>
      <c r="G227">
        <v>88</v>
      </c>
      <c r="H227" s="1">
        <v>43922</v>
      </c>
      <c r="I227" s="1">
        <v>44378</v>
      </c>
      <c r="J227">
        <v>15</v>
      </c>
      <c r="K227">
        <v>0</v>
      </c>
      <c r="L227" s="1">
        <v>43922</v>
      </c>
      <c r="M227">
        <v>0</v>
      </c>
      <c r="N227" s="8" cm="1">
        <f t="array" ref="N227">_xlfn.SWITCH(Sales[[#This Row],[Subscription Type]],"Basic",10,"Premium",10,"Business",25,"Enterprise",27)</f>
        <v>10</v>
      </c>
      <c r="O227">
        <f>IF(Sales[[#This Row],[Number of Users]]-Sales[[#This Row],[Licenses Bought]]&lt;0,0,Sales[[#This Row],[Number of Users]]-Sales[[#This Row],[Licenses Bought]])</f>
        <v>88</v>
      </c>
      <c r="P227" s="8">
        <f>IF(Sales[[#This Row],[Sales Month]]=MAX(Sales[Sales Month]),Sales[[#This Row],[Non-Paying Users]]*Sales[[#This Row],[Upsell $ per Non-Paying User]],0)</f>
        <v>0</v>
      </c>
      <c r="Q227" t="str" cm="1">
        <f t="array" ref="Q227">_xlfn.IFS(Sales[[#This Row],[Current Upsell $]]=0,"",Sales[[#This Row],[Current Upsell $]]&gt;=400,"High",Sales[[#This Row],[Current Upsell $]]&gt;=100,"Medium",Sales[[#This Row],[Current Upsell $]]&lt;100,"Low")</f>
        <v/>
      </c>
      <c r="R227" t="str">
        <f>IF(Sales[[#This Row],[Current Upsell $]]&gt;0,_xlfn.CONCAT(Sales[[#This Row],[Subscription Type]]," ",Sales[[#This Row],[Upsell Priority]]," ",TEXT(Sales[[#This Row],[Current Upsell $]],"$#,#")),"")</f>
        <v/>
      </c>
    </row>
    <row r="228" spans="1:18" x14ac:dyDescent="0.25">
      <c r="A228">
        <v>100017</v>
      </c>
      <c r="B228" t="s">
        <v>1</v>
      </c>
      <c r="D228" s="1"/>
      <c r="E228" s="1"/>
      <c r="F228">
        <v>62</v>
      </c>
      <c r="G228">
        <v>86</v>
      </c>
      <c r="H228" s="1">
        <v>43922</v>
      </c>
      <c r="I228" s="1">
        <v>44378</v>
      </c>
      <c r="J228">
        <v>15</v>
      </c>
      <c r="K228">
        <v>0</v>
      </c>
      <c r="L228" s="1">
        <v>43952</v>
      </c>
      <c r="M228">
        <v>1550</v>
      </c>
      <c r="N228" s="8" cm="1">
        <f t="array" ref="N228">_xlfn.SWITCH(Sales[[#This Row],[Subscription Type]],"Basic",10,"Premium",10,"Business",25,"Enterprise",27)</f>
        <v>25</v>
      </c>
      <c r="O228">
        <f>IF(Sales[[#This Row],[Number of Users]]-Sales[[#This Row],[Licenses Bought]]&lt;0,0,Sales[[#This Row],[Number of Users]]-Sales[[#This Row],[Licenses Bought]])</f>
        <v>24</v>
      </c>
      <c r="P228" s="8">
        <f>IF(Sales[[#This Row],[Sales Month]]=MAX(Sales[Sales Month]),Sales[[#This Row],[Non-Paying Users]]*Sales[[#This Row],[Upsell $ per Non-Paying User]],0)</f>
        <v>0</v>
      </c>
      <c r="Q228" t="str" cm="1">
        <f t="array" ref="Q228">_xlfn.IFS(Sales[[#This Row],[Current Upsell $]]=0,"",Sales[[#This Row],[Current Upsell $]]&gt;=400,"High",Sales[[#This Row],[Current Upsell $]]&gt;=100,"Medium",Sales[[#This Row],[Current Upsell $]]&lt;100,"Low")</f>
        <v/>
      </c>
      <c r="R228" t="str">
        <f>IF(Sales[[#This Row],[Current Upsell $]]&gt;0,_xlfn.CONCAT(Sales[[#This Row],[Subscription Type]]," ",Sales[[#This Row],[Upsell Priority]]," ",TEXT(Sales[[#This Row],[Current Upsell $]],"$#,#")),"")</f>
        <v/>
      </c>
    </row>
    <row r="229" spans="1:18" x14ac:dyDescent="0.25">
      <c r="A229">
        <v>100017</v>
      </c>
      <c r="B229" t="s">
        <v>1</v>
      </c>
      <c r="D229" s="1"/>
      <c r="E229" s="1"/>
      <c r="F229">
        <v>68</v>
      </c>
      <c r="G229">
        <v>75</v>
      </c>
      <c r="H229" s="1">
        <v>43922</v>
      </c>
      <c r="I229" s="1">
        <v>44378</v>
      </c>
      <c r="J229">
        <v>15</v>
      </c>
      <c r="K229">
        <v>0</v>
      </c>
      <c r="L229" s="1">
        <v>43983</v>
      </c>
      <c r="M229">
        <v>1700</v>
      </c>
      <c r="N229" s="8" cm="1">
        <f t="array" ref="N229">_xlfn.SWITCH(Sales[[#This Row],[Subscription Type]],"Basic",10,"Premium",10,"Business",25,"Enterprise",27)</f>
        <v>25</v>
      </c>
      <c r="O229">
        <f>IF(Sales[[#This Row],[Number of Users]]-Sales[[#This Row],[Licenses Bought]]&lt;0,0,Sales[[#This Row],[Number of Users]]-Sales[[#This Row],[Licenses Bought]])</f>
        <v>7</v>
      </c>
      <c r="P229" s="8">
        <f>IF(Sales[[#This Row],[Sales Month]]=MAX(Sales[Sales Month]),Sales[[#This Row],[Non-Paying Users]]*Sales[[#This Row],[Upsell $ per Non-Paying User]],0)</f>
        <v>0</v>
      </c>
      <c r="Q229" t="str" cm="1">
        <f t="array" ref="Q229">_xlfn.IFS(Sales[[#This Row],[Current Upsell $]]=0,"",Sales[[#This Row],[Current Upsell $]]&gt;=400,"High",Sales[[#This Row],[Current Upsell $]]&gt;=100,"Medium",Sales[[#This Row],[Current Upsell $]]&lt;100,"Low")</f>
        <v/>
      </c>
      <c r="R229" t="str">
        <f>IF(Sales[[#This Row],[Current Upsell $]]&gt;0,_xlfn.CONCAT(Sales[[#This Row],[Subscription Type]]," ",Sales[[#This Row],[Upsell Priority]]," ",TEXT(Sales[[#This Row],[Current Upsell $]],"$#,#")),"")</f>
        <v/>
      </c>
    </row>
    <row r="230" spans="1:18" x14ac:dyDescent="0.25">
      <c r="A230">
        <v>100017</v>
      </c>
      <c r="B230" t="s">
        <v>1</v>
      </c>
      <c r="D230" s="1"/>
      <c r="E230" s="1"/>
      <c r="F230">
        <v>68</v>
      </c>
      <c r="G230">
        <v>76</v>
      </c>
      <c r="H230" s="1">
        <v>43922</v>
      </c>
      <c r="I230" s="1">
        <v>44378</v>
      </c>
      <c r="J230">
        <v>15</v>
      </c>
      <c r="K230">
        <v>0</v>
      </c>
      <c r="L230" s="1">
        <v>44013</v>
      </c>
      <c r="M230">
        <v>1700</v>
      </c>
      <c r="N230" s="8" cm="1">
        <f t="array" ref="N230">_xlfn.SWITCH(Sales[[#This Row],[Subscription Type]],"Basic",10,"Premium",10,"Business",25,"Enterprise",27)</f>
        <v>25</v>
      </c>
      <c r="O230">
        <f>IF(Sales[[#This Row],[Number of Users]]-Sales[[#This Row],[Licenses Bought]]&lt;0,0,Sales[[#This Row],[Number of Users]]-Sales[[#This Row],[Licenses Bought]])</f>
        <v>8</v>
      </c>
      <c r="P230" s="8">
        <f>IF(Sales[[#This Row],[Sales Month]]=MAX(Sales[Sales Month]),Sales[[#This Row],[Non-Paying Users]]*Sales[[#This Row],[Upsell $ per Non-Paying User]],0)</f>
        <v>0</v>
      </c>
      <c r="Q230" t="str" cm="1">
        <f t="array" ref="Q230">_xlfn.IFS(Sales[[#This Row],[Current Upsell $]]=0,"",Sales[[#This Row],[Current Upsell $]]&gt;=400,"High",Sales[[#This Row],[Current Upsell $]]&gt;=100,"Medium",Sales[[#This Row],[Current Upsell $]]&lt;100,"Low")</f>
        <v/>
      </c>
      <c r="R230" t="str">
        <f>IF(Sales[[#This Row],[Current Upsell $]]&gt;0,_xlfn.CONCAT(Sales[[#This Row],[Subscription Type]]," ",Sales[[#This Row],[Upsell Priority]]," ",TEXT(Sales[[#This Row],[Current Upsell $]],"$#,#")),"")</f>
        <v/>
      </c>
    </row>
    <row r="231" spans="1:18" x14ac:dyDescent="0.25">
      <c r="A231">
        <v>100017</v>
      </c>
      <c r="B231" t="s">
        <v>1</v>
      </c>
      <c r="D231" s="1"/>
      <c r="E231" s="1"/>
      <c r="F231">
        <v>68</v>
      </c>
      <c r="G231">
        <v>79</v>
      </c>
      <c r="H231" s="1">
        <v>43922</v>
      </c>
      <c r="I231" s="1">
        <v>44378</v>
      </c>
      <c r="J231">
        <v>15</v>
      </c>
      <c r="K231">
        <v>0</v>
      </c>
      <c r="L231" s="1">
        <v>44044</v>
      </c>
      <c r="M231">
        <v>1700</v>
      </c>
      <c r="N231" s="8" cm="1">
        <f t="array" ref="N231">_xlfn.SWITCH(Sales[[#This Row],[Subscription Type]],"Basic",10,"Premium",10,"Business",25,"Enterprise",27)</f>
        <v>25</v>
      </c>
      <c r="O231">
        <f>IF(Sales[[#This Row],[Number of Users]]-Sales[[#This Row],[Licenses Bought]]&lt;0,0,Sales[[#This Row],[Number of Users]]-Sales[[#This Row],[Licenses Bought]])</f>
        <v>11</v>
      </c>
      <c r="P231" s="8">
        <f>IF(Sales[[#This Row],[Sales Month]]=MAX(Sales[Sales Month]),Sales[[#This Row],[Non-Paying Users]]*Sales[[#This Row],[Upsell $ per Non-Paying User]],0)</f>
        <v>0</v>
      </c>
      <c r="Q231" t="str" cm="1">
        <f t="array" ref="Q231">_xlfn.IFS(Sales[[#This Row],[Current Upsell $]]=0,"",Sales[[#This Row],[Current Upsell $]]&gt;=400,"High",Sales[[#This Row],[Current Upsell $]]&gt;=100,"Medium",Sales[[#This Row],[Current Upsell $]]&lt;100,"Low")</f>
        <v/>
      </c>
      <c r="R231" t="str">
        <f>IF(Sales[[#This Row],[Current Upsell $]]&gt;0,_xlfn.CONCAT(Sales[[#This Row],[Subscription Type]]," ",Sales[[#This Row],[Upsell Priority]]," ",TEXT(Sales[[#This Row],[Current Upsell $]],"$#,#")),"")</f>
        <v/>
      </c>
    </row>
    <row r="232" spans="1:18" x14ac:dyDescent="0.25">
      <c r="A232">
        <v>100017</v>
      </c>
      <c r="B232" t="s">
        <v>1</v>
      </c>
      <c r="D232" s="1"/>
      <c r="E232" s="1"/>
      <c r="F232">
        <v>68</v>
      </c>
      <c r="G232">
        <v>77</v>
      </c>
      <c r="H232" s="1">
        <v>43922</v>
      </c>
      <c r="I232" s="1">
        <v>44378</v>
      </c>
      <c r="J232">
        <v>15</v>
      </c>
      <c r="K232">
        <v>0</v>
      </c>
      <c r="L232" s="1">
        <v>44075</v>
      </c>
      <c r="M232">
        <v>1700</v>
      </c>
      <c r="N232" s="8" cm="1">
        <f t="array" ref="N232">_xlfn.SWITCH(Sales[[#This Row],[Subscription Type]],"Basic",10,"Premium",10,"Business",25,"Enterprise",27)</f>
        <v>25</v>
      </c>
      <c r="O232">
        <f>IF(Sales[[#This Row],[Number of Users]]-Sales[[#This Row],[Licenses Bought]]&lt;0,0,Sales[[#This Row],[Number of Users]]-Sales[[#This Row],[Licenses Bought]])</f>
        <v>9</v>
      </c>
      <c r="P232" s="8">
        <f>IF(Sales[[#This Row],[Sales Month]]=MAX(Sales[Sales Month]),Sales[[#This Row],[Non-Paying Users]]*Sales[[#This Row],[Upsell $ per Non-Paying User]],0)</f>
        <v>0</v>
      </c>
      <c r="Q232" t="str" cm="1">
        <f t="array" ref="Q232">_xlfn.IFS(Sales[[#This Row],[Current Upsell $]]=0,"",Sales[[#This Row],[Current Upsell $]]&gt;=400,"High",Sales[[#This Row],[Current Upsell $]]&gt;=100,"Medium",Sales[[#This Row],[Current Upsell $]]&lt;100,"Low")</f>
        <v/>
      </c>
      <c r="R232" t="str">
        <f>IF(Sales[[#This Row],[Current Upsell $]]&gt;0,_xlfn.CONCAT(Sales[[#This Row],[Subscription Type]]," ",Sales[[#This Row],[Upsell Priority]]," ",TEXT(Sales[[#This Row],[Current Upsell $]],"$#,#")),"")</f>
        <v/>
      </c>
    </row>
    <row r="233" spans="1:18" x14ac:dyDescent="0.25">
      <c r="A233">
        <v>100017</v>
      </c>
      <c r="B233" t="s">
        <v>1</v>
      </c>
      <c r="D233" s="1"/>
      <c r="E233" s="1"/>
      <c r="F233">
        <v>68</v>
      </c>
      <c r="G233">
        <v>84</v>
      </c>
      <c r="H233" s="1">
        <v>43922</v>
      </c>
      <c r="I233" s="1">
        <v>44378</v>
      </c>
      <c r="J233">
        <v>15</v>
      </c>
      <c r="K233">
        <v>0</v>
      </c>
      <c r="L233" s="1">
        <v>44105</v>
      </c>
      <c r="M233">
        <v>1700</v>
      </c>
      <c r="N233" s="8" cm="1">
        <f t="array" ref="N233">_xlfn.SWITCH(Sales[[#This Row],[Subscription Type]],"Basic",10,"Premium",10,"Business",25,"Enterprise",27)</f>
        <v>25</v>
      </c>
      <c r="O233">
        <f>IF(Sales[[#This Row],[Number of Users]]-Sales[[#This Row],[Licenses Bought]]&lt;0,0,Sales[[#This Row],[Number of Users]]-Sales[[#This Row],[Licenses Bought]])</f>
        <v>16</v>
      </c>
      <c r="P233" s="8">
        <f>IF(Sales[[#This Row],[Sales Month]]=MAX(Sales[Sales Month]),Sales[[#This Row],[Non-Paying Users]]*Sales[[#This Row],[Upsell $ per Non-Paying User]],0)</f>
        <v>0</v>
      </c>
      <c r="Q233" t="str" cm="1">
        <f t="array" ref="Q233">_xlfn.IFS(Sales[[#This Row],[Current Upsell $]]=0,"",Sales[[#This Row],[Current Upsell $]]&gt;=400,"High",Sales[[#This Row],[Current Upsell $]]&gt;=100,"Medium",Sales[[#This Row],[Current Upsell $]]&lt;100,"Low")</f>
        <v/>
      </c>
      <c r="R233" t="str">
        <f>IF(Sales[[#This Row],[Current Upsell $]]&gt;0,_xlfn.CONCAT(Sales[[#This Row],[Subscription Type]]," ",Sales[[#This Row],[Upsell Priority]]," ",TEXT(Sales[[#This Row],[Current Upsell $]],"$#,#")),"")</f>
        <v/>
      </c>
    </row>
    <row r="234" spans="1:18" x14ac:dyDescent="0.25">
      <c r="A234">
        <v>100017</v>
      </c>
      <c r="B234" t="s">
        <v>1</v>
      </c>
      <c r="D234" s="1"/>
      <c r="E234" s="1"/>
      <c r="F234">
        <v>68</v>
      </c>
      <c r="G234">
        <v>91</v>
      </c>
      <c r="H234" s="1">
        <v>43922</v>
      </c>
      <c r="I234" s="1">
        <v>44378</v>
      </c>
      <c r="J234">
        <v>15</v>
      </c>
      <c r="K234">
        <v>0</v>
      </c>
      <c r="L234" s="1">
        <v>44136</v>
      </c>
      <c r="M234">
        <v>1700</v>
      </c>
      <c r="N234" s="8" cm="1">
        <f t="array" ref="N234">_xlfn.SWITCH(Sales[[#This Row],[Subscription Type]],"Basic",10,"Premium",10,"Business",25,"Enterprise",27)</f>
        <v>25</v>
      </c>
      <c r="O234">
        <f>IF(Sales[[#This Row],[Number of Users]]-Sales[[#This Row],[Licenses Bought]]&lt;0,0,Sales[[#This Row],[Number of Users]]-Sales[[#This Row],[Licenses Bought]])</f>
        <v>23</v>
      </c>
      <c r="P234" s="8">
        <f>IF(Sales[[#This Row],[Sales Month]]=MAX(Sales[Sales Month]),Sales[[#This Row],[Non-Paying Users]]*Sales[[#This Row],[Upsell $ per Non-Paying User]],0)</f>
        <v>0</v>
      </c>
      <c r="Q234" t="str" cm="1">
        <f t="array" ref="Q234">_xlfn.IFS(Sales[[#This Row],[Current Upsell $]]=0,"",Sales[[#This Row],[Current Upsell $]]&gt;=400,"High",Sales[[#This Row],[Current Upsell $]]&gt;=100,"Medium",Sales[[#This Row],[Current Upsell $]]&lt;100,"Low")</f>
        <v/>
      </c>
      <c r="R234" t="str">
        <f>IF(Sales[[#This Row],[Current Upsell $]]&gt;0,_xlfn.CONCAT(Sales[[#This Row],[Subscription Type]]," ",Sales[[#This Row],[Upsell Priority]]," ",TEXT(Sales[[#This Row],[Current Upsell $]],"$#,#")),"")</f>
        <v/>
      </c>
    </row>
    <row r="235" spans="1:18" x14ac:dyDescent="0.25">
      <c r="A235">
        <v>100017</v>
      </c>
      <c r="B235" t="s">
        <v>1</v>
      </c>
      <c r="D235" s="1"/>
      <c r="E235" s="1"/>
      <c r="F235">
        <v>68</v>
      </c>
      <c r="G235">
        <v>80</v>
      </c>
      <c r="H235" s="1">
        <v>43922</v>
      </c>
      <c r="I235" s="1">
        <v>44378</v>
      </c>
      <c r="J235">
        <v>15</v>
      </c>
      <c r="K235">
        <v>0</v>
      </c>
      <c r="L235" s="1">
        <v>44166</v>
      </c>
      <c r="M235">
        <v>1700</v>
      </c>
      <c r="N235" s="8" cm="1">
        <f t="array" ref="N235">_xlfn.SWITCH(Sales[[#This Row],[Subscription Type]],"Basic",10,"Premium",10,"Business",25,"Enterprise",27)</f>
        <v>25</v>
      </c>
      <c r="O235">
        <f>IF(Sales[[#This Row],[Number of Users]]-Sales[[#This Row],[Licenses Bought]]&lt;0,0,Sales[[#This Row],[Number of Users]]-Sales[[#This Row],[Licenses Bought]])</f>
        <v>12</v>
      </c>
      <c r="P235" s="8">
        <f>IF(Sales[[#This Row],[Sales Month]]=MAX(Sales[Sales Month]),Sales[[#This Row],[Non-Paying Users]]*Sales[[#This Row],[Upsell $ per Non-Paying User]],0)</f>
        <v>0</v>
      </c>
      <c r="Q235" t="str" cm="1">
        <f t="array" ref="Q235">_xlfn.IFS(Sales[[#This Row],[Current Upsell $]]=0,"",Sales[[#This Row],[Current Upsell $]]&gt;=400,"High",Sales[[#This Row],[Current Upsell $]]&gt;=100,"Medium",Sales[[#This Row],[Current Upsell $]]&lt;100,"Low")</f>
        <v/>
      </c>
      <c r="R235" t="str">
        <f>IF(Sales[[#This Row],[Current Upsell $]]&gt;0,_xlfn.CONCAT(Sales[[#This Row],[Subscription Type]]," ",Sales[[#This Row],[Upsell Priority]]," ",TEXT(Sales[[#This Row],[Current Upsell $]],"$#,#")),"")</f>
        <v/>
      </c>
    </row>
    <row r="236" spans="1:18" x14ac:dyDescent="0.25">
      <c r="A236">
        <v>100017</v>
      </c>
      <c r="B236" t="s">
        <v>1</v>
      </c>
      <c r="D236" s="1"/>
      <c r="E236" s="1"/>
      <c r="F236">
        <v>68</v>
      </c>
      <c r="G236">
        <v>72</v>
      </c>
      <c r="H236" s="1">
        <v>43922</v>
      </c>
      <c r="I236" s="1">
        <v>44378</v>
      </c>
      <c r="J236">
        <v>15</v>
      </c>
      <c r="K236">
        <v>0</v>
      </c>
      <c r="L236" s="1">
        <v>44197</v>
      </c>
      <c r="M236">
        <v>1700</v>
      </c>
      <c r="N236" s="8" cm="1">
        <f t="array" ref="N236">_xlfn.SWITCH(Sales[[#This Row],[Subscription Type]],"Basic",10,"Premium",10,"Business",25,"Enterprise",27)</f>
        <v>25</v>
      </c>
      <c r="O236">
        <f>IF(Sales[[#This Row],[Number of Users]]-Sales[[#This Row],[Licenses Bought]]&lt;0,0,Sales[[#This Row],[Number of Users]]-Sales[[#This Row],[Licenses Bought]])</f>
        <v>4</v>
      </c>
      <c r="P236" s="8">
        <f>IF(Sales[[#This Row],[Sales Month]]=MAX(Sales[Sales Month]),Sales[[#This Row],[Non-Paying Users]]*Sales[[#This Row],[Upsell $ per Non-Paying User]],0)</f>
        <v>0</v>
      </c>
      <c r="Q236" t="str" cm="1">
        <f t="array" ref="Q236">_xlfn.IFS(Sales[[#This Row],[Current Upsell $]]=0,"",Sales[[#This Row],[Current Upsell $]]&gt;=400,"High",Sales[[#This Row],[Current Upsell $]]&gt;=100,"Medium",Sales[[#This Row],[Current Upsell $]]&lt;100,"Low")</f>
        <v/>
      </c>
      <c r="R236" t="str">
        <f>IF(Sales[[#This Row],[Current Upsell $]]&gt;0,_xlfn.CONCAT(Sales[[#This Row],[Subscription Type]]," ",Sales[[#This Row],[Upsell Priority]]," ",TEXT(Sales[[#This Row],[Current Upsell $]],"$#,#")),"")</f>
        <v/>
      </c>
    </row>
    <row r="237" spans="1:18" x14ac:dyDescent="0.25">
      <c r="A237">
        <v>100017</v>
      </c>
      <c r="B237" t="s">
        <v>1</v>
      </c>
      <c r="D237" s="1"/>
      <c r="E237" s="1"/>
      <c r="F237">
        <v>68</v>
      </c>
      <c r="G237">
        <v>71</v>
      </c>
      <c r="H237" s="1">
        <v>43922</v>
      </c>
      <c r="I237" s="1">
        <v>44378</v>
      </c>
      <c r="J237">
        <v>15</v>
      </c>
      <c r="K237">
        <v>0</v>
      </c>
      <c r="L237" s="1">
        <v>44228</v>
      </c>
      <c r="M237">
        <v>1700</v>
      </c>
      <c r="N237" s="8" cm="1">
        <f t="array" ref="N237">_xlfn.SWITCH(Sales[[#This Row],[Subscription Type]],"Basic",10,"Premium",10,"Business",25,"Enterprise",27)</f>
        <v>25</v>
      </c>
      <c r="O237">
        <f>IF(Sales[[#This Row],[Number of Users]]-Sales[[#This Row],[Licenses Bought]]&lt;0,0,Sales[[#This Row],[Number of Users]]-Sales[[#This Row],[Licenses Bought]])</f>
        <v>3</v>
      </c>
      <c r="P237" s="8">
        <f>IF(Sales[[#This Row],[Sales Month]]=MAX(Sales[Sales Month]),Sales[[#This Row],[Non-Paying Users]]*Sales[[#This Row],[Upsell $ per Non-Paying User]],0)</f>
        <v>0</v>
      </c>
      <c r="Q237" t="str" cm="1">
        <f t="array" ref="Q237">_xlfn.IFS(Sales[[#This Row],[Current Upsell $]]=0,"",Sales[[#This Row],[Current Upsell $]]&gt;=400,"High",Sales[[#This Row],[Current Upsell $]]&gt;=100,"Medium",Sales[[#This Row],[Current Upsell $]]&lt;100,"Low")</f>
        <v/>
      </c>
      <c r="R237" t="str">
        <f>IF(Sales[[#This Row],[Current Upsell $]]&gt;0,_xlfn.CONCAT(Sales[[#This Row],[Subscription Type]]," ",Sales[[#This Row],[Upsell Priority]]," ",TEXT(Sales[[#This Row],[Current Upsell $]],"$#,#")),"")</f>
        <v/>
      </c>
    </row>
    <row r="238" spans="1:18" x14ac:dyDescent="0.25">
      <c r="A238">
        <v>100017</v>
      </c>
      <c r="B238" t="s">
        <v>1</v>
      </c>
      <c r="D238" s="1"/>
      <c r="E238" s="1"/>
      <c r="F238">
        <v>68</v>
      </c>
      <c r="G238">
        <v>88</v>
      </c>
      <c r="H238" s="1">
        <v>43922</v>
      </c>
      <c r="I238" s="1">
        <v>44378</v>
      </c>
      <c r="J238">
        <v>15</v>
      </c>
      <c r="K238">
        <v>0</v>
      </c>
      <c r="L238" s="1">
        <v>44256</v>
      </c>
      <c r="M238">
        <v>1700</v>
      </c>
      <c r="N238" s="8" cm="1">
        <f t="array" ref="N238">_xlfn.SWITCH(Sales[[#This Row],[Subscription Type]],"Basic",10,"Premium",10,"Business",25,"Enterprise",27)</f>
        <v>25</v>
      </c>
      <c r="O238">
        <f>IF(Sales[[#This Row],[Number of Users]]-Sales[[#This Row],[Licenses Bought]]&lt;0,0,Sales[[#This Row],[Number of Users]]-Sales[[#This Row],[Licenses Bought]])</f>
        <v>20</v>
      </c>
      <c r="P238" s="8">
        <f>IF(Sales[[#This Row],[Sales Month]]=MAX(Sales[Sales Month]),Sales[[#This Row],[Non-Paying Users]]*Sales[[#This Row],[Upsell $ per Non-Paying User]],0)</f>
        <v>0</v>
      </c>
      <c r="Q238" t="str" cm="1">
        <f t="array" ref="Q238">_xlfn.IFS(Sales[[#This Row],[Current Upsell $]]=0,"",Sales[[#This Row],[Current Upsell $]]&gt;=400,"High",Sales[[#This Row],[Current Upsell $]]&gt;=100,"Medium",Sales[[#This Row],[Current Upsell $]]&lt;100,"Low")</f>
        <v/>
      </c>
      <c r="R238" t="str">
        <f>IF(Sales[[#This Row],[Current Upsell $]]&gt;0,_xlfn.CONCAT(Sales[[#This Row],[Subscription Type]]," ",Sales[[#This Row],[Upsell Priority]]," ",TEXT(Sales[[#This Row],[Current Upsell $]],"$#,#")),"")</f>
        <v/>
      </c>
    </row>
    <row r="239" spans="1:18" x14ac:dyDescent="0.25">
      <c r="A239">
        <v>100017</v>
      </c>
      <c r="B239" t="s">
        <v>1</v>
      </c>
      <c r="D239" s="1"/>
      <c r="E239" s="1"/>
      <c r="F239">
        <v>68</v>
      </c>
      <c r="G239">
        <v>76</v>
      </c>
      <c r="H239" s="1">
        <v>43922</v>
      </c>
      <c r="I239" s="1">
        <v>44378</v>
      </c>
      <c r="J239">
        <v>15</v>
      </c>
      <c r="K239">
        <v>0</v>
      </c>
      <c r="L239" s="1">
        <v>44287</v>
      </c>
      <c r="M239">
        <v>1700</v>
      </c>
      <c r="N239" s="8" cm="1">
        <f t="array" ref="N239">_xlfn.SWITCH(Sales[[#This Row],[Subscription Type]],"Basic",10,"Premium",10,"Business",25,"Enterprise",27)</f>
        <v>25</v>
      </c>
      <c r="O239">
        <f>IF(Sales[[#This Row],[Number of Users]]-Sales[[#This Row],[Licenses Bought]]&lt;0,0,Sales[[#This Row],[Number of Users]]-Sales[[#This Row],[Licenses Bought]])</f>
        <v>8</v>
      </c>
      <c r="P239" s="8">
        <f>IF(Sales[[#This Row],[Sales Month]]=MAX(Sales[Sales Month]),Sales[[#This Row],[Non-Paying Users]]*Sales[[#This Row],[Upsell $ per Non-Paying User]],0)</f>
        <v>0</v>
      </c>
      <c r="Q239" t="str" cm="1">
        <f t="array" ref="Q239">_xlfn.IFS(Sales[[#This Row],[Current Upsell $]]=0,"",Sales[[#This Row],[Current Upsell $]]&gt;=400,"High",Sales[[#This Row],[Current Upsell $]]&gt;=100,"Medium",Sales[[#This Row],[Current Upsell $]]&lt;100,"Low")</f>
        <v/>
      </c>
      <c r="R239" t="str">
        <f>IF(Sales[[#This Row],[Current Upsell $]]&gt;0,_xlfn.CONCAT(Sales[[#This Row],[Subscription Type]]," ",Sales[[#This Row],[Upsell Priority]]," ",TEXT(Sales[[#This Row],[Current Upsell $]],"$#,#")),"")</f>
        <v/>
      </c>
    </row>
    <row r="240" spans="1:18" x14ac:dyDescent="0.25">
      <c r="A240">
        <v>100017</v>
      </c>
      <c r="B240" t="s">
        <v>1</v>
      </c>
      <c r="D240" s="1"/>
      <c r="E240" s="1"/>
      <c r="F240">
        <v>68</v>
      </c>
      <c r="G240">
        <v>60</v>
      </c>
      <c r="H240" s="1">
        <v>43922</v>
      </c>
      <c r="I240" s="1">
        <v>44378</v>
      </c>
      <c r="J240">
        <v>15</v>
      </c>
      <c r="K240">
        <v>0</v>
      </c>
      <c r="L240" s="1">
        <v>44317</v>
      </c>
      <c r="M240">
        <v>1700</v>
      </c>
      <c r="N240" s="8" cm="1">
        <f t="array" ref="N240">_xlfn.SWITCH(Sales[[#This Row],[Subscription Type]],"Basic",10,"Premium",10,"Business",25,"Enterprise",27)</f>
        <v>25</v>
      </c>
      <c r="O240">
        <f>IF(Sales[[#This Row],[Number of Users]]-Sales[[#This Row],[Licenses Bought]]&lt;0,0,Sales[[#This Row],[Number of Users]]-Sales[[#This Row],[Licenses Bought]])</f>
        <v>0</v>
      </c>
      <c r="P240" s="8">
        <f>IF(Sales[[#This Row],[Sales Month]]=MAX(Sales[Sales Month]),Sales[[#This Row],[Non-Paying Users]]*Sales[[#This Row],[Upsell $ per Non-Paying User]],0)</f>
        <v>0</v>
      </c>
      <c r="Q240" t="str" cm="1">
        <f t="array" ref="Q240">_xlfn.IFS(Sales[[#This Row],[Current Upsell $]]=0,"",Sales[[#This Row],[Current Upsell $]]&gt;=400,"High",Sales[[#This Row],[Current Upsell $]]&gt;=100,"Medium",Sales[[#This Row],[Current Upsell $]]&lt;100,"Low")</f>
        <v/>
      </c>
      <c r="R240" t="str">
        <f>IF(Sales[[#This Row],[Current Upsell $]]&gt;0,_xlfn.CONCAT(Sales[[#This Row],[Subscription Type]]," ",Sales[[#This Row],[Upsell Priority]]," ",TEXT(Sales[[#This Row],[Current Upsell $]],"$#,#")),"")</f>
        <v/>
      </c>
    </row>
    <row r="241" spans="1:18" x14ac:dyDescent="0.25">
      <c r="A241">
        <v>100017</v>
      </c>
      <c r="B241" t="s">
        <v>1</v>
      </c>
      <c r="D241" s="1"/>
      <c r="E241" s="1"/>
      <c r="F241">
        <v>68</v>
      </c>
      <c r="G241">
        <v>92</v>
      </c>
      <c r="H241" s="1">
        <v>43922</v>
      </c>
      <c r="I241" s="1">
        <v>44378</v>
      </c>
      <c r="J241">
        <v>15</v>
      </c>
      <c r="K241">
        <v>0</v>
      </c>
      <c r="L241" s="1">
        <v>44348</v>
      </c>
      <c r="M241">
        <v>1700</v>
      </c>
      <c r="N241" s="8" cm="1">
        <f t="array" ref="N241">_xlfn.SWITCH(Sales[[#This Row],[Subscription Type]],"Basic",10,"Premium",10,"Business",25,"Enterprise",27)</f>
        <v>25</v>
      </c>
      <c r="O241">
        <f>IF(Sales[[#This Row],[Number of Users]]-Sales[[#This Row],[Licenses Bought]]&lt;0,0,Sales[[#This Row],[Number of Users]]-Sales[[#This Row],[Licenses Bought]])</f>
        <v>24</v>
      </c>
      <c r="P241" s="8">
        <f>IF(Sales[[#This Row],[Sales Month]]=MAX(Sales[Sales Month]),Sales[[#This Row],[Non-Paying Users]]*Sales[[#This Row],[Upsell $ per Non-Paying User]],0)</f>
        <v>600</v>
      </c>
      <c r="Q241" t="str" cm="1">
        <f t="array" ref="Q241">_xlfn.IFS(Sales[[#This Row],[Current Upsell $]]=0,"",Sales[[#This Row],[Current Upsell $]]&gt;=400,"High",Sales[[#This Row],[Current Upsell $]]&gt;=100,"Medium",Sales[[#This Row],[Current Upsell $]]&lt;100,"Low")</f>
        <v>High</v>
      </c>
      <c r="R241" t="str">
        <f>IF(Sales[[#This Row],[Current Upsell $]]&gt;0,_xlfn.CONCAT(Sales[[#This Row],[Subscription Type]]," ",Sales[[#This Row],[Upsell Priority]]," ",TEXT(Sales[[#This Row],[Current Upsell $]],"$#,#")),"")</f>
        <v>Business High $600</v>
      </c>
    </row>
    <row r="242" spans="1:18" x14ac:dyDescent="0.25">
      <c r="A242">
        <v>100018</v>
      </c>
      <c r="B242" t="s">
        <v>3</v>
      </c>
      <c r="D242" s="1"/>
      <c r="E242" s="1"/>
      <c r="F242">
        <v>0</v>
      </c>
      <c r="G242">
        <v>62</v>
      </c>
      <c r="H242" s="1">
        <v>43922</v>
      </c>
      <c r="I242" s="1">
        <v>44378</v>
      </c>
      <c r="J242">
        <v>15</v>
      </c>
      <c r="K242">
        <v>0</v>
      </c>
      <c r="L242" s="1">
        <v>43922</v>
      </c>
      <c r="M242">
        <v>0</v>
      </c>
      <c r="N242" s="8" cm="1">
        <f t="array" ref="N242">_xlfn.SWITCH(Sales[[#This Row],[Subscription Type]],"Basic",10,"Premium",10,"Business",25,"Enterprise",27)</f>
        <v>10</v>
      </c>
      <c r="O242">
        <f>IF(Sales[[#This Row],[Number of Users]]-Sales[[#This Row],[Licenses Bought]]&lt;0,0,Sales[[#This Row],[Number of Users]]-Sales[[#This Row],[Licenses Bought]])</f>
        <v>62</v>
      </c>
      <c r="P242" s="8">
        <f>IF(Sales[[#This Row],[Sales Month]]=MAX(Sales[Sales Month]),Sales[[#This Row],[Non-Paying Users]]*Sales[[#This Row],[Upsell $ per Non-Paying User]],0)</f>
        <v>0</v>
      </c>
      <c r="Q242" t="str" cm="1">
        <f t="array" ref="Q242">_xlfn.IFS(Sales[[#This Row],[Current Upsell $]]=0,"",Sales[[#This Row],[Current Upsell $]]&gt;=400,"High",Sales[[#This Row],[Current Upsell $]]&gt;=100,"Medium",Sales[[#This Row],[Current Upsell $]]&lt;100,"Low")</f>
        <v/>
      </c>
      <c r="R242" t="str">
        <f>IF(Sales[[#This Row],[Current Upsell $]]&gt;0,_xlfn.CONCAT(Sales[[#This Row],[Subscription Type]]," ",Sales[[#This Row],[Upsell Priority]]," ",TEXT(Sales[[#This Row],[Current Upsell $]],"$#,#")),"")</f>
        <v/>
      </c>
    </row>
    <row r="243" spans="1:18" x14ac:dyDescent="0.25">
      <c r="A243">
        <v>100018</v>
      </c>
      <c r="B243" t="s">
        <v>1</v>
      </c>
      <c r="D243" s="1"/>
      <c r="E243" s="1"/>
      <c r="F243">
        <v>35</v>
      </c>
      <c r="G243">
        <v>73</v>
      </c>
      <c r="H243" s="1">
        <v>43922</v>
      </c>
      <c r="I243" s="1">
        <v>44378</v>
      </c>
      <c r="J243">
        <v>15</v>
      </c>
      <c r="K243">
        <v>0</v>
      </c>
      <c r="L243" s="1">
        <v>43952</v>
      </c>
      <c r="M243">
        <v>875</v>
      </c>
      <c r="N243" s="8" cm="1">
        <f t="array" ref="N243">_xlfn.SWITCH(Sales[[#This Row],[Subscription Type]],"Basic",10,"Premium",10,"Business",25,"Enterprise",27)</f>
        <v>25</v>
      </c>
      <c r="O243">
        <f>IF(Sales[[#This Row],[Number of Users]]-Sales[[#This Row],[Licenses Bought]]&lt;0,0,Sales[[#This Row],[Number of Users]]-Sales[[#This Row],[Licenses Bought]])</f>
        <v>38</v>
      </c>
      <c r="P243" s="8">
        <f>IF(Sales[[#This Row],[Sales Month]]=MAX(Sales[Sales Month]),Sales[[#This Row],[Non-Paying Users]]*Sales[[#This Row],[Upsell $ per Non-Paying User]],0)</f>
        <v>0</v>
      </c>
      <c r="Q243" t="str" cm="1">
        <f t="array" ref="Q243">_xlfn.IFS(Sales[[#This Row],[Current Upsell $]]=0,"",Sales[[#This Row],[Current Upsell $]]&gt;=400,"High",Sales[[#This Row],[Current Upsell $]]&gt;=100,"Medium",Sales[[#This Row],[Current Upsell $]]&lt;100,"Low")</f>
        <v/>
      </c>
      <c r="R243" t="str">
        <f>IF(Sales[[#This Row],[Current Upsell $]]&gt;0,_xlfn.CONCAT(Sales[[#This Row],[Subscription Type]]," ",Sales[[#This Row],[Upsell Priority]]," ",TEXT(Sales[[#This Row],[Current Upsell $]],"$#,#")),"")</f>
        <v/>
      </c>
    </row>
    <row r="244" spans="1:18" x14ac:dyDescent="0.25">
      <c r="A244">
        <v>100018</v>
      </c>
      <c r="B244" t="s">
        <v>1</v>
      </c>
      <c r="D244" s="1"/>
      <c r="E244" s="1"/>
      <c r="F244">
        <v>32</v>
      </c>
      <c r="G244">
        <v>69</v>
      </c>
      <c r="H244" s="1">
        <v>43922</v>
      </c>
      <c r="I244" s="1">
        <v>44378</v>
      </c>
      <c r="J244">
        <v>15</v>
      </c>
      <c r="K244">
        <v>0</v>
      </c>
      <c r="L244" s="1">
        <v>43983</v>
      </c>
      <c r="M244">
        <v>800</v>
      </c>
      <c r="N244" s="8" cm="1">
        <f t="array" ref="N244">_xlfn.SWITCH(Sales[[#This Row],[Subscription Type]],"Basic",10,"Premium",10,"Business",25,"Enterprise",27)</f>
        <v>25</v>
      </c>
      <c r="O244">
        <f>IF(Sales[[#This Row],[Number of Users]]-Sales[[#This Row],[Licenses Bought]]&lt;0,0,Sales[[#This Row],[Number of Users]]-Sales[[#This Row],[Licenses Bought]])</f>
        <v>37</v>
      </c>
      <c r="P244" s="8">
        <f>IF(Sales[[#This Row],[Sales Month]]=MAX(Sales[Sales Month]),Sales[[#This Row],[Non-Paying Users]]*Sales[[#This Row],[Upsell $ per Non-Paying User]],0)</f>
        <v>0</v>
      </c>
      <c r="Q244" t="str" cm="1">
        <f t="array" ref="Q244">_xlfn.IFS(Sales[[#This Row],[Current Upsell $]]=0,"",Sales[[#This Row],[Current Upsell $]]&gt;=400,"High",Sales[[#This Row],[Current Upsell $]]&gt;=100,"Medium",Sales[[#This Row],[Current Upsell $]]&lt;100,"Low")</f>
        <v/>
      </c>
      <c r="R244" t="str">
        <f>IF(Sales[[#This Row],[Current Upsell $]]&gt;0,_xlfn.CONCAT(Sales[[#This Row],[Subscription Type]]," ",Sales[[#This Row],[Upsell Priority]]," ",TEXT(Sales[[#This Row],[Current Upsell $]],"$#,#")),"")</f>
        <v/>
      </c>
    </row>
    <row r="245" spans="1:18" x14ac:dyDescent="0.25">
      <c r="A245">
        <v>100018</v>
      </c>
      <c r="B245" t="s">
        <v>1</v>
      </c>
      <c r="D245" s="1"/>
      <c r="E245" s="1"/>
      <c r="F245">
        <v>58</v>
      </c>
      <c r="G245">
        <v>70</v>
      </c>
      <c r="H245" s="1">
        <v>43922</v>
      </c>
      <c r="I245" s="1">
        <v>44378</v>
      </c>
      <c r="J245">
        <v>15</v>
      </c>
      <c r="K245">
        <v>0</v>
      </c>
      <c r="L245" s="1">
        <v>44013</v>
      </c>
      <c r="M245">
        <v>1450</v>
      </c>
      <c r="N245" s="8" cm="1">
        <f t="array" ref="N245">_xlfn.SWITCH(Sales[[#This Row],[Subscription Type]],"Basic",10,"Premium",10,"Business",25,"Enterprise",27)</f>
        <v>25</v>
      </c>
      <c r="O245">
        <f>IF(Sales[[#This Row],[Number of Users]]-Sales[[#This Row],[Licenses Bought]]&lt;0,0,Sales[[#This Row],[Number of Users]]-Sales[[#This Row],[Licenses Bought]])</f>
        <v>12</v>
      </c>
      <c r="P245" s="8">
        <f>IF(Sales[[#This Row],[Sales Month]]=MAX(Sales[Sales Month]),Sales[[#This Row],[Non-Paying Users]]*Sales[[#This Row],[Upsell $ per Non-Paying User]],0)</f>
        <v>0</v>
      </c>
      <c r="Q245" t="str" cm="1">
        <f t="array" ref="Q245">_xlfn.IFS(Sales[[#This Row],[Current Upsell $]]=0,"",Sales[[#This Row],[Current Upsell $]]&gt;=400,"High",Sales[[#This Row],[Current Upsell $]]&gt;=100,"Medium",Sales[[#This Row],[Current Upsell $]]&lt;100,"Low")</f>
        <v/>
      </c>
      <c r="R245" t="str">
        <f>IF(Sales[[#This Row],[Current Upsell $]]&gt;0,_xlfn.CONCAT(Sales[[#This Row],[Subscription Type]]," ",Sales[[#This Row],[Upsell Priority]]," ",TEXT(Sales[[#This Row],[Current Upsell $]],"$#,#")),"")</f>
        <v/>
      </c>
    </row>
    <row r="246" spans="1:18" x14ac:dyDescent="0.25">
      <c r="A246">
        <v>100018</v>
      </c>
      <c r="B246" t="s">
        <v>1</v>
      </c>
      <c r="D246" s="1"/>
      <c r="E246" s="1"/>
      <c r="F246">
        <v>58</v>
      </c>
      <c r="G246">
        <v>67</v>
      </c>
      <c r="H246" s="1">
        <v>43922</v>
      </c>
      <c r="I246" s="1">
        <v>44378</v>
      </c>
      <c r="J246">
        <v>15</v>
      </c>
      <c r="K246">
        <v>0</v>
      </c>
      <c r="L246" s="1">
        <v>44044</v>
      </c>
      <c r="M246">
        <v>1450</v>
      </c>
      <c r="N246" s="8" cm="1">
        <f t="array" ref="N246">_xlfn.SWITCH(Sales[[#This Row],[Subscription Type]],"Basic",10,"Premium",10,"Business",25,"Enterprise",27)</f>
        <v>25</v>
      </c>
      <c r="O246">
        <f>IF(Sales[[#This Row],[Number of Users]]-Sales[[#This Row],[Licenses Bought]]&lt;0,0,Sales[[#This Row],[Number of Users]]-Sales[[#This Row],[Licenses Bought]])</f>
        <v>9</v>
      </c>
      <c r="P246" s="8">
        <f>IF(Sales[[#This Row],[Sales Month]]=MAX(Sales[Sales Month]),Sales[[#This Row],[Non-Paying Users]]*Sales[[#This Row],[Upsell $ per Non-Paying User]],0)</f>
        <v>0</v>
      </c>
      <c r="Q246" t="str" cm="1">
        <f t="array" ref="Q246">_xlfn.IFS(Sales[[#This Row],[Current Upsell $]]=0,"",Sales[[#This Row],[Current Upsell $]]&gt;=400,"High",Sales[[#This Row],[Current Upsell $]]&gt;=100,"Medium",Sales[[#This Row],[Current Upsell $]]&lt;100,"Low")</f>
        <v/>
      </c>
      <c r="R246" t="str">
        <f>IF(Sales[[#This Row],[Current Upsell $]]&gt;0,_xlfn.CONCAT(Sales[[#This Row],[Subscription Type]]," ",Sales[[#This Row],[Upsell Priority]]," ",TEXT(Sales[[#This Row],[Current Upsell $]],"$#,#")),"")</f>
        <v/>
      </c>
    </row>
    <row r="247" spans="1:18" x14ac:dyDescent="0.25">
      <c r="A247">
        <v>100018</v>
      </c>
      <c r="B247" t="s">
        <v>1</v>
      </c>
      <c r="D247" s="1"/>
      <c r="E247" s="1"/>
      <c r="F247">
        <v>58</v>
      </c>
      <c r="G247">
        <v>63</v>
      </c>
      <c r="H247" s="1">
        <v>43922</v>
      </c>
      <c r="I247" s="1">
        <v>44378</v>
      </c>
      <c r="J247">
        <v>15</v>
      </c>
      <c r="K247">
        <v>0</v>
      </c>
      <c r="L247" s="1">
        <v>44075</v>
      </c>
      <c r="M247">
        <v>1450</v>
      </c>
      <c r="N247" s="8" cm="1">
        <f t="array" ref="N247">_xlfn.SWITCH(Sales[[#This Row],[Subscription Type]],"Basic",10,"Premium",10,"Business",25,"Enterprise",27)</f>
        <v>25</v>
      </c>
      <c r="O247">
        <f>IF(Sales[[#This Row],[Number of Users]]-Sales[[#This Row],[Licenses Bought]]&lt;0,0,Sales[[#This Row],[Number of Users]]-Sales[[#This Row],[Licenses Bought]])</f>
        <v>5</v>
      </c>
      <c r="P247" s="8">
        <f>IF(Sales[[#This Row],[Sales Month]]=MAX(Sales[Sales Month]),Sales[[#This Row],[Non-Paying Users]]*Sales[[#This Row],[Upsell $ per Non-Paying User]],0)</f>
        <v>0</v>
      </c>
      <c r="Q247" t="str" cm="1">
        <f t="array" ref="Q247">_xlfn.IFS(Sales[[#This Row],[Current Upsell $]]=0,"",Sales[[#This Row],[Current Upsell $]]&gt;=400,"High",Sales[[#This Row],[Current Upsell $]]&gt;=100,"Medium",Sales[[#This Row],[Current Upsell $]]&lt;100,"Low")</f>
        <v/>
      </c>
      <c r="R247" t="str">
        <f>IF(Sales[[#This Row],[Current Upsell $]]&gt;0,_xlfn.CONCAT(Sales[[#This Row],[Subscription Type]]," ",Sales[[#This Row],[Upsell Priority]]," ",TEXT(Sales[[#This Row],[Current Upsell $]],"$#,#")),"")</f>
        <v/>
      </c>
    </row>
    <row r="248" spans="1:18" x14ac:dyDescent="0.25">
      <c r="A248">
        <v>100018</v>
      </c>
      <c r="B248" t="s">
        <v>1</v>
      </c>
      <c r="D248" s="1"/>
      <c r="E248" s="1"/>
      <c r="F248">
        <v>58</v>
      </c>
      <c r="G248">
        <v>64</v>
      </c>
      <c r="H248" s="1">
        <v>43922</v>
      </c>
      <c r="I248" s="1">
        <v>44378</v>
      </c>
      <c r="J248">
        <v>15</v>
      </c>
      <c r="K248">
        <v>0</v>
      </c>
      <c r="L248" s="1">
        <v>44105</v>
      </c>
      <c r="M248">
        <v>1450</v>
      </c>
      <c r="N248" s="8" cm="1">
        <f t="array" ref="N248">_xlfn.SWITCH(Sales[[#This Row],[Subscription Type]],"Basic",10,"Premium",10,"Business",25,"Enterprise",27)</f>
        <v>25</v>
      </c>
      <c r="O248">
        <f>IF(Sales[[#This Row],[Number of Users]]-Sales[[#This Row],[Licenses Bought]]&lt;0,0,Sales[[#This Row],[Number of Users]]-Sales[[#This Row],[Licenses Bought]])</f>
        <v>6</v>
      </c>
      <c r="P248" s="8">
        <f>IF(Sales[[#This Row],[Sales Month]]=MAX(Sales[Sales Month]),Sales[[#This Row],[Non-Paying Users]]*Sales[[#This Row],[Upsell $ per Non-Paying User]],0)</f>
        <v>0</v>
      </c>
      <c r="Q248" t="str" cm="1">
        <f t="array" ref="Q248">_xlfn.IFS(Sales[[#This Row],[Current Upsell $]]=0,"",Sales[[#This Row],[Current Upsell $]]&gt;=400,"High",Sales[[#This Row],[Current Upsell $]]&gt;=100,"Medium",Sales[[#This Row],[Current Upsell $]]&lt;100,"Low")</f>
        <v/>
      </c>
      <c r="R248" t="str">
        <f>IF(Sales[[#This Row],[Current Upsell $]]&gt;0,_xlfn.CONCAT(Sales[[#This Row],[Subscription Type]]," ",Sales[[#This Row],[Upsell Priority]]," ",TEXT(Sales[[#This Row],[Current Upsell $]],"$#,#")),"")</f>
        <v/>
      </c>
    </row>
    <row r="249" spans="1:18" x14ac:dyDescent="0.25">
      <c r="A249">
        <v>100018</v>
      </c>
      <c r="B249" t="s">
        <v>1</v>
      </c>
      <c r="D249" s="1"/>
      <c r="E249" s="1"/>
      <c r="F249">
        <v>58</v>
      </c>
      <c r="G249">
        <v>86</v>
      </c>
      <c r="H249" s="1">
        <v>43922</v>
      </c>
      <c r="I249" s="1">
        <v>44378</v>
      </c>
      <c r="J249">
        <v>15</v>
      </c>
      <c r="K249">
        <v>0</v>
      </c>
      <c r="L249" s="1">
        <v>44136</v>
      </c>
      <c r="M249">
        <v>1450</v>
      </c>
      <c r="N249" s="8" cm="1">
        <f t="array" ref="N249">_xlfn.SWITCH(Sales[[#This Row],[Subscription Type]],"Basic",10,"Premium",10,"Business",25,"Enterprise",27)</f>
        <v>25</v>
      </c>
      <c r="O249">
        <f>IF(Sales[[#This Row],[Number of Users]]-Sales[[#This Row],[Licenses Bought]]&lt;0,0,Sales[[#This Row],[Number of Users]]-Sales[[#This Row],[Licenses Bought]])</f>
        <v>28</v>
      </c>
      <c r="P249" s="8">
        <f>IF(Sales[[#This Row],[Sales Month]]=MAX(Sales[Sales Month]),Sales[[#This Row],[Non-Paying Users]]*Sales[[#This Row],[Upsell $ per Non-Paying User]],0)</f>
        <v>0</v>
      </c>
      <c r="Q249" t="str" cm="1">
        <f t="array" ref="Q249">_xlfn.IFS(Sales[[#This Row],[Current Upsell $]]=0,"",Sales[[#This Row],[Current Upsell $]]&gt;=400,"High",Sales[[#This Row],[Current Upsell $]]&gt;=100,"Medium",Sales[[#This Row],[Current Upsell $]]&lt;100,"Low")</f>
        <v/>
      </c>
      <c r="R249" t="str">
        <f>IF(Sales[[#This Row],[Current Upsell $]]&gt;0,_xlfn.CONCAT(Sales[[#This Row],[Subscription Type]]," ",Sales[[#This Row],[Upsell Priority]]," ",TEXT(Sales[[#This Row],[Current Upsell $]],"$#,#")),"")</f>
        <v/>
      </c>
    </row>
    <row r="250" spans="1:18" x14ac:dyDescent="0.25">
      <c r="A250">
        <v>100018</v>
      </c>
      <c r="B250" t="s">
        <v>1</v>
      </c>
      <c r="D250" s="1"/>
      <c r="E250" s="1"/>
      <c r="F250">
        <v>58</v>
      </c>
      <c r="G250">
        <v>79</v>
      </c>
      <c r="H250" s="1">
        <v>43922</v>
      </c>
      <c r="I250" s="1">
        <v>44378</v>
      </c>
      <c r="J250">
        <v>15</v>
      </c>
      <c r="K250">
        <v>0</v>
      </c>
      <c r="L250" s="1">
        <v>44166</v>
      </c>
      <c r="M250">
        <v>1450</v>
      </c>
      <c r="N250" s="8" cm="1">
        <f t="array" ref="N250">_xlfn.SWITCH(Sales[[#This Row],[Subscription Type]],"Basic",10,"Premium",10,"Business",25,"Enterprise",27)</f>
        <v>25</v>
      </c>
      <c r="O250">
        <f>IF(Sales[[#This Row],[Number of Users]]-Sales[[#This Row],[Licenses Bought]]&lt;0,0,Sales[[#This Row],[Number of Users]]-Sales[[#This Row],[Licenses Bought]])</f>
        <v>21</v>
      </c>
      <c r="P250" s="8">
        <f>IF(Sales[[#This Row],[Sales Month]]=MAX(Sales[Sales Month]),Sales[[#This Row],[Non-Paying Users]]*Sales[[#This Row],[Upsell $ per Non-Paying User]],0)</f>
        <v>0</v>
      </c>
      <c r="Q250" t="str" cm="1">
        <f t="array" ref="Q250">_xlfn.IFS(Sales[[#This Row],[Current Upsell $]]=0,"",Sales[[#This Row],[Current Upsell $]]&gt;=400,"High",Sales[[#This Row],[Current Upsell $]]&gt;=100,"Medium",Sales[[#This Row],[Current Upsell $]]&lt;100,"Low")</f>
        <v/>
      </c>
      <c r="R250" t="str">
        <f>IF(Sales[[#This Row],[Current Upsell $]]&gt;0,_xlfn.CONCAT(Sales[[#This Row],[Subscription Type]]," ",Sales[[#This Row],[Upsell Priority]]," ",TEXT(Sales[[#This Row],[Current Upsell $]],"$#,#")),"")</f>
        <v/>
      </c>
    </row>
    <row r="251" spans="1:18" x14ac:dyDescent="0.25">
      <c r="A251">
        <v>100018</v>
      </c>
      <c r="B251" t="s">
        <v>1</v>
      </c>
      <c r="D251" s="1"/>
      <c r="E251" s="1"/>
      <c r="F251">
        <v>58</v>
      </c>
      <c r="G251">
        <v>84</v>
      </c>
      <c r="H251" s="1">
        <v>43922</v>
      </c>
      <c r="I251" s="1">
        <v>44378</v>
      </c>
      <c r="J251">
        <v>15</v>
      </c>
      <c r="K251">
        <v>0</v>
      </c>
      <c r="L251" s="1">
        <v>44197</v>
      </c>
      <c r="M251">
        <v>1450</v>
      </c>
      <c r="N251" s="8" cm="1">
        <f t="array" ref="N251">_xlfn.SWITCH(Sales[[#This Row],[Subscription Type]],"Basic",10,"Premium",10,"Business",25,"Enterprise",27)</f>
        <v>25</v>
      </c>
      <c r="O251">
        <f>IF(Sales[[#This Row],[Number of Users]]-Sales[[#This Row],[Licenses Bought]]&lt;0,0,Sales[[#This Row],[Number of Users]]-Sales[[#This Row],[Licenses Bought]])</f>
        <v>26</v>
      </c>
      <c r="P251" s="8">
        <f>IF(Sales[[#This Row],[Sales Month]]=MAX(Sales[Sales Month]),Sales[[#This Row],[Non-Paying Users]]*Sales[[#This Row],[Upsell $ per Non-Paying User]],0)</f>
        <v>0</v>
      </c>
      <c r="Q251" t="str" cm="1">
        <f t="array" ref="Q251">_xlfn.IFS(Sales[[#This Row],[Current Upsell $]]=0,"",Sales[[#This Row],[Current Upsell $]]&gt;=400,"High",Sales[[#This Row],[Current Upsell $]]&gt;=100,"Medium",Sales[[#This Row],[Current Upsell $]]&lt;100,"Low")</f>
        <v/>
      </c>
      <c r="R251" t="str">
        <f>IF(Sales[[#This Row],[Current Upsell $]]&gt;0,_xlfn.CONCAT(Sales[[#This Row],[Subscription Type]]," ",Sales[[#This Row],[Upsell Priority]]," ",TEXT(Sales[[#This Row],[Current Upsell $]],"$#,#")),"")</f>
        <v/>
      </c>
    </row>
    <row r="252" spans="1:18" x14ac:dyDescent="0.25">
      <c r="A252">
        <v>100018</v>
      </c>
      <c r="B252" t="s">
        <v>1</v>
      </c>
      <c r="D252" s="1"/>
      <c r="E252" s="1"/>
      <c r="F252">
        <v>58</v>
      </c>
      <c r="G252">
        <v>91</v>
      </c>
      <c r="H252" s="1">
        <v>43922</v>
      </c>
      <c r="I252" s="1">
        <v>44378</v>
      </c>
      <c r="J252">
        <v>15</v>
      </c>
      <c r="K252">
        <v>0</v>
      </c>
      <c r="L252" s="1">
        <v>44228</v>
      </c>
      <c r="M252">
        <v>1450</v>
      </c>
      <c r="N252" s="8" cm="1">
        <f t="array" ref="N252">_xlfn.SWITCH(Sales[[#This Row],[Subscription Type]],"Basic",10,"Premium",10,"Business",25,"Enterprise",27)</f>
        <v>25</v>
      </c>
      <c r="O252">
        <f>IF(Sales[[#This Row],[Number of Users]]-Sales[[#This Row],[Licenses Bought]]&lt;0,0,Sales[[#This Row],[Number of Users]]-Sales[[#This Row],[Licenses Bought]])</f>
        <v>33</v>
      </c>
      <c r="P252" s="8">
        <f>IF(Sales[[#This Row],[Sales Month]]=MAX(Sales[Sales Month]),Sales[[#This Row],[Non-Paying Users]]*Sales[[#This Row],[Upsell $ per Non-Paying User]],0)</f>
        <v>0</v>
      </c>
      <c r="Q252" t="str" cm="1">
        <f t="array" ref="Q252">_xlfn.IFS(Sales[[#This Row],[Current Upsell $]]=0,"",Sales[[#This Row],[Current Upsell $]]&gt;=400,"High",Sales[[#This Row],[Current Upsell $]]&gt;=100,"Medium",Sales[[#This Row],[Current Upsell $]]&lt;100,"Low")</f>
        <v/>
      </c>
      <c r="R252" t="str">
        <f>IF(Sales[[#This Row],[Current Upsell $]]&gt;0,_xlfn.CONCAT(Sales[[#This Row],[Subscription Type]]," ",Sales[[#This Row],[Upsell Priority]]," ",TEXT(Sales[[#This Row],[Current Upsell $]],"$#,#")),"")</f>
        <v/>
      </c>
    </row>
    <row r="253" spans="1:18" x14ac:dyDescent="0.25">
      <c r="A253">
        <v>100018</v>
      </c>
      <c r="B253" t="s">
        <v>1</v>
      </c>
      <c r="D253" s="1"/>
      <c r="E253" s="1"/>
      <c r="F253">
        <v>58</v>
      </c>
      <c r="G253">
        <v>81</v>
      </c>
      <c r="H253" s="1">
        <v>43922</v>
      </c>
      <c r="I253" s="1">
        <v>44378</v>
      </c>
      <c r="J253">
        <v>15</v>
      </c>
      <c r="K253">
        <v>0</v>
      </c>
      <c r="L253" s="1">
        <v>44256</v>
      </c>
      <c r="M253">
        <v>1450</v>
      </c>
      <c r="N253" s="8" cm="1">
        <f t="array" ref="N253">_xlfn.SWITCH(Sales[[#This Row],[Subscription Type]],"Basic",10,"Premium",10,"Business",25,"Enterprise",27)</f>
        <v>25</v>
      </c>
      <c r="O253">
        <f>IF(Sales[[#This Row],[Number of Users]]-Sales[[#This Row],[Licenses Bought]]&lt;0,0,Sales[[#This Row],[Number of Users]]-Sales[[#This Row],[Licenses Bought]])</f>
        <v>23</v>
      </c>
      <c r="P253" s="8">
        <f>IF(Sales[[#This Row],[Sales Month]]=MAX(Sales[Sales Month]),Sales[[#This Row],[Non-Paying Users]]*Sales[[#This Row],[Upsell $ per Non-Paying User]],0)</f>
        <v>0</v>
      </c>
      <c r="Q253" t="str" cm="1">
        <f t="array" ref="Q253">_xlfn.IFS(Sales[[#This Row],[Current Upsell $]]=0,"",Sales[[#This Row],[Current Upsell $]]&gt;=400,"High",Sales[[#This Row],[Current Upsell $]]&gt;=100,"Medium",Sales[[#This Row],[Current Upsell $]]&lt;100,"Low")</f>
        <v/>
      </c>
      <c r="R253" t="str">
        <f>IF(Sales[[#This Row],[Current Upsell $]]&gt;0,_xlfn.CONCAT(Sales[[#This Row],[Subscription Type]]," ",Sales[[#This Row],[Upsell Priority]]," ",TEXT(Sales[[#This Row],[Current Upsell $]],"$#,#")),"")</f>
        <v/>
      </c>
    </row>
    <row r="254" spans="1:18" x14ac:dyDescent="0.25">
      <c r="A254">
        <v>100018</v>
      </c>
      <c r="B254" t="s">
        <v>1</v>
      </c>
      <c r="D254" s="1"/>
      <c r="E254" s="1"/>
      <c r="F254">
        <v>58</v>
      </c>
      <c r="G254">
        <v>79</v>
      </c>
      <c r="H254" s="1">
        <v>43922</v>
      </c>
      <c r="I254" s="1">
        <v>44378</v>
      </c>
      <c r="J254">
        <v>15</v>
      </c>
      <c r="K254">
        <v>0</v>
      </c>
      <c r="L254" s="1">
        <v>44287</v>
      </c>
      <c r="M254">
        <v>1450</v>
      </c>
      <c r="N254" s="8" cm="1">
        <f t="array" ref="N254">_xlfn.SWITCH(Sales[[#This Row],[Subscription Type]],"Basic",10,"Premium",10,"Business",25,"Enterprise",27)</f>
        <v>25</v>
      </c>
      <c r="O254">
        <f>IF(Sales[[#This Row],[Number of Users]]-Sales[[#This Row],[Licenses Bought]]&lt;0,0,Sales[[#This Row],[Number of Users]]-Sales[[#This Row],[Licenses Bought]])</f>
        <v>21</v>
      </c>
      <c r="P254" s="8">
        <f>IF(Sales[[#This Row],[Sales Month]]=MAX(Sales[Sales Month]),Sales[[#This Row],[Non-Paying Users]]*Sales[[#This Row],[Upsell $ per Non-Paying User]],0)</f>
        <v>0</v>
      </c>
      <c r="Q254" t="str" cm="1">
        <f t="array" ref="Q254">_xlfn.IFS(Sales[[#This Row],[Current Upsell $]]=0,"",Sales[[#This Row],[Current Upsell $]]&gt;=400,"High",Sales[[#This Row],[Current Upsell $]]&gt;=100,"Medium",Sales[[#This Row],[Current Upsell $]]&lt;100,"Low")</f>
        <v/>
      </c>
      <c r="R254" t="str">
        <f>IF(Sales[[#This Row],[Current Upsell $]]&gt;0,_xlfn.CONCAT(Sales[[#This Row],[Subscription Type]]," ",Sales[[#This Row],[Upsell Priority]]," ",TEXT(Sales[[#This Row],[Current Upsell $]],"$#,#")),"")</f>
        <v/>
      </c>
    </row>
    <row r="255" spans="1:18" x14ac:dyDescent="0.25">
      <c r="A255">
        <v>100018</v>
      </c>
      <c r="B255" t="s">
        <v>1</v>
      </c>
      <c r="D255" s="1"/>
      <c r="E255" s="1"/>
      <c r="F255">
        <v>58</v>
      </c>
      <c r="G255">
        <v>81</v>
      </c>
      <c r="H255" s="1">
        <v>43922</v>
      </c>
      <c r="I255" s="1">
        <v>44378</v>
      </c>
      <c r="J255">
        <v>15</v>
      </c>
      <c r="K255">
        <v>0</v>
      </c>
      <c r="L255" s="1">
        <v>44317</v>
      </c>
      <c r="M255">
        <v>1450</v>
      </c>
      <c r="N255" s="8" cm="1">
        <f t="array" ref="N255">_xlfn.SWITCH(Sales[[#This Row],[Subscription Type]],"Basic",10,"Premium",10,"Business",25,"Enterprise",27)</f>
        <v>25</v>
      </c>
      <c r="O255">
        <f>IF(Sales[[#This Row],[Number of Users]]-Sales[[#This Row],[Licenses Bought]]&lt;0,0,Sales[[#This Row],[Number of Users]]-Sales[[#This Row],[Licenses Bought]])</f>
        <v>23</v>
      </c>
      <c r="P255" s="8">
        <f>IF(Sales[[#This Row],[Sales Month]]=MAX(Sales[Sales Month]),Sales[[#This Row],[Non-Paying Users]]*Sales[[#This Row],[Upsell $ per Non-Paying User]],0)</f>
        <v>0</v>
      </c>
      <c r="Q255" t="str" cm="1">
        <f t="array" ref="Q255">_xlfn.IFS(Sales[[#This Row],[Current Upsell $]]=0,"",Sales[[#This Row],[Current Upsell $]]&gt;=400,"High",Sales[[#This Row],[Current Upsell $]]&gt;=100,"Medium",Sales[[#This Row],[Current Upsell $]]&lt;100,"Low")</f>
        <v/>
      </c>
      <c r="R255" t="str">
        <f>IF(Sales[[#This Row],[Current Upsell $]]&gt;0,_xlfn.CONCAT(Sales[[#This Row],[Subscription Type]]," ",Sales[[#This Row],[Upsell Priority]]," ",TEXT(Sales[[#This Row],[Current Upsell $]],"$#,#")),"")</f>
        <v/>
      </c>
    </row>
    <row r="256" spans="1:18" x14ac:dyDescent="0.25">
      <c r="A256">
        <v>100018</v>
      </c>
      <c r="B256" t="s">
        <v>1</v>
      </c>
      <c r="D256" s="1"/>
      <c r="E256" s="1"/>
      <c r="F256">
        <v>58</v>
      </c>
      <c r="G256">
        <v>72</v>
      </c>
      <c r="H256" s="1">
        <v>43922</v>
      </c>
      <c r="I256" s="1">
        <v>44378</v>
      </c>
      <c r="J256">
        <v>15</v>
      </c>
      <c r="K256">
        <v>0</v>
      </c>
      <c r="L256" s="1">
        <v>44348</v>
      </c>
      <c r="M256">
        <v>1450</v>
      </c>
      <c r="N256" s="8" cm="1">
        <f t="array" ref="N256">_xlfn.SWITCH(Sales[[#This Row],[Subscription Type]],"Basic",10,"Premium",10,"Business",25,"Enterprise",27)</f>
        <v>25</v>
      </c>
      <c r="O256">
        <f>IF(Sales[[#This Row],[Number of Users]]-Sales[[#This Row],[Licenses Bought]]&lt;0,0,Sales[[#This Row],[Number of Users]]-Sales[[#This Row],[Licenses Bought]])</f>
        <v>14</v>
      </c>
      <c r="P256" s="8">
        <f>IF(Sales[[#This Row],[Sales Month]]=MAX(Sales[Sales Month]),Sales[[#This Row],[Non-Paying Users]]*Sales[[#This Row],[Upsell $ per Non-Paying User]],0)</f>
        <v>350</v>
      </c>
      <c r="Q256" t="str" cm="1">
        <f t="array" ref="Q256">_xlfn.IFS(Sales[[#This Row],[Current Upsell $]]=0,"",Sales[[#This Row],[Current Upsell $]]&gt;=400,"High",Sales[[#This Row],[Current Upsell $]]&gt;=100,"Medium",Sales[[#This Row],[Current Upsell $]]&lt;100,"Low")</f>
        <v>Medium</v>
      </c>
      <c r="R256" t="str">
        <f>IF(Sales[[#This Row],[Current Upsell $]]&gt;0,_xlfn.CONCAT(Sales[[#This Row],[Subscription Type]]," ",Sales[[#This Row],[Upsell Priority]]," ",TEXT(Sales[[#This Row],[Current Upsell $]],"$#,#")),"")</f>
        <v>Business Medium $350</v>
      </c>
    </row>
    <row r="257" spans="1:18" x14ac:dyDescent="0.25">
      <c r="A257">
        <v>100019</v>
      </c>
      <c r="B257" t="s">
        <v>3</v>
      </c>
      <c r="D257" s="1"/>
      <c r="E257" s="1"/>
      <c r="F257">
        <v>0</v>
      </c>
      <c r="G257">
        <v>29</v>
      </c>
      <c r="H257" s="1">
        <v>43922</v>
      </c>
      <c r="I257" s="1">
        <v>44378</v>
      </c>
      <c r="J257">
        <v>15</v>
      </c>
      <c r="K257">
        <v>0</v>
      </c>
      <c r="L257" s="1">
        <v>43922</v>
      </c>
      <c r="M257">
        <v>0</v>
      </c>
      <c r="N257" s="8" cm="1">
        <f t="array" ref="N257">_xlfn.SWITCH(Sales[[#This Row],[Subscription Type]],"Basic",10,"Premium",10,"Business",25,"Enterprise",27)</f>
        <v>10</v>
      </c>
      <c r="O257">
        <f>IF(Sales[[#This Row],[Number of Users]]-Sales[[#This Row],[Licenses Bought]]&lt;0,0,Sales[[#This Row],[Number of Users]]-Sales[[#This Row],[Licenses Bought]])</f>
        <v>29</v>
      </c>
      <c r="P257" s="8">
        <f>IF(Sales[[#This Row],[Sales Month]]=MAX(Sales[Sales Month]),Sales[[#This Row],[Non-Paying Users]]*Sales[[#This Row],[Upsell $ per Non-Paying User]],0)</f>
        <v>0</v>
      </c>
      <c r="Q257" t="str" cm="1">
        <f t="array" ref="Q257">_xlfn.IFS(Sales[[#This Row],[Current Upsell $]]=0,"",Sales[[#This Row],[Current Upsell $]]&gt;=400,"High",Sales[[#This Row],[Current Upsell $]]&gt;=100,"Medium",Sales[[#This Row],[Current Upsell $]]&lt;100,"Low")</f>
        <v/>
      </c>
      <c r="R257" t="str">
        <f>IF(Sales[[#This Row],[Current Upsell $]]&gt;0,_xlfn.CONCAT(Sales[[#This Row],[Subscription Type]]," ",Sales[[#This Row],[Upsell Priority]]," ",TEXT(Sales[[#This Row],[Current Upsell $]],"$#,#")),"")</f>
        <v/>
      </c>
    </row>
    <row r="258" spans="1:18" x14ac:dyDescent="0.25">
      <c r="A258">
        <v>100019</v>
      </c>
      <c r="B258" t="s">
        <v>0</v>
      </c>
      <c r="D258" s="1"/>
      <c r="E258" s="1"/>
      <c r="F258">
        <v>14</v>
      </c>
      <c r="G258">
        <v>44</v>
      </c>
      <c r="H258" s="1">
        <v>43922</v>
      </c>
      <c r="I258" s="1">
        <v>44378</v>
      </c>
      <c r="J258">
        <v>15</v>
      </c>
      <c r="K258">
        <v>0</v>
      </c>
      <c r="L258" s="1">
        <v>43952</v>
      </c>
      <c r="M258">
        <v>140</v>
      </c>
      <c r="N258" s="8" cm="1">
        <f t="array" ref="N258">_xlfn.SWITCH(Sales[[#This Row],[Subscription Type]],"Basic",10,"Premium",10,"Business",25,"Enterprise",27)</f>
        <v>10</v>
      </c>
      <c r="O258">
        <f>IF(Sales[[#This Row],[Number of Users]]-Sales[[#This Row],[Licenses Bought]]&lt;0,0,Sales[[#This Row],[Number of Users]]-Sales[[#This Row],[Licenses Bought]])</f>
        <v>30</v>
      </c>
      <c r="P258" s="8">
        <f>IF(Sales[[#This Row],[Sales Month]]=MAX(Sales[Sales Month]),Sales[[#This Row],[Non-Paying Users]]*Sales[[#This Row],[Upsell $ per Non-Paying User]],0)</f>
        <v>0</v>
      </c>
      <c r="Q258" t="str" cm="1">
        <f t="array" ref="Q258">_xlfn.IFS(Sales[[#This Row],[Current Upsell $]]=0,"",Sales[[#This Row],[Current Upsell $]]&gt;=400,"High",Sales[[#This Row],[Current Upsell $]]&gt;=100,"Medium",Sales[[#This Row],[Current Upsell $]]&lt;100,"Low")</f>
        <v/>
      </c>
      <c r="R258" t="str">
        <f>IF(Sales[[#This Row],[Current Upsell $]]&gt;0,_xlfn.CONCAT(Sales[[#This Row],[Subscription Type]]," ",Sales[[#This Row],[Upsell Priority]]," ",TEXT(Sales[[#This Row],[Current Upsell $]],"$#,#")),"")</f>
        <v/>
      </c>
    </row>
    <row r="259" spans="1:18" x14ac:dyDescent="0.25">
      <c r="A259">
        <v>100019</v>
      </c>
      <c r="B259" t="s">
        <v>0</v>
      </c>
      <c r="D259" s="1"/>
      <c r="E259" s="1"/>
      <c r="F259">
        <v>28</v>
      </c>
      <c r="G259">
        <v>38</v>
      </c>
      <c r="H259" s="1">
        <v>43922</v>
      </c>
      <c r="I259" s="1">
        <v>44378</v>
      </c>
      <c r="J259">
        <v>15</v>
      </c>
      <c r="K259">
        <v>0</v>
      </c>
      <c r="L259" s="1">
        <v>43983</v>
      </c>
      <c r="M259">
        <v>280</v>
      </c>
      <c r="N259" s="8" cm="1">
        <f t="array" ref="N259">_xlfn.SWITCH(Sales[[#This Row],[Subscription Type]],"Basic",10,"Premium",10,"Business",25,"Enterprise",27)</f>
        <v>10</v>
      </c>
      <c r="O259">
        <f>IF(Sales[[#This Row],[Number of Users]]-Sales[[#This Row],[Licenses Bought]]&lt;0,0,Sales[[#This Row],[Number of Users]]-Sales[[#This Row],[Licenses Bought]])</f>
        <v>10</v>
      </c>
      <c r="P259" s="8">
        <f>IF(Sales[[#This Row],[Sales Month]]=MAX(Sales[Sales Month]),Sales[[#This Row],[Non-Paying Users]]*Sales[[#This Row],[Upsell $ per Non-Paying User]],0)</f>
        <v>0</v>
      </c>
      <c r="Q259" t="str" cm="1">
        <f t="array" ref="Q259">_xlfn.IFS(Sales[[#This Row],[Current Upsell $]]=0,"",Sales[[#This Row],[Current Upsell $]]&gt;=400,"High",Sales[[#This Row],[Current Upsell $]]&gt;=100,"Medium",Sales[[#This Row],[Current Upsell $]]&lt;100,"Low")</f>
        <v/>
      </c>
      <c r="R259" t="str">
        <f>IF(Sales[[#This Row],[Current Upsell $]]&gt;0,_xlfn.CONCAT(Sales[[#This Row],[Subscription Type]]," ",Sales[[#This Row],[Upsell Priority]]," ",TEXT(Sales[[#This Row],[Current Upsell $]],"$#,#")),"")</f>
        <v/>
      </c>
    </row>
    <row r="260" spans="1:18" x14ac:dyDescent="0.25">
      <c r="A260">
        <v>100019</v>
      </c>
      <c r="B260" t="s">
        <v>0</v>
      </c>
      <c r="D260" s="1"/>
      <c r="E260" s="1"/>
      <c r="F260">
        <v>33</v>
      </c>
      <c r="G260">
        <v>33</v>
      </c>
      <c r="H260" s="1">
        <v>43922</v>
      </c>
      <c r="I260" s="1">
        <v>44378</v>
      </c>
      <c r="J260">
        <v>15</v>
      </c>
      <c r="K260">
        <v>0</v>
      </c>
      <c r="L260" s="1">
        <v>44013</v>
      </c>
      <c r="M260">
        <v>330</v>
      </c>
      <c r="N260" s="8" cm="1">
        <f t="array" ref="N260">_xlfn.SWITCH(Sales[[#This Row],[Subscription Type]],"Basic",10,"Premium",10,"Business",25,"Enterprise",27)</f>
        <v>10</v>
      </c>
      <c r="O260">
        <f>IF(Sales[[#This Row],[Number of Users]]-Sales[[#This Row],[Licenses Bought]]&lt;0,0,Sales[[#This Row],[Number of Users]]-Sales[[#This Row],[Licenses Bought]])</f>
        <v>0</v>
      </c>
      <c r="P260" s="8">
        <f>IF(Sales[[#This Row],[Sales Month]]=MAX(Sales[Sales Month]),Sales[[#This Row],[Non-Paying Users]]*Sales[[#This Row],[Upsell $ per Non-Paying User]],0)</f>
        <v>0</v>
      </c>
      <c r="Q260" t="str" cm="1">
        <f t="array" ref="Q260">_xlfn.IFS(Sales[[#This Row],[Current Upsell $]]=0,"",Sales[[#This Row],[Current Upsell $]]&gt;=400,"High",Sales[[#This Row],[Current Upsell $]]&gt;=100,"Medium",Sales[[#This Row],[Current Upsell $]]&lt;100,"Low")</f>
        <v/>
      </c>
      <c r="R260" t="str">
        <f>IF(Sales[[#This Row],[Current Upsell $]]&gt;0,_xlfn.CONCAT(Sales[[#This Row],[Subscription Type]]," ",Sales[[#This Row],[Upsell Priority]]," ",TEXT(Sales[[#This Row],[Current Upsell $]],"$#,#")),"")</f>
        <v/>
      </c>
    </row>
    <row r="261" spans="1:18" x14ac:dyDescent="0.25">
      <c r="A261">
        <v>100019</v>
      </c>
      <c r="B261" t="s">
        <v>0</v>
      </c>
      <c r="D261" s="1"/>
      <c r="E261" s="1"/>
      <c r="F261">
        <v>33</v>
      </c>
      <c r="G261">
        <v>45</v>
      </c>
      <c r="H261" s="1">
        <v>43922</v>
      </c>
      <c r="I261" s="1">
        <v>44378</v>
      </c>
      <c r="J261">
        <v>15</v>
      </c>
      <c r="K261">
        <v>0</v>
      </c>
      <c r="L261" s="1">
        <v>44044</v>
      </c>
      <c r="M261">
        <v>330</v>
      </c>
      <c r="N261" s="8" cm="1">
        <f t="array" ref="N261">_xlfn.SWITCH(Sales[[#This Row],[Subscription Type]],"Basic",10,"Premium",10,"Business",25,"Enterprise",27)</f>
        <v>10</v>
      </c>
      <c r="O261">
        <f>IF(Sales[[#This Row],[Number of Users]]-Sales[[#This Row],[Licenses Bought]]&lt;0,0,Sales[[#This Row],[Number of Users]]-Sales[[#This Row],[Licenses Bought]])</f>
        <v>12</v>
      </c>
      <c r="P261" s="8">
        <f>IF(Sales[[#This Row],[Sales Month]]=MAX(Sales[Sales Month]),Sales[[#This Row],[Non-Paying Users]]*Sales[[#This Row],[Upsell $ per Non-Paying User]],0)</f>
        <v>0</v>
      </c>
      <c r="Q261" t="str" cm="1">
        <f t="array" ref="Q261">_xlfn.IFS(Sales[[#This Row],[Current Upsell $]]=0,"",Sales[[#This Row],[Current Upsell $]]&gt;=400,"High",Sales[[#This Row],[Current Upsell $]]&gt;=100,"Medium",Sales[[#This Row],[Current Upsell $]]&lt;100,"Low")</f>
        <v/>
      </c>
      <c r="R261" t="str">
        <f>IF(Sales[[#This Row],[Current Upsell $]]&gt;0,_xlfn.CONCAT(Sales[[#This Row],[Subscription Type]]," ",Sales[[#This Row],[Upsell Priority]]," ",TEXT(Sales[[#This Row],[Current Upsell $]],"$#,#")),"")</f>
        <v/>
      </c>
    </row>
    <row r="262" spans="1:18" x14ac:dyDescent="0.25">
      <c r="A262">
        <v>100019</v>
      </c>
      <c r="B262" t="s">
        <v>0</v>
      </c>
      <c r="D262" s="1"/>
      <c r="E262" s="1"/>
      <c r="F262">
        <v>33</v>
      </c>
      <c r="G262">
        <v>45</v>
      </c>
      <c r="H262" s="1">
        <v>43922</v>
      </c>
      <c r="I262" s="1">
        <v>44378</v>
      </c>
      <c r="J262">
        <v>15</v>
      </c>
      <c r="K262">
        <v>0</v>
      </c>
      <c r="L262" s="1">
        <v>44075</v>
      </c>
      <c r="M262">
        <v>330</v>
      </c>
      <c r="N262" s="8" cm="1">
        <f t="array" ref="N262">_xlfn.SWITCH(Sales[[#This Row],[Subscription Type]],"Basic",10,"Premium",10,"Business",25,"Enterprise",27)</f>
        <v>10</v>
      </c>
      <c r="O262">
        <f>IF(Sales[[#This Row],[Number of Users]]-Sales[[#This Row],[Licenses Bought]]&lt;0,0,Sales[[#This Row],[Number of Users]]-Sales[[#This Row],[Licenses Bought]])</f>
        <v>12</v>
      </c>
      <c r="P262" s="8">
        <f>IF(Sales[[#This Row],[Sales Month]]=MAX(Sales[Sales Month]),Sales[[#This Row],[Non-Paying Users]]*Sales[[#This Row],[Upsell $ per Non-Paying User]],0)</f>
        <v>0</v>
      </c>
      <c r="Q262" t="str" cm="1">
        <f t="array" ref="Q262">_xlfn.IFS(Sales[[#This Row],[Current Upsell $]]=0,"",Sales[[#This Row],[Current Upsell $]]&gt;=400,"High",Sales[[#This Row],[Current Upsell $]]&gt;=100,"Medium",Sales[[#This Row],[Current Upsell $]]&lt;100,"Low")</f>
        <v/>
      </c>
      <c r="R262" t="str">
        <f>IF(Sales[[#This Row],[Current Upsell $]]&gt;0,_xlfn.CONCAT(Sales[[#This Row],[Subscription Type]]," ",Sales[[#This Row],[Upsell Priority]]," ",TEXT(Sales[[#This Row],[Current Upsell $]],"$#,#")),"")</f>
        <v/>
      </c>
    </row>
    <row r="263" spans="1:18" x14ac:dyDescent="0.25">
      <c r="A263">
        <v>100019</v>
      </c>
      <c r="B263" t="s">
        <v>0</v>
      </c>
      <c r="D263" s="1"/>
      <c r="E263" s="1"/>
      <c r="F263">
        <v>33</v>
      </c>
      <c r="G263">
        <v>45</v>
      </c>
      <c r="H263" s="1">
        <v>43922</v>
      </c>
      <c r="I263" s="1">
        <v>44378</v>
      </c>
      <c r="J263">
        <v>15</v>
      </c>
      <c r="K263">
        <v>0</v>
      </c>
      <c r="L263" s="1">
        <v>44105</v>
      </c>
      <c r="M263">
        <v>330</v>
      </c>
      <c r="N263" s="8" cm="1">
        <f t="array" ref="N263">_xlfn.SWITCH(Sales[[#This Row],[Subscription Type]],"Basic",10,"Premium",10,"Business",25,"Enterprise",27)</f>
        <v>10</v>
      </c>
      <c r="O263">
        <f>IF(Sales[[#This Row],[Number of Users]]-Sales[[#This Row],[Licenses Bought]]&lt;0,0,Sales[[#This Row],[Number of Users]]-Sales[[#This Row],[Licenses Bought]])</f>
        <v>12</v>
      </c>
      <c r="P263" s="8">
        <f>IF(Sales[[#This Row],[Sales Month]]=MAX(Sales[Sales Month]),Sales[[#This Row],[Non-Paying Users]]*Sales[[#This Row],[Upsell $ per Non-Paying User]],0)</f>
        <v>0</v>
      </c>
      <c r="Q263" t="str" cm="1">
        <f t="array" ref="Q263">_xlfn.IFS(Sales[[#This Row],[Current Upsell $]]=0,"",Sales[[#This Row],[Current Upsell $]]&gt;=400,"High",Sales[[#This Row],[Current Upsell $]]&gt;=100,"Medium",Sales[[#This Row],[Current Upsell $]]&lt;100,"Low")</f>
        <v/>
      </c>
      <c r="R263" t="str">
        <f>IF(Sales[[#This Row],[Current Upsell $]]&gt;0,_xlfn.CONCAT(Sales[[#This Row],[Subscription Type]]," ",Sales[[#This Row],[Upsell Priority]]," ",TEXT(Sales[[#This Row],[Current Upsell $]],"$#,#")),"")</f>
        <v/>
      </c>
    </row>
    <row r="264" spans="1:18" x14ac:dyDescent="0.25">
      <c r="A264">
        <v>100019</v>
      </c>
      <c r="B264" t="s">
        <v>0</v>
      </c>
      <c r="D264" s="1"/>
      <c r="E264" s="1"/>
      <c r="F264">
        <v>33</v>
      </c>
      <c r="G264">
        <v>39</v>
      </c>
      <c r="H264" s="1">
        <v>43922</v>
      </c>
      <c r="I264" s="1">
        <v>44378</v>
      </c>
      <c r="J264">
        <v>15</v>
      </c>
      <c r="K264">
        <v>0</v>
      </c>
      <c r="L264" s="1">
        <v>44136</v>
      </c>
      <c r="M264">
        <v>330</v>
      </c>
      <c r="N264" s="8" cm="1">
        <f t="array" ref="N264">_xlfn.SWITCH(Sales[[#This Row],[Subscription Type]],"Basic",10,"Premium",10,"Business",25,"Enterprise",27)</f>
        <v>10</v>
      </c>
      <c r="O264">
        <f>IF(Sales[[#This Row],[Number of Users]]-Sales[[#This Row],[Licenses Bought]]&lt;0,0,Sales[[#This Row],[Number of Users]]-Sales[[#This Row],[Licenses Bought]])</f>
        <v>6</v>
      </c>
      <c r="P264" s="8">
        <f>IF(Sales[[#This Row],[Sales Month]]=MAX(Sales[Sales Month]),Sales[[#This Row],[Non-Paying Users]]*Sales[[#This Row],[Upsell $ per Non-Paying User]],0)</f>
        <v>0</v>
      </c>
      <c r="Q264" t="str" cm="1">
        <f t="array" ref="Q264">_xlfn.IFS(Sales[[#This Row],[Current Upsell $]]=0,"",Sales[[#This Row],[Current Upsell $]]&gt;=400,"High",Sales[[#This Row],[Current Upsell $]]&gt;=100,"Medium",Sales[[#This Row],[Current Upsell $]]&lt;100,"Low")</f>
        <v/>
      </c>
      <c r="R264" t="str">
        <f>IF(Sales[[#This Row],[Current Upsell $]]&gt;0,_xlfn.CONCAT(Sales[[#This Row],[Subscription Type]]," ",Sales[[#This Row],[Upsell Priority]]," ",TEXT(Sales[[#This Row],[Current Upsell $]],"$#,#")),"")</f>
        <v/>
      </c>
    </row>
    <row r="265" spans="1:18" x14ac:dyDescent="0.25">
      <c r="A265">
        <v>100019</v>
      </c>
      <c r="B265" t="s">
        <v>0</v>
      </c>
      <c r="D265" s="1"/>
      <c r="E265" s="1"/>
      <c r="F265">
        <v>33</v>
      </c>
      <c r="G265">
        <v>37</v>
      </c>
      <c r="H265" s="1">
        <v>43922</v>
      </c>
      <c r="I265" s="1">
        <v>44378</v>
      </c>
      <c r="J265">
        <v>15</v>
      </c>
      <c r="K265">
        <v>0</v>
      </c>
      <c r="L265" s="1">
        <v>44166</v>
      </c>
      <c r="M265">
        <v>330</v>
      </c>
      <c r="N265" s="8" cm="1">
        <f t="array" ref="N265">_xlfn.SWITCH(Sales[[#This Row],[Subscription Type]],"Basic",10,"Premium",10,"Business",25,"Enterprise",27)</f>
        <v>10</v>
      </c>
      <c r="O265">
        <f>IF(Sales[[#This Row],[Number of Users]]-Sales[[#This Row],[Licenses Bought]]&lt;0,0,Sales[[#This Row],[Number of Users]]-Sales[[#This Row],[Licenses Bought]])</f>
        <v>4</v>
      </c>
      <c r="P265" s="8">
        <f>IF(Sales[[#This Row],[Sales Month]]=MAX(Sales[Sales Month]),Sales[[#This Row],[Non-Paying Users]]*Sales[[#This Row],[Upsell $ per Non-Paying User]],0)</f>
        <v>0</v>
      </c>
      <c r="Q265" t="str" cm="1">
        <f t="array" ref="Q265">_xlfn.IFS(Sales[[#This Row],[Current Upsell $]]=0,"",Sales[[#This Row],[Current Upsell $]]&gt;=400,"High",Sales[[#This Row],[Current Upsell $]]&gt;=100,"Medium",Sales[[#This Row],[Current Upsell $]]&lt;100,"Low")</f>
        <v/>
      </c>
      <c r="R265" t="str">
        <f>IF(Sales[[#This Row],[Current Upsell $]]&gt;0,_xlfn.CONCAT(Sales[[#This Row],[Subscription Type]]," ",Sales[[#This Row],[Upsell Priority]]," ",TEXT(Sales[[#This Row],[Current Upsell $]],"$#,#")),"")</f>
        <v/>
      </c>
    </row>
    <row r="266" spans="1:18" x14ac:dyDescent="0.25">
      <c r="A266">
        <v>100019</v>
      </c>
      <c r="B266" t="s">
        <v>0</v>
      </c>
      <c r="D266" s="1"/>
      <c r="E266" s="1"/>
      <c r="F266">
        <v>33</v>
      </c>
      <c r="G266">
        <v>30</v>
      </c>
      <c r="H266" s="1">
        <v>43922</v>
      </c>
      <c r="I266" s="1">
        <v>44378</v>
      </c>
      <c r="J266">
        <v>15</v>
      </c>
      <c r="K266">
        <v>0</v>
      </c>
      <c r="L266" s="1">
        <v>44197</v>
      </c>
      <c r="M266">
        <v>330</v>
      </c>
      <c r="N266" s="8" cm="1">
        <f t="array" ref="N266">_xlfn.SWITCH(Sales[[#This Row],[Subscription Type]],"Basic",10,"Premium",10,"Business",25,"Enterprise",27)</f>
        <v>10</v>
      </c>
      <c r="O266">
        <f>IF(Sales[[#This Row],[Number of Users]]-Sales[[#This Row],[Licenses Bought]]&lt;0,0,Sales[[#This Row],[Number of Users]]-Sales[[#This Row],[Licenses Bought]])</f>
        <v>0</v>
      </c>
      <c r="P266" s="8">
        <f>IF(Sales[[#This Row],[Sales Month]]=MAX(Sales[Sales Month]),Sales[[#This Row],[Non-Paying Users]]*Sales[[#This Row],[Upsell $ per Non-Paying User]],0)</f>
        <v>0</v>
      </c>
      <c r="Q266" t="str" cm="1">
        <f t="array" ref="Q266">_xlfn.IFS(Sales[[#This Row],[Current Upsell $]]=0,"",Sales[[#This Row],[Current Upsell $]]&gt;=400,"High",Sales[[#This Row],[Current Upsell $]]&gt;=100,"Medium",Sales[[#This Row],[Current Upsell $]]&lt;100,"Low")</f>
        <v/>
      </c>
      <c r="R266" t="str">
        <f>IF(Sales[[#This Row],[Current Upsell $]]&gt;0,_xlfn.CONCAT(Sales[[#This Row],[Subscription Type]]," ",Sales[[#This Row],[Upsell Priority]]," ",TEXT(Sales[[#This Row],[Current Upsell $]],"$#,#")),"")</f>
        <v/>
      </c>
    </row>
    <row r="267" spans="1:18" x14ac:dyDescent="0.25">
      <c r="A267">
        <v>100019</v>
      </c>
      <c r="B267" t="s">
        <v>0</v>
      </c>
      <c r="D267" s="1"/>
      <c r="E267" s="1"/>
      <c r="F267">
        <v>33</v>
      </c>
      <c r="G267">
        <v>47</v>
      </c>
      <c r="H267" s="1">
        <v>43922</v>
      </c>
      <c r="I267" s="1">
        <v>44378</v>
      </c>
      <c r="J267">
        <v>15</v>
      </c>
      <c r="K267">
        <v>0</v>
      </c>
      <c r="L267" s="1">
        <v>44228</v>
      </c>
      <c r="M267">
        <v>330</v>
      </c>
      <c r="N267" s="8" cm="1">
        <f t="array" ref="N267">_xlfn.SWITCH(Sales[[#This Row],[Subscription Type]],"Basic",10,"Premium",10,"Business",25,"Enterprise",27)</f>
        <v>10</v>
      </c>
      <c r="O267">
        <f>IF(Sales[[#This Row],[Number of Users]]-Sales[[#This Row],[Licenses Bought]]&lt;0,0,Sales[[#This Row],[Number of Users]]-Sales[[#This Row],[Licenses Bought]])</f>
        <v>14</v>
      </c>
      <c r="P267" s="8">
        <f>IF(Sales[[#This Row],[Sales Month]]=MAX(Sales[Sales Month]),Sales[[#This Row],[Non-Paying Users]]*Sales[[#This Row],[Upsell $ per Non-Paying User]],0)</f>
        <v>0</v>
      </c>
      <c r="Q267" t="str" cm="1">
        <f t="array" ref="Q267">_xlfn.IFS(Sales[[#This Row],[Current Upsell $]]=0,"",Sales[[#This Row],[Current Upsell $]]&gt;=400,"High",Sales[[#This Row],[Current Upsell $]]&gt;=100,"Medium",Sales[[#This Row],[Current Upsell $]]&lt;100,"Low")</f>
        <v/>
      </c>
      <c r="R267" t="str">
        <f>IF(Sales[[#This Row],[Current Upsell $]]&gt;0,_xlfn.CONCAT(Sales[[#This Row],[Subscription Type]]," ",Sales[[#This Row],[Upsell Priority]]," ",TEXT(Sales[[#This Row],[Current Upsell $]],"$#,#")),"")</f>
        <v/>
      </c>
    </row>
    <row r="268" spans="1:18" x14ac:dyDescent="0.25">
      <c r="A268">
        <v>100019</v>
      </c>
      <c r="B268" t="s">
        <v>0</v>
      </c>
      <c r="D268" s="1"/>
      <c r="E268" s="1"/>
      <c r="F268">
        <v>33</v>
      </c>
      <c r="G268">
        <v>48</v>
      </c>
      <c r="H268" s="1">
        <v>43922</v>
      </c>
      <c r="I268" s="1">
        <v>44378</v>
      </c>
      <c r="J268">
        <v>15</v>
      </c>
      <c r="K268">
        <v>0</v>
      </c>
      <c r="L268" s="1">
        <v>44256</v>
      </c>
      <c r="M268">
        <v>330</v>
      </c>
      <c r="N268" s="8" cm="1">
        <f t="array" ref="N268">_xlfn.SWITCH(Sales[[#This Row],[Subscription Type]],"Basic",10,"Premium",10,"Business",25,"Enterprise",27)</f>
        <v>10</v>
      </c>
      <c r="O268">
        <f>IF(Sales[[#This Row],[Number of Users]]-Sales[[#This Row],[Licenses Bought]]&lt;0,0,Sales[[#This Row],[Number of Users]]-Sales[[#This Row],[Licenses Bought]])</f>
        <v>15</v>
      </c>
      <c r="P268" s="8">
        <f>IF(Sales[[#This Row],[Sales Month]]=MAX(Sales[Sales Month]),Sales[[#This Row],[Non-Paying Users]]*Sales[[#This Row],[Upsell $ per Non-Paying User]],0)</f>
        <v>0</v>
      </c>
      <c r="Q268" t="str" cm="1">
        <f t="array" ref="Q268">_xlfn.IFS(Sales[[#This Row],[Current Upsell $]]=0,"",Sales[[#This Row],[Current Upsell $]]&gt;=400,"High",Sales[[#This Row],[Current Upsell $]]&gt;=100,"Medium",Sales[[#This Row],[Current Upsell $]]&lt;100,"Low")</f>
        <v/>
      </c>
      <c r="R268" t="str">
        <f>IF(Sales[[#This Row],[Current Upsell $]]&gt;0,_xlfn.CONCAT(Sales[[#This Row],[Subscription Type]]," ",Sales[[#This Row],[Upsell Priority]]," ",TEXT(Sales[[#This Row],[Current Upsell $]],"$#,#")),"")</f>
        <v/>
      </c>
    </row>
    <row r="269" spans="1:18" x14ac:dyDescent="0.25">
      <c r="A269">
        <v>100019</v>
      </c>
      <c r="B269" t="s">
        <v>0</v>
      </c>
      <c r="D269" s="1"/>
      <c r="E269" s="1"/>
      <c r="F269">
        <v>33</v>
      </c>
      <c r="G269">
        <v>33</v>
      </c>
      <c r="H269" s="1">
        <v>43922</v>
      </c>
      <c r="I269" s="1">
        <v>44378</v>
      </c>
      <c r="J269">
        <v>15</v>
      </c>
      <c r="K269">
        <v>0</v>
      </c>
      <c r="L269" s="1">
        <v>44287</v>
      </c>
      <c r="M269">
        <v>330</v>
      </c>
      <c r="N269" s="8" cm="1">
        <f t="array" ref="N269">_xlfn.SWITCH(Sales[[#This Row],[Subscription Type]],"Basic",10,"Premium",10,"Business",25,"Enterprise",27)</f>
        <v>10</v>
      </c>
      <c r="O269">
        <f>IF(Sales[[#This Row],[Number of Users]]-Sales[[#This Row],[Licenses Bought]]&lt;0,0,Sales[[#This Row],[Number of Users]]-Sales[[#This Row],[Licenses Bought]])</f>
        <v>0</v>
      </c>
      <c r="P269" s="8">
        <f>IF(Sales[[#This Row],[Sales Month]]=MAX(Sales[Sales Month]),Sales[[#This Row],[Non-Paying Users]]*Sales[[#This Row],[Upsell $ per Non-Paying User]],0)</f>
        <v>0</v>
      </c>
      <c r="Q269" t="str" cm="1">
        <f t="array" ref="Q269">_xlfn.IFS(Sales[[#This Row],[Current Upsell $]]=0,"",Sales[[#This Row],[Current Upsell $]]&gt;=400,"High",Sales[[#This Row],[Current Upsell $]]&gt;=100,"Medium",Sales[[#This Row],[Current Upsell $]]&lt;100,"Low")</f>
        <v/>
      </c>
      <c r="R269" t="str">
        <f>IF(Sales[[#This Row],[Current Upsell $]]&gt;0,_xlfn.CONCAT(Sales[[#This Row],[Subscription Type]]," ",Sales[[#This Row],[Upsell Priority]]," ",TEXT(Sales[[#This Row],[Current Upsell $]],"$#,#")),"")</f>
        <v/>
      </c>
    </row>
    <row r="270" spans="1:18" x14ac:dyDescent="0.25">
      <c r="A270">
        <v>100019</v>
      </c>
      <c r="B270" t="s">
        <v>0</v>
      </c>
      <c r="D270" s="1"/>
      <c r="E270" s="1"/>
      <c r="F270">
        <v>33</v>
      </c>
      <c r="G270">
        <v>43</v>
      </c>
      <c r="H270" s="1">
        <v>43922</v>
      </c>
      <c r="I270" s="1">
        <v>44378</v>
      </c>
      <c r="J270">
        <v>15</v>
      </c>
      <c r="K270">
        <v>0</v>
      </c>
      <c r="L270" s="1">
        <v>44317</v>
      </c>
      <c r="M270">
        <v>330</v>
      </c>
      <c r="N270" s="8" cm="1">
        <f t="array" ref="N270">_xlfn.SWITCH(Sales[[#This Row],[Subscription Type]],"Basic",10,"Premium",10,"Business",25,"Enterprise",27)</f>
        <v>10</v>
      </c>
      <c r="O270">
        <f>IF(Sales[[#This Row],[Number of Users]]-Sales[[#This Row],[Licenses Bought]]&lt;0,0,Sales[[#This Row],[Number of Users]]-Sales[[#This Row],[Licenses Bought]])</f>
        <v>10</v>
      </c>
      <c r="P270" s="8">
        <f>IF(Sales[[#This Row],[Sales Month]]=MAX(Sales[Sales Month]),Sales[[#This Row],[Non-Paying Users]]*Sales[[#This Row],[Upsell $ per Non-Paying User]],0)</f>
        <v>0</v>
      </c>
      <c r="Q270" t="str" cm="1">
        <f t="array" ref="Q270">_xlfn.IFS(Sales[[#This Row],[Current Upsell $]]=0,"",Sales[[#This Row],[Current Upsell $]]&gt;=400,"High",Sales[[#This Row],[Current Upsell $]]&gt;=100,"Medium",Sales[[#This Row],[Current Upsell $]]&lt;100,"Low")</f>
        <v/>
      </c>
      <c r="R270" t="str">
        <f>IF(Sales[[#This Row],[Current Upsell $]]&gt;0,_xlfn.CONCAT(Sales[[#This Row],[Subscription Type]]," ",Sales[[#This Row],[Upsell Priority]]," ",TEXT(Sales[[#This Row],[Current Upsell $]],"$#,#")),"")</f>
        <v/>
      </c>
    </row>
    <row r="271" spans="1:18" x14ac:dyDescent="0.25">
      <c r="A271">
        <v>100019</v>
      </c>
      <c r="B271" t="s">
        <v>0</v>
      </c>
      <c r="D271" s="1"/>
      <c r="E271" s="1"/>
      <c r="F271">
        <v>33</v>
      </c>
      <c r="G271">
        <v>44</v>
      </c>
      <c r="H271" s="1">
        <v>43922</v>
      </c>
      <c r="I271" s="1">
        <v>44378</v>
      </c>
      <c r="J271">
        <v>15</v>
      </c>
      <c r="K271">
        <v>0</v>
      </c>
      <c r="L271" s="1">
        <v>44348</v>
      </c>
      <c r="M271">
        <v>330</v>
      </c>
      <c r="N271" s="8" cm="1">
        <f t="array" ref="N271">_xlfn.SWITCH(Sales[[#This Row],[Subscription Type]],"Basic",10,"Premium",10,"Business",25,"Enterprise",27)</f>
        <v>10</v>
      </c>
      <c r="O271">
        <f>IF(Sales[[#This Row],[Number of Users]]-Sales[[#This Row],[Licenses Bought]]&lt;0,0,Sales[[#This Row],[Number of Users]]-Sales[[#This Row],[Licenses Bought]])</f>
        <v>11</v>
      </c>
      <c r="P271" s="8">
        <f>IF(Sales[[#This Row],[Sales Month]]=MAX(Sales[Sales Month]),Sales[[#This Row],[Non-Paying Users]]*Sales[[#This Row],[Upsell $ per Non-Paying User]],0)</f>
        <v>110</v>
      </c>
      <c r="Q271" t="str" cm="1">
        <f t="array" ref="Q271">_xlfn.IFS(Sales[[#This Row],[Current Upsell $]]=0,"",Sales[[#This Row],[Current Upsell $]]&gt;=400,"High",Sales[[#This Row],[Current Upsell $]]&gt;=100,"Medium",Sales[[#This Row],[Current Upsell $]]&lt;100,"Low")</f>
        <v>Medium</v>
      </c>
      <c r="R271" t="str">
        <f>IF(Sales[[#This Row],[Current Upsell $]]&gt;0,_xlfn.CONCAT(Sales[[#This Row],[Subscription Type]]," ",Sales[[#This Row],[Upsell Priority]]," ",TEXT(Sales[[#This Row],[Current Upsell $]],"$#,#")),"")</f>
        <v>Premium Medium $110</v>
      </c>
    </row>
    <row r="272" spans="1:18" x14ac:dyDescent="0.25">
      <c r="A272">
        <v>100020</v>
      </c>
      <c r="B272" t="s">
        <v>3</v>
      </c>
      <c r="D272" s="1"/>
      <c r="E272" s="1"/>
      <c r="F272">
        <v>0</v>
      </c>
      <c r="G272">
        <v>14</v>
      </c>
      <c r="H272" s="1">
        <v>43922</v>
      </c>
      <c r="I272" s="1">
        <v>44378</v>
      </c>
      <c r="J272">
        <v>15</v>
      </c>
      <c r="K272">
        <v>0</v>
      </c>
      <c r="L272" s="1">
        <v>43922</v>
      </c>
      <c r="M272">
        <v>0</v>
      </c>
      <c r="N272" s="8" cm="1">
        <f t="array" ref="N272">_xlfn.SWITCH(Sales[[#This Row],[Subscription Type]],"Basic",10,"Premium",10,"Business",25,"Enterprise",27)</f>
        <v>10</v>
      </c>
      <c r="O272">
        <f>IF(Sales[[#This Row],[Number of Users]]-Sales[[#This Row],[Licenses Bought]]&lt;0,0,Sales[[#This Row],[Number of Users]]-Sales[[#This Row],[Licenses Bought]])</f>
        <v>14</v>
      </c>
      <c r="P272" s="8">
        <f>IF(Sales[[#This Row],[Sales Month]]=MAX(Sales[Sales Month]),Sales[[#This Row],[Non-Paying Users]]*Sales[[#This Row],[Upsell $ per Non-Paying User]],0)</f>
        <v>0</v>
      </c>
      <c r="Q272" t="str" cm="1">
        <f t="array" ref="Q272">_xlfn.IFS(Sales[[#This Row],[Current Upsell $]]=0,"",Sales[[#This Row],[Current Upsell $]]&gt;=400,"High",Sales[[#This Row],[Current Upsell $]]&gt;=100,"Medium",Sales[[#This Row],[Current Upsell $]]&lt;100,"Low")</f>
        <v/>
      </c>
      <c r="R272" t="str">
        <f>IF(Sales[[#This Row],[Current Upsell $]]&gt;0,_xlfn.CONCAT(Sales[[#This Row],[Subscription Type]]," ",Sales[[#This Row],[Upsell Priority]]," ",TEXT(Sales[[#This Row],[Current Upsell $]],"$#,#")),"")</f>
        <v/>
      </c>
    </row>
    <row r="273" spans="1:18" x14ac:dyDescent="0.25">
      <c r="A273">
        <v>100020</v>
      </c>
      <c r="B273" t="s">
        <v>0</v>
      </c>
      <c r="D273" s="1"/>
      <c r="E273" s="1"/>
      <c r="F273">
        <v>11</v>
      </c>
      <c r="G273">
        <v>15</v>
      </c>
      <c r="H273" s="1">
        <v>43922</v>
      </c>
      <c r="I273" s="1">
        <v>44378</v>
      </c>
      <c r="J273">
        <v>15</v>
      </c>
      <c r="K273">
        <v>0</v>
      </c>
      <c r="L273" s="1">
        <v>43952</v>
      </c>
      <c r="M273">
        <v>110</v>
      </c>
      <c r="N273" s="8" cm="1">
        <f t="array" ref="N273">_xlfn.SWITCH(Sales[[#This Row],[Subscription Type]],"Basic",10,"Premium",10,"Business",25,"Enterprise",27)</f>
        <v>10</v>
      </c>
      <c r="O273">
        <f>IF(Sales[[#This Row],[Number of Users]]-Sales[[#This Row],[Licenses Bought]]&lt;0,0,Sales[[#This Row],[Number of Users]]-Sales[[#This Row],[Licenses Bought]])</f>
        <v>4</v>
      </c>
      <c r="P273" s="8">
        <f>IF(Sales[[#This Row],[Sales Month]]=MAX(Sales[Sales Month]),Sales[[#This Row],[Non-Paying Users]]*Sales[[#This Row],[Upsell $ per Non-Paying User]],0)</f>
        <v>0</v>
      </c>
      <c r="Q273" t="str" cm="1">
        <f t="array" ref="Q273">_xlfn.IFS(Sales[[#This Row],[Current Upsell $]]=0,"",Sales[[#This Row],[Current Upsell $]]&gt;=400,"High",Sales[[#This Row],[Current Upsell $]]&gt;=100,"Medium",Sales[[#This Row],[Current Upsell $]]&lt;100,"Low")</f>
        <v/>
      </c>
      <c r="R273" t="str">
        <f>IF(Sales[[#This Row],[Current Upsell $]]&gt;0,_xlfn.CONCAT(Sales[[#This Row],[Subscription Type]]," ",Sales[[#This Row],[Upsell Priority]]," ",TEXT(Sales[[#This Row],[Current Upsell $]],"$#,#")),"")</f>
        <v/>
      </c>
    </row>
    <row r="274" spans="1:18" x14ac:dyDescent="0.25">
      <c r="A274">
        <v>100020</v>
      </c>
      <c r="B274" t="s">
        <v>0</v>
      </c>
      <c r="D274" s="1"/>
      <c r="E274" s="1"/>
      <c r="F274">
        <v>10</v>
      </c>
      <c r="G274">
        <v>17</v>
      </c>
      <c r="H274" s="1">
        <v>43922</v>
      </c>
      <c r="I274" s="1">
        <v>44378</v>
      </c>
      <c r="J274">
        <v>15</v>
      </c>
      <c r="K274">
        <v>0</v>
      </c>
      <c r="L274" s="1">
        <v>43983</v>
      </c>
      <c r="M274">
        <v>100</v>
      </c>
      <c r="N274" s="8" cm="1">
        <f t="array" ref="N274">_xlfn.SWITCH(Sales[[#This Row],[Subscription Type]],"Basic",10,"Premium",10,"Business",25,"Enterprise",27)</f>
        <v>10</v>
      </c>
      <c r="O274">
        <f>IF(Sales[[#This Row],[Number of Users]]-Sales[[#This Row],[Licenses Bought]]&lt;0,0,Sales[[#This Row],[Number of Users]]-Sales[[#This Row],[Licenses Bought]])</f>
        <v>7</v>
      </c>
      <c r="P274" s="8">
        <f>IF(Sales[[#This Row],[Sales Month]]=MAX(Sales[Sales Month]),Sales[[#This Row],[Non-Paying Users]]*Sales[[#This Row],[Upsell $ per Non-Paying User]],0)</f>
        <v>0</v>
      </c>
      <c r="Q274" t="str" cm="1">
        <f t="array" ref="Q274">_xlfn.IFS(Sales[[#This Row],[Current Upsell $]]=0,"",Sales[[#This Row],[Current Upsell $]]&gt;=400,"High",Sales[[#This Row],[Current Upsell $]]&gt;=100,"Medium",Sales[[#This Row],[Current Upsell $]]&lt;100,"Low")</f>
        <v/>
      </c>
      <c r="R274" t="str">
        <f>IF(Sales[[#This Row],[Current Upsell $]]&gt;0,_xlfn.CONCAT(Sales[[#This Row],[Subscription Type]]," ",Sales[[#This Row],[Upsell Priority]]," ",TEXT(Sales[[#This Row],[Current Upsell $]],"$#,#")),"")</f>
        <v/>
      </c>
    </row>
    <row r="275" spans="1:18" x14ac:dyDescent="0.25">
      <c r="A275">
        <v>100020</v>
      </c>
      <c r="B275" t="s">
        <v>0</v>
      </c>
      <c r="D275" s="1"/>
      <c r="E275" s="1"/>
      <c r="F275">
        <v>12</v>
      </c>
      <c r="G275">
        <v>17</v>
      </c>
      <c r="H275" s="1">
        <v>43922</v>
      </c>
      <c r="I275" s="1">
        <v>44378</v>
      </c>
      <c r="J275">
        <v>15</v>
      </c>
      <c r="K275">
        <v>0</v>
      </c>
      <c r="L275" s="1">
        <v>44013</v>
      </c>
      <c r="M275">
        <v>120</v>
      </c>
      <c r="N275" s="8" cm="1">
        <f t="array" ref="N275">_xlfn.SWITCH(Sales[[#This Row],[Subscription Type]],"Basic",10,"Premium",10,"Business",25,"Enterprise",27)</f>
        <v>10</v>
      </c>
      <c r="O275">
        <f>IF(Sales[[#This Row],[Number of Users]]-Sales[[#This Row],[Licenses Bought]]&lt;0,0,Sales[[#This Row],[Number of Users]]-Sales[[#This Row],[Licenses Bought]])</f>
        <v>5</v>
      </c>
      <c r="P275" s="8">
        <f>IF(Sales[[#This Row],[Sales Month]]=MAX(Sales[Sales Month]),Sales[[#This Row],[Non-Paying Users]]*Sales[[#This Row],[Upsell $ per Non-Paying User]],0)</f>
        <v>0</v>
      </c>
      <c r="Q275" t="str" cm="1">
        <f t="array" ref="Q275">_xlfn.IFS(Sales[[#This Row],[Current Upsell $]]=0,"",Sales[[#This Row],[Current Upsell $]]&gt;=400,"High",Sales[[#This Row],[Current Upsell $]]&gt;=100,"Medium",Sales[[#This Row],[Current Upsell $]]&lt;100,"Low")</f>
        <v/>
      </c>
      <c r="R275" t="str">
        <f>IF(Sales[[#This Row],[Current Upsell $]]&gt;0,_xlfn.CONCAT(Sales[[#This Row],[Subscription Type]]," ",Sales[[#This Row],[Upsell Priority]]," ",TEXT(Sales[[#This Row],[Current Upsell $]],"$#,#")),"")</f>
        <v/>
      </c>
    </row>
    <row r="276" spans="1:18" x14ac:dyDescent="0.25">
      <c r="A276">
        <v>100020</v>
      </c>
      <c r="B276" t="s">
        <v>0</v>
      </c>
      <c r="D276" s="1"/>
      <c r="E276" s="1"/>
      <c r="F276">
        <v>12</v>
      </c>
      <c r="G276">
        <v>16</v>
      </c>
      <c r="H276" s="1">
        <v>43922</v>
      </c>
      <c r="I276" s="1">
        <v>44378</v>
      </c>
      <c r="J276">
        <v>15</v>
      </c>
      <c r="K276">
        <v>0</v>
      </c>
      <c r="L276" s="1">
        <v>44044</v>
      </c>
      <c r="M276">
        <v>120</v>
      </c>
      <c r="N276" s="8" cm="1">
        <f t="array" ref="N276">_xlfn.SWITCH(Sales[[#This Row],[Subscription Type]],"Basic",10,"Premium",10,"Business",25,"Enterprise",27)</f>
        <v>10</v>
      </c>
      <c r="O276">
        <f>IF(Sales[[#This Row],[Number of Users]]-Sales[[#This Row],[Licenses Bought]]&lt;0,0,Sales[[#This Row],[Number of Users]]-Sales[[#This Row],[Licenses Bought]])</f>
        <v>4</v>
      </c>
      <c r="P276" s="8">
        <f>IF(Sales[[#This Row],[Sales Month]]=MAX(Sales[Sales Month]),Sales[[#This Row],[Non-Paying Users]]*Sales[[#This Row],[Upsell $ per Non-Paying User]],0)</f>
        <v>0</v>
      </c>
      <c r="Q276" t="str" cm="1">
        <f t="array" ref="Q276">_xlfn.IFS(Sales[[#This Row],[Current Upsell $]]=0,"",Sales[[#This Row],[Current Upsell $]]&gt;=400,"High",Sales[[#This Row],[Current Upsell $]]&gt;=100,"Medium",Sales[[#This Row],[Current Upsell $]]&lt;100,"Low")</f>
        <v/>
      </c>
      <c r="R276" t="str">
        <f>IF(Sales[[#This Row],[Current Upsell $]]&gt;0,_xlfn.CONCAT(Sales[[#This Row],[Subscription Type]]," ",Sales[[#This Row],[Upsell Priority]]," ",TEXT(Sales[[#This Row],[Current Upsell $]],"$#,#")),"")</f>
        <v/>
      </c>
    </row>
    <row r="277" spans="1:18" x14ac:dyDescent="0.25">
      <c r="A277">
        <v>100020</v>
      </c>
      <c r="B277" t="s">
        <v>0</v>
      </c>
      <c r="D277" s="1"/>
      <c r="E277" s="1"/>
      <c r="F277">
        <v>12</v>
      </c>
      <c r="G277">
        <v>17</v>
      </c>
      <c r="H277" s="1">
        <v>43922</v>
      </c>
      <c r="I277" s="1">
        <v>44378</v>
      </c>
      <c r="J277">
        <v>15</v>
      </c>
      <c r="K277">
        <v>0</v>
      </c>
      <c r="L277" s="1">
        <v>44075</v>
      </c>
      <c r="M277">
        <v>120</v>
      </c>
      <c r="N277" s="8" cm="1">
        <f t="array" ref="N277">_xlfn.SWITCH(Sales[[#This Row],[Subscription Type]],"Basic",10,"Premium",10,"Business",25,"Enterprise",27)</f>
        <v>10</v>
      </c>
      <c r="O277">
        <f>IF(Sales[[#This Row],[Number of Users]]-Sales[[#This Row],[Licenses Bought]]&lt;0,0,Sales[[#This Row],[Number of Users]]-Sales[[#This Row],[Licenses Bought]])</f>
        <v>5</v>
      </c>
      <c r="P277" s="8">
        <f>IF(Sales[[#This Row],[Sales Month]]=MAX(Sales[Sales Month]),Sales[[#This Row],[Non-Paying Users]]*Sales[[#This Row],[Upsell $ per Non-Paying User]],0)</f>
        <v>0</v>
      </c>
      <c r="Q277" t="str" cm="1">
        <f t="array" ref="Q277">_xlfn.IFS(Sales[[#This Row],[Current Upsell $]]=0,"",Sales[[#This Row],[Current Upsell $]]&gt;=400,"High",Sales[[#This Row],[Current Upsell $]]&gt;=100,"Medium",Sales[[#This Row],[Current Upsell $]]&lt;100,"Low")</f>
        <v/>
      </c>
      <c r="R277" t="str">
        <f>IF(Sales[[#This Row],[Current Upsell $]]&gt;0,_xlfn.CONCAT(Sales[[#This Row],[Subscription Type]]," ",Sales[[#This Row],[Upsell Priority]]," ",TEXT(Sales[[#This Row],[Current Upsell $]],"$#,#")),"")</f>
        <v/>
      </c>
    </row>
    <row r="278" spans="1:18" x14ac:dyDescent="0.25">
      <c r="A278">
        <v>100020</v>
      </c>
      <c r="B278" t="s">
        <v>0</v>
      </c>
      <c r="D278" s="1"/>
      <c r="E278" s="1"/>
      <c r="F278">
        <v>12</v>
      </c>
      <c r="G278">
        <v>17</v>
      </c>
      <c r="H278" s="1">
        <v>43922</v>
      </c>
      <c r="I278" s="1">
        <v>44378</v>
      </c>
      <c r="J278">
        <v>15</v>
      </c>
      <c r="K278">
        <v>0</v>
      </c>
      <c r="L278" s="1">
        <v>44105</v>
      </c>
      <c r="M278">
        <v>120</v>
      </c>
      <c r="N278" s="8" cm="1">
        <f t="array" ref="N278">_xlfn.SWITCH(Sales[[#This Row],[Subscription Type]],"Basic",10,"Premium",10,"Business",25,"Enterprise",27)</f>
        <v>10</v>
      </c>
      <c r="O278">
        <f>IF(Sales[[#This Row],[Number of Users]]-Sales[[#This Row],[Licenses Bought]]&lt;0,0,Sales[[#This Row],[Number of Users]]-Sales[[#This Row],[Licenses Bought]])</f>
        <v>5</v>
      </c>
      <c r="P278" s="8">
        <f>IF(Sales[[#This Row],[Sales Month]]=MAX(Sales[Sales Month]),Sales[[#This Row],[Non-Paying Users]]*Sales[[#This Row],[Upsell $ per Non-Paying User]],0)</f>
        <v>0</v>
      </c>
      <c r="Q278" t="str" cm="1">
        <f t="array" ref="Q278">_xlfn.IFS(Sales[[#This Row],[Current Upsell $]]=0,"",Sales[[#This Row],[Current Upsell $]]&gt;=400,"High",Sales[[#This Row],[Current Upsell $]]&gt;=100,"Medium",Sales[[#This Row],[Current Upsell $]]&lt;100,"Low")</f>
        <v/>
      </c>
      <c r="R278" t="str">
        <f>IF(Sales[[#This Row],[Current Upsell $]]&gt;0,_xlfn.CONCAT(Sales[[#This Row],[Subscription Type]]," ",Sales[[#This Row],[Upsell Priority]]," ",TEXT(Sales[[#This Row],[Current Upsell $]],"$#,#")),"")</f>
        <v/>
      </c>
    </row>
    <row r="279" spans="1:18" x14ac:dyDescent="0.25">
      <c r="A279">
        <v>100020</v>
      </c>
      <c r="B279" t="s">
        <v>0</v>
      </c>
      <c r="D279" s="1"/>
      <c r="E279" s="1"/>
      <c r="F279">
        <v>12</v>
      </c>
      <c r="G279">
        <v>16</v>
      </c>
      <c r="H279" s="1">
        <v>43922</v>
      </c>
      <c r="I279" s="1">
        <v>44378</v>
      </c>
      <c r="J279">
        <v>15</v>
      </c>
      <c r="K279">
        <v>0</v>
      </c>
      <c r="L279" s="1">
        <v>44136</v>
      </c>
      <c r="M279">
        <v>120</v>
      </c>
      <c r="N279" s="8" cm="1">
        <f t="array" ref="N279">_xlfn.SWITCH(Sales[[#This Row],[Subscription Type]],"Basic",10,"Premium",10,"Business",25,"Enterprise",27)</f>
        <v>10</v>
      </c>
      <c r="O279">
        <f>IF(Sales[[#This Row],[Number of Users]]-Sales[[#This Row],[Licenses Bought]]&lt;0,0,Sales[[#This Row],[Number of Users]]-Sales[[#This Row],[Licenses Bought]])</f>
        <v>4</v>
      </c>
      <c r="P279" s="8">
        <f>IF(Sales[[#This Row],[Sales Month]]=MAX(Sales[Sales Month]),Sales[[#This Row],[Non-Paying Users]]*Sales[[#This Row],[Upsell $ per Non-Paying User]],0)</f>
        <v>0</v>
      </c>
      <c r="Q279" t="str" cm="1">
        <f t="array" ref="Q279">_xlfn.IFS(Sales[[#This Row],[Current Upsell $]]=0,"",Sales[[#This Row],[Current Upsell $]]&gt;=400,"High",Sales[[#This Row],[Current Upsell $]]&gt;=100,"Medium",Sales[[#This Row],[Current Upsell $]]&lt;100,"Low")</f>
        <v/>
      </c>
      <c r="R279" t="str">
        <f>IF(Sales[[#This Row],[Current Upsell $]]&gt;0,_xlfn.CONCAT(Sales[[#This Row],[Subscription Type]]," ",Sales[[#This Row],[Upsell Priority]]," ",TEXT(Sales[[#This Row],[Current Upsell $]],"$#,#")),"")</f>
        <v/>
      </c>
    </row>
    <row r="280" spans="1:18" x14ac:dyDescent="0.25">
      <c r="A280">
        <v>100020</v>
      </c>
      <c r="B280" t="s">
        <v>0</v>
      </c>
      <c r="D280" s="1"/>
      <c r="E280" s="1"/>
      <c r="F280">
        <v>12</v>
      </c>
      <c r="G280">
        <v>12</v>
      </c>
      <c r="H280" s="1">
        <v>43922</v>
      </c>
      <c r="I280" s="1">
        <v>44378</v>
      </c>
      <c r="J280">
        <v>15</v>
      </c>
      <c r="K280">
        <v>0</v>
      </c>
      <c r="L280" s="1">
        <v>44166</v>
      </c>
      <c r="M280">
        <v>120</v>
      </c>
      <c r="N280" s="8" cm="1">
        <f t="array" ref="N280">_xlfn.SWITCH(Sales[[#This Row],[Subscription Type]],"Basic",10,"Premium",10,"Business",25,"Enterprise",27)</f>
        <v>10</v>
      </c>
      <c r="O280">
        <f>IF(Sales[[#This Row],[Number of Users]]-Sales[[#This Row],[Licenses Bought]]&lt;0,0,Sales[[#This Row],[Number of Users]]-Sales[[#This Row],[Licenses Bought]])</f>
        <v>0</v>
      </c>
      <c r="P280" s="8">
        <f>IF(Sales[[#This Row],[Sales Month]]=MAX(Sales[Sales Month]),Sales[[#This Row],[Non-Paying Users]]*Sales[[#This Row],[Upsell $ per Non-Paying User]],0)</f>
        <v>0</v>
      </c>
      <c r="Q280" t="str" cm="1">
        <f t="array" ref="Q280">_xlfn.IFS(Sales[[#This Row],[Current Upsell $]]=0,"",Sales[[#This Row],[Current Upsell $]]&gt;=400,"High",Sales[[#This Row],[Current Upsell $]]&gt;=100,"Medium",Sales[[#This Row],[Current Upsell $]]&lt;100,"Low")</f>
        <v/>
      </c>
      <c r="R280" t="str">
        <f>IF(Sales[[#This Row],[Current Upsell $]]&gt;0,_xlfn.CONCAT(Sales[[#This Row],[Subscription Type]]," ",Sales[[#This Row],[Upsell Priority]]," ",TEXT(Sales[[#This Row],[Current Upsell $]],"$#,#")),"")</f>
        <v/>
      </c>
    </row>
    <row r="281" spans="1:18" x14ac:dyDescent="0.25">
      <c r="A281">
        <v>100020</v>
      </c>
      <c r="B281" t="s">
        <v>0</v>
      </c>
      <c r="D281" s="1"/>
      <c r="E281" s="1"/>
      <c r="F281">
        <v>12</v>
      </c>
      <c r="G281">
        <v>12</v>
      </c>
      <c r="H281" s="1">
        <v>43922</v>
      </c>
      <c r="I281" s="1">
        <v>44378</v>
      </c>
      <c r="J281">
        <v>15</v>
      </c>
      <c r="K281">
        <v>0</v>
      </c>
      <c r="L281" s="1">
        <v>44197</v>
      </c>
      <c r="M281">
        <v>120</v>
      </c>
      <c r="N281" s="8" cm="1">
        <f t="array" ref="N281">_xlfn.SWITCH(Sales[[#This Row],[Subscription Type]],"Basic",10,"Premium",10,"Business",25,"Enterprise",27)</f>
        <v>10</v>
      </c>
      <c r="O281">
        <f>IF(Sales[[#This Row],[Number of Users]]-Sales[[#This Row],[Licenses Bought]]&lt;0,0,Sales[[#This Row],[Number of Users]]-Sales[[#This Row],[Licenses Bought]])</f>
        <v>0</v>
      </c>
      <c r="P281" s="8">
        <f>IF(Sales[[#This Row],[Sales Month]]=MAX(Sales[Sales Month]),Sales[[#This Row],[Non-Paying Users]]*Sales[[#This Row],[Upsell $ per Non-Paying User]],0)</f>
        <v>0</v>
      </c>
      <c r="Q281" t="str" cm="1">
        <f t="array" ref="Q281">_xlfn.IFS(Sales[[#This Row],[Current Upsell $]]=0,"",Sales[[#This Row],[Current Upsell $]]&gt;=400,"High",Sales[[#This Row],[Current Upsell $]]&gt;=100,"Medium",Sales[[#This Row],[Current Upsell $]]&lt;100,"Low")</f>
        <v/>
      </c>
      <c r="R281" t="str">
        <f>IF(Sales[[#This Row],[Current Upsell $]]&gt;0,_xlfn.CONCAT(Sales[[#This Row],[Subscription Type]]," ",Sales[[#This Row],[Upsell Priority]]," ",TEXT(Sales[[#This Row],[Current Upsell $]],"$#,#")),"")</f>
        <v/>
      </c>
    </row>
    <row r="282" spans="1:18" x14ac:dyDescent="0.25">
      <c r="A282">
        <v>100020</v>
      </c>
      <c r="B282" t="s">
        <v>0</v>
      </c>
      <c r="D282" s="1"/>
      <c r="E282" s="1"/>
      <c r="F282">
        <v>12</v>
      </c>
      <c r="G282">
        <v>15</v>
      </c>
      <c r="H282" s="1">
        <v>43922</v>
      </c>
      <c r="I282" s="1">
        <v>44378</v>
      </c>
      <c r="J282">
        <v>15</v>
      </c>
      <c r="K282">
        <v>0</v>
      </c>
      <c r="L282" s="1">
        <v>44228</v>
      </c>
      <c r="M282">
        <v>120</v>
      </c>
      <c r="N282" s="8" cm="1">
        <f t="array" ref="N282">_xlfn.SWITCH(Sales[[#This Row],[Subscription Type]],"Basic",10,"Premium",10,"Business",25,"Enterprise",27)</f>
        <v>10</v>
      </c>
      <c r="O282">
        <f>IF(Sales[[#This Row],[Number of Users]]-Sales[[#This Row],[Licenses Bought]]&lt;0,0,Sales[[#This Row],[Number of Users]]-Sales[[#This Row],[Licenses Bought]])</f>
        <v>3</v>
      </c>
      <c r="P282" s="8">
        <f>IF(Sales[[#This Row],[Sales Month]]=MAX(Sales[Sales Month]),Sales[[#This Row],[Non-Paying Users]]*Sales[[#This Row],[Upsell $ per Non-Paying User]],0)</f>
        <v>0</v>
      </c>
      <c r="Q282" t="str" cm="1">
        <f t="array" ref="Q282">_xlfn.IFS(Sales[[#This Row],[Current Upsell $]]=0,"",Sales[[#This Row],[Current Upsell $]]&gt;=400,"High",Sales[[#This Row],[Current Upsell $]]&gt;=100,"Medium",Sales[[#This Row],[Current Upsell $]]&lt;100,"Low")</f>
        <v/>
      </c>
      <c r="R282" t="str">
        <f>IF(Sales[[#This Row],[Current Upsell $]]&gt;0,_xlfn.CONCAT(Sales[[#This Row],[Subscription Type]]," ",Sales[[#This Row],[Upsell Priority]]," ",TEXT(Sales[[#This Row],[Current Upsell $]],"$#,#")),"")</f>
        <v/>
      </c>
    </row>
    <row r="283" spans="1:18" x14ac:dyDescent="0.25">
      <c r="A283">
        <v>100020</v>
      </c>
      <c r="B283" t="s">
        <v>0</v>
      </c>
      <c r="D283" s="1"/>
      <c r="E283" s="1"/>
      <c r="F283">
        <v>12</v>
      </c>
      <c r="G283">
        <v>15</v>
      </c>
      <c r="H283" s="1">
        <v>43922</v>
      </c>
      <c r="I283" s="1">
        <v>44378</v>
      </c>
      <c r="J283">
        <v>15</v>
      </c>
      <c r="K283">
        <v>0</v>
      </c>
      <c r="L283" s="1">
        <v>44256</v>
      </c>
      <c r="M283">
        <v>120</v>
      </c>
      <c r="N283" s="8" cm="1">
        <f t="array" ref="N283">_xlfn.SWITCH(Sales[[#This Row],[Subscription Type]],"Basic",10,"Premium",10,"Business",25,"Enterprise",27)</f>
        <v>10</v>
      </c>
      <c r="O283">
        <f>IF(Sales[[#This Row],[Number of Users]]-Sales[[#This Row],[Licenses Bought]]&lt;0,0,Sales[[#This Row],[Number of Users]]-Sales[[#This Row],[Licenses Bought]])</f>
        <v>3</v>
      </c>
      <c r="P283" s="8">
        <f>IF(Sales[[#This Row],[Sales Month]]=MAX(Sales[Sales Month]),Sales[[#This Row],[Non-Paying Users]]*Sales[[#This Row],[Upsell $ per Non-Paying User]],0)</f>
        <v>0</v>
      </c>
      <c r="Q283" t="str" cm="1">
        <f t="array" ref="Q283">_xlfn.IFS(Sales[[#This Row],[Current Upsell $]]=0,"",Sales[[#This Row],[Current Upsell $]]&gt;=400,"High",Sales[[#This Row],[Current Upsell $]]&gt;=100,"Medium",Sales[[#This Row],[Current Upsell $]]&lt;100,"Low")</f>
        <v/>
      </c>
      <c r="R283" t="str">
        <f>IF(Sales[[#This Row],[Current Upsell $]]&gt;0,_xlfn.CONCAT(Sales[[#This Row],[Subscription Type]]," ",Sales[[#This Row],[Upsell Priority]]," ",TEXT(Sales[[#This Row],[Current Upsell $]],"$#,#")),"")</f>
        <v/>
      </c>
    </row>
    <row r="284" spans="1:18" x14ac:dyDescent="0.25">
      <c r="A284">
        <v>100020</v>
      </c>
      <c r="B284" t="s">
        <v>0</v>
      </c>
      <c r="D284" s="1"/>
      <c r="E284" s="1"/>
      <c r="F284">
        <v>12</v>
      </c>
      <c r="G284">
        <v>16</v>
      </c>
      <c r="H284" s="1">
        <v>43922</v>
      </c>
      <c r="I284" s="1">
        <v>44378</v>
      </c>
      <c r="J284">
        <v>15</v>
      </c>
      <c r="K284">
        <v>0</v>
      </c>
      <c r="L284" s="1">
        <v>44287</v>
      </c>
      <c r="M284">
        <v>120</v>
      </c>
      <c r="N284" s="8" cm="1">
        <f t="array" ref="N284">_xlfn.SWITCH(Sales[[#This Row],[Subscription Type]],"Basic",10,"Premium",10,"Business",25,"Enterprise",27)</f>
        <v>10</v>
      </c>
      <c r="O284">
        <f>IF(Sales[[#This Row],[Number of Users]]-Sales[[#This Row],[Licenses Bought]]&lt;0,0,Sales[[#This Row],[Number of Users]]-Sales[[#This Row],[Licenses Bought]])</f>
        <v>4</v>
      </c>
      <c r="P284" s="8">
        <f>IF(Sales[[#This Row],[Sales Month]]=MAX(Sales[Sales Month]),Sales[[#This Row],[Non-Paying Users]]*Sales[[#This Row],[Upsell $ per Non-Paying User]],0)</f>
        <v>0</v>
      </c>
      <c r="Q284" t="str" cm="1">
        <f t="array" ref="Q284">_xlfn.IFS(Sales[[#This Row],[Current Upsell $]]=0,"",Sales[[#This Row],[Current Upsell $]]&gt;=400,"High",Sales[[#This Row],[Current Upsell $]]&gt;=100,"Medium",Sales[[#This Row],[Current Upsell $]]&lt;100,"Low")</f>
        <v/>
      </c>
      <c r="R284" t="str">
        <f>IF(Sales[[#This Row],[Current Upsell $]]&gt;0,_xlfn.CONCAT(Sales[[#This Row],[Subscription Type]]," ",Sales[[#This Row],[Upsell Priority]]," ",TEXT(Sales[[#This Row],[Current Upsell $]],"$#,#")),"")</f>
        <v/>
      </c>
    </row>
    <row r="285" spans="1:18" x14ac:dyDescent="0.25">
      <c r="A285">
        <v>100020</v>
      </c>
      <c r="B285" t="s">
        <v>0</v>
      </c>
      <c r="D285" s="1"/>
      <c r="E285" s="1"/>
      <c r="F285">
        <v>12</v>
      </c>
      <c r="G285">
        <v>15</v>
      </c>
      <c r="H285" s="1">
        <v>43922</v>
      </c>
      <c r="I285" s="1">
        <v>44378</v>
      </c>
      <c r="J285">
        <v>15</v>
      </c>
      <c r="K285">
        <v>0</v>
      </c>
      <c r="L285" s="1">
        <v>44317</v>
      </c>
      <c r="M285">
        <v>120</v>
      </c>
      <c r="N285" s="8" cm="1">
        <f t="array" ref="N285">_xlfn.SWITCH(Sales[[#This Row],[Subscription Type]],"Basic",10,"Premium",10,"Business",25,"Enterprise",27)</f>
        <v>10</v>
      </c>
      <c r="O285">
        <f>IF(Sales[[#This Row],[Number of Users]]-Sales[[#This Row],[Licenses Bought]]&lt;0,0,Sales[[#This Row],[Number of Users]]-Sales[[#This Row],[Licenses Bought]])</f>
        <v>3</v>
      </c>
      <c r="P285" s="8">
        <f>IF(Sales[[#This Row],[Sales Month]]=MAX(Sales[Sales Month]),Sales[[#This Row],[Non-Paying Users]]*Sales[[#This Row],[Upsell $ per Non-Paying User]],0)</f>
        <v>0</v>
      </c>
      <c r="Q285" t="str" cm="1">
        <f t="array" ref="Q285">_xlfn.IFS(Sales[[#This Row],[Current Upsell $]]=0,"",Sales[[#This Row],[Current Upsell $]]&gt;=400,"High",Sales[[#This Row],[Current Upsell $]]&gt;=100,"Medium",Sales[[#This Row],[Current Upsell $]]&lt;100,"Low")</f>
        <v/>
      </c>
      <c r="R285" t="str">
        <f>IF(Sales[[#This Row],[Current Upsell $]]&gt;0,_xlfn.CONCAT(Sales[[#This Row],[Subscription Type]]," ",Sales[[#This Row],[Upsell Priority]]," ",TEXT(Sales[[#This Row],[Current Upsell $]],"$#,#")),"")</f>
        <v/>
      </c>
    </row>
    <row r="286" spans="1:18" x14ac:dyDescent="0.25">
      <c r="A286">
        <v>100020</v>
      </c>
      <c r="B286" t="s">
        <v>0</v>
      </c>
      <c r="D286" s="1"/>
      <c r="E286" s="1"/>
      <c r="F286">
        <v>12</v>
      </c>
      <c r="G286">
        <v>16</v>
      </c>
      <c r="H286" s="1">
        <v>43922</v>
      </c>
      <c r="I286" s="1">
        <v>44378</v>
      </c>
      <c r="J286">
        <v>15</v>
      </c>
      <c r="K286">
        <v>0</v>
      </c>
      <c r="L286" s="1">
        <v>44348</v>
      </c>
      <c r="M286">
        <v>120</v>
      </c>
      <c r="N286" s="8" cm="1">
        <f t="array" ref="N286">_xlfn.SWITCH(Sales[[#This Row],[Subscription Type]],"Basic",10,"Premium",10,"Business",25,"Enterprise",27)</f>
        <v>10</v>
      </c>
      <c r="O286">
        <f>IF(Sales[[#This Row],[Number of Users]]-Sales[[#This Row],[Licenses Bought]]&lt;0,0,Sales[[#This Row],[Number of Users]]-Sales[[#This Row],[Licenses Bought]])</f>
        <v>4</v>
      </c>
      <c r="P286" s="8">
        <f>IF(Sales[[#This Row],[Sales Month]]=MAX(Sales[Sales Month]),Sales[[#This Row],[Non-Paying Users]]*Sales[[#This Row],[Upsell $ per Non-Paying User]],0)</f>
        <v>40</v>
      </c>
      <c r="Q286" t="str" cm="1">
        <f t="array" ref="Q286">_xlfn.IFS(Sales[[#This Row],[Current Upsell $]]=0,"",Sales[[#This Row],[Current Upsell $]]&gt;=400,"High",Sales[[#This Row],[Current Upsell $]]&gt;=100,"Medium",Sales[[#This Row],[Current Upsell $]]&lt;100,"Low")</f>
        <v>Low</v>
      </c>
      <c r="R286" t="str">
        <f>IF(Sales[[#This Row],[Current Upsell $]]&gt;0,_xlfn.CONCAT(Sales[[#This Row],[Subscription Type]]," ",Sales[[#This Row],[Upsell Priority]]," ",TEXT(Sales[[#This Row],[Current Upsell $]],"$#,#")),"")</f>
        <v>Premium Low $40</v>
      </c>
    </row>
    <row r="287" spans="1:18" x14ac:dyDescent="0.25">
      <c r="A287">
        <v>100021</v>
      </c>
      <c r="B287" t="s">
        <v>3</v>
      </c>
      <c r="F287">
        <v>0</v>
      </c>
      <c r="G287">
        <v>15</v>
      </c>
      <c r="H287" s="1">
        <v>43922</v>
      </c>
      <c r="I287" s="1">
        <v>44136</v>
      </c>
      <c r="J287">
        <v>7</v>
      </c>
      <c r="K287">
        <v>7</v>
      </c>
      <c r="L287" s="1">
        <v>43922</v>
      </c>
      <c r="M287">
        <v>0</v>
      </c>
      <c r="N287" s="8" cm="1">
        <f t="array" ref="N287">_xlfn.SWITCH(Sales[[#This Row],[Subscription Type]],"Basic",10,"Premium",10,"Business",25,"Enterprise",27)</f>
        <v>10</v>
      </c>
      <c r="O287">
        <f>IF(Sales[[#This Row],[Number of Users]]-Sales[[#This Row],[Licenses Bought]]&lt;0,0,Sales[[#This Row],[Number of Users]]-Sales[[#This Row],[Licenses Bought]])</f>
        <v>15</v>
      </c>
      <c r="P287" s="8">
        <f>IF(Sales[[#This Row],[Sales Month]]=MAX(Sales[Sales Month]),Sales[[#This Row],[Non-Paying Users]]*Sales[[#This Row],[Upsell $ per Non-Paying User]],0)</f>
        <v>0</v>
      </c>
      <c r="Q287" t="str" cm="1">
        <f t="array" ref="Q287">_xlfn.IFS(Sales[[#This Row],[Current Upsell $]]=0,"",Sales[[#This Row],[Current Upsell $]]&gt;=400,"High",Sales[[#This Row],[Current Upsell $]]&gt;=100,"Medium",Sales[[#This Row],[Current Upsell $]]&lt;100,"Low")</f>
        <v/>
      </c>
      <c r="R287" t="str">
        <f>IF(Sales[[#This Row],[Current Upsell $]]&gt;0,_xlfn.CONCAT(Sales[[#This Row],[Subscription Type]]," ",Sales[[#This Row],[Upsell Priority]]," ",TEXT(Sales[[#This Row],[Current Upsell $]],"$#,#")),"")</f>
        <v/>
      </c>
    </row>
    <row r="288" spans="1:18" x14ac:dyDescent="0.25">
      <c r="A288">
        <v>100021</v>
      </c>
      <c r="B288" t="s">
        <v>3</v>
      </c>
      <c r="F288">
        <v>0</v>
      </c>
      <c r="G288">
        <v>14</v>
      </c>
      <c r="H288" s="1">
        <v>43922</v>
      </c>
      <c r="I288" s="1">
        <v>44136</v>
      </c>
      <c r="J288">
        <v>7</v>
      </c>
      <c r="K288">
        <v>7</v>
      </c>
      <c r="L288" s="1">
        <v>43952</v>
      </c>
      <c r="M288">
        <v>0</v>
      </c>
      <c r="N288" s="8" cm="1">
        <f t="array" ref="N288">_xlfn.SWITCH(Sales[[#This Row],[Subscription Type]],"Basic",10,"Premium",10,"Business",25,"Enterprise",27)</f>
        <v>10</v>
      </c>
      <c r="O288">
        <f>IF(Sales[[#This Row],[Number of Users]]-Sales[[#This Row],[Licenses Bought]]&lt;0,0,Sales[[#This Row],[Number of Users]]-Sales[[#This Row],[Licenses Bought]])</f>
        <v>14</v>
      </c>
      <c r="P288" s="8">
        <f>IF(Sales[[#This Row],[Sales Month]]=MAX(Sales[Sales Month]),Sales[[#This Row],[Non-Paying Users]]*Sales[[#This Row],[Upsell $ per Non-Paying User]],0)</f>
        <v>0</v>
      </c>
      <c r="Q288" t="str" cm="1">
        <f t="array" ref="Q288">_xlfn.IFS(Sales[[#This Row],[Current Upsell $]]=0,"",Sales[[#This Row],[Current Upsell $]]&gt;=400,"High",Sales[[#This Row],[Current Upsell $]]&gt;=100,"Medium",Sales[[#This Row],[Current Upsell $]]&lt;100,"Low")</f>
        <v/>
      </c>
      <c r="R288" t="str">
        <f>IF(Sales[[#This Row],[Current Upsell $]]&gt;0,_xlfn.CONCAT(Sales[[#This Row],[Subscription Type]]," ",Sales[[#This Row],[Upsell Priority]]," ",TEXT(Sales[[#This Row],[Current Upsell $]],"$#,#")),"")</f>
        <v/>
      </c>
    </row>
    <row r="289" spans="1:18" x14ac:dyDescent="0.25">
      <c r="A289">
        <v>100021</v>
      </c>
      <c r="B289" t="s">
        <v>3</v>
      </c>
      <c r="F289">
        <v>0</v>
      </c>
      <c r="G289">
        <v>15</v>
      </c>
      <c r="H289" s="1">
        <v>43922</v>
      </c>
      <c r="I289" s="1">
        <v>44136</v>
      </c>
      <c r="J289">
        <v>7</v>
      </c>
      <c r="K289">
        <v>7</v>
      </c>
      <c r="L289" s="1">
        <v>43983</v>
      </c>
      <c r="M289">
        <v>0</v>
      </c>
      <c r="N289" s="8" cm="1">
        <f t="array" ref="N289">_xlfn.SWITCH(Sales[[#This Row],[Subscription Type]],"Basic",10,"Premium",10,"Business",25,"Enterprise",27)</f>
        <v>10</v>
      </c>
      <c r="O289">
        <f>IF(Sales[[#This Row],[Number of Users]]-Sales[[#This Row],[Licenses Bought]]&lt;0,0,Sales[[#This Row],[Number of Users]]-Sales[[#This Row],[Licenses Bought]])</f>
        <v>15</v>
      </c>
      <c r="P289" s="8">
        <f>IF(Sales[[#This Row],[Sales Month]]=MAX(Sales[Sales Month]),Sales[[#This Row],[Non-Paying Users]]*Sales[[#This Row],[Upsell $ per Non-Paying User]],0)</f>
        <v>0</v>
      </c>
      <c r="Q289" t="str" cm="1">
        <f t="array" ref="Q289">_xlfn.IFS(Sales[[#This Row],[Current Upsell $]]=0,"",Sales[[#This Row],[Current Upsell $]]&gt;=400,"High",Sales[[#This Row],[Current Upsell $]]&gt;=100,"Medium",Sales[[#This Row],[Current Upsell $]]&lt;100,"Low")</f>
        <v/>
      </c>
      <c r="R289" t="str">
        <f>IF(Sales[[#This Row],[Current Upsell $]]&gt;0,_xlfn.CONCAT(Sales[[#This Row],[Subscription Type]]," ",Sales[[#This Row],[Upsell Priority]]," ",TEXT(Sales[[#This Row],[Current Upsell $]],"$#,#")),"")</f>
        <v/>
      </c>
    </row>
    <row r="290" spans="1:18" x14ac:dyDescent="0.25">
      <c r="A290">
        <v>100021</v>
      </c>
      <c r="B290" t="s">
        <v>3</v>
      </c>
      <c r="F290">
        <v>0</v>
      </c>
      <c r="G290">
        <v>14</v>
      </c>
      <c r="H290" s="1">
        <v>43922</v>
      </c>
      <c r="I290" s="1">
        <v>44136</v>
      </c>
      <c r="J290">
        <v>7</v>
      </c>
      <c r="K290">
        <v>7</v>
      </c>
      <c r="L290" s="1">
        <v>44013</v>
      </c>
      <c r="M290">
        <v>0</v>
      </c>
      <c r="N290" s="8" cm="1">
        <f t="array" ref="N290">_xlfn.SWITCH(Sales[[#This Row],[Subscription Type]],"Basic",10,"Premium",10,"Business",25,"Enterprise",27)</f>
        <v>10</v>
      </c>
      <c r="O290">
        <f>IF(Sales[[#This Row],[Number of Users]]-Sales[[#This Row],[Licenses Bought]]&lt;0,0,Sales[[#This Row],[Number of Users]]-Sales[[#This Row],[Licenses Bought]])</f>
        <v>14</v>
      </c>
      <c r="P290" s="8">
        <f>IF(Sales[[#This Row],[Sales Month]]=MAX(Sales[Sales Month]),Sales[[#This Row],[Non-Paying Users]]*Sales[[#This Row],[Upsell $ per Non-Paying User]],0)</f>
        <v>0</v>
      </c>
      <c r="Q290" t="str" cm="1">
        <f t="array" ref="Q290">_xlfn.IFS(Sales[[#This Row],[Current Upsell $]]=0,"",Sales[[#This Row],[Current Upsell $]]&gt;=400,"High",Sales[[#This Row],[Current Upsell $]]&gt;=100,"Medium",Sales[[#This Row],[Current Upsell $]]&lt;100,"Low")</f>
        <v/>
      </c>
      <c r="R290" t="str">
        <f>IF(Sales[[#This Row],[Current Upsell $]]&gt;0,_xlfn.CONCAT(Sales[[#This Row],[Subscription Type]]," ",Sales[[#This Row],[Upsell Priority]]," ",TEXT(Sales[[#This Row],[Current Upsell $]],"$#,#")),"")</f>
        <v/>
      </c>
    </row>
    <row r="291" spans="1:18" x14ac:dyDescent="0.25">
      <c r="A291">
        <v>100021</v>
      </c>
      <c r="B291" t="s">
        <v>3</v>
      </c>
      <c r="F291">
        <v>0</v>
      </c>
      <c r="G291">
        <v>13</v>
      </c>
      <c r="H291" s="1">
        <v>43922</v>
      </c>
      <c r="I291" s="1">
        <v>44136</v>
      </c>
      <c r="J291">
        <v>7</v>
      </c>
      <c r="K291">
        <v>7</v>
      </c>
      <c r="L291" s="1">
        <v>44044</v>
      </c>
      <c r="M291">
        <v>0</v>
      </c>
      <c r="N291" s="8" cm="1">
        <f t="array" ref="N291">_xlfn.SWITCH(Sales[[#This Row],[Subscription Type]],"Basic",10,"Premium",10,"Business",25,"Enterprise",27)</f>
        <v>10</v>
      </c>
      <c r="O291">
        <f>IF(Sales[[#This Row],[Number of Users]]-Sales[[#This Row],[Licenses Bought]]&lt;0,0,Sales[[#This Row],[Number of Users]]-Sales[[#This Row],[Licenses Bought]])</f>
        <v>13</v>
      </c>
      <c r="P291" s="8">
        <f>IF(Sales[[#This Row],[Sales Month]]=MAX(Sales[Sales Month]),Sales[[#This Row],[Non-Paying Users]]*Sales[[#This Row],[Upsell $ per Non-Paying User]],0)</f>
        <v>0</v>
      </c>
      <c r="Q291" t="str" cm="1">
        <f t="array" ref="Q291">_xlfn.IFS(Sales[[#This Row],[Current Upsell $]]=0,"",Sales[[#This Row],[Current Upsell $]]&gt;=400,"High",Sales[[#This Row],[Current Upsell $]]&gt;=100,"Medium",Sales[[#This Row],[Current Upsell $]]&lt;100,"Low")</f>
        <v/>
      </c>
      <c r="R291" t="str">
        <f>IF(Sales[[#This Row],[Current Upsell $]]&gt;0,_xlfn.CONCAT(Sales[[#This Row],[Subscription Type]]," ",Sales[[#This Row],[Upsell Priority]]," ",TEXT(Sales[[#This Row],[Current Upsell $]],"$#,#")),"")</f>
        <v/>
      </c>
    </row>
    <row r="292" spans="1:18" x14ac:dyDescent="0.25">
      <c r="A292">
        <v>100021</v>
      </c>
      <c r="B292" t="s">
        <v>3</v>
      </c>
      <c r="F292">
        <v>0</v>
      </c>
      <c r="G292">
        <v>13</v>
      </c>
      <c r="H292" s="1">
        <v>43922</v>
      </c>
      <c r="I292" s="1">
        <v>44136</v>
      </c>
      <c r="J292">
        <v>7</v>
      </c>
      <c r="K292">
        <v>7</v>
      </c>
      <c r="L292" s="1">
        <v>44075</v>
      </c>
      <c r="M292">
        <v>0</v>
      </c>
      <c r="N292" s="8" cm="1">
        <f t="array" ref="N292">_xlfn.SWITCH(Sales[[#This Row],[Subscription Type]],"Basic",10,"Premium",10,"Business",25,"Enterprise",27)</f>
        <v>10</v>
      </c>
      <c r="O292">
        <f>IF(Sales[[#This Row],[Number of Users]]-Sales[[#This Row],[Licenses Bought]]&lt;0,0,Sales[[#This Row],[Number of Users]]-Sales[[#This Row],[Licenses Bought]])</f>
        <v>13</v>
      </c>
      <c r="P292" s="8">
        <f>IF(Sales[[#This Row],[Sales Month]]=MAX(Sales[Sales Month]),Sales[[#This Row],[Non-Paying Users]]*Sales[[#This Row],[Upsell $ per Non-Paying User]],0)</f>
        <v>0</v>
      </c>
      <c r="Q292" t="str" cm="1">
        <f t="array" ref="Q292">_xlfn.IFS(Sales[[#This Row],[Current Upsell $]]=0,"",Sales[[#This Row],[Current Upsell $]]&gt;=400,"High",Sales[[#This Row],[Current Upsell $]]&gt;=100,"Medium",Sales[[#This Row],[Current Upsell $]]&lt;100,"Low")</f>
        <v/>
      </c>
      <c r="R292" t="str">
        <f>IF(Sales[[#This Row],[Current Upsell $]]&gt;0,_xlfn.CONCAT(Sales[[#This Row],[Subscription Type]]," ",Sales[[#This Row],[Upsell Priority]]," ",TEXT(Sales[[#This Row],[Current Upsell $]],"$#,#")),"")</f>
        <v/>
      </c>
    </row>
    <row r="293" spans="1:18" x14ac:dyDescent="0.25">
      <c r="A293">
        <v>100021</v>
      </c>
      <c r="B293" t="s">
        <v>3</v>
      </c>
      <c r="F293">
        <v>0</v>
      </c>
      <c r="G293">
        <v>9</v>
      </c>
      <c r="H293" s="1">
        <v>43922</v>
      </c>
      <c r="I293" s="1">
        <v>44136</v>
      </c>
      <c r="J293">
        <v>7</v>
      </c>
      <c r="K293">
        <v>7</v>
      </c>
      <c r="L293" s="1">
        <v>44105</v>
      </c>
      <c r="M293">
        <v>0</v>
      </c>
      <c r="N293" s="8" cm="1">
        <f t="array" ref="N293">_xlfn.SWITCH(Sales[[#This Row],[Subscription Type]],"Basic",10,"Premium",10,"Business",25,"Enterprise",27)</f>
        <v>10</v>
      </c>
      <c r="O293">
        <f>IF(Sales[[#This Row],[Number of Users]]-Sales[[#This Row],[Licenses Bought]]&lt;0,0,Sales[[#This Row],[Number of Users]]-Sales[[#This Row],[Licenses Bought]])</f>
        <v>9</v>
      </c>
      <c r="P293" s="8">
        <f>IF(Sales[[#This Row],[Sales Month]]=MAX(Sales[Sales Month]),Sales[[#This Row],[Non-Paying Users]]*Sales[[#This Row],[Upsell $ per Non-Paying User]],0)</f>
        <v>0</v>
      </c>
      <c r="Q293" t="str" cm="1">
        <f t="array" ref="Q293">_xlfn.IFS(Sales[[#This Row],[Current Upsell $]]=0,"",Sales[[#This Row],[Current Upsell $]]&gt;=400,"High",Sales[[#This Row],[Current Upsell $]]&gt;=100,"Medium",Sales[[#This Row],[Current Upsell $]]&lt;100,"Low")</f>
        <v/>
      </c>
      <c r="R293" t="str">
        <f>IF(Sales[[#This Row],[Current Upsell $]]&gt;0,_xlfn.CONCAT(Sales[[#This Row],[Subscription Type]]," ",Sales[[#This Row],[Upsell Priority]]," ",TEXT(Sales[[#This Row],[Current Upsell $]],"$#,#")),"")</f>
        <v/>
      </c>
    </row>
    <row r="294" spans="1:18" x14ac:dyDescent="0.25">
      <c r="A294">
        <v>100021</v>
      </c>
      <c r="B294" t="s">
        <v>3</v>
      </c>
      <c r="F294">
        <v>0</v>
      </c>
      <c r="G294">
        <v>14</v>
      </c>
      <c r="H294" s="1">
        <v>43922</v>
      </c>
      <c r="I294" s="1">
        <v>44136</v>
      </c>
      <c r="J294">
        <v>7</v>
      </c>
      <c r="K294">
        <v>7</v>
      </c>
      <c r="L294" s="1">
        <v>44136</v>
      </c>
      <c r="M294">
        <v>0</v>
      </c>
      <c r="N294" s="8" cm="1">
        <f t="array" ref="N294">_xlfn.SWITCH(Sales[[#This Row],[Subscription Type]],"Basic",10,"Premium",10,"Business",25,"Enterprise",27)</f>
        <v>10</v>
      </c>
      <c r="O294">
        <f>IF(Sales[[#This Row],[Number of Users]]-Sales[[#This Row],[Licenses Bought]]&lt;0,0,Sales[[#This Row],[Number of Users]]-Sales[[#This Row],[Licenses Bought]])</f>
        <v>14</v>
      </c>
      <c r="P294" s="8">
        <f>IF(Sales[[#This Row],[Sales Month]]=MAX(Sales[Sales Month]),Sales[[#This Row],[Non-Paying Users]]*Sales[[#This Row],[Upsell $ per Non-Paying User]],0)</f>
        <v>0</v>
      </c>
      <c r="Q294" t="str" cm="1">
        <f t="array" ref="Q294">_xlfn.IFS(Sales[[#This Row],[Current Upsell $]]=0,"",Sales[[#This Row],[Current Upsell $]]&gt;=400,"High",Sales[[#This Row],[Current Upsell $]]&gt;=100,"Medium",Sales[[#This Row],[Current Upsell $]]&lt;100,"Low")</f>
        <v/>
      </c>
      <c r="R294" t="str">
        <f>IF(Sales[[#This Row],[Current Upsell $]]&gt;0,_xlfn.CONCAT(Sales[[#This Row],[Subscription Type]]," ",Sales[[#This Row],[Upsell Priority]]," ",TEXT(Sales[[#This Row],[Current Upsell $]],"$#,#")),"")</f>
        <v/>
      </c>
    </row>
    <row r="295" spans="1:18" x14ac:dyDescent="0.25">
      <c r="A295">
        <v>100022</v>
      </c>
      <c r="B295" t="s">
        <v>3</v>
      </c>
      <c r="F295">
        <v>0</v>
      </c>
      <c r="G295">
        <v>13</v>
      </c>
      <c r="H295" s="1">
        <v>43922</v>
      </c>
      <c r="I295" s="1">
        <v>44075</v>
      </c>
      <c r="J295">
        <v>5</v>
      </c>
      <c r="K295">
        <v>9</v>
      </c>
      <c r="L295" s="1">
        <v>43922</v>
      </c>
      <c r="M295">
        <v>0</v>
      </c>
      <c r="N295" s="8" cm="1">
        <f t="array" ref="N295">_xlfn.SWITCH(Sales[[#This Row],[Subscription Type]],"Basic",10,"Premium",10,"Business",25,"Enterprise",27)</f>
        <v>10</v>
      </c>
      <c r="O295">
        <f>IF(Sales[[#This Row],[Number of Users]]-Sales[[#This Row],[Licenses Bought]]&lt;0,0,Sales[[#This Row],[Number of Users]]-Sales[[#This Row],[Licenses Bought]])</f>
        <v>13</v>
      </c>
      <c r="P295" s="8">
        <f>IF(Sales[[#This Row],[Sales Month]]=MAX(Sales[Sales Month]),Sales[[#This Row],[Non-Paying Users]]*Sales[[#This Row],[Upsell $ per Non-Paying User]],0)</f>
        <v>0</v>
      </c>
      <c r="Q295" t="str" cm="1">
        <f t="array" ref="Q295">_xlfn.IFS(Sales[[#This Row],[Current Upsell $]]=0,"",Sales[[#This Row],[Current Upsell $]]&gt;=400,"High",Sales[[#This Row],[Current Upsell $]]&gt;=100,"Medium",Sales[[#This Row],[Current Upsell $]]&lt;100,"Low")</f>
        <v/>
      </c>
      <c r="R295" t="str">
        <f>IF(Sales[[#This Row],[Current Upsell $]]&gt;0,_xlfn.CONCAT(Sales[[#This Row],[Subscription Type]]," ",Sales[[#This Row],[Upsell Priority]]," ",TEXT(Sales[[#This Row],[Current Upsell $]],"$#,#")),"")</f>
        <v/>
      </c>
    </row>
    <row r="296" spans="1:18" x14ac:dyDescent="0.25">
      <c r="A296">
        <v>100022</v>
      </c>
      <c r="B296" t="s">
        <v>3</v>
      </c>
      <c r="F296">
        <v>0</v>
      </c>
      <c r="G296">
        <v>13</v>
      </c>
      <c r="H296" s="1">
        <v>43922</v>
      </c>
      <c r="I296" s="1">
        <v>44075</v>
      </c>
      <c r="J296">
        <v>5</v>
      </c>
      <c r="K296">
        <v>9</v>
      </c>
      <c r="L296" s="1">
        <v>43952</v>
      </c>
      <c r="M296">
        <v>0</v>
      </c>
      <c r="N296" s="8" cm="1">
        <f t="array" ref="N296">_xlfn.SWITCH(Sales[[#This Row],[Subscription Type]],"Basic",10,"Premium",10,"Business",25,"Enterprise",27)</f>
        <v>10</v>
      </c>
      <c r="O296">
        <f>IF(Sales[[#This Row],[Number of Users]]-Sales[[#This Row],[Licenses Bought]]&lt;0,0,Sales[[#This Row],[Number of Users]]-Sales[[#This Row],[Licenses Bought]])</f>
        <v>13</v>
      </c>
      <c r="P296" s="8">
        <f>IF(Sales[[#This Row],[Sales Month]]=MAX(Sales[Sales Month]),Sales[[#This Row],[Non-Paying Users]]*Sales[[#This Row],[Upsell $ per Non-Paying User]],0)</f>
        <v>0</v>
      </c>
      <c r="Q296" t="str" cm="1">
        <f t="array" ref="Q296">_xlfn.IFS(Sales[[#This Row],[Current Upsell $]]=0,"",Sales[[#This Row],[Current Upsell $]]&gt;=400,"High",Sales[[#This Row],[Current Upsell $]]&gt;=100,"Medium",Sales[[#This Row],[Current Upsell $]]&lt;100,"Low")</f>
        <v/>
      </c>
      <c r="R296" t="str">
        <f>IF(Sales[[#This Row],[Current Upsell $]]&gt;0,_xlfn.CONCAT(Sales[[#This Row],[Subscription Type]]," ",Sales[[#This Row],[Upsell Priority]]," ",TEXT(Sales[[#This Row],[Current Upsell $]],"$#,#")),"")</f>
        <v/>
      </c>
    </row>
    <row r="297" spans="1:18" x14ac:dyDescent="0.25">
      <c r="A297">
        <v>100022</v>
      </c>
      <c r="B297" t="s">
        <v>3</v>
      </c>
      <c r="F297">
        <v>0</v>
      </c>
      <c r="G297">
        <v>11</v>
      </c>
      <c r="H297" s="1">
        <v>43922</v>
      </c>
      <c r="I297" s="1">
        <v>44075</v>
      </c>
      <c r="J297">
        <v>5</v>
      </c>
      <c r="K297">
        <v>9</v>
      </c>
      <c r="L297" s="1">
        <v>43983</v>
      </c>
      <c r="M297">
        <v>0</v>
      </c>
      <c r="N297" s="8" cm="1">
        <f t="array" ref="N297">_xlfn.SWITCH(Sales[[#This Row],[Subscription Type]],"Basic",10,"Premium",10,"Business",25,"Enterprise",27)</f>
        <v>10</v>
      </c>
      <c r="O297">
        <f>IF(Sales[[#This Row],[Number of Users]]-Sales[[#This Row],[Licenses Bought]]&lt;0,0,Sales[[#This Row],[Number of Users]]-Sales[[#This Row],[Licenses Bought]])</f>
        <v>11</v>
      </c>
      <c r="P297" s="8">
        <f>IF(Sales[[#This Row],[Sales Month]]=MAX(Sales[Sales Month]),Sales[[#This Row],[Non-Paying Users]]*Sales[[#This Row],[Upsell $ per Non-Paying User]],0)</f>
        <v>0</v>
      </c>
      <c r="Q297" t="str" cm="1">
        <f t="array" ref="Q297">_xlfn.IFS(Sales[[#This Row],[Current Upsell $]]=0,"",Sales[[#This Row],[Current Upsell $]]&gt;=400,"High",Sales[[#This Row],[Current Upsell $]]&gt;=100,"Medium",Sales[[#This Row],[Current Upsell $]]&lt;100,"Low")</f>
        <v/>
      </c>
      <c r="R297" t="str">
        <f>IF(Sales[[#This Row],[Current Upsell $]]&gt;0,_xlfn.CONCAT(Sales[[#This Row],[Subscription Type]]," ",Sales[[#This Row],[Upsell Priority]]," ",TEXT(Sales[[#This Row],[Current Upsell $]],"$#,#")),"")</f>
        <v/>
      </c>
    </row>
    <row r="298" spans="1:18" x14ac:dyDescent="0.25">
      <c r="A298">
        <v>100022</v>
      </c>
      <c r="B298" t="s">
        <v>3</v>
      </c>
      <c r="F298">
        <v>0</v>
      </c>
      <c r="G298">
        <v>12</v>
      </c>
      <c r="H298" s="1">
        <v>43922</v>
      </c>
      <c r="I298" s="1">
        <v>44075</v>
      </c>
      <c r="J298">
        <v>5</v>
      </c>
      <c r="K298">
        <v>9</v>
      </c>
      <c r="L298" s="1">
        <v>44013</v>
      </c>
      <c r="M298">
        <v>0</v>
      </c>
      <c r="N298" s="8" cm="1">
        <f t="array" ref="N298">_xlfn.SWITCH(Sales[[#This Row],[Subscription Type]],"Basic",10,"Premium",10,"Business",25,"Enterprise",27)</f>
        <v>10</v>
      </c>
      <c r="O298">
        <f>IF(Sales[[#This Row],[Number of Users]]-Sales[[#This Row],[Licenses Bought]]&lt;0,0,Sales[[#This Row],[Number of Users]]-Sales[[#This Row],[Licenses Bought]])</f>
        <v>12</v>
      </c>
      <c r="P298" s="8">
        <f>IF(Sales[[#This Row],[Sales Month]]=MAX(Sales[Sales Month]),Sales[[#This Row],[Non-Paying Users]]*Sales[[#This Row],[Upsell $ per Non-Paying User]],0)</f>
        <v>0</v>
      </c>
      <c r="Q298" t="str" cm="1">
        <f t="array" ref="Q298">_xlfn.IFS(Sales[[#This Row],[Current Upsell $]]=0,"",Sales[[#This Row],[Current Upsell $]]&gt;=400,"High",Sales[[#This Row],[Current Upsell $]]&gt;=100,"Medium",Sales[[#This Row],[Current Upsell $]]&lt;100,"Low")</f>
        <v/>
      </c>
      <c r="R298" t="str">
        <f>IF(Sales[[#This Row],[Current Upsell $]]&gt;0,_xlfn.CONCAT(Sales[[#This Row],[Subscription Type]]," ",Sales[[#This Row],[Upsell Priority]]," ",TEXT(Sales[[#This Row],[Current Upsell $]],"$#,#")),"")</f>
        <v/>
      </c>
    </row>
    <row r="299" spans="1:18" x14ac:dyDescent="0.25">
      <c r="A299">
        <v>100022</v>
      </c>
      <c r="B299" t="s">
        <v>3</v>
      </c>
      <c r="F299">
        <v>0</v>
      </c>
      <c r="G299">
        <v>12</v>
      </c>
      <c r="H299" s="1">
        <v>43922</v>
      </c>
      <c r="I299" s="1">
        <v>44075</v>
      </c>
      <c r="J299">
        <v>5</v>
      </c>
      <c r="K299">
        <v>9</v>
      </c>
      <c r="L299" s="1">
        <v>44044</v>
      </c>
      <c r="M299">
        <v>0</v>
      </c>
      <c r="N299" s="8" cm="1">
        <f t="array" ref="N299">_xlfn.SWITCH(Sales[[#This Row],[Subscription Type]],"Basic",10,"Premium",10,"Business",25,"Enterprise",27)</f>
        <v>10</v>
      </c>
      <c r="O299">
        <f>IF(Sales[[#This Row],[Number of Users]]-Sales[[#This Row],[Licenses Bought]]&lt;0,0,Sales[[#This Row],[Number of Users]]-Sales[[#This Row],[Licenses Bought]])</f>
        <v>12</v>
      </c>
      <c r="P299" s="8">
        <f>IF(Sales[[#This Row],[Sales Month]]=MAX(Sales[Sales Month]),Sales[[#This Row],[Non-Paying Users]]*Sales[[#This Row],[Upsell $ per Non-Paying User]],0)</f>
        <v>0</v>
      </c>
      <c r="Q299" t="str" cm="1">
        <f t="array" ref="Q299">_xlfn.IFS(Sales[[#This Row],[Current Upsell $]]=0,"",Sales[[#This Row],[Current Upsell $]]&gt;=400,"High",Sales[[#This Row],[Current Upsell $]]&gt;=100,"Medium",Sales[[#This Row],[Current Upsell $]]&lt;100,"Low")</f>
        <v/>
      </c>
      <c r="R299" t="str">
        <f>IF(Sales[[#This Row],[Current Upsell $]]&gt;0,_xlfn.CONCAT(Sales[[#This Row],[Subscription Type]]," ",Sales[[#This Row],[Upsell Priority]]," ",TEXT(Sales[[#This Row],[Current Upsell $]],"$#,#")),"")</f>
        <v/>
      </c>
    </row>
    <row r="300" spans="1:18" x14ac:dyDescent="0.25">
      <c r="A300">
        <v>100022</v>
      </c>
      <c r="B300" t="s">
        <v>3</v>
      </c>
      <c r="F300">
        <v>0</v>
      </c>
      <c r="G300">
        <v>14</v>
      </c>
      <c r="H300" s="1">
        <v>43922</v>
      </c>
      <c r="I300" s="1">
        <v>44075</v>
      </c>
      <c r="J300">
        <v>5</v>
      </c>
      <c r="K300">
        <v>9</v>
      </c>
      <c r="L300" s="1">
        <v>44075</v>
      </c>
      <c r="M300">
        <v>0</v>
      </c>
      <c r="N300" s="8" cm="1">
        <f t="array" ref="N300">_xlfn.SWITCH(Sales[[#This Row],[Subscription Type]],"Basic",10,"Premium",10,"Business",25,"Enterprise",27)</f>
        <v>10</v>
      </c>
      <c r="O300">
        <f>IF(Sales[[#This Row],[Number of Users]]-Sales[[#This Row],[Licenses Bought]]&lt;0,0,Sales[[#This Row],[Number of Users]]-Sales[[#This Row],[Licenses Bought]])</f>
        <v>14</v>
      </c>
      <c r="P300" s="8">
        <f>IF(Sales[[#This Row],[Sales Month]]=MAX(Sales[Sales Month]),Sales[[#This Row],[Non-Paying Users]]*Sales[[#This Row],[Upsell $ per Non-Paying User]],0)</f>
        <v>0</v>
      </c>
      <c r="Q300" t="str" cm="1">
        <f t="array" ref="Q300">_xlfn.IFS(Sales[[#This Row],[Current Upsell $]]=0,"",Sales[[#This Row],[Current Upsell $]]&gt;=400,"High",Sales[[#This Row],[Current Upsell $]]&gt;=100,"Medium",Sales[[#This Row],[Current Upsell $]]&lt;100,"Low")</f>
        <v/>
      </c>
      <c r="R300" t="str">
        <f>IF(Sales[[#This Row],[Current Upsell $]]&gt;0,_xlfn.CONCAT(Sales[[#This Row],[Subscription Type]]," ",Sales[[#This Row],[Upsell Priority]]," ",TEXT(Sales[[#This Row],[Current Upsell $]],"$#,#")),"")</f>
        <v/>
      </c>
    </row>
    <row r="301" spans="1:18" x14ac:dyDescent="0.25">
      <c r="A301">
        <v>100023</v>
      </c>
      <c r="B301" t="s">
        <v>3</v>
      </c>
      <c r="F301">
        <v>0</v>
      </c>
      <c r="G301">
        <v>14</v>
      </c>
      <c r="H301" s="1">
        <v>43922</v>
      </c>
      <c r="I301" s="1">
        <v>44166</v>
      </c>
      <c r="J301">
        <v>8</v>
      </c>
      <c r="K301">
        <v>6</v>
      </c>
      <c r="L301" s="1">
        <v>43922</v>
      </c>
      <c r="M301">
        <v>0</v>
      </c>
      <c r="N301" s="8" cm="1">
        <f t="array" ref="N301">_xlfn.SWITCH(Sales[[#This Row],[Subscription Type]],"Basic",10,"Premium",10,"Business",25,"Enterprise",27)</f>
        <v>10</v>
      </c>
      <c r="O301">
        <f>IF(Sales[[#This Row],[Number of Users]]-Sales[[#This Row],[Licenses Bought]]&lt;0,0,Sales[[#This Row],[Number of Users]]-Sales[[#This Row],[Licenses Bought]])</f>
        <v>14</v>
      </c>
      <c r="P301" s="8">
        <f>IF(Sales[[#This Row],[Sales Month]]=MAX(Sales[Sales Month]),Sales[[#This Row],[Non-Paying Users]]*Sales[[#This Row],[Upsell $ per Non-Paying User]],0)</f>
        <v>0</v>
      </c>
      <c r="Q301" t="str" cm="1">
        <f t="array" ref="Q301">_xlfn.IFS(Sales[[#This Row],[Current Upsell $]]=0,"",Sales[[#This Row],[Current Upsell $]]&gt;=400,"High",Sales[[#This Row],[Current Upsell $]]&gt;=100,"Medium",Sales[[#This Row],[Current Upsell $]]&lt;100,"Low")</f>
        <v/>
      </c>
      <c r="R301" t="str">
        <f>IF(Sales[[#This Row],[Current Upsell $]]&gt;0,_xlfn.CONCAT(Sales[[#This Row],[Subscription Type]]," ",Sales[[#This Row],[Upsell Priority]]," ",TEXT(Sales[[#This Row],[Current Upsell $]],"$#,#")),"")</f>
        <v/>
      </c>
    </row>
    <row r="302" spans="1:18" x14ac:dyDescent="0.25">
      <c r="A302">
        <v>100023</v>
      </c>
      <c r="B302" t="s">
        <v>1</v>
      </c>
      <c r="F302">
        <v>4</v>
      </c>
      <c r="G302">
        <v>12</v>
      </c>
      <c r="H302" s="1">
        <v>43922</v>
      </c>
      <c r="I302" s="1">
        <v>44166</v>
      </c>
      <c r="J302">
        <v>8</v>
      </c>
      <c r="K302">
        <v>6</v>
      </c>
      <c r="L302" s="1">
        <v>43952</v>
      </c>
      <c r="M302">
        <v>100</v>
      </c>
      <c r="N302" s="8" cm="1">
        <f t="array" ref="N302">_xlfn.SWITCH(Sales[[#This Row],[Subscription Type]],"Basic",10,"Premium",10,"Business",25,"Enterprise",27)</f>
        <v>25</v>
      </c>
      <c r="O302">
        <f>IF(Sales[[#This Row],[Number of Users]]-Sales[[#This Row],[Licenses Bought]]&lt;0,0,Sales[[#This Row],[Number of Users]]-Sales[[#This Row],[Licenses Bought]])</f>
        <v>8</v>
      </c>
      <c r="P302" s="8">
        <f>IF(Sales[[#This Row],[Sales Month]]=MAX(Sales[Sales Month]),Sales[[#This Row],[Non-Paying Users]]*Sales[[#This Row],[Upsell $ per Non-Paying User]],0)</f>
        <v>0</v>
      </c>
      <c r="Q302" t="str" cm="1">
        <f t="array" ref="Q302">_xlfn.IFS(Sales[[#This Row],[Current Upsell $]]=0,"",Sales[[#This Row],[Current Upsell $]]&gt;=400,"High",Sales[[#This Row],[Current Upsell $]]&gt;=100,"Medium",Sales[[#This Row],[Current Upsell $]]&lt;100,"Low")</f>
        <v/>
      </c>
      <c r="R302" t="str">
        <f>IF(Sales[[#This Row],[Current Upsell $]]&gt;0,_xlfn.CONCAT(Sales[[#This Row],[Subscription Type]]," ",Sales[[#This Row],[Upsell Priority]]," ",TEXT(Sales[[#This Row],[Current Upsell $]],"$#,#")),"")</f>
        <v/>
      </c>
    </row>
    <row r="303" spans="1:18" x14ac:dyDescent="0.25">
      <c r="A303">
        <v>100023</v>
      </c>
      <c r="B303" t="s">
        <v>1</v>
      </c>
      <c r="F303">
        <v>6</v>
      </c>
      <c r="G303">
        <v>11</v>
      </c>
      <c r="H303" s="1">
        <v>43922</v>
      </c>
      <c r="I303" s="1">
        <v>44166</v>
      </c>
      <c r="J303">
        <v>8</v>
      </c>
      <c r="K303">
        <v>6</v>
      </c>
      <c r="L303" s="1">
        <v>43983</v>
      </c>
      <c r="M303">
        <v>150</v>
      </c>
      <c r="N303" s="8" cm="1">
        <f t="array" ref="N303">_xlfn.SWITCH(Sales[[#This Row],[Subscription Type]],"Basic",10,"Premium",10,"Business",25,"Enterprise",27)</f>
        <v>25</v>
      </c>
      <c r="O303">
        <f>IF(Sales[[#This Row],[Number of Users]]-Sales[[#This Row],[Licenses Bought]]&lt;0,0,Sales[[#This Row],[Number of Users]]-Sales[[#This Row],[Licenses Bought]])</f>
        <v>5</v>
      </c>
      <c r="P303" s="8">
        <f>IF(Sales[[#This Row],[Sales Month]]=MAX(Sales[Sales Month]),Sales[[#This Row],[Non-Paying Users]]*Sales[[#This Row],[Upsell $ per Non-Paying User]],0)</f>
        <v>0</v>
      </c>
      <c r="Q303" t="str" cm="1">
        <f t="array" ref="Q303">_xlfn.IFS(Sales[[#This Row],[Current Upsell $]]=0,"",Sales[[#This Row],[Current Upsell $]]&gt;=400,"High",Sales[[#This Row],[Current Upsell $]]&gt;=100,"Medium",Sales[[#This Row],[Current Upsell $]]&lt;100,"Low")</f>
        <v/>
      </c>
      <c r="R303" t="str">
        <f>IF(Sales[[#This Row],[Current Upsell $]]&gt;0,_xlfn.CONCAT(Sales[[#This Row],[Subscription Type]]," ",Sales[[#This Row],[Upsell Priority]]," ",TEXT(Sales[[#This Row],[Current Upsell $]],"$#,#")),"")</f>
        <v/>
      </c>
    </row>
    <row r="304" spans="1:18" x14ac:dyDescent="0.25">
      <c r="A304">
        <v>100023</v>
      </c>
      <c r="B304" t="s">
        <v>1</v>
      </c>
      <c r="F304">
        <v>10</v>
      </c>
      <c r="G304">
        <v>14</v>
      </c>
      <c r="H304" s="1">
        <v>43922</v>
      </c>
      <c r="I304" s="1">
        <v>44166</v>
      </c>
      <c r="J304">
        <v>8</v>
      </c>
      <c r="K304">
        <v>6</v>
      </c>
      <c r="L304" s="1">
        <v>44013</v>
      </c>
      <c r="M304">
        <v>250</v>
      </c>
      <c r="N304" s="8" cm="1">
        <f t="array" ref="N304">_xlfn.SWITCH(Sales[[#This Row],[Subscription Type]],"Basic",10,"Premium",10,"Business",25,"Enterprise",27)</f>
        <v>25</v>
      </c>
      <c r="O304">
        <f>IF(Sales[[#This Row],[Number of Users]]-Sales[[#This Row],[Licenses Bought]]&lt;0,0,Sales[[#This Row],[Number of Users]]-Sales[[#This Row],[Licenses Bought]])</f>
        <v>4</v>
      </c>
      <c r="P304" s="8">
        <f>IF(Sales[[#This Row],[Sales Month]]=MAX(Sales[Sales Month]),Sales[[#This Row],[Non-Paying Users]]*Sales[[#This Row],[Upsell $ per Non-Paying User]],0)</f>
        <v>0</v>
      </c>
      <c r="Q304" t="str" cm="1">
        <f t="array" ref="Q304">_xlfn.IFS(Sales[[#This Row],[Current Upsell $]]=0,"",Sales[[#This Row],[Current Upsell $]]&gt;=400,"High",Sales[[#This Row],[Current Upsell $]]&gt;=100,"Medium",Sales[[#This Row],[Current Upsell $]]&lt;100,"Low")</f>
        <v/>
      </c>
      <c r="R304" t="str">
        <f>IF(Sales[[#This Row],[Current Upsell $]]&gt;0,_xlfn.CONCAT(Sales[[#This Row],[Subscription Type]]," ",Sales[[#This Row],[Upsell Priority]]," ",TEXT(Sales[[#This Row],[Current Upsell $]],"$#,#")),"")</f>
        <v/>
      </c>
    </row>
    <row r="305" spans="1:18" x14ac:dyDescent="0.25">
      <c r="A305">
        <v>100023</v>
      </c>
      <c r="B305" t="s">
        <v>1</v>
      </c>
      <c r="F305">
        <v>10</v>
      </c>
      <c r="G305">
        <v>12</v>
      </c>
      <c r="H305" s="1">
        <v>43922</v>
      </c>
      <c r="I305" s="1">
        <v>44166</v>
      </c>
      <c r="J305">
        <v>8</v>
      </c>
      <c r="K305">
        <v>6</v>
      </c>
      <c r="L305" s="1">
        <v>44044</v>
      </c>
      <c r="M305">
        <v>250</v>
      </c>
      <c r="N305" s="8" cm="1">
        <f t="array" ref="N305">_xlfn.SWITCH(Sales[[#This Row],[Subscription Type]],"Basic",10,"Premium",10,"Business",25,"Enterprise",27)</f>
        <v>25</v>
      </c>
      <c r="O305">
        <f>IF(Sales[[#This Row],[Number of Users]]-Sales[[#This Row],[Licenses Bought]]&lt;0,0,Sales[[#This Row],[Number of Users]]-Sales[[#This Row],[Licenses Bought]])</f>
        <v>2</v>
      </c>
      <c r="P305" s="8">
        <f>IF(Sales[[#This Row],[Sales Month]]=MAX(Sales[Sales Month]),Sales[[#This Row],[Non-Paying Users]]*Sales[[#This Row],[Upsell $ per Non-Paying User]],0)</f>
        <v>0</v>
      </c>
      <c r="Q305" t="str" cm="1">
        <f t="array" ref="Q305">_xlfn.IFS(Sales[[#This Row],[Current Upsell $]]=0,"",Sales[[#This Row],[Current Upsell $]]&gt;=400,"High",Sales[[#This Row],[Current Upsell $]]&gt;=100,"Medium",Sales[[#This Row],[Current Upsell $]]&lt;100,"Low")</f>
        <v/>
      </c>
      <c r="R305" t="str">
        <f>IF(Sales[[#This Row],[Current Upsell $]]&gt;0,_xlfn.CONCAT(Sales[[#This Row],[Subscription Type]]," ",Sales[[#This Row],[Upsell Priority]]," ",TEXT(Sales[[#This Row],[Current Upsell $]],"$#,#")),"")</f>
        <v/>
      </c>
    </row>
    <row r="306" spans="1:18" x14ac:dyDescent="0.25">
      <c r="A306">
        <v>100023</v>
      </c>
      <c r="B306" t="s">
        <v>1</v>
      </c>
      <c r="F306">
        <v>10</v>
      </c>
      <c r="G306">
        <v>15</v>
      </c>
      <c r="H306" s="1">
        <v>43922</v>
      </c>
      <c r="I306" s="1">
        <v>44166</v>
      </c>
      <c r="J306">
        <v>8</v>
      </c>
      <c r="K306">
        <v>6</v>
      </c>
      <c r="L306" s="1">
        <v>44075</v>
      </c>
      <c r="M306">
        <v>250</v>
      </c>
      <c r="N306" s="8" cm="1">
        <f t="array" ref="N306">_xlfn.SWITCH(Sales[[#This Row],[Subscription Type]],"Basic",10,"Premium",10,"Business",25,"Enterprise",27)</f>
        <v>25</v>
      </c>
      <c r="O306">
        <f>IF(Sales[[#This Row],[Number of Users]]-Sales[[#This Row],[Licenses Bought]]&lt;0,0,Sales[[#This Row],[Number of Users]]-Sales[[#This Row],[Licenses Bought]])</f>
        <v>5</v>
      </c>
      <c r="P306" s="8">
        <f>IF(Sales[[#This Row],[Sales Month]]=MAX(Sales[Sales Month]),Sales[[#This Row],[Non-Paying Users]]*Sales[[#This Row],[Upsell $ per Non-Paying User]],0)</f>
        <v>0</v>
      </c>
      <c r="Q306" t="str" cm="1">
        <f t="array" ref="Q306">_xlfn.IFS(Sales[[#This Row],[Current Upsell $]]=0,"",Sales[[#This Row],[Current Upsell $]]&gt;=400,"High",Sales[[#This Row],[Current Upsell $]]&gt;=100,"Medium",Sales[[#This Row],[Current Upsell $]]&lt;100,"Low")</f>
        <v/>
      </c>
      <c r="R306" t="str">
        <f>IF(Sales[[#This Row],[Current Upsell $]]&gt;0,_xlfn.CONCAT(Sales[[#This Row],[Subscription Type]]," ",Sales[[#This Row],[Upsell Priority]]," ",TEXT(Sales[[#This Row],[Current Upsell $]],"$#,#")),"")</f>
        <v/>
      </c>
    </row>
    <row r="307" spans="1:18" x14ac:dyDescent="0.25">
      <c r="A307">
        <v>100023</v>
      </c>
      <c r="B307" t="s">
        <v>1</v>
      </c>
      <c r="F307">
        <v>10</v>
      </c>
      <c r="G307">
        <v>16</v>
      </c>
      <c r="H307" s="1">
        <v>43922</v>
      </c>
      <c r="I307" s="1">
        <v>44166</v>
      </c>
      <c r="J307">
        <v>8</v>
      </c>
      <c r="K307">
        <v>6</v>
      </c>
      <c r="L307" s="1">
        <v>44105</v>
      </c>
      <c r="M307">
        <v>250</v>
      </c>
      <c r="N307" s="8" cm="1">
        <f t="array" ref="N307">_xlfn.SWITCH(Sales[[#This Row],[Subscription Type]],"Basic",10,"Premium",10,"Business",25,"Enterprise",27)</f>
        <v>25</v>
      </c>
      <c r="O307">
        <f>IF(Sales[[#This Row],[Number of Users]]-Sales[[#This Row],[Licenses Bought]]&lt;0,0,Sales[[#This Row],[Number of Users]]-Sales[[#This Row],[Licenses Bought]])</f>
        <v>6</v>
      </c>
      <c r="P307" s="8">
        <f>IF(Sales[[#This Row],[Sales Month]]=MAX(Sales[Sales Month]),Sales[[#This Row],[Non-Paying Users]]*Sales[[#This Row],[Upsell $ per Non-Paying User]],0)</f>
        <v>0</v>
      </c>
      <c r="Q307" t="str" cm="1">
        <f t="array" ref="Q307">_xlfn.IFS(Sales[[#This Row],[Current Upsell $]]=0,"",Sales[[#This Row],[Current Upsell $]]&gt;=400,"High",Sales[[#This Row],[Current Upsell $]]&gt;=100,"Medium",Sales[[#This Row],[Current Upsell $]]&lt;100,"Low")</f>
        <v/>
      </c>
      <c r="R307" t="str">
        <f>IF(Sales[[#This Row],[Current Upsell $]]&gt;0,_xlfn.CONCAT(Sales[[#This Row],[Subscription Type]]," ",Sales[[#This Row],[Upsell Priority]]," ",TEXT(Sales[[#This Row],[Current Upsell $]],"$#,#")),"")</f>
        <v/>
      </c>
    </row>
    <row r="308" spans="1:18" x14ac:dyDescent="0.25">
      <c r="A308">
        <v>100023</v>
      </c>
      <c r="B308" t="s">
        <v>1</v>
      </c>
      <c r="F308">
        <v>10</v>
      </c>
      <c r="G308">
        <v>10</v>
      </c>
      <c r="H308" s="1">
        <v>43922</v>
      </c>
      <c r="I308" s="1">
        <v>44166</v>
      </c>
      <c r="J308">
        <v>8</v>
      </c>
      <c r="K308">
        <v>6</v>
      </c>
      <c r="L308" s="1">
        <v>44136</v>
      </c>
      <c r="M308">
        <v>250</v>
      </c>
      <c r="N308" s="8" cm="1">
        <f t="array" ref="N308">_xlfn.SWITCH(Sales[[#This Row],[Subscription Type]],"Basic",10,"Premium",10,"Business",25,"Enterprise",27)</f>
        <v>25</v>
      </c>
      <c r="O308">
        <f>IF(Sales[[#This Row],[Number of Users]]-Sales[[#This Row],[Licenses Bought]]&lt;0,0,Sales[[#This Row],[Number of Users]]-Sales[[#This Row],[Licenses Bought]])</f>
        <v>0</v>
      </c>
      <c r="P308" s="8">
        <f>IF(Sales[[#This Row],[Sales Month]]=MAX(Sales[Sales Month]),Sales[[#This Row],[Non-Paying Users]]*Sales[[#This Row],[Upsell $ per Non-Paying User]],0)</f>
        <v>0</v>
      </c>
      <c r="Q308" t="str" cm="1">
        <f t="array" ref="Q308">_xlfn.IFS(Sales[[#This Row],[Current Upsell $]]=0,"",Sales[[#This Row],[Current Upsell $]]&gt;=400,"High",Sales[[#This Row],[Current Upsell $]]&gt;=100,"Medium",Sales[[#This Row],[Current Upsell $]]&lt;100,"Low")</f>
        <v/>
      </c>
      <c r="R308" t="str">
        <f>IF(Sales[[#This Row],[Current Upsell $]]&gt;0,_xlfn.CONCAT(Sales[[#This Row],[Subscription Type]]," ",Sales[[#This Row],[Upsell Priority]]," ",TEXT(Sales[[#This Row],[Current Upsell $]],"$#,#")),"")</f>
        <v/>
      </c>
    </row>
    <row r="309" spans="1:18" x14ac:dyDescent="0.25">
      <c r="A309">
        <v>100023</v>
      </c>
      <c r="B309" t="s">
        <v>1</v>
      </c>
      <c r="F309">
        <v>10</v>
      </c>
      <c r="G309">
        <v>15</v>
      </c>
      <c r="H309" s="1">
        <v>43922</v>
      </c>
      <c r="I309" s="1">
        <v>44166</v>
      </c>
      <c r="J309">
        <v>8</v>
      </c>
      <c r="K309">
        <v>6</v>
      </c>
      <c r="L309" s="1">
        <v>44166</v>
      </c>
      <c r="M309">
        <v>250</v>
      </c>
      <c r="N309" s="8" cm="1">
        <f t="array" ref="N309">_xlfn.SWITCH(Sales[[#This Row],[Subscription Type]],"Basic",10,"Premium",10,"Business",25,"Enterprise",27)</f>
        <v>25</v>
      </c>
      <c r="O309">
        <f>IF(Sales[[#This Row],[Number of Users]]-Sales[[#This Row],[Licenses Bought]]&lt;0,0,Sales[[#This Row],[Number of Users]]-Sales[[#This Row],[Licenses Bought]])</f>
        <v>5</v>
      </c>
      <c r="P309" s="8">
        <f>IF(Sales[[#This Row],[Sales Month]]=MAX(Sales[Sales Month]),Sales[[#This Row],[Non-Paying Users]]*Sales[[#This Row],[Upsell $ per Non-Paying User]],0)</f>
        <v>0</v>
      </c>
      <c r="Q309" t="str" cm="1">
        <f t="array" ref="Q309">_xlfn.IFS(Sales[[#This Row],[Current Upsell $]]=0,"",Sales[[#This Row],[Current Upsell $]]&gt;=400,"High",Sales[[#This Row],[Current Upsell $]]&gt;=100,"Medium",Sales[[#This Row],[Current Upsell $]]&lt;100,"Low")</f>
        <v/>
      </c>
      <c r="R309" t="str">
        <f>IF(Sales[[#This Row],[Current Upsell $]]&gt;0,_xlfn.CONCAT(Sales[[#This Row],[Subscription Type]]," ",Sales[[#This Row],[Upsell Priority]]," ",TEXT(Sales[[#This Row],[Current Upsell $]],"$#,#")),"")</f>
        <v/>
      </c>
    </row>
    <row r="310" spans="1:18" x14ac:dyDescent="0.25">
      <c r="A310">
        <v>100024</v>
      </c>
      <c r="B310" t="s">
        <v>3</v>
      </c>
      <c r="F310">
        <v>0</v>
      </c>
      <c r="G310">
        <v>2</v>
      </c>
      <c r="H310" s="1">
        <v>43922</v>
      </c>
      <c r="I310" s="1">
        <v>43983</v>
      </c>
      <c r="J310">
        <v>2</v>
      </c>
      <c r="K310">
        <v>12</v>
      </c>
      <c r="L310" s="1">
        <v>43922</v>
      </c>
      <c r="M310">
        <v>0</v>
      </c>
      <c r="N310" s="8" cm="1">
        <f t="array" ref="N310">_xlfn.SWITCH(Sales[[#This Row],[Subscription Type]],"Basic",10,"Premium",10,"Business",25,"Enterprise",27)</f>
        <v>10</v>
      </c>
      <c r="O310">
        <f>IF(Sales[[#This Row],[Number of Users]]-Sales[[#This Row],[Licenses Bought]]&lt;0,0,Sales[[#This Row],[Number of Users]]-Sales[[#This Row],[Licenses Bought]])</f>
        <v>2</v>
      </c>
      <c r="P310" s="8">
        <f>IF(Sales[[#This Row],[Sales Month]]=MAX(Sales[Sales Month]),Sales[[#This Row],[Non-Paying Users]]*Sales[[#This Row],[Upsell $ per Non-Paying User]],0)</f>
        <v>0</v>
      </c>
      <c r="Q310" t="str" cm="1">
        <f t="array" ref="Q310">_xlfn.IFS(Sales[[#This Row],[Current Upsell $]]=0,"",Sales[[#This Row],[Current Upsell $]]&gt;=400,"High",Sales[[#This Row],[Current Upsell $]]&gt;=100,"Medium",Sales[[#This Row],[Current Upsell $]]&lt;100,"Low")</f>
        <v/>
      </c>
      <c r="R310" t="str">
        <f>IF(Sales[[#This Row],[Current Upsell $]]&gt;0,_xlfn.CONCAT(Sales[[#This Row],[Subscription Type]]," ",Sales[[#This Row],[Upsell Priority]]," ",TEXT(Sales[[#This Row],[Current Upsell $]],"$#,#")),"")</f>
        <v/>
      </c>
    </row>
    <row r="311" spans="1:18" x14ac:dyDescent="0.25">
      <c r="A311">
        <v>100024</v>
      </c>
      <c r="B311" t="s">
        <v>0</v>
      </c>
      <c r="F311">
        <v>1</v>
      </c>
      <c r="G311">
        <v>2</v>
      </c>
      <c r="H311" s="1">
        <v>43922</v>
      </c>
      <c r="I311" s="1">
        <v>43983</v>
      </c>
      <c r="J311">
        <v>2</v>
      </c>
      <c r="K311">
        <v>12</v>
      </c>
      <c r="L311" s="1">
        <v>43952</v>
      </c>
      <c r="M311">
        <v>10</v>
      </c>
      <c r="N311" s="8" cm="1">
        <f t="array" ref="N311">_xlfn.SWITCH(Sales[[#This Row],[Subscription Type]],"Basic",10,"Premium",10,"Business",25,"Enterprise",27)</f>
        <v>10</v>
      </c>
      <c r="O311">
        <f>IF(Sales[[#This Row],[Number of Users]]-Sales[[#This Row],[Licenses Bought]]&lt;0,0,Sales[[#This Row],[Number of Users]]-Sales[[#This Row],[Licenses Bought]])</f>
        <v>1</v>
      </c>
      <c r="P311" s="8">
        <f>IF(Sales[[#This Row],[Sales Month]]=MAX(Sales[Sales Month]),Sales[[#This Row],[Non-Paying Users]]*Sales[[#This Row],[Upsell $ per Non-Paying User]],0)</f>
        <v>0</v>
      </c>
      <c r="Q311" t="str" cm="1">
        <f t="array" ref="Q311">_xlfn.IFS(Sales[[#This Row],[Current Upsell $]]=0,"",Sales[[#This Row],[Current Upsell $]]&gt;=400,"High",Sales[[#This Row],[Current Upsell $]]&gt;=100,"Medium",Sales[[#This Row],[Current Upsell $]]&lt;100,"Low")</f>
        <v/>
      </c>
      <c r="R311" t="str">
        <f>IF(Sales[[#This Row],[Current Upsell $]]&gt;0,_xlfn.CONCAT(Sales[[#This Row],[Subscription Type]]," ",Sales[[#This Row],[Upsell Priority]]," ",TEXT(Sales[[#This Row],[Current Upsell $]],"$#,#")),"")</f>
        <v/>
      </c>
    </row>
    <row r="312" spans="1:18" x14ac:dyDescent="0.25">
      <c r="A312">
        <v>100024</v>
      </c>
      <c r="B312" t="s">
        <v>0</v>
      </c>
      <c r="F312">
        <v>1</v>
      </c>
      <c r="G312">
        <v>2</v>
      </c>
      <c r="H312" s="1">
        <v>43922</v>
      </c>
      <c r="I312" s="1">
        <v>43983</v>
      </c>
      <c r="J312">
        <v>2</v>
      </c>
      <c r="K312">
        <v>12</v>
      </c>
      <c r="L312" s="1">
        <v>43983</v>
      </c>
      <c r="M312">
        <v>10</v>
      </c>
      <c r="N312" s="8" cm="1">
        <f t="array" ref="N312">_xlfn.SWITCH(Sales[[#This Row],[Subscription Type]],"Basic",10,"Premium",10,"Business",25,"Enterprise",27)</f>
        <v>10</v>
      </c>
      <c r="O312">
        <f>IF(Sales[[#This Row],[Number of Users]]-Sales[[#This Row],[Licenses Bought]]&lt;0,0,Sales[[#This Row],[Number of Users]]-Sales[[#This Row],[Licenses Bought]])</f>
        <v>1</v>
      </c>
      <c r="P312" s="8">
        <f>IF(Sales[[#This Row],[Sales Month]]=MAX(Sales[Sales Month]),Sales[[#This Row],[Non-Paying Users]]*Sales[[#This Row],[Upsell $ per Non-Paying User]],0)</f>
        <v>0</v>
      </c>
      <c r="Q312" t="str" cm="1">
        <f t="array" ref="Q312">_xlfn.IFS(Sales[[#This Row],[Current Upsell $]]=0,"",Sales[[#This Row],[Current Upsell $]]&gt;=400,"High",Sales[[#This Row],[Current Upsell $]]&gt;=100,"Medium",Sales[[#This Row],[Current Upsell $]]&lt;100,"Low")</f>
        <v/>
      </c>
      <c r="R312" t="str">
        <f>IF(Sales[[#This Row],[Current Upsell $]]&gt;0,_xlfn.CONCAT(Sales[[#This Row],[Subscription Type]]," ",Sales[[#This Row],[Upsell Priority]]," ",TEXT(Sales[[#This Row],[Current Upsell $]],"$#,#")),"")</f>
        <v/>
      </c>
    </row>
    <row r="313" spans="1:18" x14ac:dyDescent="0.25">
      <c r="A313">
        <v>100025</v>
      </c>
      <c r="B313" t="s">
        <v>3</v>
      </c>
      <c r="F313">
        <v>0</v>
      </c>
      <c r="G313">
        <v>1</v>
      </c>
      <c r="H313" s="1">
        <v>43922</v>
      </c>
      <c r="I313" s="1">
        <v>44378</v>
      </c>
      <c r="J313">
        <v>15</v>
      </c>
      <c r="K313">
        <v>0</v>
      </c>
      <c r="L313" s="1">
        <v>43922</v>
      </c>
      <c r="M313">
        <v>0</v>
      </c>
      <c r="N313" s="8" cm="1">
        <f t="array" ref="N313">_xlfn.SWITCH(Sales[[#This Row],[Subscription Type]],"Basic",10,"Premium",10,"Business",25,"Enterprise",27)</f>
        <v>10</v>
      </c>
      <c r="O313">
        <f>IF(Sales[[#This Row],[Number of Users]]-Sales[[#This Row],[Licenses Bought]]&lt;0,0,Sales[[#This Row],[Number of Users]]-Sales[[#This Row],[Licenses Bought]])</f>
        <v>1</v>
      </c>
      <c r="P313" s="8">
        <f>IF(Sales[[#This Row],[Sales Month]]=MAX(Sales[Sales Month]),Sales[[#This Row],[Non-Paying Users]]*Sales[[#This Row],[Upsell $ per Non-Paying User]],0)</f>
        <v>0</v>
      </c>
      <c r="Q313" t="str" cm="1">
        <f t="array" ref="Q313">_xlfn.IFS(Sales[[#This Row],[Current Upsell $]]=0,"",Sales[[#This Row],[Current Upsell $]]&gt;=400,"High",Sales[[#This Row],[Current Upsell $]]&gt;=100,"Medium",Sales[[#This Row],[Current Upsell $]]&lt;100,"Low")</f>
        <v/>
      </c>
      <c r="R313" t="str">
        <f>IF(Sales[[#This Row],[Current Upsell $]]&gt;0,_xlfn.CONCAT(Sales[[#This Row],[Subscription Type]]," ",Sales[[#This Row],[Upsell Priority]]," ",TEXT(Sales[[#This Row],[Current Upsell $]],"$#,#")),"")</f>
        <v/>
      </c>
    </row>
    <row r="314" spans="1:18" x14ac:dyDescent="0.25">
      <c r="A314">
        <v>100025</v>
      </c>
      <c r="B314" t="s">
        <v>3</v>
      </c>
      <c r="F314">
        <v>0</v>
      </c>
      <c r="G314">
        <v>2</v>
      </c>
      <c r="H314" s="1">
        <v>43922</v>
      </c>
      <c r="I314" s="1">
        <v>44378</v>
      </c>
      <c r="J314">
        <v>15</v>
      </c>
      <c r="K314">
        <v>0</v>
      </c>
      <c r="L314" s="1">
        <v>43952</v>
      </c>
      <c r="M314">
        <v>0</v>
      </c>
      <c r="N314" s="8" cm="1">
        <f t="array" ref="N314">_xlfn.SWITCH(Sales[[#This Row],[Subscription Type]],"Basic",10,"Premium",10,"Business",25,"Enterprise",27)</f>
        <v>10</v>
      </c>
      <c r="O314">
        <f>IF(Sales[[#This Row],[Number of Users]]-Sales[[#This Row],[Licenses Bought]]&lt;0,0,Sales[[#This Row],[Number of Users]]-Sales[[#This Row],[Licenses Bought]])</f>
        <v>2</v>
      </c>
      <c r="P314" s="8">
        <f>IF(Sales[[#This Row],[Sales Month]]=MAX(Sales[Sales Month]),Sales[[#This Row],[Non-Paying Users]]*Sales[[#This Row],[Upsell $ per Non-Paying User]],0)</f>
        <v>0</v>
      </c>
      <c r="Q314" t="str" cm="1">
        <f t="array" ref="Q314">_xlfn.IFS(Sales[[#This Row],[Current Upsell $]]=0,"",Sales[[#This Row],[Current Upsell $]]&gt;=400,"High",Sales[[#This Row],[Current Upsell $]]&gt;=100,"Medium",Sales[[#This Row],[Current Upsell $]]&lt;100,"Low")</f>
        <v/>
      </c>
      <c r="R314" t="str">
        <f>IF(Sales[[#This Row],[Current Upsell $]]&gt;0,_xlfn.CONCAT(Sales[[#This Row],[Subscription Type]]," ",Sales[[#This Row],[Upsell Priority]]," ",TEXT(Sales[[#This Row],[Current Upsell $]],"$#,#")),"")</f>
        <v/>
      </c>
    </row>
    <row r="315" spans="1:18" x14ac:dyDescent="0.25">
      <c r="A315">
        <v>100025</v>
      </c>
      <c r="B315" t="s">
        <v>3</v>
      </c>
      <c r="F315">
        <v>0</v>
      </c>
      <c r="G315">
        <v>2</v>
      </c>
      <c r="H315" s="1">
        <v>43922</v>
      </c>
      <c r="I315" s="1">
        <v>44378</v>
      </c>
      <c r="J315">
        <v>15</v>
      </c>
      <c r="K315">
        <v>0</v>
      </c>
      <c r="L315" s="1">
        <v>43983</v>
      </c>
      <c r="M315">
        <v>0</v>
      </c>
      <c r="N315" s="8" cm="1">
        <f t="array" ref="N315">_xlfn.SWITCH(Sales[[#This Row],[Subscription Type]],"Basic",10,"Premium",10,"Business",25,"Enterprise",27)</f>
        <v>10</v>
      </c>
      <c r="O315">
        <f>IF(Sales[[#This Row],[Number of Users]]-Sales[[#This Row],[Licenses Bought]]&lt;0,0,Sales[[#This Row],[Number of Users]]-Sales[[#This Row],[Licenses Bought]])</f>
        <v>2</v>
      </c>
      <c r="P315" s="8">
        <f>IF(Sales[[#This Row],[Sales Month]]=MAX(Sales[Sales Month]),Sales[[#This Row],[Non-Paying Users]]*Sales[[#This Row],[Upsell $ per Non-Paying User]],0)</f>
        <v>0</v>
      </c>
      <c r="Q315" t="str" cm="1">
        <f t="array" ref="Q315">_xlfn.IFS(Sales[[#This Row],[Current Upsell $]]=0,"",Sales[[#This Row],[Current Upsell $]]&gt;=400,"High",Sales[[#This Row],[Current Upsell $]]&gt;=100,"Medium",Sales[[#This Row],[Current Upsell $]]&lt;100,"Low")</f>
        <v/>
      </c>
      <c r="R315" t="str">
        <f>IF(Sales[[#This Row],[Current Upsell $]]&gt;0,_xlfn.CONCAT(Sales[[#This Row],[Subscription Type]]," ",Sales[[#This Row],[Upsell Priority]]," ",TEXT(Sales[[#This Row],[Current Upsell $]],"$#,#")),"")</f>
        <v/>
      </c>
    </row>
    <row r="316" spans="1:18" x14ac:dyDescent="0.25">
      <c r="A316">
        <v>100025</v>
      </c>
      <c r="B316" t="s">
        <v>3</v>
      </c>
      <c r="F316">
        <v>0</v>
      </c>
      <c r="G316">
        <v>2</v>
      </c>
      <c r="H316" s="1">
        <v>43922</v>
      </c>
      <c r="I316" s="1">
        <v>44378</v>
      </c>
      <c r="J316">
        <v>15</v>
      </c>
      <c r="K316">
        <v>0</v>
      </c>
      <c r="L316" s="1">
        <v>44013</v>
      </c>
      <c r="M316">
        <v>0</v>
      </c>
      <c r="N316" s="8" cm="1">
        <f t="array" ref="N316">_xlfn.SWITCH(Sales[[#This Row],[Subscription Type]],"Basic",10,"Premium",10,"Business",25,"Enterprise",27)</f>
        <v>10</v>
      </c>
      <c r="O316">
        <f>IF(Sales[[#This Row],[Number of Users]]-Sales[[#This Row],[Licenses Bought]]&lt;0,0,Sales[[#This Row],[Number of Users]]-Sales[[#This Row],[Licenses Bought]])</f>
        <v>2</v>
      </c>
      <c r="P316" s="8">
        <f>IF(Sales[[#This Row],[Sales Month]]=MAX(Sales[Sales Month]),Sales[[#This Row],[Non-Paying Users]]*Sales[[#This Row],[Upsell $ per Non-Paying User]],0)</f>
        <v>0</v>
      </c>
      <c r="Q316" t="str" cm="1">
        <f t="array" ref="Q316">_xlfn.IFS(Sales[[#This Row],[Current Upsell $]]=0,"",Sales[[#This Row],[Current Upsell $]]&gt;=400,"High",Sales[[#This Row],[Current Upsell $]]&gt;=100,"Medium",Sales[[#This Row],[Current Upsell $]]&lt;100,"Low")</f>
        <v/>
      </c>
      <c r="R316" t="str">
        <f>IF(Sales[[#This Row],[Current Upsell $]]&gt;0,_xlfn.CONCAT(Sales[[#This Row],[Subscription Type]]," ",Sales[[#This Row],[Upsell Priority]]," ",TEXT(Sales[[#This Row],[Current Upsell $]],"$#,#")),"")</f>
        <v/>
      </c>
    </row>
    <row r="317" spans="1:18" x14ac:dyDescent="0.25">
      <c r="A317">
        <v>100025</v>
      </c>
      <c r="B317" t="s">
        <v>3</v>
      </c>
      <c r="F317">
        <v>0</v>
      </c>
      <c r="G317">
        <v>2</v>
      </c>
      <c r="H317" s="1">
        <v>43922</v>
      </c>
      <c r="I317" s="1">
        <v>44378</v>
      </c>
      <c r="J317">
        <v>15</v>
      </c>
      <c r="K317">
        <v>0</v>
      </c>
      <c r="L317" s="1">
        <v>44044</v>
      </c>
      <c r="M317">
        <v>0</v>
      </c>
      <c r="N317" s="8" cm="1">
        <f t="array" ref="N317">_xlfn.SWITCH(Sales[[#This Row],[Subscription Type]],"Basic",10,"Premium",10,"Business",25,"Enterprise",27)</f>
        <v>10</v>
      </c>
      <c r="O317">
        <f>IF(Sales[[#This Row],[Number of Users]]-Sales[[#This Row],[Licenses Bought]]&lt;0,0,Sales[[#This Row],[Number of Users]]-Sales[[#This Row],[Licenses Bought]])</f>
        <v>2</v>
      </c>
      <c r="P317" s="8">
        <f>IF(Sales[[#This Row],[Sales Month]]=MAX(Sales[Sales Month]),Sales[[#This Row],[Non-Paying Users]]*Sales[[#This Row],[Upsell $ per Non-Paying User]],0)</f>
        <v>0</v>
      </c>
      <c r="Q317" t="str" cm="1">
        <f t="array" ref="Q317">_xlfn.IFS(Sales[[#This Row],[Current Upsell $]]=0,"",Sales[[#This Row],[Current Upsell $]]&gt;=400,"High",Sales[[#This Row],[Current Upsell $]]&gt;=100,"Medium",Sales[[#This Row],[Current Upsell $]]&lt;100,"Low")</f>
        <v/>
      </c>
      <c r="R317" t="str">
        <f>IF(Sales[[#This Row],[Current Upsell $]]&gt;0,_xlfn.CONCAT(Sales[[#This Row],[Subscription Type]]," ",Sales[[#This Row],[Upsell Priority]]," ",TEXT(Sales[[#This Row],[Current Upsell $]],"$#,#")),"")</f>
        <v/>
      </c>
    </row>
    <row r="318" spans="1:18" x14ac:dyDescent="0.25">
      <c r="A318">
        <v>100025</v>
      </c>
      <c r="B318" t="s">
        <v>3</v>
      </c>
      <c r="F318">
        <v>0</v>
      </c>
      <c r="G318">
        <v>2</v>
      </c>
      <c r="H318" s="1">
        <v>43922</v>
      </c>
      <c r="I318" s="1">
        <v>44378</v>
      </c>
      <c r="J318">
        <v>15</v>
      </c>
      <c r="K318">
        <v>0</v>
      </c>
      <c r="L318" s="1">
        <v>44075</v>
      </c>
      <c r="M318">
        <v>0</v>
      </c>
      <c r="N318" s="8" cm="1">
        <f t="array" ref="N318">_xlfn.SWITCH(Sales[[#This Row],[Subscription Type]],"Basic",10,"Premium",10,"Business",25,"Enterprise",27)</f>
        <v>10</v>
      </c>
      <c r="O318">
        <f>IF(Sales[[#This Row],[Number of Users]]-Sales[[#This Row],[Licenses Bought]]&lt;0,0,Sales[[#This Row],[Number of Users]]-Sales[[#This Row],[Licenses Bought]])</f>
        <v>2</v>
      </c>
      <c r="P318" s="8">
        <f>IF(Sales[[#This Row],[Sales Month]]=MAX(Sales[Sales Month]),Sales[[#This Row],[Non-Paying Users]]*Sales[[#This Row],[Upsell $ per Non-Paying User]],0)</f>
        <v>0</v>
      </c>
      <c r="Q318" t="str" cm="1">
        <f t="array" ref="Q318">_xlfn.IFS(Sales[[#This Row],[Current Upsell $]]=0,"",Sales[[#This Row],[Current Upsell $]]&gt;=400,"High",Sales[[#This Row],[Current Upsell $]]&gt;=100,"Medium",Sales[[#This Row],[Current Upsell $]]&lt;100,"Low")</f>
        <v/>
      </c>
      <c r="R318" t="str">
        <f>IF(Sales[[#This Row],[Current Upsell $]]&gt;0,_xlfn.CONCAT(Sales[[#This Row],[Subscription Type]]," ",Sales[[#This Row],[Upsell Priority]]," ",TEXT(Sales[[#This Row],[Current Upsell $]],"$#,#")),"")</f>
        <v/>
      </c>
    </row>
    <row r="319" spans="1:18" x14ac:dyDescent="0.25">
      <c r="A319">
        <v>100025</v>
      </c>
      <c r="B319" t="s">
        <v>3</v>
      </c>
      <c r="F319">
        <v>0</v>
      </c>
      <c r="G319">
        <v>2</v>
      </c>
      <c r="H319" s="1">
        <v>43922</v>
      </c>
      <c r="I319" s="1">
        <v>44378</v>
      </c>
      <c r="J319">
        <v>15</v>
      </c>
      <c r="K319">
        <v>0</v>
      </c>
      <c r="L319" s="1">
        <v>44105</v>
      </c>
      <c r="M319">
        <v>0</v>
      </c>
      <c r="N319" s="8" cm="1">
        <f t="array" ref="N319">_xlfn.SWITCH(Sales[[#This Row],[Subscription Type]],"Basic",10,"Premium",10,"Business",25,"Enterprise",27)</f>
        <v>10</v>
      </c>
      <c r="O319">
        <f>IF(Sales[[#This Row],[Number of Users]]-Sales[[#This Row],[Licenses Bought]]&lt;0,0,Sales[[#This Row],[Number of Users]]-Sales[[#This Row],[Licenses Bought]])</f>
        <v>2</v>
      </c>
      <c r="P319" s="8">
        <f>IF(Sales[[#This Row],[Sales Month]]=MAX(Sales[Sales Month]),Sales[[#This Row],[Non-Paying Users]]*Sales[[#This Row],[Upsell $ per Non-Paying User]],0)</f>
        <v>0</v>
      </c>
      <c r="Q319" t="str" cm="1">
        <f t="array" ref="Q319">_xlfn.IFS(Sales[[#This Row],[Current Upsell $]]=0,"",Sales[[#This Row],[Current Upsell $]]&gt;=400,"High",Sales[[#This Row],[Current Upsell $]]&gt;=100,"Medium",Sales[[#This Row],[Current Upsell $]]&lt;100,"Low")</f>
        <v/>
      </c>
      <c r="R319" t="str">
        <f>IF(Sales[[#This Row],[Current Upsell $]]&gt;0,_xlfn.CONCAT(Sales[[#This Row],[Subscription Type]]," ",Sales[[#This Row],[Upsell Priority]]," ",TEXT(Sales[[#This Row],[Current Upsell $]],"$#,#")),"")</f>
        <v/>
      </c>
    </row>
    <row r="320" spans="1:18" x14ac:dyDescent="0.25">
      <c r="A320">
        <v>100025</v>
      </c>
      <c r="B320" t="s">
        <v>3</v>
      </c>
      <c r="F320">
        <v>0</v>
      </c>
      <c r="G320">
        <v>2</v>
      </c>
      <c r="H320" s="1">
        <v>43922</v>
      </c>
      <c r="I320" s="1">
        <v>44378</v>
      </c>
      <c r="J320">
        <v>15</v>
      </c>
      <c r="K320">
        <v>0</v>
      </c>
      <c r="L320" s="1">
        <v>44136</v>
      </c>
      <c r="M320">
        <v>0</v>
      </c>
      <c r="N320" s="8" cm="1">
        <f t="array" ref="N320">_xlfn.SWITCH(Sales[[#This Row],[Subscription Type]],"Basic",10,"Premium",10,"Business",25,"Enterprise",27)</f>
        <v>10</v>
      </c>
      <c r="O320">
        <f>IF(Sales[[#This Row],[Number of Users]]-Sales[[#This Row],[Licenses Bought]]&lt;0,0,Sales[[#This Row],[Number of Users]]-Sales[[#This Row],[Licenses Bought]])</f>
        <v>2</v>
      </c>
      <c r="P320" s="8">
        <f>IF(Sales[[#This Row],[Sales Month]]=MAX(Sales[Sales Month]),Sales[[#This Row],[Non-Paying Users]]*Sales[[#This Row],[Upsell $ per Non-Paying User]],0)</f>
        <v>0</v>
      </c>
      <c r="Q320" t="str" cm="1">
        <f t="array" ref="Q320">_xlfn.IFS(Sales[[#This Row],[Current Upsell $]]=0,"",Sales[[#This Row],[Current Upsell $]]&gt;=400,"High",Sales[[#This Row],[Current Upsell $]]&gt;=100,"Medium",Sales[[#This Row],[Current Upsell $]]&lt;100,"Low")</f>
        <v/>
      </c>
      <c r="R320" t="str">
        <f>IF(Sales[[#This Row],[Current Upsell $]]&gt;0,_xlfn.CONCAT(Sales[[#This Row],[Subscription Type]]," ",Sales[[#This Row],[Upsell Priority]]," ",TEXT(Sales[[#This Row],[Current Upsell $]],"$#,#")),"")</f>
        <v/>
      </c>
    </row>
    <row r="321" spans="1:18" x14ac:dyDescent="0.25">
      <c r="A321">
        <v>100025</v>
      </c>
      <c r="B321" t="s">
        <v>3</v>
      </c>
      <c r="F321">
        <v>0</v>
      </c>
      <c r="G321">
        <v>2</v>
      </c>
      <c r="H321" s="1">
        <v>43922</v>
      </c>
      <c r="I321" s="1">
        <v>44378</v>
      </c>
      <c r="J321">
        <v>15</v>
      </c>
      <c r="K321">
        <v>0</v>
      </c>
      <c r="L321" s="1">
        <v>44166</v>
      </c>
      <c r="M321">
        <v>0</v>
      </c>
      <c r="N321" s="8" cm="1">
        <f t="array" ref="N321">_xlfn.SWITCH(Sales[[#This Row],[Subscription Type]],"Basic",10,"Premium",10,"Business",25,"Enterprise",27)</f>
        <v>10</v>
      </c>
      <c r="O321">
        <f>IF(Sales[[#This Row],[Number of Users]]-Sales[[#This Row],[Licenses Bought]]&lt;0,0,Sales[[#This Row],[Number of Users]]-Sales[[#This Row],[Licenses Bought]])</f>
        <v>2</v>
      </c>
      <c r="P321" s="8">
        <f>IF(Sales[[#This Row],[Sales Month]]=MAX(Sales[Sales Month]),Sales[[#This Row],[Non-Paying Users]]*Sales[[#This Row],[Upsell $ per Non-Paying User]],0)</f>
        <v>0</v>
      </c>
      <c r="Q321" t="str" cm="1">
        <f t="array" ref="Q321">_xlfn.IFS(Sales[[#This Row],[Current Upsell $]]=0,"",Sales[[#This Row],[Current Upsell $]]&gt;=400,"High",Sales[[#This Row],[Current Upsell $]]&gt;=100,"Medium",Sales[[#This Row],[Current Upsell $]]&lt;100,"Low")</f>
        <v/>
      </c>
      <c r="R321" t="str">
        <f>IF(Sales[[#This Row],[Current Upsell $]]&gt;0,_xlfn.CONCAT(Sales[[#This Row],[Subscription Type]]," ",Sales[[#This Row],[Upsell Priority]]," ",TEXT(Sales[[#This Row],[Current Upsell $]],"$#,#")),"")</f>
        <v/>
      </c>
    </row>
    <row r="322" spans="1:18" x14ac:dyDescent="0.25">
      <c r="A322">
        <v>100025</v>
      </c>
      <c r="B322" t="s">
        <v>3</v>
      </c>
      <c r="F322">
        <v>0</v>
      </c>
      <c r="G322">
        <v>2</v>
      </c>
      <c r="H322" s="1">
        <v>43922</v>
      </c>
      <c r="I322" s="1">
        <v>44378</v>
      </c>
      <c r="J322">
        <v>15</v>
      </c>
      <c r="K322">
        <v>0</v>
      </c>
      <c r="L322" s="1">
        <v>44197</v>
      </c>
      <c r="M322">
        <v>0</v>
      </c>
      <c r="N322" s="8" cm="1">
        <f t="array" ref="N322">_xlfn.SWITCH(Sales[[#This Row],[Subscription Type]],"Basic",10,"Premium",10,"Business",25,"Enterprise",27)</f>
        <v>10</v>
      </c>
      <c r="O322">
        <f>IF(Sales[[#This Row],[Number of Users]]-Sales[[#This Row],[Licenses Bought]]&lt;0,0,Sales[[#This Row],[Number of Users]]-Sales[[#This Row],[Licenses Bought]])</f>
        <v>2</v>
      </c>
      <c r="P322" s="8">
        <f>IF(Sales[[#This Row],[Sales Month]]=MAX(Sales[Sales Month]),Sales[[#This Row],[Non-Paying Users]]*Sales[[#This Row],[Upsell $ per Non-Paying User]],0)</f>
        <v>0</v>
      </c>
      <c r="Q322" t="str" cm="1">
        <f t="array" ref="Q322">_xlfn.IFS(Sales[[#This Row],[Current Upsell $]]=0,"",Sales[[#This Row],[Current Upsell $]]&gt;=400,"High",Sales[[#This Row],[Current Upsell $]]&gt;=100,"Medium",Sales[[#This Row],[Current Upsell $]]&lt;100,"Low")</f>
        <v/>
      </c>
      <c r="R322" t="str">
        <f>IF(Sales[[#This Row],[Current Upsell $]]&gt;0,_xlfn.CONCAT(Sales[[#This Row],[Subscription Type]]," ",Sales[[#This Row],[Upsell Priority]]," ",TEXT(Sales[[#This Row],[Current Upsell $]],"$#,#")),"")</f>
        <v/>
      </c>
    </row>
    <row r="323" spans="1:18" x14ac:dyDescent="0.25">
      <c r="A323">
        <v>100025</v>
      </c>
      <c r="B323" t="s">
        <v>3</v>
      </c>
      <c r="F323">
        <v>0</v>
      </c>
      <c r="G323">
        <v>2</v>
      </c>
      <c r="H323" s="1">
        <v>43922</v>
      </c>
      <c r="I323" s="1">
        <v>44378</v>
      </c>
      <c r="J323">
        <v>15</v>
      </c>
      <c r="K323">
        <v>0</v>
      </c>
      <c r="L323" s="1">
        <v>44228</v>
      </c>
      <c r="M323">
        <v>0</v>
      </c>
      <c r="N323" s="8" cm="1">
        <f t="array" ref="N323">_xlfn.SWITCH(Sales[[#This Row],[Subscription Type]],"Basic",10,"Premium",10,"Business",25,"Enterprise",27)</f>
        <v>10</v>
      </c>
      <c r="O323">
        <f>IF(Sales[[#This Row],[Number of Users]]-Sales[[#This Row],[Licenses Bought]]&lt;0,0,Sales[[#This Row],[Number of Users]]-Sales[[#This Row],[Licenses Bought]])</f>
        <v>2</v>
      </c>
      <c r="P323" s="8">
        <f>IF(Sales[[#This Row],[Sales Month]]=MAX(Sales[Sales Month]),Sales[[#This Row],[Non-Paying Users]]*Sales[[#This Row],[Upsell $ per Non-Paying User]],0)</f>
        <v>0</v>
      </c>
      <c r="Q323" t="str" cm="1">
        <f t="array" ref="Q323">_xlfn.IFS(Sales[[#This Row],[Current Upsell $]]=0,"",Sales[[#This Row],[Current Upsell $]]&gt;=400,"High",Sales[[#This Row],[Current Upsell $]]&gt;=100,"Medium",Sales[[#This Row],[Current Upsell $]]&lt;100,"Low")</f>
        <v/>
      </c>
      <c r="R323" t="str">
        <f>IF(Sales[[#This Row],[Current Upsell $]]&gt;0,_xlfn.CONCAT(Sales[[#This Row],[Subscription Type]]," ",Sales[[#This Row],[Upsell Priority]]," ",TEXT(Sales[[#This Row],[Current Upsell $]],"$#,#")),"")</f>
        <v/>
      </c>
    </row>
    <row r="324" spans="1:18" x14ac:dyDescent="0.25">
      <c r="A324">
        <v>100025</v>
      </c>
      <c r="B324" t="s">
        <v>3</v>
      </c>
      <c r="F324">
        <v>0</v>
      </c>
      <c r="G324">
        <v>2</v>
      </c>
      <c r="H324" s="1">
        <v>43922</v>
      </c>
      <c r="I324" s="1">
        <v>44378</v>
      </c>
      <c r="J324">
        <v>15</v>
      </c>
      <c r="K324">
        <v>0</v>
      </c>
      <c r="L324" s="1">
        <v>44256</v>
      </c>
      <c r="M324">
        <v>0</v>
      </c>
      <c r="N324" s="8" cm="1">
        <f t="array" ref="N324">_xlfn.SWITCH(Sales[[#This Row],[Subscription Type]],"Basic",10,"Premium",10,"Business",25,"Enterprise",27)</f>
        <v>10</v>
      </c>
      <c r="O324">
        <f>IF(Sales[[#This Row],[Number of Users]]-Sales[[#This Row],[Licenses Bought]]&lt;0,0,Sales[[#This Row],[Number of Users]]-Sales[[#This Row],[Licenses Bought]])</f>
        <v>2</v>
      </c>
      <c r="P324" s="8">
        <f>IF(Sales[[#This Row],[Sales Month]]=MAX(Sales[Sales Month]),Sales[[#This Row],[Non-Paying Users]]*Sales[[#This Row],[Upsell $ per Non-Paying User]],0)</f>
        <v>0</v>
      </c>
      <c r="Q324" t="str" cm="1">
        <f t="array" ref="Q324">_xlfn.IFS(Sales[[#This Row],[Current Upsell $]]=0,"",Sales[[#This Row],[Current Upsell $]]&gt;=400,"High",Sales[[#This Row],[Current Upsell $]]&gt;=100,"Medium",Sales[[#This Row],[Current Upsell $]]&lt;100,"Low")</f>
        <v/>
      </c>
      <c r="R324" t="str">
        <f>IF(Sales[[#This Row],[Current Upsell $]]&gt;0,_xlfn.CONCAT(Sales[[#This Row],[Subscription Type]]," ",Sales[[#This Row],[Upsell Priority]]," ",TEXT(Sales[[#This Row],[Current Upsell $]],"$#,#")),"")</f>
        <v/>
      </c>
    </row>
    <row r="325" spans="1:18" x14ac:dyDescent="0.25">
      <c r="A325">
        <v>100025</v>
      </c>
      <c r="B325" t="s">
        <v>3</v>
      </c>
      <c r="F325">
        <v>0</v>
      </c>
      <c r="G325">
        <v>2</v>
      </c>
      <c r="H325" s="1">
        <v>43922</v>
      </c>
      <c r="I325" s="1">
        <v>44378</v>
      </c>
      <c r="J325">
        <v>15</v>
      </c>
      <c r="K325">
        <v>0</v>
      </c>
      <c r="L325" s="1">
        <v>44287</v>
      </c>
      <c r="M325">
        <v>0</v>
      </c>
      <c r="N325" s="8" cm="1">
        <f t="array" ref="N325">_xlfn.SWITCH(Sales[[#This Row],[Subscription Type]],"Basic",10,"Premium",10,"Business",25,"Enterprise",27)</f>
        <v>10</v>
      </c>
      <c r="O325">
        <f>IF(Sales[[#This Row],[Number of Users]]-Sales[[#This Row],[Licenses Bought]]&lt;0,0,Sales[[#This Row],[Number of Users]]-Sales[[#This Row],[Licenses Bought]])</f>
        <v>2</v>
      </c>
      <c r="P325" s="8">
        <f>IF(Sales[[#This Row],[Sales Month]]=MAX(Sales[Sales Month]),Sales[[#This Row],[Non-Paying Users]]*Sales[[#This Row],[Upsell $ per Non-Paying User]],0)</f>
        <v>0</v>
      </c>
      <c r="Q325" t="str" cm="1">
        <f t="array" ref="Q325">_xlfn.IFS(Sales[[#This Row],[Current Upsell $]]=0,"",Sales[[#This Row],[Current Upsell $]]&gt;=400,"High",Sales[[#This Row],[Current Upsell $]]&gt;=100,"Medium",Sales[[#This Row],[Current Upsell $]]&lt;100,"Low")</f>
        <v/>
      </c>
      <c r="R325" t="str">
        <f>IF(Sales[[#This Row],[Current Upsell $]]&gt;0,_xlfn.CONCAT(Sales[[#This Row],[Subscription Type]]," ",Sales[[#This Row],[Upsell Priority]]," ",TEXT(Sales[[#This Row],[Current Upsell $]],"$#,#")),"")</f>
        <v/>
      </c>
    </row>
    <row r="326" spans="1:18" x14ac:dyDescent="0.25">
      <c r="A326">
        <v>100025</v>
      </c>
      <c r="B326" t="s">
        <v>3</v>
      </c>
      <c r="F326">
        <v>0</v>
      </c>
      <c r="G326">
        <v>1</v>
      </c>
      <c r="H326" s="1">
        <v>43922</v>
      </c>
      <c r="I326" s="1">
        <v>44378</v>
      </c>
      <c r="J326">
        <v>15</v>
      </c>
      <c r="K326">
        <v>0</v>
      </c>
      <c r="L326" s="1">
        <v>44317</v>
      </c>
      <c r="M326">
        <v>0</v>
      </c>
      <c r="N326" s="8" cm="1">
        <f t="array" ref="N326">_xlfn.SWITCH(Sales[[#This Row],[Subscription Type]],"Basic",10,"Premium",10,"Business",25,"Enterprise",27)</f>
        <v>10</v>
      </c>
      <c r="O326">
        <f>IF(Sales[[#This Row],[Number of Users]]-Sales[[#This Row],[Licenses Bought]]&lt;0,0,Sales[[#This Row],[Number of Users]]-Sales[[#This Row],[Licenses Bought]])</f>
        <v>1</v>
      </c>
      <c r="P326" s="8">
        <f>IF(Sales[[#This Row],[Sales Month]]=MAX(Sales[Sales Month]),Sales[[#This Row],[Non-Paying Users]]*Sales[[#This Row],[Upsell $ per Non-Paying User]],0)</f>
        <v>0</v>
      </c>
      <c r="Q326" t="str" cm="1">
        <f t="array" ref="Q326">_xlfn.IFS(Sales[[#This Row],[Current Upsell $]]=0,"",Sales[[#This Row],[Current Upsell $]]&gt;=400,"High",Sales[[#This Row],[Current Upsell $]]&gt;=100,"Medium",Sales[[#This Row],[Current Upsell $]]&lt;100,"Low")</f>
        <v/>
      </c>
      <c r="R326" t="str">
        <f>IF(Sales[[#This Row],[Current Upsell $]]&gt;0,_xlfn.CONCAT(Sales[[#This Row],[Subscription Type]]," ",Sales[[#This Row],[Upsell Priority]]," ",TEXT(Sales[[#This Row],[Current Upsell $]],"$#,#")),"")</f>
        <v/>
      </c>
    </row>
    <row r="327" spans="1:18" x14ac:dyDescent="0.25">
      <c r="A327">
        <v>100025</v>
      </c>
      <c r="B327" t="s">
        <v>3</v>
      </c>
      <c r="F327">
        <v>0</v>
      </c>
      <c r="G327">
        <v>2</v>
      </c>
      <c r="H327" s="1">
        <v>43922</v>
      </c>
      <c r="I327" s="1">
        <v>44378</v>
      </c>
      <c r="J327">
        <v>15</v>
      </c>
      <c r="K327">
        <v>0</v>
      </c>
      <c r="L327" s="1">
        <v>44348</v>
      </c>
      <c r="M327">
        <v>0</v>
      </c>
      <c r="N327" s="8" cm="1">
        <f t="array" ref="N327">_xlfn.SWITCH(Sales[[#This Row],[Subscription Type]],"Basic",10,"Premium",10,"Business",25,"Enterprise",27)</f>
        <v>10</v>
      </c>
      <c r="O327">
        <f>IF(Sales[[#This Row],[Number of Users]]-Sales[[#This Row],[Licenses Bought]]&lt;0,0,Sales[[#This Row],[Number of Users]]-Sales[[#This Row],[Licenses Bought]])</f>
        <v>2</v>
      </c>
      <c r="P327" s="8">
        <f>IF(Sales[[#This Row],[Sales Month]]=MAX(Sales[Sales Month]),Sales[[#This Row],[Non-Paying Users]]*Sales[[#This Row],[Upsell $ per Non-Paying User]],0)</f>
        <v>20</v>
      </c>
      <c r="Q327" t="str" cm="1">
        <f t="array" ref="Q327">_xlfn.IFS(Sales[[#This Row],[Current Upsell $]]=0,"",Sales[[#This Row],[Current Upsell $]]&gt;=400,"High",Sales[[#This Row],[Current Upsell $]]&gt;=100,"Medium",Sales[[#This Row],[Current Upsell $]]&lt;100,"Low")</f>
        <v>Low</v>
      </c>
      <c r="R327" t="str">
        <f>IF(Sales[[#This Row],[Current Upsell $]]&gt;0,_xlfn.CONCAT(Sales[[#This Row],[Subscription Type]]," ",Sales[[#This Row],[Upsell Priority]]," ",TEXT(Sales[[#This Row],[Current Upsell $]],"$#,#")),"")</f>
        <v>Basic Low $20</v>
      </c>
    </row>
    <row r="328" spans="1:18" x14ac:dyDescent="0.25">
      <c r="A328">
        <v>100026</v>
      </c>
      <c r="B328" t="s">
        <v>3</v>
      </c>
      <c r="D328" s="1"/>
      <c r="E328" s="1"/>
      <c r="F328">
        <v>0</v>
      </c>
      <c r="G328">
        <v>35</v>
      </c>
      <c r="H328" s="1">
        <v>43952</v>
      </c>
      <c r="I328" s="1">
        <v>44378</v>
      </c>
      <c r="J328">
        <v>14</v>
      </c>
      <c r="K328">
        <v>0</v>
      </c>
      <c r="L328" s="1">
        <v>43952</v>
      </c>
      <c r="M328">
        <v>0</v>
      </c>
      <c r="N328" s="8" cm="1">
        <f t="array" ref="N328">_xlfn.SWITCH(Sales[[#This Row],[Subscription Type]],"Basic",10,"Premium",10,"Business",25,"Enterprise",27)</f>
        <v>10</v>
      </c>
      <c r="O328">
        <f>IF(Sales[[#This Row],[Number of Users]]-Sales[[#This Row],[Licenses Bought]]&lt;0,0,Sales[[#This Row],[Number of Users]]-Sales[[#This Row],[Licenses Bought]])</f>
        <v>35</v>
      </c>
      <c r="P328" s="8">
        <f>IF(Sales[[#This Row],[Sales Month]]=MAX(Sales[Sales Month]),Sales[[#This Row],[Non-Paying Users]]*Sales[[#This Row],[Upsell $ per Non-Paying User]],0)</f>
        <v>0</v>
      </c>
      <c r="Q328" t="str" cm="1">
        <f t="array" ref="Q328">_xlfn.IFS(Sales[[#This Row],[Current Upsell $]]=0,"",Sales[[#This Row],[Current Upsell $]]&gt;=400,"High",Sales[[#This Row],[Current Upsell $]]&gt;=100,"Medium",Sales[[#This Row],[Current Upsell $]]&lt;100,"Low")</f>
        <v/>
      </c>
      <c r="R328" t="str">
        <f>IF(Sales[[#This Row],[Current Upsell $]]&gt;0,_xlfn.CONCAT(Sales[[#This Row],[Subscription Type]]," ",Sales[[#This Row],[Upsell Priority]]," ",TEXT(Sales[[#This Row],[Current Upsell $]],"$#,#")),"")</f>
        <v/>
      </c>
    </row>
    <row r="329" spans="1:18" x14ac:dyDescent="0.25">
      <c r="A329">
        <v>100026</v>
      </c>
      <c r="B329" t="s">
        <v>0</v>
      </c>
      <c r="D329" s="1"/>
      <c r="E329" s="1"/>
      <c r="F329">
        <v>11</v>
      </c>
      <c r="G329">
        <v>32</v>
      </c>
      <c r="H329" s="1">
        <v>43952</v>
      </c>
      <c r="I329" s="1">
        <v>44378</v>
      </c>
      <c r="J329">
        <v>14</v>
      </c>
      <c r="K329">
        <v>0</v>
      </c>
      <c r="L329" s="1">
        <v>43983</v>
      </c>
      <c r="M329">
        <v>110</v>
      </c>
      <c r="N329" s="8" cm="1">
        <f t="array" ref="N329">_xlfn.SWITCH(Sales[[#This Row],[Subscription Type]],"Basic",10,"Premium",10,"Business",25,"Enterprise",27)</f>
        <v>10</v>
      </c>
      <c r="O329">
        <f>IF(Sales[[#This Row],[Number of Users]]-Sales[[#This Row],[Licenses Bought]]&lt;0,0,Sales[[#This Row],[Number of Users]]-Sales[[#This Row],[Licenses Bought]])</f>
        <v>21</v>
      </c>
      <c r="P329" s="8">
        <f>IF(Sales[[#This Row],[Sales Month]]=MAX(Sales[Sales Month]),Sales[[#This Row],[Non-Paying Users]]*Sales[[#This Row],[Upsell $ per Non-Paying User]],0)</f>
        <v>0</v>
      </c>
      <c r="Q329" t="str" cm="1">
        <f t="array" ref="Q329">_xlfn.IFS(Sales[[#This Row],[Current Upsell $]]=0,"",Sales[[#This Row],[Current Upsell $]]&gt;=400,"High",Sales[[#This Row],[Current Upsell $]]&gt;=100,"Medium",Sales[[#This Row],[Current Upsell $]]&lt;100,"Low")</f>
        <v/>
      </c>
      <c r="R329" t="str">
        <f>IF(Sales[[#This Row],[Current Upsell $]]&gt;0,_xlfn.CONCAT(Sales[[#This Row],[Subscription Type]]," ",Sales[[#This Row],[Upsell Priority]]," ",TEXT(Sales[[#This Row],[Current Upsell $]],"$#,#")),"")</f>
        <v/>
      </c>
    </row>
    <row r="330" spans="1:18" x14ac:dyDescent="0.25">
      <c r="A330">
        <v>100026</v>
      </c>
      <c r="B330" t="s">
        <v>0</v>
      </c>
      <c r="D330" s="1"/>
      <c r="E330" s="1"/>
      <c r="F330">
        <v>27</v>
      </c>
      <c r="G330">
        <v>30</v>
      </c>
      <c r="H330" s="1">
        <v>43952</v>
      </c>
      <c r="I330" s="1">
        <v>44378</v>
      </c>
      <c r="J330">
        <v>14</v>
      </c>
      <c r="K330">
        <v>0</v>
      </c>
      <c r="L330" s="1">
        <v>44013</v>
      </c>
      <c r="M330">
        <v>270</v>
      </c>
      <c r="N330" s="8" cm="1">
        <f t="array" ref="N330">_xlfn.SWITCH(Sales[[#This Row],[Subscription Type]],"Basic",10,"Premium",10,"Business",25,"Enterprise",27)</f>
        <v>10</v>
      </c>
      <c r="O330">
        <f>IF(Sales[[#This Row],[Number of Users]]-Sales[[#This Row],[Licenses Bought]]&lt;0,0,Sales[[#This Row],[Number of Users]]-Sales[[#This Row],[Licenses Bought]])</f>
        <v>3</v>
      </c>
      <c r="P330" s="8">
        <f>IF(Sales[[#This Row],[Sales Month]]=MAX(Sales[Sales Month]),Sales[[#This Row],[Non-Paying Users]]*Sales[[#This Row],[Upsell $ per Non-Paying User]],0)</f>
        <v>0</v>
      </c>
      <c r="Q330" t="str" cm="1">
        <f t="array" ref="Q330">_xlfn.IFS(Sales[[#This Row],[Current Upsell $]]=0,"",Sales[[#This Row],[Current Upsell $]]&gt;=400,"High",Sales[[#This Row],[Current Upsell $]]&gt;=100,"Medium",Sales[[#This Row],[Current Upsell $]]&lt;100,"Low")</f>
        <v/>
      </c>
      <c r="R330" t="str">
        <f>IF(Sales[[#This Row],[Current Upsell $]]&gt;0,_xlfn.CONCAT(Sales[[#This Row],[Subscription Type]]," ",Sales[[#This Row],[Upsell Priority]]," ",TEXT(Sales[[#This Row],[Current Upsell $]],"$#,#")),"")</f>
        <v/>
      </c>
    </row>
    <row r="331" spans="1:18" x14ac:dyDescent="0.25">
      <c r="A331">
        <v>100026</v>
      </c>
      <c r="B331" t="s">
        <v>0</v>
      </c>
      <c r="D331" s="1"/>
      <c r="E331" s="1"/>
      <c r="F331">
        <v>27</v>
      </c>
      <c r="G331">
        <v>38</v>
      </c>
      <c r="H331" s="1">
        <v>43952</v>
      </c>
      <c r="I331" s="1">
        <v>44378</v>
      </c>
      <c r="J331">
        <v>14</v>
      </c>
      <c r="K331">
        <v>0</v>
      </c>
      <c r="L331" s="1">
        <v>44044</v>
      </c>
      <c r="M331">
        <v>270</v>
      </c>
      <c r="N331" s="8" cm="1">
        <f t="array" ref="N331">_xlfn.SWITCH(Sales[[#This Row],[Subscription Type]],"Basic",10,"Premium",10,"Business",25,"Enterprise",27)</f>
        <v>10</v>
      </c>
      <c r="O331">
        <f>IF(Sales[[#This Row],[Number of Users]]-Sales[[#This Row],[Licenses Bought]]&lt;0,0,Sales[[#This Row],[Number of Users]]-Sales[[#This Row],[Licenses Bought]])</f>
        <v>11</v>
      </c>
      <c r="P331" s="8">
        <f>IF(Sales[[#This Row],[Sales Month]]=MAX(Sales[Sales Month]),Sales[[#This Row],[Non-Paying Users]]*Sales[[#This Row],[Upsell $ per Non-Paying User]],0)</f>
        <v>0</v>
      </c>
      <c r="Q331" t="str" cm="1">
        <f t="array" ref="Q331">_xlfn.IFS(Sales[[#This Row],[Current Upsell $]]=0,"",Sales[[#This Row],[Current Upsell $]]&gt;=400,"High",Sales[[#This Row],[Current Upsell $]]&gt;=100,"Medium",Sales[[#This Row],[Current Upsell $]]&lt;100,"Low")</f>
        <v/>
      </c>
      <c r="R331" t="str">
        <f>IF(Sales[[#This Row],[Current Upsell $]]&gt;0,_xlfn.CONCAT(Sales[[#This Row],[Subscription Type]]," ",Sales[[#This Row],[Upsell Priority]]," ",TEXT(Sales[[#This Row],[Current Upsell $]],"$#,#")),"")</f>
        <v/>
      </c>
    </row>
    <row r="332" spans="1:18" x14ac:dyDescent="0.25">
      <c r="A332">
        <v>100026</v>
      </c>
      <c r="B332" t="s">
        <v>0</v>
      </c>
      <c r="D332" s="1"/>
      <c r="E332" s="1"/>
      <c r="F332">
        <v>27</v>
      </c>
      <c r="G332">
        <v>30</v>
      </c>
      <c r="H332" s="1">
        <v>43952</v>
      </c>
      <c r="I332" s="1">
        <v>44378</v>
      </c>
      <c r="J332">
        <v>14</v>
      </c>
      <c r="K332">
        <v>0</v>
      </c>
      <c r="L332" s="1">
        <v>44075</v>
      </c>
      <c r="M332">
        <v>270</v>
      </c>
      <c r="N332" s="8" cm="1">
        <f t="array" ref="N332">_xlfn.SWITCH(Sales[[#This Row],[Subscription Type]],"Basic",10,"Premium",10,"Business",25,"Enterprise",27)</f>
        <v>10</v>
      </c>
      <c r="O332">
        <f>IF(Sales[[#This Row],[Number of Users]]-Sales[[#This Row],[Licenses Bought]]&lt;0,0,Sales[[#This Row],[Number of Users]]-Sales[[#This Row],[Licenses Bought]])</f>
        <v>3</v>
      </c>
      <c r="P332" s="8">
        <f>IF(Sales[[#This Row],[Sales Month]]=MAX(Sales[Sales Month]),Sales[[#This Row],[Non-Paying Users]]*Sales[[#This Row],[Upsell $ per Non-Paying User]],0)</f>
        <v>0</v>
      </c>
      <c r="Q332" t="str" cm="1">
        <f t="array" ref="Q332">_xlfn.IFS(Sales[[#This Row],[Current Upsell $]]=0,"",Sales[[#This Row],[Current Upsell $]]&gt;=400,"High",Sales[[#This Row],[Current Upsell $]]&gt;=100,"Medium",Sales[[#This Row],[Current Upsell $]]&lt;100,"Low")</f>
        <v/>
      </c>
      <c r="R332" t="str">
        <f>IF(Sales[[#This Row],[Current Upsell $]]&gt;0,_xlfn.CONCAT(Sales[[#This Row],[Subscription Type]]," ",Sales[[#This Row],[Upsell Priority]]," ",TEXT(Sales[[#This Row],[Current Upsell $]],"$#,#")),"")</f>
        <v/>
      </c>
    </row>
    <row r="333" spans="1:18" x14ac:dyDescent="0.25">
      <c r="A333">
        <v>100026</v>
      </c>
      <c r="B333" t="s">
        <v>0</v>
      </c>
      <c r="D333" s="1"/>
      <c r="E333" s="1"/>
      <c r="F333">
        <v>27</v>
      </c>
      <c r="G333">
        <v>30</v>
      </c>
      <c r="H333" s="1">
        <v>43952</v>
      </c>
      <c r="I333" s="1">
        <v>44378</v>
      </c>
      <c r="J333">
        <v>14</v>
      </c>
      <c r="K333">
        <v>0</v>
      </c>
      <c r="L333" s="1">
        <v>44105</v>
      </c>
      <c r="M333">
        <v>270</v>
      </c>
      <c r="N333" s="8" cm="1">
        <f t="array" ref="N333">_xlfn.SWITCH(Sales[[#This Row],[Subscription Type]],"Basic",10,"Premium",10,"Business",25,"Enterprise",27)</f>
        <v>10</v>
      </c>
      <c r="O333">
        <f>IF(Sales[[#This Row],[Number of Users]]-Sales[[#This Row],[Licenses Bought]]&lt;0,0,Sales[[#This Row],[Number of Users]]-Sales[[#This Row],[Licenses Bought]])</f>
        <v>3</v>
      </c>
      <c r="P333" s="8">
        <f>IF(Sales[[#This Row],[Sales Month]]=MAX(Sales[Sales Month]),Sales[[#This Row],[Non-Paying Users]]*Sales[[#This Row],[Upsell $ per Non-Paying User]],0)</f>
        <v>0</v>
      </c>
      <c r="Q333" t="str" cm="1">
        <f t="array" ref="Q333">_xlfn.IFS(Sales[[#This Row],[Current Upsell $]]=0,"",Sales[[#This Row],[Current Upsell $]]&gt;=400,"High",Sales[[#This Row],[Current Upsell $]]&gt;=100,"Medium",Sales[[#This Row],[Current Upsell $]]&lt;100,"Low")</f>
        <v/>
      </c>
      <c r="R333" t="str">
        <f>IF(Sales[[#This Row],[Current Upsell $]]&gt;0,_xlfn.CONCAT(Sales[[#This Row],[Subscription Type]]," ",Sales[[#This Row],[Upsell Priority]]," ",TEXT(Sales[[#This Row],[Current Upsell $]],"$#,#")),"")</f>
        <v/>
      </c>
    </row>
    <row r="334" spans="1:18" x14ac:dyDescent="0.25">
      <c r="A334">
        <v>100026</v>
      </c>
      <c r="B334" t="s">
        <v>0</v>
      </c>
      <c r="D334" s="1"/>
      <c r="E334" s="1"/>
      <c r="F334">
        <v>27</v>
      </c>
      <c r="G334">
        <v>32</v>
      </c>
      <c r="H334" s="1">
        <v>43952</v>
      </c>
      <c r="I334" s="1">
        <v>44378</v>
      </c>
      <c r="J334">
        <v>14</v>
      </c>
      <c r="K334">
        <v>0</v>
      </c>
      <c r="L334" s="1">
        <v>44136</v>
      </c>
      <c r="M334">
        <v>270</v>
      </c>
      <c r="N334" s="8" cm="1">
        <f t="array" ref="N334">_xlfn.SWITCH(Sales[[#This Row],[Subscription Type]],"Basic",10,"Premium",10,"Business",25,"Enterprise",27)</f>
        <v>10</v>
      </c>
      <c r="O334">
        <f>IF(Sales[[#This Row],[Number of Users]]-Sales[[#This Row],[Licenses Bought]]&lt;0,0,Sales[[#This Row],[Number of Users]]-Sales[[#This Row],[Licenses Bought]])</f>
        <v>5</v>
      </c>
      <c r="P334" s="8">
        <f>IF(Sales[[#This Row],[Sales Month]]=MAX(Sales[Sales Month]),Sales[[#This Row],[Non-Paying Users]]*Sales[[#This Row],[Upsell $ per Non-Paying User]],0)</f>
        <v>0</v>
      </c>
      <c r="Q334" t="str" cm="1">
        <f t="array" ref="Q334">_xlfn.IFS(Sales[[#This Row],[Current Upsell $]]=0,"",Sales[[#This Row],[Current Upsell $]]&gt;=400,"High",Sales[[#This Row],[Current Upsell $]]&gt;=100,"Medium",Sales[[#This Row],[Current Upsell $]]&lt;100,"Low")</f>
        <v/>
      </c>
      <c r="R334" t="str">
        <f>IF(Sales[[#This Row],[Current Upsell $]]&gt;0,_xlfn.CONCAT(Sales[[#This Row],[Subscription Type]]," ",Sales[[#This Row],[Upsell Priority]]," ",TEXT(Sales[[#This Row],[Current Upsell $]],"$#,#")),"")</f>
        <v/>
      </c>
    </row>
    <row r="335" spans="1:18" x14ac:dyDescent="0.25">
      <c r="A335">
        <v>100026</v>
      </c>
      <c r="B335" t="s">
        <v>0</v>
      </c>
      <c r="D335" s="1"/>
      <c r="E335" s="1"/>
      <c r="F335">
        <v>27</v>
      </c>
      <c r="G335">
        <v>33</v>
      </c>
      <c r="H335" s="1">
        <v>43952</v>
      </c>
      <c r="I335" s="1">
        <v>44378</v>
      </c>
      <c r="J335">
        <v>14</v>
      </c>
      <c r="K335">
        <v>0</v>
      </c>
      <c r="L335" s="1">
        <v>44166</v>
      </c>
      <c r="M335">
        <v>270</v>
      </c>
      <c r="N335" s="8" cm="1">
        <f t="array" ref="N335">_xlfn.SWITCH(Sales[[#This Row],[Subscription Type]],"Basic",10,"Premium",10,"Business",25,"Enterprise",27)</f>
        <v>10</v>
      </c>
      <c r="O335">
        <f>IF(Sales[[#This Row],[Number of Users]]-Sales[[#This Row],[Licenses Bought]]&lt;0,0,Sales[[#This Row],[Number of Users]]-Sales[[#This Row],[Licenses Bought]])</f>
        <v>6</v>
      </c>
      <c r="P335" s="8">
        <f>IF(Sales[[#This Row],[Sales Month]]=MAX(Sales[Sales Month]),Sales[[#This Row],[Non-Paying Users]]*Sales[[#This Row],[Upsell $ per Non-Paying User]],0)</f>
        <v>0</v>
      </c>
      <c r="Q335" t="str" cm="1">
        <f t="array" ref="Q335">_xlfn.IFS(Sales[[#This Row],[Current Upsell $]]=0,"",Sales[[#This Row],[Current Upsell $]]&gt;=400,"High",Sales[[#This Row],[Current Upsell $]]&gt;=100,"Medium",Sales[[#This Row],[Current Upsell $]]&lt;100,"Low")</f>
        <v/>
      </c>
      <c r="R335" t="str">
        <f>IF(Sales[[#This Row],[Current Upsell $]]&gt;0,_xlfn.CONCAT(Sales[[#This Row],[Subscription Type]]," ",Sales[[#This Row],[Upsell Priority]]," ",TEXT(Sales[[#This Row],[Current Upsell $]],"$#,#")),"")</f>
        <v/>
      </c>
    </row>
    <row r="336" spans="1:18" x14ac:dyDescent="0.25">
      <c r="A336">
        <v>100026</v>
      </c>
      <c r="B336" t="s">
        <v>0</v>
      </c>
      <c r="D336" s="1"/>
      <c r="E336" s="1"/>
      <c r="F336">
        <v>27</v>
      </c>
      <c r="G336">
        <v>33</v>
      </c>
      <c r="H336" s="1">
        <v>43952</v>
      </c>
      <c r="I336" s="1">
        <v>44378</v>
      </c>
      <c r="J336">
        <v>14</v>
      </c>
      <c r="K336">
        <v>0</v>
      </c>
      <c r="L336" s="1">
        <v>44197</v>
      </c>
      <c r="M336">
        <v>270</v>
      </c>
      <c r="N336" s="8" cm="1">
        <f t="array" ref="N336">_xlfn.SWITCH(Sales[[#This Row],[Subscription Type]],"Basic",10,"Premium",10,"Business",25,"Enterprise",27)</f>
        <v>10</v>
      </c>
      <c r="O336">
        <f>IF(Sales[[#This Row],[Number of Users]]-Sales[[#This Row],[Licenses Bought]]&lt;0,0,Sales[[#This Row],[Number of Users]]-Sales[[#This Row],[Licenses Bought]])</f>
        <v>6</v>
      </c>
      <c r="P336" s="8">
        <f>IF(Sales[[#This Row],[Sales Month]]=MAX(Sales[Sales Month]),Sales[[#This Row],[Non-Paying Users]]*Sales[[#This Row],[Upsell $ per Non-Paying User]],0)</f>
        <v>0</v>
      </c>
      <c r="Q336" t="str" cm="1">
        <f t="array" ref="Q336">_xlfn.IFS(Sales[[#This Row],[Current Upsell $]]=0,"",Sales[[#This Row],[Current Upsell $]]&gt;=400,"High",Sales[[#This Row],[Current Upsell $]]&gt;=100,"Medium",Sales[[#This Row],[Current Upsell $]]&lt;100,"Low")</f>
        <v/>
      </c>
      <c r="R336" t="str">
        <f>IF(Sales[[#This Row],[Current Upsell $]]&gt;0,_xlfn.CONCAT(Sales[[#This Row],[Subscription Type]]," ",Sales[[#This Row],[Upsell Priority]]," ",TEXT(Sales[[#This Row],[Current Upsell $]],"$#,#")),"")</f>
        <v/>
      </c>
    </row>
    <row r="337" spans="1:18" x14ac:dyDescent="0.25">
      <c r="A337">
        <v>100026</v>
      </c>
      <c r="B337" t="s">
        <v>0</v>
      </c>
      <c r="D337" s="1"/>
      <c r="E337" s="1"/>
      <c r="F337">
        <v>27</v>
      </c>
      <c r="G337">
        <v>30</v>
      </c>
      <c r="H337" s="1">
        <v>43952</v>
      </c>
      <c r="I337" s="1">
        <v>44378</v>
      </c>
      <c r="J337">
        <v>14</v>
      </c>
      <c r="K337">
        <v>0</v>
      </c>
      <c r="L337" s="1">
        <v>44228</v>
      </c>
      <c r="M337">
        <v>270</v>
      </c>
      <c r="N337" s="8" cm="1">
        <f t="array" ref="N337">_xlfn.SWITCH(Sales[[#This Row],[Subscription Type]],"Basic",10,"Premium",10,"Business",25,"Enterprise",27)</f>
        <v>10</v>
      </c>
      <c r="O337">
        <f>IF(Sales[[#This Row],[Number of Users]]-Sales[[#This Row],[Licenses Bought]]&lt;0,0,Sales[[#This Row],[Number of Users]]-Sales[[#This Row],[Licenses Bought]])</f>
        <v>3</v>
      </c>
      <c r="P337" s="8">
        <f>IF(Sales[[#This Row],[Sales Month]]=MAX(Sales[Sales Month]),Sales[[#This Row],[Non-Paying Users]]*Sales[[#This Row],[Upsell $ per Non-Paying User]],0)</f>
        <v>0</v>
      </c>
      <c r="Q337" t="str" cm="1">
        <f t="array" ref="Q337">_xlfn.IFS(Sales[[#This Row],[Current Upsell $]]=0,"",Sales[[#This Row],[Current Upsell $]]&gt;=400,"High",Sales[[#This Row],[Current Upsell $]]&gt;=100,"Medium",Sales[[#This Row],[Current Upsell $]]&lt;100,"Low")</f>
        <v/>
      </c>
      <c r="R337" t="str">
        <f>IF(Sales[[#This Row],[Current Upsell $]]&gt;0,_xlfn.CONCAT(Sales[[#This Row],[Subscription Type]]," ",Sales[[#This Row],[Upsell Priority]]," ",TEXT(Sales[[#This Row],[Current Upsell $]],"$#,#")),"")</f>
        <v/>
      </c>
    </row>
    <row r="338" spans="1:18" x14ac:dyDescent="0.25">
      <c r="A338">
        <v>100026</v>
      </c>
      <c r="B338" t="s">
        <v>0</v>
      </c>
      <c r="D338" s="1"/>
      <c r="E338" s="1"/>
      <c r="F338">
        <v>27</v>
      </c>
      <c r="G338">
        <v>28</v>
      </c>
      <c r="H338" s="1">
        <v>43952</v>
      </c>
      <c r="I338" s="1">
        <v>44378</v>
      </c>
      <c r="J338">
        <v>14</v>
      </c>
      <c r="K338">
        <v>0</v>
      </c>
      <c r="L338" s="1">
        <v>44256</v>
      </c>
      <c r="M338">
        <v>270</v>
      </c>
      <c r="N338" s="8" cm="1">
        <f t="array" ref="N338">_xlfn.SWITCH(Sales[[#This Row],[Subscription Type]],"Basic",10,"Premium",10,"Business",25,"Enterprise",27)</f>
        <v>10</v>
      </c>
      <c r="O338">
        <f>IF(Sales[[#This Row],[Number of Users]]-Sales[[#This Row],[Licenses Bought]]&lt;0,0,Sales[[#This Row],[Number of Users]]-Sales[[#This Row],[Licenses Bought]])</f>
        <v>1</v>
      </c>
      <c r="P338" s="8">
        <f>IF(Sales[[#This Row],[Sales Month]]=MAX(Sales[Sales Month]),Sales[[#This Row],[Non-Paying Users]]*Sales[[#This Row],[Upsell $ per Non-Paying User]],0)</f>
        <v>0</v>
      </c>
      <c r="Q338" t="str" cm="1">
        <f t="array" ref="Q338">_xlfn.IFS(Sales[[#This Row],[Current Upsell $]]=0,"",Sales[[#This Row],[Current Upsell $]]&gt;=400,"High",Sales[[#This Row],[Current Upsell $]]&gt;=100,"Medium",Sales[[#This Row],[Current Upsell $]]&lt;100,"Low")</f>
        <v/>
      </c>
      <c r="R338" t="str">
        <f>IF(Sales[[#This Row],[Current Upsell $]]&gt;0,_xlfn.CONCAT(Sales[[#This Row],[Subscription Type]]," ",Sales[[#This Row],[Upsell Priority]]," ",TEXT(Sales[[#This Row],[Current Upsell $]],"$#,#")),"")</f>
        <v/>
      </c>
    </row>
    <row r="339" spans="1:18" x14ac:dyDescent="0.25">
      <c r="A339">
        <v>100026</v>
      </c>
      <c r="B339" t="s">
        <v>0</v>
      </c>
      <c r="D339" s="1"/>
      <c r="E339" s="1"/>
      <c r="F339">
        <v>27</v>
      </c>
      <c r="G339">
        <v>36</v>
      </c>
      <c r="H339" s="1">
        <v>43952</v>
      </c>
      <c r="I339" s="1">
        <v>44378</v>
      </c>
      <c r="J339">
        <v>14</v>
      </c>
      <c r="K339">
        <v>0</v>
      </c>
      <c r="L339" s="1">
        <v>44287</v>
      </c>
      <c r="M339">
        <v>270</v>
      </c>
      <c r="N339" s="8" cm="1">
        <f t="array" ref="N339">_xlfn.SWITCH(Sales[[#This Row],[Subscription Type]],"Basic",10,"Premium",10,"Business",25,"Enterprise",27)</f>
        <v>10</v>
      </c>
      <c r="O339">
        <f>IF(Sales[[#This Row],[Number of Users]]-Sales[[#This Row],[Licenses Bought]]&lt;0,0,Sales[[#This Row],[Number of Users]]-Sales[[#This Row],[Licenses Bought]])</f>
        <v>9</v>
      </c>
      <c r="P339" s="8">
        <f>IF(Sales[[#This Row],[Sales Month]]=MAX(Sales[Sales Month]),Sales[[#This Row],[Non-Paying Users]]*Sales[[#This Row],[Upsell $ per Non-Paying User]],0)</f>
        <v>0</v>
      </c>
      <c r="Q339" t="str" cm="1">
        <f t="array" ref="Q339">_xlfn.IFS(Sales[[#This Row],[Current Upsell $]]=0,"",Sales[[#This Row],[Current Upsell $]]&gt;=400,"High",Sales[[#This Row],[Current Upsell $]]&gt;=100,"Medium",Sales[[#This Row],[Current Upsell $]]&lt;100,"Low")</f>
        <v/>
      </c>
      <c r="R339" t="str">
        <f>IF(Sales[[#This Row],[Current Upsell $]]&gt;0,_xlfn.CONCAT(Sales[[#This Row],[Subscription Type]]," ",Sales[[#This Row],[Upsell Priority]]," ",TEXT(Sales[[#This Row],[Current Upsell $]],"$#,#")),"")</f>
        <v/>
      </c>
    </row>
    <row r="340" spans="1:18" x14ac:dyDescent="0.25">
      <c r="A340">
        <v>100026</v>
      </c>
      <c r="B340" t="s">
        <v>0</v>
      </c>
      <c r="D340" s="1"/>
      <c r="E340" s="1"/>
      <c r="F340">
        <v>27</v>
      </c>
      <c r="G340">
        <v>36</v>
      </c>
      <c r="H340" s="1">
        <v>43952</v>
      </c>
      <c r="I340" s="1">
        <v>44378</v>
      </c>
      <c r="J340">
        <v>14</v>
      </c>
      <c r="K340">
        <v>0</v>
      </c>
      <c r="L340" s="1">
        <v>44317</v>
      </c>
      <c r="M340">
        <v>270</v>
      </c>
      <c r="N340" s="8" cm="1">
        <f t="array" ref="N340">_xlfn.SWITCH(Sales[[#This Row],[Subscription Type]],"Basic",10,"Premium",10,"Business",25,"Enterprise",27)</f>
        <v>10</v>
      </c>
      <c r="O340">
        <f>IF(Sales[[#This Row],[Number of Users]]-Sales[[#This Row],[Licenses Bought]]&lt;0,0,Sales[[#This Row],[Number of Users]]-Sales[[#This Row],[Licenses Bought]])</f>
        <v>9</v>
      </c>
      <c r="P340" s="8">
        <f>IF(Sales[[#This Row],[Sales Month]]=MAX(Sales[Sales Month]),Sales[[#This Row],[Non-Paying Users]]*Sales[[#This Row],[Upsell $ per Non-Paying User]],0)</f>
        <v>0</v>
      </c>
      <c r="Q340" t="str" cm="1">
        <f t="array" ref="Q340">_xlfn.IFS(Sales[[#This Row],[Current Upsell $]]=0,"",Sales[[#This Row],[Current Upsell $]]&gt;=400,"High",Sales[[#This Row],[Current Upsell $]]&gt;=100,"Medium",Sales[[#This Row],[Current Upsell $]]&lt;100,"Low")</f>
        <v/>
      </c>
      <c r="R340" t="str">
        <f>IF(Sales[[#This Row],[Current Upsell $]]&gt;0,_xlfn.CONCAT(Sales[[#This Row],[Subscription Type]]," ",Sales[[#This Row],[Upsell Priority]]," ",TEXT(Sales[[#This Row],[Current Upsell $]],"$#,#")),"")</f>
        <v/>
      </c>
    </row>
    <row r="341" spans="1:18" x14ac:dyDescent="0.25">
      <c r="A341">
        <v>100026</v>
      </c>
      <c r="B341" t="s">
        <v>0</v>
      </c>
      <c r="D341" s="1"/>
      <c r="E341" s="1"/>
      <c r="F341">
        <v>27</v>
      </c>
      <c r="G341">
        <v>32</v>
      </c>
      <c r="H341" s="1">
        <v>43952</v>
      </c>
      <c r="I341" s="1">
        <v>44378</v>
      </c>
      <c r="J341">
        <v>14</v>
      </c>
      <c r="K341">
        <v>0</v>
      </c>
      <c r="L341" s="1">
        <v>44348</v>
      </c>
      <c r="M341">
        <v>270</v>
      </c>
      <c r="N341" s="8" cm="1">
        <f t="array" ref="N341">_xlfn.SWITCH(Sales[[#This Row],[Subscription Type]],"Basic",10,"Premium",10,"Business",25,"Enterprise",27)</f>
        <v>10</v>
      </c>
      <c r="O341">
        <f>IF(Sales[[#This Row],[Number of Users]]-Sales[[#This Row],[Licenses Bought]]&lt;0,0,Sales[[#This Row],[Number of Users]]-Sales[[#This Row],[Licenses Bought]])</f>
        <v>5</v>
      </c>
      <c r="P341" s="8">
        <f>IF(Sales[[#This Row],[Sales Month]]=MAX(Sales[Sales Month]),Sales[[#This Row],[Non-Paying Users]]*Sales[[#This Row],[Upsell $ per Non-Paying User]],0)</f>
        <v>50</v>
      </c>
      <c r="Q341" t="str" cm="1">
        <f t="array" ref="Q341">_xlfn.IFS(Sales[[#This Row],[Current Upsell $]]=0,"",Sales[[#This Row],[Current Upsell $]]&gt;=400,"High",Sales[[#This Row],[Current Upsell $]]&gt;=100,"Medium",Sales[[#This Row],[Current Upsell $]]&lt;100,"Low")</f>
        <v>Low</v>
      </c>
      <c r="R341" t="str">
        <f>IF(Sales[[#This Row],[Current Upsell $]]&gt;0,_xlfn.CONCAT(Sales[[#This Row],[Subscription Type]]," ",Sales[[#This Row],[Upsell Priority]]," ",TEXT(Sales[[#This Row],[Current Upsell $]],"$#,#")),"")</f>
        <v>Premium Low $50</v>
      </c>
    </row>
    <row r="342" spans="1:18" x14ac:dyDescent="0.25">
      <c r="A342">
        <v>100027</v>
      </c>
      <c r="B342" t="s">
        <v>3</v>
      </c>
      <c r="D342" s="1"/>
      <c r="E342" s="1"/>
      <c r="F342">
        <v>0</v>
      </c>
      <c r="G342">
        <v>30</v>
      </c>
      <c r="H342" s="1">
        <v>43952</v>
      </c>
      <c r="I342" s="1">
        <v>44378</v>
      </c>
      <c r="J342">
        <v>14</v>
      </c>
      <c r="K342">
        <v>0</v>
      </c>
      <c r="L342" s="1">
        <v>43952</v>
      </c>
      <c r="M342">
        <v>0</v>
      </c>
      <c r="N342" s="8" cm="1">
        <f t="array" ref="N342">_xlfn.SWITCH(Sales[[#This Row],[Subscription Type]],"Basic",10,"Premium",10,"Business",25,"Enterprise",27)</f>
        <v>10</v>
      </c>
      <c r="O342">
        <f>IF(Sales[[#This Row],[Number of Users]]-Sales[[#This Row],[Licenses Bought]]&lt;0,0,Sales[[#This Row],[Number of Users]]-Sales[[#This Row],[Licenses Bought]])</f>
        <v>30</v>
      </c>
      <c r="P342" s="8">
        <f>IF(Sales[[#This Row],[Sales Month]]=MAX(Sales[Sales Month]),Sales[[#This Row],[Non-Paying Users]]*Sales[[#This Row],[Upsell $ per Non-Paying User]],0)</f>
        <v>0</v>
      </c>
      <c r="Q342" t="str" cm="1">
        <f t="array" ref="Q342">_xlfn.IFS(Sales[[#This Row],[Current Upsell $]]=0,"",Sales[[#This Row],[Current Upsell $]]&gt;=400,"High",Sales[[#This Row],[Current Upsell $]]&gt;=100,"Medium",Sales[[#This Row],[Current Upsell $]]&lt;100,"Low")</f>
        <v/>
      </c>
      <c r="R342" t="str">
        <f>IF(Sales[[#This Row],[Current Upsell $]]&gt;0,_xlfn.CONCAT(Sales[[#This Row],[Subscription Type]]," ",Sales[[#This Row],[Upsell Priority]]," ",TEXT(Sales[[#This Row],[Current Upsell $]],"$#,#")),"")</f>
        <v/>
      </c>
    </row>
    <row r="343" spans="1:18" x14ac:dyDescent="0.25">
      <c r="A343">
        <v>100027</v>
      </c>
      <c r="B343" t="s">
        <v>1</v>
      </c>
      <c r="D343" s="1"/>
      <c r="E343" s="1"/>
      <c r="F343">
        <v>12</v>
      </c>
      <c r="G343">
        <v>33</v>
      </c>
      <c r="H343" s="1">
        <v>43952</v>
      </c>
      <c r="I343" s="1">
        <v>44378</v>
      </c>
      <c r="J343">
        <v>14</v>
      </c>
      <c r="K343">
        <v>0</v>
      </c>
      <c r="L343" s="1">
        <v>43983</v>
      </c>
      <c r="M343">
        <v>300</v>
      </c>
      <c r="N343" s="8" cm="1">
        <f t="array" ref="N343">_xlfn.SWITCH(Sales[[#This Row],[Subscription Type]],"Basic",10,"Premium",10,"Business",25,"Enterprise",27)</f>
        <v>25</v>
      </c>
      <c r="O343">
        <f>IF(Sales[[#This Row],[Number of Users]]-Sales[[#This Row],[Licenses Bought]]&lt;0,0,Sales[[#This Row],[Number of Users]]-Sales[[#This Row],[Licenses Bought]])</f>
        <v>21</v>
      </c>
      <c r="P343" s="8">
        <f>IF(Sales[[#This Row],[Sales Month]]=MAX(Sales[Sales Month]),Sales[[#This Row],[Non-Paying Users]]*Sales[[#This Row],[Upsell $ per Non-Paying User]],0)</f>
        <v>0</v>
      </c>
      <c r="Q343" t="str" cm="1">
        <f t="array" ref="Q343">_xlfn.IFS(Sales[[#This Row],[Current Upsell $]]=0,"",Sales[[#This Row],[Current Upsell $]]&gt;=400,"High",Sales[[#This Row],[Current Upsell $]]&gt;=100,"Medium",Sales[[#This Row],[Current Upsell $]]&lt;100,"Low")</f>
        <v/>
      </c>
      <c r="R343" t="str">
        <f>IF(Sales[[#This Row],[Current Upsell $]]&gt;0,_xlfn.CONCAT(Sales[[#This Row],[Subscription Type]]," ",Sales[[#This Row],[Upsell Priority]]," ",TEXT(Sales[[#This Row],[Current Upsell $]],"$#,#")),"")</f>
        <v/>
      </c>
    </row>
    <row r="344" spans="1:18" x14ac:dyDescent="0.25">
      <c r="A344">
        <v>100027</v>
      </c>
      <c r="B344" t="s">
        <v>1</v>
      </c>
      <c r="D344" s="1"/>
      <c r="E344" s="1"/>
      <c r="F344">
        <v>21</v>
      </c>
      <c r="G344">
        <v>29</v>
      </c>
      <c r="H344" s="1">
        <v>43952</v>
      </c>
      <c r="I344" s="1">
        <v>44378</v>
      </c>
      <c r="J344">
        <v>14</v>
      </c>
      <c r="K344">
        <v>0</v>
      </c>
      <c r="L344" s="1">
        <v>44013</v>
      </c>
      <c r="M344">
        <v>525</v>
      </c>
      <c r="N344" s="8" cm="1">
        <f t="array" ref="N344">_xlfn.SWITCH(Sales[[#This Row],[Subscription Type]],"Basic",10,"Premium",10,"Business",25,"Enterprise",27)</f>
        <v>25</v>
      </c>
      <c r="O344">
        <f>IF(Sales[[#This Row],[Number of Users]]-Sales[[#This Row],[Licenses Bought]]&lt;0,0,Sales[[#This Row],[Number of Users]]-Sales[[#This Row],[Licenses Bought]])</f>
        <v>8</v>
      </c>
      <c r="P344" s="8">
        <f>IF(Sales[[#This Row],[Sales Month]]=MAX(Sales[Sales Month]),Sales[[#This Row],[Non-Paying Users]]*Sales[[#This Row],[Upsell $ per Non-Paying User]],0)</f>
        <v>0</v>
      </c>
      <c r="Q344" t="str" cm="1">
        <f t="array" ref="Q344">_xlfn.IFS(Sales[[#This Row],[Current Upsell $]]=0,"",Sales[[#This Row],[Current Upsell $]]&gt;=400,"High",Sales[[#This Row],[Current Upsell $]]&gt;=100,"Medium",Sales[[#This Row],[Current Upsell $]]&lt;100,"Low")</f>
        <v/>
      </c>
      <c r="R344" t="str">
        <f>IF(Sales[[#This Row],[Current Upsell $]]&gt;0,_xlfn.CONCAT(Sales[[#This Row],[Subscription Type]]," ",Sales[[#This Row],[Upsell Priority]]," ",TEXT(Sales[[#This Row],[Current Upsell $]],"$#,#")),"")</f>
        <v/>
      </c>
    </row>
    <row r="345" spans="1:18" x14ac:dyDescent="0.25">
      <c r="A345">
        <v>100027</v>
      </c>
      <c r="B345" t="s">
        <v>1</v>
      </c>
      <c r="D345" s="1"/>
      <c r="E345" s="1"/>
      <c r="F345">
        <v>26</v>
      </c>
      <c r="G345">
        <v>31</v>
      </c>
      <c r="H345" s="1">
        <v>43952</v>
      </c>
      <c r="I345" s="1">
        <v>44378</v>
      </c>
      <c r="J345">
        <v>14</v>
      </c>
      <c r="K345">
        <v>0</v>
      </c>
      <c r="L345" s="1">
        <v>44044</v>
      </c>
      <c r="M345">
        <v>650</v>
      </c>
      <c r="N345" s="8" cm="1">
        <f t="array" ref="N345">_xlfn.SWITCH(Sales[[#This Row],[Subscription Type]],"Basic",10,"Premium",10,"Business",25,"Enterprise",27)</f>
        <v>25</v>
      </c>
      <c r="O345">
        <f>IF(Sales[[#This Row],[Number of Users]]-Sales[[#This Row],[Licenses Bought]]&lt;0,0,Sales[[#This Row],[Number of Users]]-Sales[[#This Row],[Licenses Bought]])</f>
        <v>5</v>
      </c>
      <c r="P345" s="8">
        <f>IF(Sales[[#This Row],[Sales Month]]=MAX(Sales[Sales Month]),Sales[[#This Row],[Non-Paying Users]]*Sales[[#This Row],[Upsell $ per Non-Paying User]],0)</f>
        <v>0</v>
      </c>
      <c r="Q345" t="str" cm="1">
        <f t="array" ref="Q345">_xlfn.IFS(Sales[[#This Row],[Current Upsell $]]=0,"",Sales[[#This Row],[Current Upsell $]]&gt;=400,"High",Sales[[#This Row],[Current Upsell $]]&gt;=100,"Medium",Sales[[#This Row],[Current Upsell $]]&lt;100,"Low")</f>
        <v/>
      </c>
      <c r="R345" t="str">
        <f>IF(Sales[[#This Row],[Current Upsell $]]&gt;0,_xlfn.CONCAT(Sales[[#This Row],[Subscription Type]]," ",Sales[[#This Row],[Upsell Priority]]," ",TEXT(Sales[[#This Row],[Current Upsell $]],"$#,#")),"")</f>
        <v/>
      </c>
    </row>
    <row r="346" spans="1:18" x14ac:dyDescent="0.25">
      <c r="A346">
        <v>100027</v>
      </c>
      <c r="B346" t="s">
        <v>1</v>
      </c>
      <c r="D346" s="1"/>
      <c r="E346" s="1"/>
      <c r="F346">
        <v>26</v>
      </c>
      <c r="G346">
        <v>26</v>
      </c>
      <c r="H346" s="1">
        <v>43952</v>
      </c>
      <c r="I346" s="1">
        <v>44378</v>
      </c>
      <c r="J346">
        <v>14</v>
      </c>
      <c r="K346">
        <v>0</v>
      </c>
      <c r="L346" s="1">
        <v>44075</v>
      </c>
      <c r="M346">
        <v>650</v>
      </c>
      <c r="N346" s="8" cm="1">
        <f t="array" ref="N346">_xlfn.SWITCH(Sales[[#This Row],[Subscription Type]],"Basic",10,"Premium",10,"Business",25,"Enterprise",27)</f>
        <v>25</v>
      </c>
      <c r="O346">
        <f>IF(Sales[[#This Row],[Number of Users]]-Sales[[#This Row],[Licenses Bought]]&lt;0,0,Sales[[#This Row],[Number of Users]]-Sales[[#This Row],[Licenses Bought]])</f>
        <v>0</v>
      </c>
      <c r="P346" s="8">
        <f>IF(Sales[[#This Row],[Sales Month]]=MAX(Sales[Sales Month]),Sales[[#This Row],[Non-Paying Users]]*Sales[[#This Row],[Upsell $ per Non-Paying User]],0)</f>
        <v>0</v>
      </c>
      <c r="Q346" t="str" cm="1">
        <f t="array" ref="Q346">_xlfn.IFS(Sales[[#This Row],[Current Upsell $]]=0,"",Sales[[#This Row],[Current Upsell $]]&gt;=400,"High",Sales[[#This Row],[Current Upsell $]]&gt;=100,"Medium",Sales[[#This Row],[Current Upsell $]]&lt;100,"Low")</f>
        <v/>
      </c>
      <c r="R346" t="str">
        <f>IF(Sales[[#This Row],[Current Upsell $]]&gt;0,_xlfn.CONCAT(Sales[[#This Row],[Subscription Type]]," ",Sales[[#This Row],[Upsell Priority]]," ",TEXT(Sales[[#This Row],[Current Upsell $]],"$#,#")),"")</f>
        <v/>
      </c>
    </row>
    <row r="347" spans="1:18" x14ac:dyDescent="0.25">
      <c r="A347">
        <v>100027</v>
      </c>
      <c r="B347" t="s">
        <v>1</v>
      </c>
      <c r="D347" s="1"/>
      <c r="E347" s="1"/>
      <c r="F347">
        <v>26</v>
      </c>
      <c r="G347">
        <v>24</v>
      </c>
      <c r="H347" s="1">
        <v>43952</v>
      </c>
      <c r="I347" s="1">
        <v>44378</v>
      </c>
      <c r="J347">
        <v>14</v>
      </c>
      <c r="K347">
        <v>0</v>
      </c>
      <c r="L347" s="1">
        <v>44105</v>
      </c>
      <c r="M347">
        <v>650</v>
      </c>
      <c r="N347" s="8" cm="1">
        <f t="array" ref="N347">_xlfn.SWITCH(Sales[[#This Row],[Subscription Type]],"Basic",10,"Premium",10,"Business",25,"Enterprise",27)</f>
        <v>25</v>
      </c>
      <c r="O347">
        <f>IF(Sales[[#This Row],[Number of Users]]-Sales[[#This Row],[Licenses Bought]]&lt;0,0,Sales[[#This Row],[Number of Users]]-Sales[[#This Row],[Licenses Bought]])</f>
        <v>0</v>
      </c>
      <c r="P347" s="8">
        <f>IF(Sales[[#This Row],[Sales Month]]=MAX(Sales[Sales Month]),Sales[[#This Row],[Non-Paying Users]]*Sales[[#This Row],[Upsell $ per Non-Paying User]],0)</f>
        <v>0</v>
      </c>
      <c r="Q347" t="str" cm="1">
        <f t="array" ref="Q347">_xlfn.IFS(Sales[[#This Row],[Current Upsell $]]=0,"",Sales[[#This Row],[Current Upsell $]]&gt;=400,"High",Sales[[#This Row],[Current Upsell $]]&gt;=100,"Medium",Sales[[#This Row],[Current Upsell $]]&lt;100,"Low")</f>
        <v/>
      </c>
      <c r="R347" t="str">
        <f>IF(Sales[[#This Row],[Current Upsell $]]&gt;0,_xlfn.CONCAT(Sales[[#This Row],[Subscription Type]]," ",Sales[[#This Row],[Upsell Priority]]," ",TEXT(Sales[[#This Row],[Current Upsell $]],"$#,#")),"")</f>
        <v/>
      </c>
    </row>
    <row r="348" spans="1:18" x14ac:dyDescent="0.25">
      <c r="A348">
        <v>100027</v>
      </c>
      <c r="B348" t="s">
        <v>1</v>
      </c>
      <c r="D348" s="1"/>
      <c r="E348" s="1"/>
      <c r="F348">
        <v>26</v>
      </c>
      <c r="G348">
        <v>34</v>
      </c>
      <c r="H348" s="1">
        <v>43952</v>
      </c>
      <c r="I348" s="1">
        <v>44378</v>
      </c>
      <c r="J348">
        <v>14</v>
      </c>
      <c r="K348">
        <v>0</v>
      </c>
      <c r="L348" s="1">
        <v>44136</v>
      </c>
      <c r="M348">
        <v>650</v>
      </c>
      <c r="N348" s="8" cm="1">
        <f t="array" ref="N348">_xlfn.SWITCH(Sales[[#This Row],[Subscription Type]],"Basic",10,"Premium",10,"Business",25,"Enterprise",27)</f>
        <v>25</v>
      </c>
      <c r="O348">
        <f>IF(Sales[[#This Row],[Number of Users]]-Sales[[#This Row],[Licenses Bought]]&lt;0,0,Sales[[#This Row],[Number of Users]]-Sales[[#This Row],[Licenses Bought]])</f>
        <v>8</v>
      </c>
      <c r="P348" s="8">
        <f>IF(Sales[[#This Row],[Sales Month]]=MAX(Sales[Sales Month]),Sales[[#This Row],[Non-Paying Users]]*Sales[[#This Row],[Upsell $ per Non-Paying User]],0)</f>
        <v>0</v>
      </c>
      <c r="Q348" t="str" cm="1">
        <f t="array" ref="Q348">_xlfn.IFS(Sales[[#This Row],[Current Upsell $]]=0,"",Sales[[#This Row],[Current Upsell $]]&gt;=400,"High",Sales[[#This Row],[Current Upsell $]]&gt;=100,"Medium",Sales[[#This Row],[Current Upsell $]]&lt;100,"Low")</f>
        <v/>
      </c>
      <c r="R348" t="str">
        <f>IF(Sales[[#This Row],[Current Upsell $]]&gt;0,_xlfn.CONCAT(Sales[[#This Row],[Subscription Type]]," ",Sales[[#This Row],[Upsell Priority]]," ",TEXT(Sales[[#This Row],[Current Upsell $]],"$#,#")),"")</f>
        <v/>
      </c>
    </row>
    <row r="349" spans="1:18" x14ac:dyDescent="0.25">
      <c r="A349">
        <v>100027</v>
      </c>
      <c r="B349" t="s">
        <v>1</v>
      </c>
      <c r="D349" s="1"/>
      <c r="E349" s="1"/>
      <c r="F349">
        <v>26</v>
      </c>
      <c r="G349">
        <v>25</v>
      </c>
      <c r="H349" s="1">
        <v>43952</v>
      </c>
      <c r="I349" s="1">
        <v>44378</v>
      </c>
      <c r="J349">
        <v>14</v>
      </c>
      <c r="K349">
        <v>0</v>
      </c>
      <c r="L349" s="1">
        <v>44166</v>
      </c>
      <c r="M349">
        <v>650</v>
      </c>
      <c r="N349" s="8" cm="1">
        <f t="array" ref="N349">_xlfn.SWITCH(Sales[[#This Row],[Subscription Type]],"Basic",10,"Premium",10,"Business",25,"Enterprise",27)</f>
        <v>25</v>
      </c>
      <c r="O349">
        <f>IF(Sales[[#This Row],[Number of Users]]-Sales[[#This Row],[Licenses Bought]]&lt;0,0,Sales[[#This Row],[Number of Users]]-Sales[[#This Row],[Licenses Bought]])</f>
        <v>0</v>
      </c>
      <c r="P349" s="8">
        <f>IF(Sales[[#This Row],[Sales Month]]=MAX(Sales[Sales Month]),Sales[[#This Row],[Non-Paying Users]]*Sales[[#This Row],[Upsell $ per Non-Paying User]],0)</f>
        <v>0</v>
      </c>
      <c r="Q349" t="str" cm="1">
        <f t="array" ref="Q349">_xlfn.IFS(Sales[[#This Row],[Current Upsell $]]=0,"",Sales[[#This Row],[Current Upsell $]]&gt;=400,"High",Sales[[#This Row],[Current Upsell $]]&gt;=100,"Medium",Sales[[#This Row],[Current Upsell $]]&lt;100,"Low")</f>
        <v/>
      </c>
      <c r="R349" t="str">
        <f>IF(Sales[[#This Row],[Current Upsell $]]&gt;0,_xlfn.CONCAT(Sales[[#This Row],[Subscription Type]]," ",Sales[[#This Row],[Upsell Priority]]," ",TEXT(Sales[[#This Row],[Current Upsell $]],"$#,#")),"")</f>
        <v/>
      </c>
    </row>
    <row r="350" spans="1:18" x14ac:dyDescent="0.25">
      <c r="A350">
        <v>100027</v>
      </c>
      <c r="B350" t="s">
        <v>1</v>
      </c>
      <c r="D350" s="1"/>
      <c r="E350" s="1"/>
      <c r="F350">
        <v>26</v>
      </c>
      <c r="G350">
        <v>27</v>
      </c>
      <c r="H350" s="1">
        <v>43952</v>
      </c>
      <c r="I350" s="1">
        <v>44378</v>
      </c>
      <c r="J350">
        <v>14</v>
      </c>
      <c r="K350">
        <v>0</v>
      </c>
      <c r="L350" s="1">
        <v>44197</v>
      </c>
      <c r="M350">
        <v>650</v>
      </c>
      <c r="N350" s="8" cm="1">
        <f t="array" ref="N350">_xlfn.SWITCH(Sales[[#This Row],[Subscription Type]],"Basic",10,"Premium",10,"Business",25,"Enterprise",27)</f>
        <v>25</v>
      </c>
      <c r="O350">
        <f>IF(Sales[[#This Row],[Number of Users]]-Sales[[#This Row],[Licenses Bought]]&lt;0,0,Sales[[#This Row],[Number of Users]]-Sales[[#This Row],[Licenses Bought]])</f>
        <v>1</v>
      </c>
      <c r="P350" s="8">
        <f>IF(Sales[[#This Row],[Sales Month]]=MAX(Sales[Sales Month]),Sales[[#This Row],[Non-Paying Users]]*Sales[[#This Row],[Upsell $ per Non-Paying User]],0)</f>
        <v>0</v>
      </c>
      <c r="Q350" t="str" cm="1">
        <f t="array" ref="Q350">_xlfn.IFS(Sales[[#This Row],[Current Upsell $]]=0,"",Sales[[#This Row],[Current Upsell $]]&gt;=400,"High",Sales[[#This Row],[Current Upsell $]]&gt;=100,"Medium",Sales[[#This Row],[Current Upsell $]]&lt;100,"Low")</f>
        <v/>
      </c>
      <c r="R350" t="str">
        <f>IF(Sales[[#This Row],[Current Upsell $]]&gt;0,_xlfn.CONCAT(Sales[[#This Row],[Subscription Type]]," ",Sales[[#This Row],[Upsell Priority]]," ",TEXT(Sales[[#This Row],[Current Upsell $]],"$#,#")),"")</f>
        <v/>
      </c>
    </row>
    <row r="351" spans="1:18" x14ac:dyDescent="0.25">
      <c r="A351">
        <v>100027</v>
      </c>
      <c r="B351" t="s">
        <v>1</v>
      </c>
      <c r="D351" s="1"/>
      <c r="E351" s="1"/>
      <c r="F351">
        <v>26</v>
      </c>
      <c r="G351">
        <v>29</v>
      </c>
      <c r="H351" s="1">
        <v>43952</v>
      </c>
      <c r="I351" s="1">
        <v>44378</v>
      </c>
      <c r="J351">
        <v>14</v>
      </c>
      <c r="K351">
        <v>0</v>
      </c>
      <c r="L351" s="1">
        <v>44228</v>
      </c>
      <c r="M351">
        <v>650</v>
      </c>
      <c r="N351" s="8" cm="1">
        <f t="array" ref="N351">_xlfn.SWITCH(Sales[[#This Row],[Subscription Type]],"Basic",10,"Premium",10,"Business",25,"Enterprise",27)</f>
        <v>25</v>
      </c>
      <c r="O351">
        <f>IF(Sales[[#This Row],[Number of Users]]-Sales[[#This Row],[Licenses Bought]]&lt;0,0,Sales[[#This Row],[Number of Users]]-Sales[[#This Row],[Licenses Bought]])</f>
        <v>3</v>
      </c>
      <c r="P351" s="8">
        <f>IF(Sales[[#This Row],[Sales Month]]=MAX(Sales[Sales Month]),Sales[[#This Row],[Non-Paying Users]]*Sales[[#This Row],[Upsell $ per Non-Paying User]],0)</f>
        <v>0</v>
      </c>
      <c r="Q351" t="str" cm="1">
        <f t="array" ref="Q351">_xlfn.IFS(Sales[[#This Row],[Current Upsell $]]=0,"",Sales[[#This Row],[Current Upsell $]]&gt;=400,"High",Sales[[#This Row],[Current Upsell $]]&gt;=100,"Medium",Sales[[#This Row],[Current Upsell $]]&lt;100,"Low")</f>
        <v/>
      </c>
      <c r="R351" t="str">
        <f>IF(Sales[[#This Row],[Current Upsell $]]&gt;0,_xlfn.CONCAT(Sales[[#This Row],[Subscription Type]]," ",Sales[[#This Row],[Upsell Priority]]," ",TEXT(Sales[[#This Row],[Current Upsell $]],"$#,#")),"")</f>
        <v/>
      </c>
    </row>
    <row r="352" spans="1:18" x14ac:dyDescent="0.25">
      <c r="A352">
        <v>100027</v>
      </c>
      <c r="B352" t="s">
        <v>1</v>
      </c>
      <c r="D352" s="1"/>
      <c r="E352" s="1"/>
      <c r="F352">
        <v>26</v>
      </c>
      <c r="G352">
        <v>32</v>
      </c>
      <c r="H352" s="1">
        <v>43952</v>
      </c>
      <c r="I352" s="1">
        <v>44378</v>
      </c>
      <c r="J352">
        <v>14</v>
      </c>
      <c r="K352">
        <v>0</v>
      </c>
      <c r="L352" s="1">
        <v>44256</v>
      </c>
      <c r="M352">
        <v>650</v>
      </c>
      <c r="N352" s="8" cm="1">
        <f t="array" ref="N352">_xlfn.SWITCH(Sales[[#This Row],[Subscription Type]],"Basic",10,"Premium",10,"Business",25,"Enterprise",27)</f>
        <v>25</v>
      </c>
      <c r="O352">
        <f>IF(Sales[[#This Row],[Number of Users]]-Sales[[#This Row],[Licenses Bought]]&lt;0,0,Sales[[#This Row],[Number of Users]]-Sales[[#This Row],[Licenses Bought]])</f>
        <v>6</v>
      </c>
      <c r="P352" s="8">
        <f>IF(Sales[[#This Row],[Sales Month]]=MAX(Sales[Sales Month]),Sales[[#This Row],[Non-Paying Users]]*Sales[[#This Row],[Upsell $ per Non-Paying User]],0)</f>
        <v>0</v>
      </c>
      <c r="Q352" t="str" cm="1">
        <f t="array" ref="Q352">_xlfn.IFS(Sales[[#This Row],[Current Upsell $]]=0,"",Sales[[#This Row],[Current Upsell $]]&gt;=400,"High",Sales[[#This Row],[Current Upsell $]]&gt;=100,"Medium",Sales[[#This Row],[Current Upsell $]]&lt;100,"Low")</f>
        <v/>
      </c>
      <c r="R352" t="str">
        <f>IF(Sales[[#This Row],[Current Upsell $]]&gt;0,_xlfn.CONCAT(Sales[[#This Row],[Subscription Type]]," ",Sales[[#This Row],[Upsell Priority]]," ",TEXT(Sales[[#This Row],[Current Upsell $]],"$#,#")),"")</f>
        <v/>
      </c>
    </row>
    <row r="353" spans="1:18" x14ac:dyDescent="0.25">
      <c r="A353">
        <v>100027</v>
      </c>
      <c r="B353" t="s">
        <v>1</v>
      </c>
      <c r="D353" s="1"/>
      <c r="E353" s="1"/>
      <c r="F353">
        <v>26</v>
      </c>
      <c r="G353">
        <v>32</v>
      </c>
      <c r="H353" s="1">
        <v>43952</v>
      </c>
      <c r="I353" s="1">
        <v>44378</v>
      </c>
      <c r="J353">
        <v>14</v>
      </c>
      <c r="K353">
        <v>0</v>
      </c>
      <c r="L353" s="1">
        <v>44287</v>
      </c>
      <c r="M353">
        <v>650</v>
      </c>
      <c r="N353" s="8" cm="1">
        <f t="array" ref="N353">_xlfn.SWITCH(Sales[[#This Row],[Subscription Type]],"Basic",10,"Premium",10,"Business",25,"Enterprise",27)</f>
        <v>25</v>
      </c>
      <c r="O353">
        <f>IF(Sales[[#This Row],[Number of Users]]-Sales[[#This Row],[Licenses Bought]]&lt;0,0,Sales[[#This Row],[Number of Users]]-Sales[[#This Row],[Licenses Bought]])</f>
        <v>6</v>
      </c>
      <c r="P353" s="8">
        <f>IF(Sales[[#This Row],[Sales Month]]=MAX(Sales[Sales Month]),Sales[[#This Row],[Non-Paying Users]]*Sales[[#This Row],[Upsell $ per Non-Paying User]],0)</f>
        <v>0</v>
      </c>
      <c r="Q353" t="str" cm="1">
        <f t="array" ref="Q353">_xlfn.IFS(Sales[[#This Row],[Current Upsell $]]=0,"",Sales[[#This Row],[Current Upsell $]]&gt;=400,"High",Sales[[#This Row],[Current Upsell $]]&gt;=100,"Medium",Sales[[#This Row],[Current Upsell $]]&lt;100,"Low")</f>
        <v/>
      </c>
      <c r="R353" t="str">
        <f>IF(Sales[[#This Row],[Current Upsell $]]&gt;0,_xlfn.CONCAT(Sales[[#This Row],[Subscription Type]]," ",Sales[[#This Row],[Upsell Priority]]," ",TEXT(Sales[[#This Row],[Current Upsell $]],"$#,#")),"")</f>
        <v/>
      </c>
    </row>
    <row r="354" spans="1:18" x14ac:dyDescent="0.25">
      <c r="A354">
        <v>100027</v>
      </c>
      <c r="B354" t="s">
        <v>1</v>
      </c>
      <c r="D354" s="1"/>
      <c r="E354" s="1"/>
      <c r="F354">
        <v>26</v>
      </c>
      <c r="G354">
        <v>28</v>
      </c>
      <c r="H354" s="1">
        <v>43952</v>
      </c>
      <c r="I354" s="1">
        <v>44378</v>
      </c>
      <c r="J354">
        <v>14</v>
      </c>
      <c r="K354">
        <v>0</v>
      </c>
      <c r="L354" s="1">
        <v>44317</v>
      </c>
      <c r="M354">
        <v>650</v>
      </c>
      <c r="N354" s="8" cm="1">
        <f t="array" ref="N354">_xlfn.SWITCH(Sales[[#This Row],[Subscription Type]],"Basic",10,"Premium",10,"Business",25,"Enterprise",27)</f>
        <v>25</v>
      </c>
      <c r="O354">
        <f>IF(Sales[[#This Row],[Number of Users]]-Sales[[#This Row],[Licenses Bought]]&lt;0,0,Sales[[#This Row],[Number of Users]]-Sales[[#This Row],[Licenses Bought]])</f>
        <v>2</v>
      </c>
      <c r="P354" s="8">
        <f>IF(Sales[[#This Row],[Sales Month]]=MAX(Sales[Sales Month]),Sales[[#This Row],[Non-Paying Users]]*Sales[[#This Row],[Upsell $ per Non-Paying User]],0)</f>
        <v>0</v>
      </c>
      <c r="Q354" t="str" cm="1">
        <f t="array" ref="Q354">_xlfn.IFS(Sales[[#This Row],[Current Upsell $]]=0,"",Sales[[#This Row],[Current Upsell $]]&gt;=400,"High",Sales[[#This Row],[Current Upsell $]]&gt;=100,"Medium",Sales[[#This Row],[Current Upsell $]]&lt;100,"Low")</f>
        <v/>
      </c>
      <c r="R354" t="str">
        <f>IF(Sales[[#This Row],[Current Upsell $]]&gt;0,_xlfn.CONCAT(Sales[[#This Row],[Subscription Type]]," ",Sales[[#This Row],[Upsell Priority]]," ",TEXT(Sales[[#This Row],[Current Upsell $]],"$#,#")),"")</f>
        <v/>
      </c>
    </row>
    <row r="355" spans="1:18" x14ac:dyDescent="0.25">
      <c r="A355">
        <v>100027</v>
      </c>
      <c r="B355" t="s">
        <v>1</v>
      </c>
      <c r="D355" s="1"/>
      <c r="E355" s="1"/>
      <c r="F355">
        <v>26</v>
      </c>
      <c r="G355">
        <v>29</v>
      </c>
      <c r="H355" s="1">
        <v>43952</v>
      </c>
      <c r="I355" s="1">
        <v>44378</v>
      </c>
      <c r="J355">
        <v>14</v>
      </c>
      <c r="K355">
        <v>0</v>
      </c>
      <c r="L355" s="1">
        <v>44348</v>
      </c>
      <c r="M355">
        <v>650</v>
      </c>
      <c r="N355" s="8" cm="1">
        <f t="array" ref="N355">_xlfn.SWITCH(Sales[[#This Row],[Subscription Type]],"Basic",10,"Premium",10,"Business",25,"Enterprise",27)</f>
        <v>25</v>
      </c>
      <c r="O355">
        <f>IF(Sales[[#This Row],[Number of Users]]-Sales[[#This Row],[Licenses Bought]]&lt;0,0,Sales[[#This Row],[Number of Users]]-Sales[[#This Row],[Licenses Bought]])</f>
        <v>3</v>
      </c>
      <c r="P355" s="8">
        <f>IF(Sales[[#This Row],[Sales Month]]=MAX(Sales[Sales Month]),Sales[[#This Row],[Non-Paying Users]]*Sales[[#This Row],[Upsell $ per Non-Paying User]],0)</f>
        <v>75</v>
      </c>
      <c r="Q355" t="str" cm="1">
        <f t="array" ref="Q355">_xlfn.IFS(Sales[[#This Row],[Current Upsell $]]=0,"",Sales[[#This Row],[Current Upsell $]]&gt;=400,"High",Sales[[#This Row],[Current Upsell $]]&gt;=100,"Medium",Sales[[#This Row],[Current Upsell $]]&lt;100,"Low")</f>
        <v>Low</v>
      </c>
      <c r="R355" t="str">
        <f>IF(Sales[[#This Row],[Current Upsell $]]&gt;0,_xlfn.CONCAT(Sales[[#This Row],[Subscription Type]]," ",Sales[[#This Row],[Upsell Priority]]," ",TEXT(Sales[[#This Row],[Current Upsell $]],"$#,#")),"")</f>
        <v>Business Low $75</v>
      </c>
    </row>
    <row r="356" spans="1:18" x14ac:dyDescent="0.25">
      <c r="A356">
        <v>100028</v>
      </c>
      <c r="B356" t="s">
        <v>3</v>
      </c>
      <c r="D356" s="1"/>
      <c r="E356" s="1"/>
      <c r="F356">
        <v>0</v>
      </c>
      <c r="G356">
        <v>31</v>
      </c>
      <c r="H356" s="1">
        <v>43952</v>
      </c>
      <c r="I356" s="1">
        <v>44378</v>
      </c>
      <c r="J356">
        <v>14</v>
      </c>
      <c r="K356">
        <v>0</v>
      </c>
      <c r="L356" s="1">
        <v>43952</v>
      </c>
      <c r="M356">
        <v>0</v>
      </c>
      <c r="N356" s="8" cm="1">
        <f t="array" ref="N356">_xlfn.SWITCH(Sales[[#This Row],[Subscription Type]],"Basic",10,"Premium",10,"Business",25,"Enterprise",27)</f>
        <v>10</v>
      </c>
      <c r="O356">
        <f>IF(Sales[[#This Row],[Number of Users]]-Sales[[#This Row],[Licenses Bought]]&lt;0,0,Sales[[#This Row],[Number of Users]]-Sales[[#This Row],[Licenses Bought]])</f>
        <v>31</v>
      </c>
      <c r="P356" s="8">
        <f>IF(Sales[[#This Row],[Sales Month]]=MAX(Sales[Sales Month]),Sales[[#This Row],[Non-Paying Users]]*Sales[[#This Row],[Upsell $ per Non-Paying User]],0)</f>
        <v>0</v>
      </c>
      <c r="Q356" t="str" cm="1">
        <f t="array" ref="Q356">_xlfn.IFS(Sales[[#This Row],[Current Upsell $]]=0,"",Sales[[#This Row],[Current Upsell $]]&gt;=400,"High",Sales[[#This Row],[Current Upsell $]]&gt;=100,"Medium",Sales[[#This Row],[Current Upsell $]]&lt;100,"Low")</f>
        <v/>
      </c>
      <c r="R356" t="str">
        <f>IF(Sales[[#This Row],[Current Upsell $]]&gt;0,_xlfn.CONCAT(Sales[[#This Row],[Subscription Type]]," ",Sales[[#This Row],[Upsell Priority]]," ",TEXT(Sales[[#This Row],[Current Upsell $]],"$#,#")),"")</f>
        <v/>
      </c>
    </row>
    <row r="357" spans="1:18" x14ac:dyDescent="0.25">
      <c r="A357">
        <v>100028</v>
      </c>
      <c r="B357" t="s">
        <v>0</v>
      </c>
      <c r="D357" s="1"/>
      <c r="E357" s="1"/>
      <c r="F357">
        <v>8</v>
      </c>
      <c r="G357">
        <v>26</v>
      </c>
      <c r="H357" s="1">
        <v>43952</v>
      </c>
      <c r="I357" s="1">
        <v>44378</v>
      </c>
      <c r="J357">
        <v>14</v>
      </c>
      <c r="K357">
        <v>0</v>
      </c>
      <c r="L357" s="1">
        <v>43983</v>
      </c>
      <c r="M357">
        <v>80</v>
      </c>
      <c r="N357" s="8" cm="1">
        <f t="array" ref="N357">_xlfn.SWITCH(Sales[[#This Row],[Subscription Type]],"Basic",10,"Premium",10,"Business",25,"Enterprise",27)</f>
        <v>10</v>
      </c>
      <c r="O357">
        <f>IF(Sales[[#This Row],[Number of Users]]-Sales[[#This Row],[Licenses Bought]]&lt;0,0,Sales[[#This Row],[Number of Users]]-Sales[[#This Row],[Licenses Bought]])</f>
        <v>18</v>
      </c>
      <c r="P357" s="8">
        <f>IF(Sales[[#This Row],[Sales Month]]=MAX(Sales[Sales Month]),Sales[[#This Row],[Non-Paying Users]]*Sales[[#This Row],[Upsell $ per Non-Paying User]],0)</f>
        <v>0</v>
      </c>
      <c r="Q357" t="str" cm="1">
        <f t="array" ref="Q357">_xlfn.IFS(Sales[[#This Row],[Current Upsell $]]=0,"",Sales[[#This Row],[Current Upsell $]]&gt;=400,"High",Sales[[#This Row],[Current Upsell $]]&gt;=100,"Medium",Sales[[#This Row],[Current Upsell $]]&lt;100,"Low")</f>
        <v/>
      </c>
      <c r="R357" t="str">
        <f>IF(Sales[[#This Row],[Current Upsell $]]&gt;0,_xlfn.CONCAT(Sales[[#This Row],[Subscription Type]]," ",Sales[[#This Row],[Upsell Priority]]," ",TEXT(Sales[[#This Row],[Current Upsell $]],"$#,#")),"")</f>
        <v/>
      </c>
    </row>
    <row r="358" spans="1:18" x14ac:dyDescent="0.25">
      <c r="A358">
        <v>100028</v>
      </c>
      <c r="B358" t="s">
        <v>0</v>
      </c>
      <c r="D358" s="1"/>
      <c r="E358" s="1"/>
      <c r="F358">
        <v>25</v>
      </c>
      <c r="G358">
        <v>33</v>
      </c>
      <c r="H358" s="1">
        <v>43952</v>
      </c>
      <c r="I358" s="1">
        <v>44378</v>
      </c>
      <c r="J358">
        <v>14</v>
      </c>
      <c r="K358">
        <v>0</v>
      </c>
      <c r="L358" s="1">
        <v>44013</v>
      </c>
      <c r="M358">
        <v>250</v>
      </c>
      <c r="N358" s="8" cm="1">
        <f t="array" ref="N358">_xlfn.SWITCH(Sales[[#This Row],[Subscription Type]],"Basic",10,"Premium",10,"Business",25,"Enterprise",27)</f>
        <v>10</v>
      </c>
      <c r="O358">
        <f>IF(Sales[[#This Row],[Number of Users]]-Sales[[#This Row],[Licenses Bought]]&lt;0,0,Sales[[#This Row],[Number of Users]]-Sales[[#This Row],[Licenses Bought]])</f>
        <v>8</v>
      </c>
      <c r="P358" s="8">
        <f>IF(Sales[[#This Row],[Sales Month]]=MAX(Sales[Sales Month]),Sales[[#This Row],[Non-Paying Users]]*Sales[[#This Row],[Upsell $ per Non-Paying User]],0)</f>
        <v>0</v>
      </c>
      <c r="Q358" t="str" cm="1">
        <f t="array" ref="Q358">_xlfn.IFS(Sales[[#This Row],[Current Upsell $]]=0,"",Sales[[#This Row],[Current Upsell $]]&gt;=400,"High",Sales[[#This Row],[Current Upsell $]]&gt;=100,"Medium",Sales[[#This Row],[Current Upsell $]]&lt;100,"Low")</f>
        <v/>
      </c>
      <c r="R358" t="str">
        <f>IF(Sales[[#This Row],[Current Upsell $]]&gt;0,_xlfn.CONCAT(Sales[[#This Row],[Subscription Type]]," ",Sales[[#This Row],[Upsell Priority]]," ",TEXT(Sales[[#This Row],[Current Upsell $]],"$#,#")),"")</f>
        <v/>
      </c>
    </row>
    <row r="359" spans="1:18" x14ac:dyDescent="0.25">
      <c r="A359">
        <v>100028</v>
      </c>
      <c r="B359" t="s">
        <v>0</v>
      </c>
      <c r="D359" s="1"/>
      <c r="E359" s="1"/>
      <c r="F359">
        <v>20</v>
      </c>
      <c r="G359">
        <v>30</v>
      </c>
      <c r="H359" s="1">
        <v>43952</v>
      </c>
      <c r="I359" s="1">
        <v>44378</v>
      </c>
      <c r="J359">
        <v>14</v>
      </c>
      <c r="K359">
        <v>0</v>
      </c>
      <c r="L359" s="1">
        <v>44044</v>
      </c>
      <c r="M359">
        <v>200</v>
      </c>
      <c r="N359" s="8" cm="1">
        <f t="array" ref="N359">_xlfn.SWITCH(Sales[[#This Row],[Subscription Type]],"Basic",10,"Premium",10,"Business",25,"Enterprise",27)</f>
        <v>10</v>
      </c>
      <c r="O359">
        <f>IF(Sales[[#This Row],[Number of Users]]-Sales[[#This Row],[Licenses Bought]]&lt;0,0,Sales[[#This Row],[Number of Users]]-Sales[[#This Row],[Licenses Bought]])</f>
        <v>10</v>
      </c>
      <c r="P359" s="8">
        <f>IF(Sales[[#This Row],[Sales Month]]=MAX(Sales[Sales Month]),Sales[[#This Row],[Non-Paying Users]]*Sales[[#This Row],[Upsell $ per Non-Paying User]],0)</f>
        <v>0</v>
      </c>
      <c r="Q359" t="str" cm="1">
        <f t="array" ref="Q359">_xlfn.IFS(Sales[[#This Row],[Current Upsell $]]=0,"",Sales[[#This Row],[Current Upsell $]]&gt;=400,"High",Sales[[#This Row],[Current Upsell $]]&gt;=100,"Medium",Sales[[#This Row],[Current Upsell $]]&lt;100,"Low")</f>
        <v/>
      </c>
      <c r="R359" t="str">
        <f>IF(Sales[[#This Row],[Current Upsell $]]&gt;0,_xlfn.CONCAT(Sales[[#This Row],[Subscription Type]]," ",Sales[[#This Row],[Upsell Priority]]," ",TEXT(Sales[[#This Row],[Current Upsell $]],"$#,#")),"")</f>
        <v/>
      </c>
    </row>
    <row r="360" spans="1:18" x14ac:dyDescent="0.25">
      <c r="A360">
        <v>100028</v>
      </c>
      <c r="B360" t="s">
        <v>0</v>
      </c>
      <c r="D360" s="1"/>
      <c r="E360" s="1"/>
      <c r="F360">
        <v>25</v>
      </c>
      <c r="G360">
        <v>31</v>
      </c>
      <c r="H360" s="1">
        <v>43952</v>
      </c>
      <c r="I360" s="1">
        <v>44378</v>
      </c>
      <c r="J360">
        <v>14</v>
      </c>
      <c r="K360">
        <v>0</v>
      </c>
      <c r="L360" s="1">
        <v>44075</v>
      </c>
      <c r="M360">
        <v>250</v>
      </c>
      <c r="N360" s="8" cm="1">
        <f t="array" ref="N360">_xlfn.SWITCH(Sales[[#This Row],[Subscription Type]],"Basic",10,"Premium",10,"Business",25,"Enterprise",27)</f>
        <v>10</v>
      </c>
      <c r="O360">
        <f>IF(Sales[[#This Row],[Number of Users]]-Sales[[#This Row],[Licenses Bought]]&lt;0,0,Sales[[#This Row],[Number of Users]]-Sales[[#This Row],[Licenses Bought]])</f>
        <v>6</v>
      </c>
      <c r="P360" s="8">
        <f>IF(Sales[[#This Row],[Sales Month]]=MAX(Sales[Sales Month]),Sales[[#This Row],[Non-Paying Users]]*Sales[[#This Row],[Upsell $ per Non-Paying User]],0)</f>
        <v>0</v>
      </c>
      <c r="Q360" t="str" cm="1">
        <f t="array" ref="Q360">_xlfn.IFS(Sales[[#This Row],[Current Upsell $]]=0,"",Sales[[#This Row],[Current Upsell $]]&gt;=400,"High",Sales[[#This Row],[Current Upsell $]]&gt;=100,"Medium",Sales[[#This Row],[Current Upsell $]]&lt;100,"Low")</f>
        <v/>
      </c>
      <c r="R360" t="str">
        <f>IF(Sales[[#This Row],[Current Upsell $]]&gt;0,_xlfn.CONCAT(Sales[[#This Row],[Subscription Type]]," ",Sales[[#This Row],[Upsell Priority]]," ",TEXT(Sales[[#This Row],[Current Upsell $]],"$#,#")),"")</f>
        <v/>
      </c>
    </row>
    <row r="361" spans="1:18" x14ac:dyDescent="0.25">
      <c r="A361">
        <v>100028</v>
      </c>
      <c r="B361" t="s">
        <v>0</v>
      </c>
      <c r="D361" s="1"/>
      <c r="E361" s="1"/>
      <c r="F361">
        <v>25</v>
      </c>
      <c r="G361">
        <v>36</v>
      </c>
      <c r="H361" s="1">
        <v>43952</v>
      </c>
      <c r="I361" s="1">
        <v>44378</v>
      </c>
      <c r="J361">
        <v>14</v>
      </c>
      <c r="K361">
        <v>0</v>
      </c>
      <c r="L361" s="1">
        <v>44105</v>
      </c>
      <c r="M361">
        <v>250</v>
      </c>
      <c r="N361" s="8" cm="1">
        <f t="array" ref="N361">_xlfn.SWITCH(Sales[[#This Row],[Subscription Type]],"Basic",10,"Premium",10,"Business",25,"Enterprise",27)</f>
        <v>10</v>
      </c>
      <c r="O361">
        <f>IF(Sales[[#This Row],[Number of Users]]-Sales[[#This Row],[Licenses Bought]]&lt;0,0,Sales[[#This Row],[Number of Users]]-Sales[[#This Row],[Licenses Bought]])</f>
        <v>11</v>
      </c>
      <c r="P361" s="8">
        <f>IF(Sales[[#This Row],[Sales Month]]=MAX(Sales[Sales Month]),Sales[[#This Row],[Non-Paying Users]]*Sales[[#This Row],[Upsell $ per Non-Paying User]],0)</f>
        <v>0</v>
      </c>
      <c r="Q361" t="str" cm="1">
        <f t="array" ref="Q361">_xlfn.IFS(Sales[[#This Row],[Current Upsell $]]=0,"",Sales[[#This Row],[Current Upsell $]]&gt;=400,"High",Sales[[#This Row],[Current Upsell $]]&gt;=100,"Medium",Sales[[#This Row],[Current Upsell $]]&lt;100,"Low")</f>
        <v/>
      </c>
      <c r="R361" t="str">
        <f>IF(Sales[[#This Row],[Current Upsell $]]&gt;0,_xlfn.CONCAT(Sales[[#This Row],[Subscription Type]]," ",Sales[[#This Row],[Upsell Priority]]," ",TEXT(Sales[[#This Row],[Current Upsell $]],"$#,#")),"")</f>
        <v/>
      </c>
    </row>
    <row r="362" spans="1:18" x14ac:dyDescent="0.25">
      <c r="A362">
        <v>100028</v>
      </c>
      <c r="B362" t="s">
        <v>0</v>
      </c>
      <c r="D362" s="1"/>
      <c r="E362" s="1"/>
      <c r="F362">
        <v>25</v>
      </c>
      <c r="G362">
        <v>28</v>
      </c>
      <c r="H362" s="1">
        <v>43952</v>
      </c>
      <c r="I362" s="1">
        <v>44378</v>
      </c>
      <c r="J362">
        <v>14</v>
      </c>
      <c r="K362">
        <v>0</v>
      </c>
      <c r="L362" s="1">
        <v>44136</v>
      </c>
      <c r="M362">
        <v>250</v>
      </c>
      <c r="N362" s="8" cm="1">
        <f t="array" ref="N362">_xlfn.SWITCH(Sales[[#This Row],[Subscription Type]],"Basic",10,"Premium",10,"Business",25,"Enterprise",27)</f>
        <v>10</v>
      </c>
      <c r="O362">
        <f>IF(Sales[[#This Row],[Number of Users]]-Sales[[#This Row],[Licenses Bought]]&lt;0,0,Sales[[#This Row],[Number of Users]]-Sales[[#This Row],[Licenses Bought]])</f>
        <v>3</v>
      </c>
      <c r="P362" s="8">
        <f>IF(Sales[[#This Row],[Sales Month]]=MAX(Sales[Sales Month]),Sales[[#This Row],[Non-Paying Users]]*Sales[[#This Row],[Upsell $ per Non-Paying User]],0)</f>
        <v>0</v>
      </c>
      <c r="Q362" t="str" cm="1">
        <f t="array" ref="Q362">_xlfn.IFS(Sales[[#This Row],[Current Upsell $]]=0,"",Sales[[#This Row],[Current Upsell $]]&gt;=400,"High",Sales[[#This Row],[Current Upsell $]]&gt;=100,"Medium",Sales[[#This Row],[Current Upsell $]]&lt;100,"Low")</f>
        <v/>
      </c>
      <c r="R362" t="str">
        <f>IF(Sales[[#This Row],[Current Upsell $]]&gt;0,_xlfn.CONCAT(Sales[[#This Row],[Subscription Type]]," ",Sales[[#This Row],[Upsell Priority]]," ",TEXT(Sales[[#This Row],[Current Upsell $]],"$#,#")),"")</f>
        <v/>
      </c>
    </row>
    <row r="363" spans="1:18" x14ac:dyDescent="0.25">
      <c r="A363">
        <v>100028</v>
      </c>
      <c r="B363" t="s">
        <v>0</v>
      </c>
      <c r="D363" s="1"/>
      <c r="E363" s="1"/>
      <c r="F363">
        <v>25</v>
      </c>
      <c r="G363">
        <v>24</v>
      </c>
      <c r="H363" s="1">
        <v>43952</v>
      </c>
      <c r="I363" s="1">
        <v>44378</v>
      </c>
      <c r="J363">
        <v>14</v>
      </c>
      <c r="K363">
        <v>0</v>
      </c>
      <c r="L363" s="1">
        <v>44166</v>
      </c>
      <c r="M363">
        <v>250</v>
      </c>
      <c r="N363" s="8" cm="1">
        <f t="array" ref="N363">_xlfn.SWITCH(Sales[[#This Row],[Subscription Type]],"Basic",10,"Premium",10,"Business",25,"Enterprise",27)</f>
        <v>10</v>
      </c>
      <c r="O363">
        <f>IF(Sales[[#This Row],[Number of Users]]-Sales[[#This Row],[Licenses Bought]]&lt;0,0,Sales[[#This Row],[Number of Users]]-Sales[[#This Row],[Licenses Bought]])</f>
        <v>0</v>
      </c>
      <c r="P363" s="8">
        <f>IF(Sales[[#This Row],[Sales Month]]=MAX(Sales[Sales Month]),Sales[[#This Row],[Non-Paying Users]]*Sales[[#This Row],[Upsell $ per Non-Paying User]],0)</f>
        <v>0</v>
      </c>
      <c r="Q363" t="str" cm="1">
        <f t="array" ref="Q363">_xlfn.IFS(Sales[[#This Row],[Current Upsell $]]=0,"",Sales[[#This Row],[Current Upsell $]]&gt;=400,"High",Sales[[#This Row],[Current Upsell $]]&gt;=100,"Medium",Sales[[#This Row],[Current Upsell $]]&lt;100,"Low")</f>
        <v/>
      </c>
      <c r="R363" t="str">
        <f>IF(Sales[[#This Row],[Current Upsell $]]&gt;0,_xlfn.CONCAT(Sales[[#This Row],[Subscription Type]]," ",Sales[[#This Row],[Upsell Priority]]," ",TEXT(Sales[[#This Row],[Current Upsell $]],"$#,#")),"")</f>
        <v/>
      </c>
    </row>
    <row r="364" spans="1:18" x14ac:dyDescent="0.25">
      <c r="A364">
        <v>100028</v>
      </c>
      <c r="B364" t="s">
        <v>0</v>
      </c>
      <c r="D364" s="1"/>
      <c r="E364" s="1"/>
      <c r="F364">
        <v>25</v>
      </c>
      <c r="G364">
        <v>32</v>
      </c>
      <c r="H364" s="1">
        <v>43952</v>
      </c>
      <c r="I364" s="1">
        <v>44378</v>
      </c>
      <c r="J364">
        <v>14</v>
      </c>
      <c r="K364">
        <v>0</v>
      </c>
      <c r="L364" s="1">
        <v>44197</v>
      </c>
      <c r="M364">
        <v>250</v>
      </c>
      <c r="N364" s="8" cm="1">
        <f t="array" ref="N364">_xlfn.SWITCH(Sales[[#This Row],[Subscription Type]],"Basic",10,"Premium",10,"Business",25,"Enterprise",27)</f>
        <v>10</v>
      </c>
      <c r="O364">
        <f>IF(Sales[[#This Row],[Number of Users]]-Sales[[#This Row],[Licenses Bought]]&lt;0,0,Sales[[#This Row],[Number of Users]]-Sales[[#This Row],[Licenses Bought]])</f>
        <v>7</v>
      </c>
      <c r="P364" s="8">
        <f>IF(Sales[[#This Row],[Sales Month]]=MAX(Sales[Sales Month]),Sales[[#This Row],[Non-Paying Users]]*Sales[[#This Row],[Upsell $ per Non-Paying User]],0)</f>
        <v>0</v>
      </c>
      <c r="Q364" t="str" cm="1">
        <f t="array" ref="Q364">_xlfn.IFS(Sales[[#This Row],[Current Upsell $]]=0,"",Sales[[#This Row],[Current Upsell $]]&gt;=400,"High",Sales[[#This Row],[Current Upsell $]]&gt;=100,"Medium",Sales[[#This Row],[Current Upsell $]]&lt;100,"Low")</f>
        <v/>
      </c>
      <c r="R364" t="str">
        <f>IF(Sales[[#This Row],[Current Upsell $]]&gt;0,_xlfn.CONCAT(Sales[[#This Row],[Subscription Type]]," ",Sales[[#This Row],[Upsell Priority]]," ",TEXT(Sales[[#This Row],[Current Upsell $]],"$#,#")),"")</f>
        <v/>
      </c>
    </row>
    <row r="365" spans="1:18" x14ac:dyDescent="0.25">
      <c r="A365">
        <v>100028</v>
      </c>
      <c r="B365" t="s">
        <v>0</v>
      </c>
      <c r="D365" s="1"/>
      <c r="E365" s="1"/>
      <c r="F365">
        <v>25</v>
      </c>
      <c r="G365">
        <v>25</v>
      </c>
      <c r="H365" s="1">
        <v>43952</v>
      </c>
      <c r="I365" s="1">
        <v>44378</v>
      </c>
      <c r="J365">
        <v>14</v>
      </c>
      <c r="K365">
        <v>0</v>
      </c>
      <c r="L365" s="1">
        <v>44228</v>
      </c>
      <c r="M365">
        <v>250</v>
      </c>
      <c r="N365" s="8" cm="1">
        <f t="array" ref="N365">_xlfn.SWITCH(Sales[[#This Row],[Subscription Type]],"Basic",10,"Premium",10,"Business",25,"Enterprise",27)</f>
        <v>10</v>
      </c>
      <c r="O365">
        <f>IF(Sales[[#This Row],[Number of Users]]-Sales[[#This Row],[Licenses Bought]]&lt;0,0,Sales[[#This Row],[Number of Users]]-Sales[[#This Row],[Licenses Bought]])</f>
        <v>0</v>
      </c>
      <c r="P365" s="8">
        <f>IF(Sales[[#This Row],[Sales Month]]=MAX(Sales[Sales Month]),Sales[[#This Row],[Non-Paying Users]]*Sales[[#This Row],[Upsell $ per Non-Paying User]],0)</f>
        <v>0</v>
      </c>
      <c r="Q365" t="str" cm="1">
        <f t="array" ref="Q365">_xlfn.IFS(Sales[[#This Row],[Current Upsell $]]=0,"",Sales[[#This Row],[Current Upsell $]]&gt;=400,"High",Sales[[#This Row],[Current Upsell $]]&gt;=100,"Medium",Sales[[#This Row],[Current Upsell $]]&lt;100,"Low")</f>
        <v/>
      </c>
      <c r="R365" t="str">
        <f>IF(Sales[[#This Row],[Current Upsell $]]&gt;0,_xlfn.CONCAT(Sales[[#This Row],[Subscription Type]]," ",Sales[[#This Row],[Upsell Priority]]," ",TEXT(Sales[[#This Row],[Current Upsell $]],"$#,#")),"")</f>
        <v/>
      </c>
    </row>
    <row r="366" spans="1:18" x14ac:dyDescent="0.25">
      <c r="A366">
        <v>100028</v>
      </c>
      <c r="B366" t="s">
        <v>0</v>
      </c>
      <c r="D366" s="1"/>
      <c r="E366" s="1"/>
      <c r="F366">
        <v>25</v>
      </c>
      <c r="G366">
        <v>33</v>
      </c>
      <c r="H366" s="1">
        <v>43952</v>
      </c>
      <c r="I366" s="1">
        <v>44378</v>
      </c>
      <c r="J366">
        <v>14</v>
      </c>
      <c r="K366">
        <v>0</v>
      </c>
      <c r="L366" s="1">
        <v>44256</v>
      </c>
      <c r="M366">
        <v>250</v>
      </c>
      <c r="N366" s="8" cm="1">
        <f t="array" ref="N366">_xlfn.SWITCH(Sales[[#This Row],[Subscription Type]],"Basic",10,"Premium",10,"Business",25,"Enterprise",27)</f>
        <v>10</v>
      </c>
      <c r="O366">
        <f>IF(Sales[[#This Row],[Number of Users]]-Sales[[#This Row],[Licenses Bought]]&lt;0,0,Sales[[#This Row],[Number of Users]]-Sales[[#This Row],[Licenses Bought]])</f>
        <v>8</v>
      </c>
      <c r="P366" s="8">
        <f>IF(Sales[[#This Row],[Sales Month]]=MAX(Sales[Sales Month]),Sales[[#This Row],[Non-Paying Users]]*Sales[[#This Row],[Upsell $ per Non-Paying User]],0)</f>
        <v>0</v>
      </c>
      <c r="Q366" t="str" cm="1">
        <f t="array" ref="Q366">_xlfn.IFS(Sales[[#This Row],[Current Upsell $]]=0,"",Sales[[#This Row],[Current Upsell $]]&gt;=400,"High",Sales[[#This Row],[Current Upsell $]]&gt;=100,"Medium",Sales[[#This Row],[Current Upsell $]]&lt;100,"Low")</f>
        <v/>
      </c>
      <c r="R366" t="str">
        <f>IF(Sales[[#This Row],[Current Upsell $]]&gt;0,_xlfn.CONCAT(Sales[[#This Row],[Subscription Type]]," ",Sales[[#This Row],[Upsell Priority]]," ",TEXT(Sales[[#This Row],[Current Upsell $]],"$#,#")),"")</f>
        <v/>
      </c>
    </row>
    <row r="367" spans="1:18" x14ac:dyDescent="0.25">
      <c r="A367">
        <v>100028</v>
      </c>
      <c r="B367" t="s">
        <v>0</v>
      </c>
      <c r="D367" s="1"/>
      <c r="E367" s="1"/>
      <c r="F367">
        <v>25</v>
      </c>
      <c r="G367">
        <v>31</v>
      </c>
      <c r="H367" s="1">
        <v>43952</v>
      </c>
      <c r="I367" s="1">
        <v>44378</v>
      </c>
      <c r="J367">
        <v>14</v>
      </c>
      <c r="K367">
        <v>0</v>
      </c>
      <c r="L367" s="1">
        <v>44287</v>
      </c>
      <c r="M367">
        <v>250</v>
      </c>
      <c r="N367" s="8" cm="1">
        <f t="array" ref="N367">_xlfn.SWITCH(Sales[[#This Row],[Subscription Type]],"Basic",10,"Premium",10,"Business",25,"Enterprise",27)</f>
        <v>10</v>
      </c>
      <c r="O367">
        <f>IF(Sales[[#This Row],[Number of Users]]-Sales[[#This Row],[Licenses Bought]]&lt;0,0,Sales[[#This Row],[Number of Users]]-Sales[[#This Row],[Licenses Bought]])</f>
        <v>6</v>
      </c>
      <c r="P367" s="8">
        <f>IF(Sales[[#This Row],[Sales Month]]=MAX(Sales[Sales Month]),Sales[[#This Row],[Non-Paying Users]]*Sales[[#This Row],[Upsell $ per Non-Paying User]],0)</f>
        <v>0</v>
      </c>
      <c r="Q367" t="str" cm="1">
        <f t="array" ref="Q367">_xlfn.IFS(Sales[[#This Row],[Current Upsell $]]=0,"",Sales[[#This Row],[Current Upsell $]]&gt;=400,"High",Sales[[#This Row],[Current Upsell $]]&gt;=100,"Medium",Sales[[#This Row],[Current Upsell $]]&lt;100,"Low")</f>
        <v/>
      </c>
      <c r="R367" t="str">
        <f>IF(Sales[[#This Row],[Current Upsell $]]&gt;0,_xlfn.CONCAT(Sales[[#This Row],[Subscription Type]]," ",Sales[[#This Row],[Upsell Priority]]," ",TEXT(Sales[[#This Row],[Current Upsell $]],"$#,#")),"")</f>
        <v/>
      </c>
    </row>
    <row r="368" spans="1:18" x14ac:dyDescent="0.25">
      <c r="A368">
        <v>100028</v>
      </c>
      <c r="B368" t="s">
        <v>0</v>
      </c>
      <c r="D368" s="1"/>
      <c r="E368" s="1"/>
      <c r="F368">
        <v>25</v>
      </c>
      <c r="G368">
        <v>31</v>
      </c>
      <c r="H368" s="1">
        <v>43952</v>
      </c>
      <c r="I368" s="1">
        <v>44378</v>
      </c>
      <c r="J368">
        <v>14</v>
      </c>
      <c r="K368">
        <v>0</v>
      </c>
      <c r="L368" s="1">
        <v>44317</v>
      </c>
      <c r="M368">
        <v>250</v>
      </c>
      <c r="N368" s="8" cm="1">
        <f t="array" ref="N368">_xlfn.SWITCH(Sales[[#This Row],[Subscription Type]],"Basic",10,"Premium",10,"Business",25,"Enterprise",27)</f>
        <v>10</v>
      </c>
      <c r="O368">
        <f>IF(Sales[[#This Row],[Number of Users]]-Sales[[#This Row],[Licenses Bought]]&lt;0,0,Sales[[#This Row],[Number of Users]]-Sales[[#This Row],[Licenses Bought]])</f>
        <v>6</v>
      </c>
      <c r="P368" s="8">
        <f>IF(Sales[[#This Row],[Sales Month]]=MAX(Sales[Sales Month]),Sales[[#This Row],[Non-Paying Users]]*Sales[[#This Row],[Upsell $ per Non-Paying User]],0)</f>
        <v>0</v>
      </c>
      <c r="Q368" t="str" cm="1">
        <f t="array" ref="Q368">_xlfn.IFS(Sales[[#This Row],[Current Upsell $]]=0,"",Sales[[#This Row],[Current Upsell $]]&gt;=400,"High",Sales[[#This Row],[Current Upsell $]]&gt;=100,"Medium",Sales[[#This Row],[Current Upsell $]]&lt;100,"Low")</f>
        <v/>
      </c>
      <c r="R368" t="str">
        <f>IF(Sales[[#This Row],[Current Upsell $]]&gt;0,_xlfn.CONCAT(Sales[[#This Row],[Subscription Type]]," ",Sales[[#This Row],[Upsell Priority]]," ",TEXT(Sales[[#This Row],[Current Upsell $]],"$#,#")),"")</f>
        <v/>
      </c>
    </row>
    <row r="369" spans="1:18" x14ac:dyDescent="0.25">
      <c r="A369">
        <v>100028</v>
      </c>
      <c r="B369" t="s">
        <v>0</v>
      </c>
      <c r="D369" s="1"/>
      <c r="E369" s="1"/>
      <c r="F369">
        <v>25</v>
      </c>
      <c r="G369">
        <v>32</v>
      </c>
      <c r="H369" s="1">
        <v>43952</v>
      </c>
      <c r="I369" s="1">
        <v>44378</v>
      </c>
      <c r="J369">
        <v>14</v>
      </c>
      <c r="K369">
        <v>0</v>
      </c>
      <c r="L369" s="1">
        <v>44348</v>
      </c>
      <c r="M369">
        <v>250</v>
      </c>
      <c r="N369" s="8" cm="1">
        <f t="array" ref="N369">_xlfn.SWITCH(Sales[[#This Row],[Subscription Type]],"Basic",10,"Premium",10,"Business",25,"Enterprise",27)</f>
        <v>10</v>
      </c>
      <c r="O369">
        <f>IF(Sales[[#This Row],[Number of Users]]-Sales[[#This Row],[Licenses Bought]]&lt;0,0,Sales[[#This Row],[Number of Users]]-Sales[[#This Row],[Licenses Bought]])</f>
        <v>7</v>
      </c>
      <c r="P369" s="8">
        <f>IF(Sales[[#This Row],[Sales Month]]=MAX(Sales[Sales Month]),Sales[[#This Row],[Non-Paying Users]]*Sales[[#This Row],[Upsell $ per Non-Paying User]],0)</f>
        <v>70</v>
      </c>
      <c r="Q369" t="str" cm="1">
        <f t="array" ref="Q369">_xlfn.IFS(Sales[[#This Row],[Current Upsell $]]=0,"",Sales[[#This Row],[Current Upsell $]]&gt;=400,"High",Sales[[#This Row],[Current Upsell $]]&gt;=100,"Medium",Sales[[#This Row],[Current Upsell $]]&lt;100,"Low")</f>
        <v>Low</v>
      </c>
      <c r="R369" t="str">
        <f>IF(Sales[[#This Row],[Current Upsell $]]&gt;0,_xlfn.CONCAT(Sales[[#This Row],[Subscription Type]]," ",Sales[[#This Row],[Upsell Priority]]," ",TEXT(Sales[[#This Row],[Current Upsell $]],"$#,#")),"")</f>
        <v>Premium Low $70</v>
      </c>
    </row>
    <row r="370" spans="1:18" x14ac:dyDescent="0.25">
      <c r="A370">
        <v>100029</v>
      </c>
      <c r="B370" t="s">
        <v>3</v>
      </c>
      <c r="F370">
        <v>0</v>
      </c>
      <c r="G370">
        <v>9</v>
      </c>
      <c r="H370" s="1">
        <v>43952</v>
      </c>
      <c r="I370" s="1">
        <v>43983</v>
      </c>
      <c r="J370">
        <v>1</v>
      </c>
      <c r="K370">
        <v>12</v>
      </c>
      <c r="L370" s="1">
        <v>43952</v>
      </c>
      <c r="M370">
        <v>0</v>
      </c>
      <c r="N370" s="8" cm="1">
        <f t="array" ref="N370">_xlfn.SWITCH(Sales[[#This Row],[Subscription Type]],"Basic",10,"Premium",10,"Business",25,"Enterprise",27)</f>
        <v>10</v>
      </c>
      <c r="O370">
        <f>IF(Sales[[#This Row],[Number of Users]]-Sales[[#This Row],[Licenses Bought]]&lt;0,0,Sales[[#This Row],[Number of Users]]-Sales[[#This Row],[Licenses Bought]])</f>
        <v>9</v>
      </c>
      <c r="P370" s="8">
        <f>IF(Sales[[#This Row],[Sales Month]]=MAX(Sales[Sales Month]),Sales[[#This Row],[Non-Paying Users]]*Sales[[#This Row],[Upsell $ per Non-Paying User]],0)</f>
        <v>0</v>
      </c>
      <c r="Q370" t="str" cm="1">
        <f t="array" ref="Q370">_xlfn.IFS(Sales[[#This Row],[Current Upsell $]]=0,"",Sales[[#This Row],[Current Upsell $]]&gt;=400,"High",Sales[[#This Row],[Current Upsell $]]&gt;=100,"Medium",Sales[[#This Row],[Current Upsell $]]&lt;100,"Low")</f>
        <v/>
      </c>
      <c r="R370" t="str">
        <f>IF(Sales[[#This Row],[Current Upsell $]]&gt;0,_xlfn.CONCAT(Sales[[#This Row],[Subscription Type]]," ",Sales[[#This Row],[Upsell Priority]]," ",TEXT(Sales[[#This Row],[Current Upsell $]],"$#,#")),"")</f>
        <v/>
      </c>
    </row>
    <row r="371" spans="1:18" x14ac:dyDescent="0.25">
      <c r="A371">
        <v>100029</v>
      </c>
      <c r="B371" t="s">
        <v>3</v>
      </c>
      <c r="F371">
        <v>0</v>
      </c>
      <c r="G371">
        <v>8</v>
      </c>
      <c r="H371" s="1">
        <v>43952</v>
      </c>
      <c r="I371" s="1">
        <v>43983</v>
      </c>
      <c r="J371">
        <v>1</v>
      </c>
      <c r="K371">
        <v>12</v>
      </c>
      <c r="L371" s="1">
        <v>43983</v>
      </c>
      <c r="M371">
        <v>0</v>
      </c>
      <c r="N371" s="8" cm="1">
        <f t="array" ref="N371">_xlfn.SWITCH(Sales[[#This Row],[Subscription Type]],"Basic",10,"Premium",10,"Business",25,"Enterprise",27)</f>
        <v>10</v>
      </c>
      <c r="O371">
        <f>IF(Sales[[#This Row],[Number of Users]]-Sales[[#This Row],[Licenses Bought]]&lt;0,0,Sales[[#This Row],[Number of Users]]-Sales[[#This Row],[Licenses Bought]])</f>
        <v>8</v>
      </c>
      <c r="P371" s="8">
        <f>IF(Sales[[#This Row],[Sales Month]]=MAX(Sales[Sales Month]),Sales[[#This Row],[Non-Paying Users]]*Sales[[#This Row],[Upsell $ per Non-Paying User]],0)</f>
        <v>0</v>
      </c>
      <c r="Q371" t="str" cm="1">
        <f t="array" ref="Q371">_xlfn.IFS(Sales[[#This Row],[Current Upsell $]]=0,"",Sales[[#This Row],[Current Upsell $]]&gt;=400,"High",Sales[[#This Row],[Current Upsell $]]&gt;=100,"Medium",Sales[[#This Row],[Current Upsell $]]&lt;100,"Low")</f>
        <v/>
      </c>
      <c r="R371" t="str">
        <f>IF(Sales[[#This Row],[Current Upsell $]]&gt;0,_xlfn.CONCAT(Sales[[#This Row],[Subscription Type]]," ",Sales[[#This Row],[Upsell Priority]]," ",TEXT(Sales[[#This Row],[Current Upsell $]],"$#,#")),"")</f>
        <v/>
      </c>
    </row>
    <row r="372" spans="1:18" x14ac:dyDescent="0.25">
      <c r="A372">
        <v>100030</v>
      </c>
      <c r="B372" t="s">
        <v>3</v>
      </c>
      <c r="F372">
        <v>0</v>
      </c>
      <c r="G372">
        <v>8</v>
      </c>
      <c r="H372" s="1">
        <v>43952</v>
      </c>
      <c r="I372" s="1">
        <v>44378</v>
      </c>
      <c r="J372">
        <v>14</v>
      </c>
      <c r="K372">
        <v>0</v>
      </c>
      <c r="L372" s="1">
        <v>43952</v>
      </c>
      <c r="M372">
        <v>0</v>
      </c>
      <c r="N372" s="8" cm="1">
        <f t="array" ref="N372">_xlfn.SWITCH(Sales[[#This Row],[Subscription Type]],"Basic",10,"Premium",10,"Business",25,"Enterprise",27)</f>
        <v>10</v>
      </c>
      <c r="O372">
        <f>IF(Sales[[#This Row],[Number of Users]]-Sales[[#This Row],[Licenses Bought]]&lt;0,0,Sales[[#This Row],[Number of Users]]-Sales[[#This Row],[Licenses Bought]])</f>
        <v>8</v>
      </c>
      <c r="P372" s="8">
        <f>IF(Sales[[#This Row],[Sales Month]]=MAX(Sales[Sales Month]),Sales[[#This Row],[Non-Paying Users]]*Sales[[#This Row],[Upsell $ per Non-Paying User]],0)</f>
        <v>0</v>
      </c>
      <c r="Q372" t="str" cm="1">
        <f t="array" ref="Q372">_xlfn.IFS(Sales[[#This Row],[Current Upsell $]]=0,"",Sales[[#This Row],[Current Upsell $]]&gt;=400,"High",Sales[[#This Row],[Current Upsell $]]&gt;=100,"Medium",Sales[[#This Row],[Current Upsell $]]&lt;100,"Low")</f>
        <v/>
      </c>
      <c r="R372" t="str">
        <f>IF(Sales[[#This Row],[Current Upsell $]]&gt;0,_xlfn.CONCAT(Sales[[#This Row],[Subscription Type]]," ",Sales[[#This Row],[Upsell Priority]]," ",TEXT(Sales[[#This Row],[Current Upsell $]],"$#,#")),"")</f>
        <v/>
      </c>
    </row>
    <row r="373" spans="1:18" x14ac:dyDescent="0.25">
      <c r="A373">
        <v>100030</v>
      </c>
      <c r="B373" t="s">
        <v>3</v>
      </c>
      <c r="F373">
        <v>0</v>
      </c>
      <c r="G373">
        <v>7</v>
      </c>
      <c r="H373" s="1">
        <v>43952</v>
      </c>
      <c r="I373" s="1">
        <v>44378</v>
      </c>
      <c r="J373">
        <v>14</v>
      </c>
      <c r="K373">
        <v>0</v>
      </c>
      <c r="L373" s="1">
        <v>43983</v>
      </c>
      <c r="M373">
        <v>0</v>
      </c>
      <c r="N373" s="8" cm="1">
        <f t="array" ref="N373">_xlfn.SWITCH(Sales[[#This Row],[Subscription Type]],"Basic",10,"Premium",10,"Business",25,"Enterprise",27)</f>
        <v>10</v>
      </c>
      <c r="O373">
        <f>IF(Sales[[#This Row],[Number of Users]]-Sales[[#This Row],[Licenses Bought]]&lt;0,0,Sales[[#This Row],[Number of Users]]-Sales[[#This Row],[Licenses Bought]])</f>
        <v>7</v>
      </c>
      <c r="P373" s="8">
        <f>IF(Sales[[#This Row],[Sales Month]]=MAX(Sales[Sales Month]),Sales[[#This Row],[Non-Paying Users]]*Sales[[#This Row],[Upsell $ per Non-Paying User]],0)</f>
        <v>0</v>
      </c>
      <c r="Q373" t="str" cm="1">
        <f t="array" ref="Q373">_xlfn.IFS(Sales[[#This Row],[Current Upsell $]]=0,"",Sales[[#This Row],[Current Upsell $]]&gt;=400,"High",Sales[[#This Row],[Current Upsell $]]&gt;=100,"Medium",Sales[[#This Row],[Current Upsell $]]&lt;100,"Low")</f>
        <v/>
      </c>
      <c r="R373" t="str">
        <f>IF(Sales[[#This Row],[Current Upsell $]]&gt;0,_xlfn.CONCAT(Sales[[#This Row],[Subscription Type]]," ",Sales[[#This Row],[Upsell Priority]]," ",TEXT(Sales[[#This Row],[Current Upsell $]],"$#,#")),"")</f>
        <v/>
      </c>
    </row>
    <row r="374" spans="1:18" x14ac:dyDescent="0.25">
      <c r="A374">
        <v>100030</v>
      </c>
      <c r="B374" t="s">
        <v>3</v>
      </c>
      <c r="F374">
        <v>0</v>
      </c>
      <c r="G374">
        <v>9</v>
      </c>
      <c r="H374" s="1">
        <v>43952</v>
      </c>
      <c r="I374" s="1">
        <v>44378</v>
      </c>
      <c r="J374">
        <v>14</v>
      </c>
      <c r="K374">
        <v>0</v>
      </c>
      <c r="L374" s="1">
        <v>44013</v>
      </c>
      <c r="M374">
        <v>0</v>
      </c>
      <c r="N374" s="8" cm="1">
        <f t="array" ref="N374">_xlfn.SWITCH(Sales[[#This Row],[Subscription Type]],"Basic",10,"Premium",10,"Business",25,"Enterprise",27)</f>
        <v>10</v>
      </c>
      <c r="O374">
        <f>IF(Sales[[#This Row],[Number of Users]]-Sales[[#This Row],[Licenses Bought]]&lt;0,0,Sales[[#This Row],[Number of Users]]-Sales[[#This Row],[Licenses Bought]])</f>
        <v>9</v>
      </c>
      <c r="P374" s="8">
        <f>IF(Sales[[#This Row],[Sales Month]]=MAX(Sales[Sales Month]),Sales[[#This Row],[Non-Paying Users]]*Sales[[#This Row],[Upsell $ per Non-Paying User]],0)</f>
        <v>0</v>
      </c>
      <c r="Q374" t="str" cm="1">
        <f t="array" ref="Q374">_xlfn.IFS(Sales[[#This Row],[Current Upsell $]]=0,"",Sales[[#This Row],[Current Upsell $]]&gt;=400,"High",Sales[[#This Row],[Current Upsell $]]&gt;=100,"Medium",Sales[[#This Row],[Current Upsell $]]&lt;100,"Low")</f>
        <v/>
      </c>
      <c r="R374" t="str">
        <f>IF(Sales[[#This Row],[Current Upsell $]]&gt;0,_xlfn.CONCAT(Sales[[#This Row],[Subscription Type]]," ",Sales[[#This Row],[Upsell Priority]]," ",TEXT(Sales[[#This Row],[Current Upsell $]],"$#,#")),"")</f>
        <v/>
      </c>
    </row>
    <row r="375" spans="1:18" x14ac:dyDescent="0.25">
      <c r="A375">
        <v>100030</v>
      </c>
      <c r="B375" t="s">
        <v>3</v>
      </c>
      <c r="F375">
        <v>0</v>
      </c>
      <c r="G375">
        <v>8</v>
      </c>
      <c r="H375" s="1">
        <v>43952</v>
      </c>
      <c r="I375" s="1">
        <v>44378</v>
      </c>
      <c r="J375">
        <v>14</v>
      </c>
      <c r="K375">
        <v>0</v>
      </c>
      <c r="L375" s="1">
        <v>44044</v>
      </c>
      <c r="M375">
        <v>0</v>
      </c>
      <c r="N375" s="8" cm="1">
        <f t="array" ref="N375">_xlfn.SWITCH(Sales[[#This Row],[Subscription Type]],"Basic",10,"Premium",10,"Business",25,"Enterprise",27)</f>
        <v>10</v>
      </c>
      <c r="O375">
        <f>IF(Sales[[#This Row],[Number of Users]]-Sales[[#This Row],[Licenses Bought]]&lt;0,0,Sales[[#This Row],[Number of Users]]-Sales[[#This Row],[Licenses Bought]])</f>
        <v>8</v>
      </c>
      <c r="P375" s="8">
        <f>IF(Sales[[#This Row],[Sales Month]]=MAX(Sales[Sales Month]),Sales[[#This Row],[Non-Paying Users]]*Sales[[#This Row],[Upsell $ per Non-Paying User]],0)</f>
        <v>0</v>
      </c>
      <c r="Q375" t="str" cm="1">
        <f t="array" ref="Q375">_xlfn.IFS(Sales[[#This Row],[Current Upsell $]]=0,"",Sales[[#This Row],[Current Upsell $]]&gt;=400,"High",Sales[[#This Row],[Current Upsell $]]&gt;=100,"Medium",Sales[[#This Row],[Current Upsell $]]&lt;100,"Low")</f>
        <v/>
      </c>
      <c r="R375" t="str">
        <f>IF(Sales[[#This Row],[Current Upsell $]]&gt;0,_xlfn.CONCAT(Sales[[#This Row],[Subscription Type]]," ",Sales[[#This Row],[Upsell Priority]]," ",TEXT(Sales[[#This Row],[Current Upsell $]],"$#,#")),"")</f>
        <v/>
      </c>
    </row>
    <row r="376" spans="1:18" x14ac:dyDescent="0.25">
      <c r="A376">
        <v>100030</v>
      </c>
      <c r="B376" t="s">
        <v>3</v>
      </c>
      <c r="F376">
        <v>0</v>
      </c>
      <c r="G376">
        <v>7</v>
      </c>
      <c r="H376" s="1">
        <v>43952</v>
      </c>
      <c r="I376" s="1">
        <v>44378</v>
      </c>
      <c r="J376">
        <v>14</v>
      </c>
      <c r="K376">
        <v>0</v>
      </c>
      <c r="L376" s="1">
        <v>44075</v>
      </c>
      <c r="M376">
        <v>0</v>
      </c>
      <c r="N376" s="8" cm="1">
        <f t="array" ref="N376">_xlfn.SWITCH(Sales[[#This Row],[Subscription Type]],"Basic",10,"Premium",10,"Business",25,"Enterprise",27)</f>
        <v>10</v>
      </c>
      <c r="O376">
        <f>IF(Sales[[#This Row],[Number of Users]]-Sales[[#This Row],[Licenses Bought]]&lt;0,0,Sales[[#This Row],[Number of Users]]-Sales[[#This Row],[Licenses Bought]])</f>
        <v>7</v>
      </c>
      <c r="P376" s="8">
        <f>IF(Sales[[#This Row],[Sales Month]]=MAX(Sales[Sales Month]),Sales[[#This Row],[Non-Paying Users]]*Sales[[#This Row],[Upsell $ per Non-Paying User]],0)</f>
        <v>0</v>
      </c>
      <c r="Q376" t="str" cm="1">
        <f t="array" ref="Q376">_xlfn.IFS(Sales[[#This Row],[Current Upsell $]]=0,"",Sales[[#This Row],[Current Upsell $]]&gt;=400,"High",Sales[[#This Row],[Current Upsell $]]&gt;=100,"Medium",Sales[[#This Row],[Current Upsell $]]&lt;100,"Low")</f>
        <v/>
      </c>
      <c r="R376" t="str">
        <f>IF(Sales[[#This Row],[Current Upsell $]]&gt;0,_xlfn.CONCAT(Sales[[#This Row],[Subscription Type]]," ",Sales[[#This Row],[Upsell Priority]]," ",TEXT(Sales[[#This Row],[Current Upsell $]],"$#,#")),"")</f>
        <v/>
      </c>
    </row>
    <row r="377" spans="1:18" x14ac:dyDescent="0.25">
      <c r="A377">
        <v>100030</v>
      </c>
      <c r="B377" t="s">
        <v>3</v>
      </c>
      <c r="F377">
        <v>0</v>
      </c>
      <c r="G377">
        <v>7</v>
      </c>
      <c r="H377" s="1">
        <v>43952</v>
      </c>
      <c r="I377" s="1">
        <v>44378</v>
      </c>
      <c r="J377">
        <v>14</v>
      </c>
      <c r="K377">
        <v>0</v>
      </c>
      <c r="L377" s="1">
        <v>44105</v>
      </c>
      <c r="M377">
        <v>0</v>
      </c>
      <c r="N377" s="8" cm="1">
        <f t="array" ref="N377">_xlfn.SWITCH(Sales[[#This Row],[Subscription Type]],"Basic",10,"Premium",10,"Business",25,"Enterprise",27)</f>
        <v>10</v>
      </c>
      <c r="O377">
        <f>IF(Sales[[#This Row],[Number of Users]]-Sales[[#This Row],[Licenses Bought]]&lt;0,0,Sales[[#This Row],[Number of Users]]-Sales[[#This Row],[Licenses Bought]])</f>
        <v>7</v>
      </c>
      <c r="P377" s="8">
        <f>IF(Sales[[#This Row],[Sales Month]]=MAX(Sales[Sales Month]),Sales[[#This Row],[Non-Paying Users]]*Sales[[#This Row],[Upsell $ per Non-Paying User]],0)</f>
        <v>0</v>
      </c>
      <c r="Q377" t="str" cm="1">
        <f t="array" ref="Q377">_xlfn.IFS(Sales[[#This Row],[Current Upsell $]]=0,"",Sales[[#This Row],[Current Upsell $]]&gt;=400,"High",Sales[[#This Row],[Current Upsell $]]&gt;=100,"Medium",Sales[[#This Row],[Current Upsell $]]&lt;100,"Low")</f>
        <v/>
      </c>
      <c r="R377" t="str">
        <f>IF(Sales[[#This Row],[Current Upsell $]]&gt;0,_xlfn.CONCAT(Sales[[#This Row],[Subscription Type]]," ",Sales[[#This Row],[Upsell Priority]]," ",TEXT(Sales[[#This Row],[Current Upsell $]],"$#,#")),"")</f>
        <v/>
      </c>
    </row>
    <row r="378" spans="1:18" x14ac:dyDescent="0.25">
      <c r="A378">
        <v>100030</v>
      </c>
      <c r="B378" t="s">
        <v>3</v>
      </c>
      <c r="F378">
        <v>0</v>
      </c>
      <c r="G378">
        <v>9</v>
      </c>
      <c r="H378" s="1">
        <v>43952</v>
      </c>
      <c r="I378" s="1">
        <v>44378</v>
      </c>
      <c r="J378">
        <v>14</v>
      </c>
      <c r="K378">
        <v>0</v>
      </c>
      <c r="L378" s="1">
        <v>44136</v>
      </c>
      <c r="M378">
        <v>0</v>
      </c>
      <c r="N378" s="8" cm="1">
        <f t="array" ref="N378">_xlfn.SWITCH(Sales[[#This Row],[Subscription Type]],"Basic",10,"Premium",10,"Business",25,"Enterprise",27)</f>
        <v>10</v>
      </c>
      <c r="O378">
        <f>IF(Sales[[#This Row],[Number of Users]]-Sales[[#This Row],[Licenses Bought]]&lt;0,0,Sales[[#This Row],[Number of Users]]-Sales[[#This Row],[Licenses Bought]])</f>
        <v>9</v>
      </c>
      <c r="P378" s="8">
        <f>IF(Sales[[#This Row],[Sales Month]]=MAX(Sales[Sales Month]),Sales[[#This Row],[Non-Paying Users]]*Sales[[#This Row],[Upsell $ per Non-Paying User]],0)</f>
        <v>0</v>
      </c>
      <c r="Q378" t="str" cm="1">
        <f t="array" ref="Q378">_xlfn.IFS(Sales[[#This Row],[Current Upsell $]]=0,"",Sales[[#This Row],[Current Upsell $]]&gt;=400,"High",Sales[[#This Row],[Current Upsell $]]&gt;=100,"Medium",Sales[[#This Row],[Current Upsell $]]&lt;100,"Low")</f>
        <v/>
      </c>
      <c r="R378" t="str">
        <f>IF(Sales[[#This Row],[Current Upsell $]]&gt;0,_xlfn.CONCAT(Sales[[#This Row],[Subscription Type]]," ",Sales[[#This Row],[Upsell Priority]]," ",TEXT(Sales[[#This Row],[Current Upsell $]],"$#,#")),"")</f>
        <v/>
      </c>
    </row>
    <row r="379" spans="1:18" x14ac:dyDescent="0.25">
      <c r="A379">
        <v>100030</v>
      </c>
      <c r="B379" t="s">
        <v>3</v>
      </c>
      <c r="F379">
        <v>0</v>
      </c>
      <c r="G379">
        <v>9</v>
      </c>
      <c r="H379" s="1">
        <v>43952</v>
      </c>
      <c r="I379" s="1">
        <v>44378</v>
      </c>
      <c r="J379">
        <v>14</v>
      </c>
      <c r="K379">
        <v>0</v>
      </c>
      <c r="L379" s="1">
        <v>44166</v>
      </c>
      <c r="M379">
        <v>0</v>
      </c>
      <c r="N379" s="8" cm="1">
        <f t="array" ref="N379">_xlfn.SWITCH(Sales[[#This Row],[Subscription Type]],"Basic",10,"Premium",10,"Business",25,"Enterprise",27)</f>
        <v>10</v>
      </c>
      <c r="O379">
        <f>IF(Sales[[#This Row],[Number of Users]]-Sales[[#This Row],[Licenses Bought]]&lt;0,0,Sales[[#This Row],[Number of Users]]-Sales[[#This Row],[Licenses Bought]])</f>
        <v>9</v>
      </c>
      <c r="P379" s="8">
        <f>IF(Sales[[#This Row],[Sales Month]]=MAX(Sales[Sales Month]),Sales[[#This Row],[Non-Paying Users]]*Sales[[#This Row],[Upsell $ per Non-Paying User]],0)</f>
        <v>0</v>
      </c>
      <c r="Q379" t="str" cm="1">
        <f t="array" ref="Q379">_xlfn.IFS(Sales[[#This Row],[Current Upsell $]]=0,"",Sales[[#This Row],[Current Upsell $]]&gt;=400,"High",Sales[[#This Row],[Current Upsell $]]&gt;=100,"Medium",Sales[[#This Row],[Current Upsell $]]&lt;100,"Low")</f>
        <v/>
      </c>
      <c r="R379" t="str">
        <f>IF(Sales[[#This Row],[Current Upsell $]]&gt;0,_xlfn.CONCAT(Sales[[#This Row],[Subscription Type]]," ",Sales[[#This Row],[Upsell Priority]]," ",TEXT(Sales[[#This Row],[Current Upsell $]],"$#,#")),"")</f>
        <v/>
      </c>
    </row>
    <row r="380" spans="1:18" x14ac:dyDescent="0.25">
      <c r="A380">
        <v>100030</v>
      </c>
      <c r="B380" t="s">
        <v>3</v>
      </c>
      <c r="F380">
        <v>0</v>
      </c>
      <c r="G380">
        <v>8</v>
      </c>
      <c r="H380" s="1">
        <v>43952</v>
      </c>
      <c r="I380" s="1">
        <v>44378</v>
      </c>
      <c r="J380">
        <v>14</v>
      </c>
      <c r="K380">
        <v>0</v>
      </c>
      <c r="L380" s="1">
        <v>44197</v>
      </c>
      <c r="M380">
        <v>0</v>
      </c>
      <c r="N380" s="8" cm="1">
        <f t="array" ref="N380">_xlfn.SWITCH(Sales[[#This Row],[Subscription Type]],"Basic",10,"Premium",10,"Business",25,"Enterprise",27)</f>
        <v>10</v>
      </c>
      <c r="O380">
        <f>IF(Sales[[#This Row],[Number of Users]]-Sales[[#This Row],[Licenses Bought]]&lt;0,0,Sales[[#This Row],[Number of Users]]-Sales[[#This Row],[Licenses Bought]])</f>
        <v>8</v>
      </c>
      <c r="P380" s="8">
        <f>IF(Sales[[#This Row],[Sales Month]]=MAX(Sales[Sales Month]),Sales[[#This Row],[Non-Paying Users]]*Sales[[#This Row],[Upsell $ per Non-Paying User]],0)</f>
        <v>0</v>
      </c>
      <c r="Q380" t="str" cm="1">
        <f t="array" ref="Q380">_xlfn.IFS(Sales[[#This Row],[Current Upsell $]]=0,"",Sales[[#This Row],[Current Upsell $]]&gt;=400,"High",Sales[[#This Row],[Current Upsell $]]&gt;=100,"Medium",Sales[[#This Row],[Current Upsell $]]&lt;100,"Low")</f>
        <v/>
      </c>
      <c r="R380" t="str">
        <f>IF(Sales[[#This Row],[Current Upsell $]]&gt;0,_xlfn.CONCAT(Sales[[#This Row],[Subscription Type]]," ",Sales[[#This Row],[Upsell Priority]]," ",TEXT(Sales[[#This Row],[Current Upsell $]],"$#,#")),"")</f>
        <v/>
      </c>
    </row>
    <row r="381" spans="1:18" x14ac:dyDescent="0.25">
      <c r="A381">
        <v>100030</v>
      </c>
      <c r="B381" t="s">
        <v>3</v>
      </c>
      <c r="F381">
        <v>0</v>
      </c>
      <c r="G381">
        <v>8</v>
      </c>
      <c r="H381" s="1">
        <v>43952</v>
      </c>
      <c r="I381" s="1">
        <v>44378</v>
      </c>
      <c r="J381">
        <v>14</v>
      </c>
      <c r="K381">
        <v>0</v>
      </c>
      <c r="L381" s="1">
        <v>44228</v>
      </c>
      <c r="M381">
        <v>0</v>
      </c>
      <c r="N381" s="8" cm="1">
        <f t="array" ref="N381">_xlfn.SWITCH(Sales[[#This Row],[Subscription Type]],"Basic",10,"Premium",10,"Business",25,"Enterprise",27)</f>
        <v>10</v>
      </c>
      <c r="O381">
        <f>IF(Sales[[#This Row],[Number of Users]]-Sales[[#This Row],[Licenses Bought]]&lt;0,0,Sales[[#This Row],[Number of Users]]-Sales[[#This Row],[Licenses Bought]])</f>
        <v>8</v>
      </c>
      <c r="P381" s="8">
        <f>IF(Sales[[#This Row],[Sales Month]]=MAX(Sales[Sales Month]),Sales[[#This Row],[Non-Paying Users]]*Sales[[#This Row],[Upsell $ per Non-Paying User]],0)</f>
        <v>0</v>
      </c>
      <c r="Q381" t="str" cm="1">
        <f t="array" ref="Q381">_xlfn.IFS(Sales[[#This Row],[Current Upsell $]]=0,"",Sales[[#This Row],[Current Upsell $]]&gt;=400,"High",Sales[[#This Row],[Current Upsell $]]&gt;=100,"Medium",Sales[[#This Row],[Current Upsell $]]&lt;100,"Low")</f>
        <v/>
      </c>
      <c r="R381" t="str">
        <f>IF(Sales[[#This Row],[Current Upsell $]]&gt;0,_xlfn.CONCAT(Sales[[#This Row],[Subscription Type]]," ",Sales[[#This Row],[Upsell Priority]]," ",TEXT(Sales[[#This Row],[Current Upsell $]],"$#,#")),"")</f>
        <v/>
      </c>
    </row>
    <row r="382" spans="1:18" x14ac:dyDescent="0.25">
      <c r="A382">
        <v>100030</v>
      </c>
      <c r="B382" t="s">
        <v>3</v>
      </c>
      <c r="F382">
        <v>0</v>
      </c>
      <c r="G382">
        <v>8</v>
      </c>
      <c r="H382" s="1">
        <v>43952</v>
      </c>
      <c r="I382" s="1">
        <v>44378</v>
      </c>
      <c r="J382">
        <v>14</v>
      </c>
      <c r="K382">
        <v>0</v>
      </c>
      <c r="L382" s="1">
        <v>44256</v>
      </c>
      <c r="M382">
        <v>0</v>
      </c>
      <c r="N382" s="8" cm="1">
        <f t="array" ref="N382">_xlfn.SWITCH(Sales[[#This Row],[Subscription Type]],"Basic",10,"Premium",10,"Business",25,"Enterprise",27)</f>
        <v>10</v>
      </c>
      <c r="O382">
        <f>IF(Sales[[#This Row],[Number of Users]]-Sales[[#This Row],[Licenses Bought]]&lt;0,0,Sales[[#This Row],[Number of Users]]-Sales[[#This Row],[Licenses Bought]])</f>
        <v>8</v>
      </c>
      <c r="P382" s="8">
        <f>IF(Sales[[#This Row],[Sales Month]]=MAX(Sales[Sales Month]),Sales[[#This Row],[Non-Paying Users]]*Sales[[#This Row],[Upsell $ per Non-Paying User]],0)</f>
        <v>0</v>
      </c>
      <c r="Q382" t="str" cm="1">
        <f t="array" ref="Q382">_xlfn.IFS(Sales[[#This Row],[Current Upsell $]]=0,"",Sales[[#This Row],[Current Upsell $]]&gt;=400,"High",Sales[[#This Row],[Current Upsell $]]&gt;=100,"Medium",Sales[[#This Row],[Current Upsell $]]&lt;100,"Low")</f>
        <v/>
      </c>
      <c r="R382" t="str">
        <f>IF(Sales[[#This Row],[Current Upsell $]]&gt;0,_xlfn.CONCAT(Sales[[#This Row],[Subscription Type]]," ",Sales[[#This Row],[Upsell Priority]]," ",TEXT(Sales[[#This Row],[Current Upsell $]],"$#,#")),"")</f>
        <v/>
      </c>
    </row>
    <row r="383" spans="1:18" x14ac:dyDescent="0.25">
      <c r="A383">
        <v>100030</v>
      </c>
      <c r="B383" t="s">
        <v>3</v>
      </c>
      <c r="F383">
        <v>0</v>
      </c>
      <c r="G383">
        <v>8</v>
      </c>
      <c r="H383" s="1">
        <v>43952</v>
      </c>
      <c r="I383" s="1">
        <v>44378</v>
      </c>
      <c r="J383">
        <v>14</v>
      </c>
      <c r="K383">
        <v>0</v>
      </c>
      <c r="L383" s="1">
        <v>44287</v>
      </c>
      <c r="M383">
        <v>0</v>
      </c>
      <c r="N383" s="8" cm="1">
        <f t="array" ref="N383">_xlfn.SWITCH(Sales[[#This Row],[Subscription Type]],"Basic",10,"Premium",10,"Business",25,"Enterprise",27)</f>
        <v>10</v>
      </c>
      <c r="O383">
        <f>IF(Sales[[#This Row],[Number of Users]]-Sales[[#This Row],[Licenses Bought]]&lt;0,0,Sales[[#This Row],[Number of Users]]-Sales[[#This Row],[Licenses Bought]])</f>
        <v>8</v>
      </c>
      <c r="P383" s="8">
        <f>IF(Sales[[#This Row],[Sales Month]]=MAX(Sales[Sales Month]),Sales[[#This Row],[Non-Paying Users]]*Sales[[#This Row],[Upsell $ per Non-Paying User]],0)</f>
        <v>0</v>
      </c>
      <c r="Q383" t="str" cm="1">
        <f t="array" ref="Q383">_xlfn.IFS(Sales[[#This Row],[Current Upsell $]]=0,"",Sales[[#This Row],[Current Upsell $]]&gt;=400,"High",Sales[[#This Row],[Current Upsell $]]&gt;=100,"Medium",Sales[[#This Row],[Current Upsell $]]&lt;100,"Low")</f>
        <v/>
      </c>
      <c r="R383" t="str">
        <f>IF(Sales[[#This Row],[Current Upsell $]]&gt;0,_xlfn.CONCAT(Sales[[#This Row],[Subscription Type]]," ",Sales[[#This Row],[Upsell Priority]]," ",TEXT(Sales[[#This Row],[Current Upsell $]],"$#,#")),"")</f>
        <v/>
      </c>
    </row>
    <row r="384" spans="1:18" x14ac:dyDescent="0.25">
      <c r="A384">
        <v>100030</v>
      </c>
      <c r="B384" t="s">
        <v>3</v>
      </c>
      <c r="F384">
        <v>0</v>
      </c>
      <c r="G384">
        <v>9</v>
      </c>
      <c r="H384" s="1">
        <v>43952</v>
      </c>
      <c r="I384" s="1">
        <v>44378</v>
      </c>
      <c r="J384">
        <v>14</v>
      </c>
      <c r="K384">
        <v>0</v>
      </c>
      <c r="L384" s="1">
        <v>44317</v>
      </c>
      <c r="M384">
        <v>0</v>
      </c>
      <c r="N384" s="8" cm="1">
        <f t="array" ref="N384">_xlfn.SWITCH(Sales[[#This Row],[Subscription Type]],"Basic",10,"Premium",10,"Business",25,"Enterprise",27)</f>
        <v>10</v>
      </c>
      <c r="O384">
        <f>IF(Sales[[#This Row],[Number of Users]]-Sales[[#This Row],[Licenses Bought]]&lt;0,0,Sales[[#This Row],[Number of Users]]-Sales[[#This Row],[Licenses Bought]])</f>
        <v>9</v>
      </c>
      <c r="P384" s="8">
        <f>IF(Sales[[#This Row],[Sales Month]]=MAX(Sales[Sales Month]),Sales[[#This Row],[Non-Paying Users]]*Sales[[#This Row],[Upsell $ per Non-Paying User]],0)</f>
        <v>0</v>
      </c>
      <c r="Q384" t="str" cm="1">
        <f t="array" ref="Q384">_xlfn.IFS(Sales[[#This Row],[Current Upsell $]]=0,"",Sales[[#This Row],[Current Upsell $]]&gt;=400,"High",Sales[[#This Row],[Current Upsell $]]&gt;=100,"Medium",Sales[[#This Row],[Current Upsell $]]&lt;100,"Low")</f>
        <v/>
      </c>
      <c r="R384" t="str">
        <f>IF(Sales[[#This Row],[Current Upsell $]]&gt;0,_xlfn.CONCAT(Sales[[#This Row],[Subscription Type]]," ",Sales[[#This Row],[Upsell Priority]]," ",TEXT(Sales[[#This Row],[Current Upsell $]],"$#,#")),"")</f>
        <v/>
      </c>
    </row>
    <row r="385" spans="1:18" x14ac:dyDescent="0.25">
      <c r="A385">
        <v>100030</v>
      </c>
      <c r="B385" t="s">
        <v>3</v>
      </c>
      <c r="F385">
        <v>0</v>
      </c>
      <c r="G385">
        <v>8</v>
      </c>
      <c r="H385" s="1">
        <v>43952</v>
      </c>
      <c r="I385" s="1">
        <v>44378</v>
      </c>
      <c r="J385">
        <v>14</v>
      </c>
      <c r="K385">
        <v>0</v>
      </c>
      <c r="L385" s="1">
        <v>44348</v>
      </c>
      <c r="M385">
        <v>0</v>
      </c>
      <c r="N385" s="8" cm="1">
        <f t="array" ref="N385">_xlfn.SWITCH(Sales[[#This Row],[Subscription Type]],"Basic",10,"Premium",10,"Business",25,"Enterprise",27)</f>
        <v>10</v>
      </c>
      <c r="O385">
        <f>IF(Sales[[#This Row],[Number of Users]]-Sales[[#This Row],[Licenses Bought]]&lt;0,0,Sales[[#This Row],[Number of Users]]-Sales[[#This Row],[Licenses Bought]])</f>
        <v>8</v>
      </c>
      <c r="P385" s="8">
        <f>IF(Sales[[#This Row],[Sales Month]]=MAX(Sales[Sales Month]),Sales[[#This Row],[Non-Paying Users]]*Sales[[#This Row],[Upsell $ per Non-Paying User]],0)</f>
        <v>80</v>
      </c>
      <c r="Q385" t="str" cm="1">
        <f t="array" ref="Q385">_xlfn.IFS(Sales[[#This Row],[Current Upsell $]]=0,"",Sales[[#This Row],[Current Upsell $]]&gt;=400,"High",Sales[[#This Row],[Current Upsell $]]&gt;=100,"Medium",Sales[[#This Row],[Current Upsell $]]&lt;100,"Low")</f>
        <v>Low</v>
      </c>
      <c r="R385" t="str">
        <f>IF(Sales[[#This Row],[Current Upsell $]]&gt;0,_xlfn.CONCAT(Sales[[#This Row],[Subscription Type]]," ",Sales[[#This Row],[Upsell Priority]]," ",TEXT(Sales[[#This Row],[Current Upsell $]],"$#,#")),"")</f>
        <v>Basic Low $80</v>
      </c>
    </row>
    <row r="386" spans="1:18" x14ac:dyDescent="0.25">
      <c r="A386">
        <v>100031</v>
      </c>
      <c r="B386" t="s">
        <v>3</v>
      </c>
      <c r="F386">
        <v>0</v>
      </c>
      <c r="G386">
        <v>5</v>
      </c>
      <c r="H386" s="1">
        <v>43952</v>
      </c>
      <c r="I386" s="1">
        <v>44378</v>
      </c>
      <c r="J386">
        <v>14</v>
      </c>
      <c r="K386">
        <v>0</v>
      </c>
      <c r="L386" s="1">
        <v>43952</v>
      </c>
      <c r="M386">
        <v>0</v>
      </c>
      <c r="N386" s="8" cm="1">
        <f t="array" ref="N386">_xlfn.SWITCH(Sales[[#This Row],[Subscription Type]],"Basic",10,"Premium",10,"Business",25,"Enterprise",27)</f>
        <v>10</v>
      </c>
      <c r="O386">
        <f>IF(Sales[[#This Row],[Number of Users]]-Sales[[#This Row],[Licenses Bought]]&lt;0,0,Sales[[#This Row],[Number of Users]]-Sales[[#This Row],[Licenses Bought]])</f>
        <v>5</v>
      </c>
      <c r="P386" s="8">
        <f>IF(Sales[[#This Row],[Sales Month]]=MAX(Sales[Sales Month]),Sales[[#This Row],[Non-Paying Users]]*Sales[[#This Row],[Upsell $ per Non-Paying User]],0)</f>
        <v>0</v>
      </c>
      <c r="Q386" t="str" cm="1">
        <f t="array" ref="Q386">_xlfn.IFS(Sales[[#This Row],[Current Upsell $]]=0,"",Sales[[#This Row],[Current Upsell $]]&gt;=400,"High",Sales[[#This Row],[Current Upsell $]]&gt;=100,"Medium",Sales[[#This Row],[Current Upsell $]]&lt;100,"Low")</f>
        <v/>
      </c>
      <c r="R386" t="str">
        <f>IF(Sales[[#This Row],[Current Upsell $]]&gt;0,_xlfn.CONCAT(Sales[[#This Row],[Subscription Type]]," ",Sales[[#This Row],[Upsell Priority]]," ",TEXT(Sales[[#This Row],[Current Upsell $]],"$#,#")),"")</f>
        <v/>
      </c>
    </row>
    <row r="387" spans="1:18" x14ac:dyDescent="0.25">
      <c r="A387">
        <v>100031</v>
      </c>
      <c r="B387" t="s">
        <v>3</v>
      </c>
      <c r="F387">
        <v>0</v>
      </c>
      <c r="G387">
        <v>5</v>
      </c>
      <c r="H387" s="1">
        <v>43952</v>
      </c>
      <c r="I387" s="1">
        <v>44378</v>
      </c>
      <c r="J387">
        <v>14</v>
      </c>
      <c r="K387">
        <v>0</v>
      </c>
      <c r="L387" s="1">
        <v>43983</v>
      </c>
      <c r="M387">
        <v>0</v>
      </c>
      <c r="N387" s="8" cm="1">
        <f t="array" ref="N387">_xlfn.SWITCH(Sales[[#This Row],[Subscription Type]],"Basic",10,"Premium",10,"Business",25,"Enterprise",27)</f>
        <v>10</v>
      </c>
      <c r="O387">
        <f>IF(Sales[[#This Row],[Number of Users]]-Sales[[#This Row],[Licenses Bought]]&lt;0,0,Sales[[#This Row],[Number of Users]]-Sales[[#This Row],[Licenses Bought]])</f>
        <v>5</v>
      </c>
      <c r="P387" s="8">
        <f>IF(Sales[[#This Row],[Sales Month]]=MAX(Sales[Sales Month]),Sales[[#This Row],[Non-Paying Users]]*Sales[[#This Row],[Upsell $ per Non-Paying User]],0)</f>
        <v>0</v>
      </c>
      <c r="Q387" t="str" cm="1">
        <f t="array" ref="Q387">_xlfn.IFS(Sales[[#This Row],[Current Upsell $]]=0,"",Sales[[#This Row],[Current Upsell $]]&gt;=400,"High",Sales[[#This Row],[Current Upsell $]]&gt;=100,"Medium",Sales[[#This Row],[Current Upsell $]]&lt;100,"Low")</f>
        <v/>
      </c>
      <c r="R387" t="str">
        <f>IF(Sales[[#This Row],[Current Upsell $]]&gt;0,_xlfn.CONCAT(Sales[[#This Row],[Subscription Type]]," ",Sales[[#This Row],[Upsell Priority]]," ",TEXT(Sales[[#This Row],[Current Upsell $]],"$#,#")),"")</f>
        <v/>
      </c>
    </row>
    <row r="388" spans="1:18" x14ac:dyDescent="0.25">
      <c r="A388">
        <v>100031</v>
      </c>
      <c r="B388" t="s">
        <v>3</v>
      </c>
      <c r="F388">
        <v>0</v>
      </c>
      <c r="G388">
        <v>6</v>
      </c>
      <c r="H388" s="1">
        <v>43952</v>
      </c>
      <c r="I388" s="1">
        <v>44378</v>
      </c>
      <c r="J388">
        <v>14</v>
      </c>
      <c r="K388">
        <v>0</v>
      </c>
      <c r="L388" s="1">
        <v>44013</v>
      </c>
      <c r="M388">
        <v>0</v>
      </c>
      <c r="N388" s="8" cm="1">
        <f t="array" ref="N388">_xlfn.SWITCH(Sales[[#This Row],[Subscription Type]],"Basic",10,"Premium",10,"Business",25,"Enterprise",27)</f>
        <v>10</v>
      </c>
      <c r="O388">
        <f>IF(Sales[[#This Row],[Number of Users]]-Sales[[#This Row],[Licenses Bought]]&lt;0,0,Sales[[#This Row],[Number of Users]]-Sales[[#This Row],[Licenses Bought]])</f>
        <v>6</v>
      </c>
      <c r="P388" s="8">
        <f>IF(Sales[[#This Row],[Sales Month]]=MAX(Sales[Sales Month]),Sales[[#This Row],[Non-Paying Users]]*Sales[[#This Row],[Upsell $ per Non-Paying User]],0)</f>
        <v>0</v>
      </c>
      <c r="Q388" t="str" cm="1">
        <f t="array" ref="Q388">_xlfn.IFS(Sales[[#This Row],[Current Upsell $]]=0,"",Sales[[#This Row],[Current Upsell $]]&gt;=400,"High",Sales[[#This Row],[Current Upsell $]]&gt;=100,"Medium",Sales[[#This Row],[Current Upsell $]]&lt;100,"Low")</f>
        <v/>
      </c>
      <c r="R388" t="str">
        <f>IF(Sales[[#This Row],[Current Upsell $]]&gt;0,_xlfn.CONCAT(Sales[[#This Row],[Subscription Type]]," ",Sales[[#This Row],[Upsell Priority]]," ",TEXT(Sales[[#This Row],[Current Upsell $]],"$#,#")),"")</f>
        <v/>
      </c>
    </row>
    <row r="389" spans="1:18" x14ac:dyDescent="0.25">
      <c r="A389">
        <v>100031</v>
      </c>
      <c r="B389" t="s">
        <v>3</v>
      </c>
      <c r="F389">
        <v>0</v>
      </c>
      <c r="G389">
        <v>6</v>
      </c>
      <c r="H389" s="1">
        <v>43952</v>
      </c>
      <c r="I389" s="1">
        <v>44378</v>
      </c>
      <c r="J389">
        <v>14</v>
      </c>
      <c r="K389">
        <v>0</v>
      </c>
      <c r="L389" s="1">
        <v>44044</v>
      </c>
      <c r="M389">
        <v>0</v>
      </c>
      <c r="N389" s="8" cm="1">
        <f t="array" ref="N389">_xlfn.SWITCH(Sales[[#This Row],[Subscription Type]],"Basic",10,"Premium",10,"Business",25,"Enterprise",27)</f>
        <v>10</v>
      </c>
      <c r="O389">
        <f>IF(Sales[[#This Row],[Number of Users]]-Sales[[#This Row],[Licenses Bought]]&lt;0,0,Sales[[#This Row],[Number of Users]]-Sales[[#This Row],[Licenses Bought]])</f>
        <v>6</v>
      </c>
      <c r="P389" s="8">
        <f>IF(Sales[[#This Row],[Sales Month]]=MAX(Sales[Sales Month]),Sales[[#This Row],[Non-Paying Users]]*Sales[[#This Row],[Upsell $ per Non-Paying User]],0)</f>
        <v>0</v>
      </c>
      <c r="Q389" t="str" cm="1">
        <f t="array" ref="Q389">_xlfn.IFS(Sales[[#This Row],[Current Upsell $]]=0,"",Sales[[#This Row],[Current Upsell $]]&gt;=400,"High",Sales[[#This Row],[Current Upsell $]]&gt;=100,"Medium",Sales[[#This Row],[Current Upsell $]]&lt;100,"Low")</f>
        <v/>
      </c>
      <c r="R389" t="str">
        <f>IF(Sales[[#This Row],[Current Upsell $]]&gt;0,_xlfn.CONCAT(Sales[[#This Row],[Subscription Type]]," ",Sales[[#This Row],[Upsell Priority]]," ",TEXT(Sales[[#This Row],[Current Upsell $]],"$#,#")),"")</f>
        <v/>
      </c>
    </row>
    <row r="390" spans="1:18" x14ac:dyDescent="0.25">
      <c r="A390">
        <v>100031</v>
      </c>
      <c r="B390" t="s">
        <v>3</v>
      </c>
      <c r="F390">
        <v>0</v>
      </c>
      <c r="G390">
        <v>5</v>
      </c>
      <c r="H390" s="1">
        <v>43952</v>
      </c>
      <c r="I390" s="1">
        <v>44378</v>
      </c>
      <c r="J390">
        <v>14</v>
      </c>
      <c r="K390">
        <v>0</v>
      </c>
      <c r="L390" s="1">
        <v>44075</v>
      </c>
      <c r="M390">
        <v>0</v>
      </c>
      <c r="N390" s="8" cm="1">
        <f t="array" ref="N390">_xlfn.SWITCH(Sales[[#This Row],[Subscription Type]],"Basic",10,"Premium",10,"Business",25,"Enterprise",27)</f>
        <v>10</v>
      </c>
      <c r="O390">
        <f>IF(Sales[[#This Row],[Number of Users]]-Sales[[#This Row],[Licenses Bought]]&lt;0,0,Sales[[#This Row],[Number of Users]]-Sales[[#This Row],[Licenses Bought]])</f>
        <v>5</v>
      </c>
      <c r="P390" s="8">
        <f>IF(Sales[[#This Row],[Sales Month]]=MAX(Sales[Sales Month]),Sales[[#This Row],[Non-Paying Users]]*Sales[[#This Row],[Upsell $ per Non-Paying User]],0)</f>
        <v>0</v>
      </c>
      <c r="Q390" t="str" cm="1">
        <f t="array" ref="Q390">_xlfn.IFS(Sales[[#This Row],[Current Upsell $]]=0,"",Sales[[#This Row],[Current Upsell $]]&gt;=400,"High",Sales[[#This Row],[Current Upsell $]]&gt;=100,"Medium",Sales[[#This Row],[Current Upsell $]]&lt;100,"Low")</f>
        <v/>
      </c>
      <c r="R390" t="str">
        <f>IF(Sales[[#This Row],[Current Upsell $]]&gt;0,_xlfn.CONCAT(Sales[[#This Row],[Subscription Type]]," ",Sales[[#This Row],[Upsell Priority]]," ",TEXT(Sales[[#This Row],[Current Upsell $]],"$#,#")),"")</f>
        <v/>
      </c>
    </row>
    <row r="391" spans="1:18" x14ac:dyDescent="0.25">
      <c r="A391">
        <v>100031</v>
      </c>
      <c r="B391" t="s">
        <v>3</v>
      </c>
      <c r="F391">
        <v>0</v>
      </c>
      <c r="G391">
        <v>7</v>
      </c>
      <c r="H391" s="1">
        <v>43952</v>
      </c>
      <c r="I391" s="1">
        <v>44378</v>
      </c>
      <c r="J391">
        <v>14</v>
      </c>
      <c r="K391">
        <v>0</v>
      </c>
      <c r="L391" s="1">
        <v>44105</v>
      </c>
      <c r="M391">
        <v>0</v>
      </c>
      <c r="N391" s="8" cm="1">
        <f t="array" ref="N391">_xlfn.SWITCH(Sales[[#This Row],[Subscription Type]],"Basic",10,"Premium",10,"Business",25,"Enterprise",27)</f>
        <v>10</v>
      </c>
      <c r="O391">
        <f>IF(Sales[[#This Row],[Number of Users]]-Sales[[#This Row],[Licenses Bought]]&lt;0,0,Sales[[#This Row],[Number of Users]]-Sales[[#This Row],[Licenses Bought]])</f>
        <v>7</v>
      </c>
      <c r="P391" s="8">
        <f>IF(Sales[[#This Row],[Sales Month]]=MAX(Sales[Sales Month]),Sales[[#This Row],[Non-Paying Users]]*Sales[[#This Row],[Upsell $ per Non-Paying User]],0)</f>
        <v>0</v>
      </c>
      <c r="Q391" t="str" cm="1">
        <f t="array" ref="Q391">_xlfn.IFS(Sales[[#This Row],[Current Upsell $]]=0,"",Sales[[#This Row],[Current Upsell $]]&gt;=400,"High",Sales[[#This Row],[Current Upsell $]]&gt;=100,"Medium",Sales[[#This Row],[Current Upsell $]]&lt;100,"Low")</f>
        <v/>
      </c>
      <c r="R391" t="str">
        <f>IF(Sales[[#This Row],[Current Upsell $]]&gt;0,_xlfn.CONCAT(Sales[[#This Row],[Subscription Type]]," ",Sales[[#This Row],[Upsell Priority]]," ",TEXT(Sales[[#This Row],[Current Upsell $]],"$#,#")),"")</f>
        <v/>
      </c>
    </row>
    <row r="392" spans="1:18" x14ac:dyDescent="0.25">
      <c r="A392">
        <v>100031</v>
      </c>
      <c r="B392" t="s">
        <v>3</v>
      </c>
      <c r="F392">
        <v>0</v>
      </c>
      <c r="G392">
        <v>6</v>
      </c>
      <c r="H392" s="1">
        <v>43952</v>
      </c>
      <c r="I392" s="1">
        <v>44378</v>
      </c>
      <c r="J392">
        <v>14</v>
      </c>
      <c r="K392">
        <v>0</v>
      </c>
      <c r="L392" s="1">
        <v>44136</v>
      </c>
      <c r="M392">
        <v>0</v>
      </c>
      <c r="N392" s="8" cm="1">
        <f t="array" ref="N392">_xlfn.SWITCH(Sales[[#This Row],[Subscription Type]],"Basic",10,"Premium",10,"Business",25,"Enterprise",27)</f>
        <v>10</v>
      </c>
      <c r="O392">
        <f>IF(Sales[[#This Row],[Number of Users]]-Sales[[#This Row],[Licenses Bought]]&lt;0,0,Sales[[#This Row],[Number of Users]]-Sales[[#This Row],[Licenses Bought]])</f>
        <v>6</v>
      </c>
      <c r="P392" s="8">
        <f>IF(Sales[[#This Row],[Sales Month]]=MAX(Sales[Sales Month]),Sales[[#This Row],[Non-Paying Users]]*Sales[[#This Row],[Upsell $ per Non-Paying User]],0)</f>
        <v>0</v>
      </c>
      <c r="Q392" t="str" cm="1">
        <f t="array" ref="Q392">_xlfn.IFS(Sales[[#This Row],[Current Upsell $]]=0,"",Sales[[#This Row],[Current Upsell $]]&gt;=400,"High",Sales[[#This Row],[Current Upsell $]]&gt;=100,"Medium",Sales[[#This Row],[Current Upsell $]]&lt;100,"Low")</f>
        <v/>
      </c>
      <c r="R392" t="str">
        <f>IF(Sales[[#This Row],[Current Upsell $]]&gt;0,_xlfn.CONCAT(Sales[[#This Row],[Subscription Type]]," ",Sales[[#This Row],[Upsell Priority]]," ",TEXT(Sales[[#This Row],[Current Upsell $]],"$#,#")),"")</f>
        <v/>
      </c>
    </row>
    <row r="393" spans="1:18" x14ac:dyDescent="0.25">
      <c r="A393">
        <v>100031</v>
      </c>
      <c r="B393" t="s">
        <v>3</v>
      </c>
      <c r="F393">
        <v>0</v>
      </c>
      <c r="G393">
        <v>5</v>
      </c>
      <c r="H393" s="1">
        <v>43952</v>
      </c>
      <c r="I393" s="1">
        <v>44378</v>
      </c>
      <c r="J393">
        <v>14</v>
      </c>
      <c r="K393">
        <v>0</v>
      </c>
      <c r="L393" s="1">
        <v>44166</v>
      </c>
      <c r="M393">
        <v>0</v>
      </c>
      <c r="N393" s="8" cm="1">
        <f t="array" ref="N393">_xlfn.SWITCH(Sales[[#This Row],[Subscription Type]],"Basic",10,"Premium",10,"Business",25,"Enterprise",27)</f>
        <v>10</v>
      </c>
      <c r="O393">
        <f>IF(Sales[[#This Row],[Number of Users]]-Sales[[#This Row],[Licenses Bought]]&lt;0,0,Sales[[#This Row],[Number of Users]]-Sales[[#This Row],[Licenses Bought]])</f>
        <v>5</v>
      </c>
      <c r="P393" s="8">
        <f>IF(Sales[[#This Row],[Sales Month]]=MAX(Sales[Sales Month]),Sales[[#This Row],[Non-Paying Users]]*Sales[[#This Row],[Upsell $ per Non-Paying User]],0)</f>
        <v>0</v>
      </c>
      <c r="Q393" t="str" cm="1">
        <f t="array" ref="Q393">_xlfn.IFS(Sales[[#This Row],[Current Upsell $]]=0,"",Sales[[#This Row],[Current Upsell $]]&gt;=400,"High",Sales[[#This Row],[Current Upsell $]]&gt;=100,"Medium",Sales[[#This Row],[Current Upsell $]]&lt;100,"Low")</f>
        <v/>
      </c>
      <c r="R393" t="str">
        <f>IF(Sales[[#This Row],[Current Upsell $]]&gt;0,_xlfn.CONCAT(Sales[[#This Row],[Subscription Type]]," ",Sales[[#This Row],[Upsell Priority]]," ",TEXT(Sales[[#This Row],[Current Upsell $]],"$#,#")),"")</f>
        <v/>
      </c>
    </row>
    <row r="394" spans="1:18" x14ac:dyDescent="0.25">
      <c r="A394">
        <v>100031</v>
      </c>
      <c r="B394" t="s">
        <v>3</v>
      </c>
      <c r="F394">
        <v>0</v>
      </c>
      <c r="G394">
        <v>6</v>
      </c>
      <c r="H394" s="1">
        <v>43952</v>
      </c>
      <c r="I394" s="1">
        <v>44378</v>
      </c>
      <c r="J394">
        <v>14</v>
      </c>
      <c r="K394">
        <v>0</v>
      </c>
      <c r="L394" s="1">
        <v>44197</v>
      </c>
      <c r="M394">
        <v>0</v>
      </c>
      <c r="N394" s="8" cm="1">
        <f t="array" ref="N394">_xlfn.SWITCH(Sales[[#This Row],[Subscription Type]],"Basic",10,"Premium",10,"Business",25,"Enterprise",27)</f>
        <v>10</v>
      </c>
      <c r="O394">
        <f>IF(Sales[[#This Row],[Number of Users]]-Sales[[#This Row],[Licenses Bought]]&lt;0,0,Sales[[#This Row],[Number of Users]]-Sales[[#This Row],[Licenses Bought]])</f>
        <v>6</v>
      </c>
      <c r="P394" s="8">
        <f>IF(Sales[[#This Row],[Sales Month]]=MAX(Sales[Sales Month]),Sales[[#This Row],[Non-Paying Users]]*Sales[[#This Row],[Upsell $ per Non-Paying User]],0)</f>
        <v>0</v>
      </c>
      <c r="Q394" t="str" cm="1">
        <f t="array" ref="Q394">_xlfn.IFS(Sales[[#This Row],[Current Upsell $]]=0,"",Sales[[#This Row],[Current Upsell $]]&gt;=400,"High",Sales[[#This Row],[Current Upsell $]]&gt;=100,"Medium",Sales[[#This Row],[Current Upsell $]]&lt;100,"Low")</f>
        <v/>
      </c>
      <c r="R394" t="str">
        <f>IF(Sales[[#This Row],[Current Upsell $]]&gt;0,_xlfn.CONCAT(Sales[[#This Row],[Subscription Type]]," ",Sales[[#This Row],[Upsell Priority]]," ",TEXT(Sales[[#This Row],[Current Upsell $]],"$#,#")),"")</f>
        <v/>
      </c>
    </row>
    <row r="395" spans="1:18" x14ac:dyDescent="0.25">
      <c r="A395">
        <v>100031</v>
      </c>
      <c r="B395" t="s">
        <v>3</v>
      </c>
      <c r="F395">
        <v>0</v>
      </c>
      <c r="G395">
        <v>5</v>
      </c>
      <c r="H395" s="1">
        <v>43952</v>
      </c>
      <c r="I395" s="1">
        <v>44378</v>
      </c>
      <c r="J395">
        <v>14</v>
      </c>
      <c r="K395">
        <v>0</v>
      </c>
      <c r="L395" s="1">
        <v>44228</v>
      </c>
      <c r="M395">
        <v>0</v>
      </c>
      <c r="N395" s="8" cm="1">
        <f t="array" ref="N395">_xlfn.SWITCH(Sales[[#This Row],[Subscription Type]],"Basic",10,"Premium",10,"Business",25,"Enterprise",27)</f>
        <v>10</v>
      </c>
      <c r="O395">
        <f>IF(Sales[[#This Row],[Number of Users]]-Sales[[#This Row],[Licenses Bought]]&lt;0,0,Sales[[#This Row],[Number of Users]]-Sales[[#This Row],[Licenses Bought]])</f>
        <v>5</v>
      </c>
      <c r="P395" s="8">
        <f>IF(Sales[[#This Row],[Sales Month]]=MAX(Sales[Sales Month]),Sales[[#This Row],[Non-Paying Users]]*Sales[[#This Row],[Upsell $ per Non-Paying User]],0)</f>
        <v>0</v>
      </c>
      <c r="Q395" t="str" cm="1">
        <f t="array" ref="Q395">_xlfn.IFS(Sales[[#This Row],[Current Upsell $]]=0,"",Sales[[#This Row],[Current Upsell $]]&gt;=400,"High",Sales[[#This Row],[Current Upsell $]]&gt;=100,"Medium",Sales[[#This Row],[Current Upsell $]]&lt;100,"Low")</f>
        <v/>
      </c>
      <c r="R395" t="str">
        <f>IF(Sales[[#This Row],[Current Upsell $]]&gt;0,_xlfn.CONCAT(Sales[[#This Row],[Subscription Type]]," ",Sales[[#This Row],[Upsell Priority]]," ",TEXT(Sales[[#This Row],[Current Upsell $]],"$#,#")),"")</f>
        <v/>
      </c>
    </row>
    <row r="396" spans="1:18" x14ac:dyDescent="0.25">
      <c r="A396">
        <v>100031</v>
      </c>
      <c r="B396" t="s">
        <v>3</v>
      </c>
      <c r="F396">
        <v>0</v>
      </c>
      <c r="G396">
        <v>5</v>
      </c>
      <c r="H396" s="1">
        <v>43952</v>
      </c>
      <c r="I396" s="1">
        <v>44378</v>
      </c>
      <c r="J396">
        <v>14</v>
      </c>
      <c r="K396">
        <v>0</v>
      </c>
      <c r="L396" s="1">
        <v>44256</v>
      </c>
      <c r="M396">
        <v>0</v>
      </c>
      <c r="N396" s="8" cm="1">
        <f t="array" ref="N396">_xlfn.SWITCH(Sales[[#This Row],[Subscription Type]],"Basic",10,"Premium",10,"Business",25,"Enterprise",27)</f>
        <v>10</v>
      </c>
      <c r="O396">
        <f>IF(Sales[[#This Row],[Number of Users]]-Sales[[#This Row],[Licenses Bought]]&lt;0,0,Sales[[#This Row],[Number of Users]]-Sales[[#This Row],[Licenses Bought]])</f>
        <v>5</v>
      </c>
      <c r="P396" s="8">
        <f>IF(Sales[[#This Row],[Sales Month]]=MAX(Sales[Sales Month]),Sales[[#This Row],[Non-Paying Users]]*Sales[[#This Row],[Upsell $ per Non-Paying User]],0)</f>
        <v>0</v>
      </c>
      <c r="Q396" t="str" cm="1">
        <f t="array" ref="Q396">_xlfn.IFS(Sales[[#This Row],[Current Upsell $]]=0,"",Sales[[#This Row],[Current Upsell $]]&gt;=400,"High",Sales[[#This Row],[Current Upsell $]]&gt;=100,"Medium",Sales[[#This Row],[Current Upsell $]]&lt;100,"Low")</f>
        <v/>
      </c>
      <c r="R396" t="str">
        <f>IF(Sales[[#This Row],[Current Upsell $]]&gt;0,_xlfn.CONCAT(Sales[[#This Row],[Subscription Type]]," ",Sales[[#This Row],[Upsell Priority]]," ",TEXT(Sales[[#This Row],[Current Upsell $]],"$#,#")),"")</f>
        <v/>
      </c>
    </row>
    <row r="397" spans="1:18" x14ac:dyDescent="0.25">
      <c r="A397">
        <v>100031</v>
      </c>
      <c r="B397" t="s">
        <v>3</v>
      </c>
      <c r="F397">
        <v>0</v>
      </c>
      <c r="G397">
        <v>5</v>
      </c>
      <c r="H397" s="1">
        <v>43952</v>
      </c>
      <c r="I397" s="1">
        <v>44378</v>
      </c>
      <c r="J397">
        <v>14</v>
      </c>
      <c r="K397">
        <v>0</v>
      </c>
      <c r="L397" s="1">
        <v>44287</v>
      </c>
      <c r="M397">
        <v>0</v>
      </c>
      <c r="N397" s="8" cm="1">
        <f t="array" ref="N397">_xlfn.SWITCH(Sales[[#This Row],[Subscription Type]],"Basic",10,"Premium",10,"Business",25,"Enterprise",27)</f>
        <v>10</v>
      </c>
      <c r="O397">
        <f>IF(Sales[[#This Row],[Number of Users]]-Sales[[#This Row],[Licenses Bought]]&lt;0,0,Sales[[#This Row],[Number of Users]]-Sales[[#This Row],[Licenses Bought]])</f>
        <v>5</v>
      </c>
      <c r="P397" s="8">
        <f>IF(Sales[[#This Row],[Sales Month]]=MAX(Sales[Sales Month]),Sales[[#This Row],[Non-Paying Users]]*Sales[[#This Row],[Upsell $ per Non-Paying User]],0)</f>
        <v>0</v>
      </c>
      <c r="Q397" t="str" cm="1">
        <f t="array" ref="Q397">_xlfn.IFS(Sales[[#This Row],[Current Upsell $]]=0,"",Sales[[#This Row],[Current Upsell $]]&gt;=400,"High",Sales[[#This Row],[Current Upsell $]]&gt;=100,"Medium",Sales[[#This Row],[Current Upsell $]]&lt;100,"Low")</f>
        <v/>
      </c>
      <c r="R397" t="str">
        <f>IF(Sales[[#This Row],[Current Upsell $]]&gt;0,_xlfn.CONCAT(Sales[[#This Row],[Subscription Type]]," ",Sales[[#This Row],[Upsell Priority]]," ",TEXT(Sales[[#This Row],[Current Upsell $]],"$#,#")),"")</f>
        <v/>
      </c>
    </row>
    <row r="398" spans="1:18" x14ac:dyDescent="0.25">
      <c r="A398">
        <v>100031</v>
      </c>
      <c r="B398" t="s">
        <v>3</v>
      </c>
      <c r="F398">
        <v>0</v>
      </c>
      <c r="G398">
        <v>4</v>
      </c>
      <c r="H398" s="1">
        <v>43952</v>
      </c>
      <c r="I398" s="1">
        <v>44378</v>
      </c>
      <c r="J398">
        <v>14</v>
      </c>
      <c r="K398">
        <v>0</v>
      </c>
      <c r="L398" s="1">
        <v>44317</v>
      </c>
      <c r="M398">
        <v>0</v>
      </c>
      <c r="N398" s="8" cm="1">
        <f t="array" ref="N398">_xlfn.SWITCH(Sales[[#This Row],[Subscription Type]],"Basic",10,"Premium",10,"Business",25,"Enterprise",27)</f>
        <v>10</v>
      </c>
      <c r="O398">
        <f>IF(Sales[[#This Row],[Number of Users]]-Sales[[#This Row],[Licenses Bought]]&lt;0,0,Sales[[#This Row],[Number of Users]]-Sales[[#This Row],[Licenses Bought]])</f>
        <v>4</v>
      </c>
      <c r="P398" s="8">
        <f>IF(Sales[[#This Row],[Sales Month]]=MAX(Sales[Sales Month]),Sales[[#This Row],[Non-Paying Users]]*Sales[[#This Row],[Upsell $ per Non-Paying User]],0)</f>
        <v>0</v>
      </c>
      <c r="Q398" t="str" cm="1">
        <f t="array" ref="Q398">_xlfn.IFS(Sales[[#This Row],[Current Upsell $]]=0,"",Sales[[#This Row],[Current Upsell $]]&gt;=400,"High",Sales[[#This Row],[Current Upsell $]]&gt;=100,"Medium",Sales[[#This Row],[Current Upsell $]]&lt;100,"Low")</f>
        <v/>
      </c>
      <c r="R398" t="str">
        <f>IF(Sales[[#This Row],[Current Upsell $]]&gt;0,_xlfn.CONCAT(Sales[[#This Row],[Subscription Type]]," ",Sales[[#This Row],[Upsell Priority]]," ",TEXT(Sales[[#This Row],[Current Upsell $]],"$#,#")),"")</f>
        <v/>
      </c>
    </row>
    <row r="399" spans="1:18" x14ac:dyDescent="0.25">
      <c r="A399">
        <v>100031</v>
      </c>
      <c r="B399" t="s">
        <v>3</v>
      </c>
      <c r="F399">
        <v>0</v>
      </c>
      <c r="G399">
        <v>4</v>
      </c>
      <c r="H399" s="1">
        <v>43952</v>
      </c>
      <c r="I399" s="1">
        <v>44378</v>
      </c>
      <c r="J399">
        <v>14</v>
      </c>
      <c r="K399">
        <v>0</v>
      </c>
      <c r="L399" s="1">
        <v>44348</v>
      </c>
      <c r="M399">
        <v>0</v>
      </c>
      <c r="N399" s="8" cm="1">
        <f t="array" ref="N399">_xlfn.SWITCH(Sales[[#This Row],[Subscription Type]],"Basic",10,"Premium",10,"Business",25,"Enterprise",27)</f>
        <v>10</v>
      </c>
      <c r="O399">
        <f>IF(Sales[[#This Row],[Number of Users]]-Sales[[#This Row],[Licenses Bought]]&lt;0,0,Sales[[#This Row],[Number of Users]]-Sales[[#This Row],[Licenses Bought]])</f>
        <v>4</v>
      </c>
      <c r="P399" s="8">
        <f>IF(Sales[[#This Row],[Sales Month]]=MAX(Sales[Sales Month]),Sales[[#This Row],[Non-Paying Users]]*Sales[[#This Row],[Upsell $ per Non-Paying User]],0)</f>
        <v>40</v>
      </c>
      <c r="Q399" t="str" cm="1">
        <f t="array" ref="Q399">_xlfn.IFS(Sales[[#This Row],[Current Upsell $]]=0,"",Sales[[#This Row],[Current Upsell $]]&gt;=400,"High",Sales[[#This Row],[Current Upsell $]]&gt;=100,"Medium",Sales[[#This Row],[Current Upsell $]]&lt;100,"Low")</f>
        <v>Low</v>
      </c>
      <c r="R399" t="str">
        <f>IF(Sales[[#This Row],[Current Upsell $]]&gt;0,_xlfn.CONCAT(Sales[[#This Row],[Subscription Type]]," ",Sales[[#This Row],[Upsell Priority]]," ",TEXT(Sales[[#This Row],[Current Upsell $]],"$#,#")),"")</f>
        <v>Basic Low $40</v>
      </c>
    </row>
    <row r="400" spans="1:18" x14ac:dyDescent="0.25">
      <c r="A400">
        <v>100032</v>
      </c>
      <c r="B400" t="s">
        <v>3</v>
      </c>
      <c r="F400">
        <v>0</v>
      </c>
      <c r="G400">
        <v>5</v>
      </c>
      <c r="H400" s="1">
        <v>43952</v>
      </c>
      <c r="I400" s="1">
        <v>44256</v>
      </c>
      <c r="J400">
        <v>10</v>
      </c>
      <c r="K400">
        <v>3</v>
      </c>
      <c r="L400" s="1">
        <v>43952</v>
      </c>
      <c r="M400">
        <v>0</v>
      </c>
      <c r="N400" s="8" cm="1">
        <f t="array" ref="N400">_xlfn.SWITCH(Sales[[#This Row],[Subscription Type]],"Basic",10,"Premium",10,"Business",25,"Enterprise",27)</f>
        <v>10</v>
      </c>
      <c r="O400">
        <f>IF(Sales[[#This Row],[Number of Users]]-Sales[[#This Row],[Licenses Bought]]&lt;0,0,Sales[[#This Row],[Number of Users]]-Sales[[#This Row],[Licenses Bought]])</f>
        <v>5</v>
      </c>
      <c r="P400" s="8">
        <f>IF(Sales[[#This Row],[Sales Month]]=MAX(Sales[Sales Month]),Sales[[#This Row],[Non-Paying Users]]*Sales[[#This Row],[Upsell $ per Non-Paying User]],0)</f>
        <v>0</v>
      </c>
      <c r="Q400" t="str" cm="1">
        <f t="array" ref="Q400">_xlfn.IFS(Sales[[#This Row],[Current Upsell $]]=0,"",Sales[[#This Row],[Current Upsell $]]&gt;=400,"High",Sales[[#This Row],[Current Upsell $]]&gt;=100,"Medium",Sales[[#This Row],[Current Upsell $]]&lt;100,"Low")</f>
        <v/>
      </c>
      <c r="R400" t="str">
        <f>IF(Sales[[#This Row],[Current Upsell $]]&gt;0,_xlfn.CONCAT(Sales[[#This Row],[Subscription Type]]," ",Sales[[#This Row],[Upsell Priority]]," ",TEXT(Sales[[#This Row],[Current Upsell $]],"$#,#")),"")</f>
        <v/>
      </c>
    </row>
    <row r="401" spans="1:18" x14ac:dyDescent="0.25">
      <c r="A401">
        <v>100032</v>
      </c>
      <c r="B401" t="s">
        <v>3</v>
      </c>
      <c r="F401">
        <v>0</v>
      </c>
      <c r="G401">
        <v>5</v>
      </c>
      <c r="H401" s="1">
        <v>43952</v>
      </c>
      <c r="I401" s="1">
        <v>44256</v>
      </c>
      <c r="J401">
        <v>10</v>
      </c>
      <c r="K401">
        <v>3</v>
      </c>
      <c r="L401" s="1">
        <v>43983</v>
      </c>
      <c r="M401">
        <v>0</v>
      </c>
      <c r="N401" s="8" cm="1">
        <f t="array" ref="N401">_xlfn.SWITCH(Sales[[#This Row],[Subscription Type]],"Basic",10,"Premium",10,"Business",25,"Enterprise",27)</f>
        <v>10</v>
      </c>
      <c r="O401">
        <f>IF(Sales[[#This Row],[Number of Users]]-Sales[[#This Row],[Licenses Bought]]&lt;0,0,Sales[[#This Row],[Number of Users]]-Sales[[#This Row],[Licenses Bought]])</f>
        <v>5</v>
      </c>
      <c r="P401" s="8">
        <f>IF(Sales[[#This Row],[Sales Month]]=MAX(Sales[Sales Month]),Sales[[#This Row],[Non-Paying Users]]*Sales[[#This Row],[Upsell $ per Non-Paying User]],0)</f>
        <v>0</v>
      </c>
      <c r="Q401" t="str" cm="1">
        <f t="array" ref="Q401">_xlfn.IFS(Sales[[#This Row],[Current Upsell $]]=0,"",Sales[[#This Row],[Current Upsell $]]&gt;=400,"High",Sales[[#This Row],[Current Upsell $]]&gt;=100,"Medium",Sales[[#This Row],[Current Upsell $]]&lt;100,"Low")</f>
        <v/>
      </c>
      <c r="R401" t="str">
        <f>IF(Sales[[#This Row],[Current Upsell $]]&gt;0,_xlfn.CONCAT(Sales[[#This Row],[Subscription Type]]," ",Sales[[#This Row],[Upsell Priority]]," ",TEXT(Sales[[#This Row],[Current Upsell $]],"$#,#")),"")</f>
        <v/>
      </c>
    </row>
    <row r="402" spans="1:18" x14ac:dyDescent="0.25">
      <c r="A402">
        <v>100032</v>
      </c>
      <c r="B402" t="s">
        <v>3</v>
      </c>
      <c r="F402">
        <v>0</v>
      </c>
      <c r="G402">
        <v>5</v>
      </c>
      <c r="H402" s="1">
        <v>43952</v>
      </c>
      <c r="I402" s="1">
        <v>44256</v>
      </c>
      <c r="J402">
        <v>10</v>
      </c>
      <c r="K402">
        <v>3</v>
      </c>
      <c r="L402" s="1">
        <v>44013</v>
      </c>
      <c r="M402">
        <v>0</v>
      </c>
      <c r="N402" s="8" cm="1">
        <f t="array" ref="N402">_xlfn.SWITCH(Sales[[#This Row],[Subscription Type]],"Basic",10,"Premium",10,"Business",25,"Enterprise",27)</f>
        <v>10</v>
      </c>
      <c r="O402">
        <f>IF(Sales[[#This Row],[Number of Users]]-Sales[[#This Row],[Licenses Bought]]&lt;0,0,Sales[[#This Row],[Number of Users]]-Sales[[#This Row],[Licenses Bought]])</f>
        <v>5</v>
      </c>
      <c r="P402" s="8">
        <f>IF(Sales[[#This Row],[Sales Month]]=MAX(Sales[Sales Month]),Sales[[#This Row],[Non-Paying Users]]*Sales[[#This Row],[Upsell $ per Non-Paying User]],0)</f>
        <v>0</v>
      </c>
      <c r="Q402" t="str" cm="1">
        <f t="array" ref="Q402">_xlfn.IFS(Sales[[#This Row],[Current Upsell $]]=0,"",Sales[[#This Row],[Current Upsell $]]&gt;=400,"High",Sales[[#This Row],[Current Upsell $]]&gt;=100,"Medium",Sales[[#This Row],[Current Upsell $]]&lt;100,"Low")</f>
        <v/>
      </c>
      <c r="R402" t="str">
        <f>IF(Sales[[#This Row],[Current Upsell $]]&gt;0,_xlfn.CONCAT(Sales[[#This Row],[Subscription Type]]," ",Sales[[#This Row],[Upsell Priority]]," ",TEXT(Sales[[#This Row],[Current Upsell $]],"$#,#")),"")</f>
        <v/>
      </c>
    </row>
    <row r="403" spans="1:18" x14ac:dyDescent="0.25">
      <c r="A403">
        <v>100032</v>
      </c>
      <c r="B403" t="s">
        <v>3</v>
      </c>
      <c r="F403">
        <v>0</v>
      </c>
      <c r="G403">
        <v>5</v>
      </c>
      <c r="H403" s="1">
        <v>43952</v>
      </c>
      <c r="I403" s="1">
        <v>44256</v>
      </c>
      <c r="J403">
        <v>10</v>
      </c>
      <c r="K403">
        <v>3</v>
      </c>
      <c r="L403" s="1">
        <v>44044</v>
      </c>
      <c r="M403">
        <v>0</v>
      </c>
      <c r="N403" s="8" cm="1">
        <f t="array" ref="N403">_xlfn.SWITCH(Sales[[#This Row],[Subscription Type]],"Basic",10,"Premium",10,"Business",25,"Enterprise",27)</f>
        <v>10</v>
      </c>
      <c r="O403">
        <f>IF(Sales[[#This Row],[Number of Users]]-Sales[[#This Row],[Licenses Bought]]&lt;0,0,Sales[[#This Row],[Number of Users]]-Sales[[#This Row],[Licenses Bought]])</f>
        <v>5</v>
      </c>
      <c r="P403" s="8">
        <f>IF(Sales[[#This Row],[Sales Month]]=MAX(Sales[Sales Month]),Sales[[#This Row],[Non-Paying Users]]*Sales[[#This Row],[Upsell $ per Non-Paying User]],0)</f>
        <v>0</v>
      </c>
      <c r="Q403" t="str" cm="1">
        <f t="array" ref="Q403">_xlfn.IFS(Sales[[#This Row],[Current Upsell $]]=0,"",Sales[[#This Row],[Current Upsell $]]&gt;=400,"High",Sales[[#This Row],[Current Upsell $]]&gt;=100,"Medium",Sales[[#This Row],[Current Upsell $]]&lt;100,"Low")</f>
        <v/>
      </c>
      <c r="R403" t="str">
        <f>IF(Sales[[#This Row],[Current Upsell $]]&gt;0,_xlfn.CONCAT(Sales[[#This Row],[Subscription Type]]," ",Sales[[#This Row],[Upsell Priority]]," ",TEXT(Sales[[#This Row],[Current Upsell $]],"$#,#")),"")</f>
        <v/>
      </c>
    </row>
    <row r="404" spans="1:18" x14ac:dyDescent="0.25">
      <c r="A404">
        <v>100032</v>
      </c>
      <c r="B404" t="s">
        <v>3</v>
      </c>
      <c r="F404">
        <v>0</v>
      </c>
      <c r="G404">
        <v>3</v>
      </c>
      <c r="H404" s="1">
        <v>43952</v>
      </c>
      <c r="I404" s="1">
        <v>44256</v>
      </c>
      <c r="J404">
        <v>10</v>
      </c>
      <c r="K404">
        <v>3</v>
      </c>
      <c r="L404" s="1">
        <v>44075</v>
      </c>
      <c r="M404">
        <v>0</v>
      </c>
      <c r="N404" s="8" cm="1">
        <f t="array" ref="N404">_xlfn.SWITCH(Sales[[#This Row],[Subscription Type]],"Basic",10,"Premium",10,"Business",25,"Enterprise",27)</f>
        <v>10</v>
      </c>
      <c r="O404">
        <f>IF(Sales[[#This Row],[Number of Users]]-Sales[[#This Row],[Licenses Bought]]&lt;0,0,Sales[[#This Row],[Number of Users]]-Sales[[#This Row],[Licenses Bought]])</f>
        <v>3</v>
      </c>
      <c r="P404" s="8">
        <f>IF(Sales[[#This Row],[Sales Month]]=MAX(Sales[Sales Month]),Sales[[#This Row],[Non-Paying Users]]*Sales[[#This Row],[Upsell $ per Non-Paying User]],0)</f>
        <v>0</v>
      </c>
      <c r="Q404" t="str" cm="1">
        <f t="array" ref="Q404">_xlfn.IFS(Sales[[#This Row],[Current Upsell $]]=0,"",Sales[[#This Row],[Current Upsell $]]&gt;=400,"High",Sales[[#This Row],[Current Upsell $]]&gt;=100,"Medium",Sales[[#This Row],[Current Upsell $]]&lt;100,"Low")</f>
        <v/>
      </c>
      <c r="R404" t="str">
        <f>IF(Sales[[#This Row],[Current Upsell $]]&gt;0,_xlfn.CONCAT(Sales[[#This Row],[Subscription Type]]," ",Sales[[#This Row],[Upsell Priority]]," ",TEXT(Sales[[#This Row],[Current Upsell $]],"$#,#")),"")</f>
        <v/>
      </c>
    </row>
    <row r="405" spans="1:18" x14ac:dyDescent="0.25">
      <c r="A405">
        <v>100032</v>
      </c>
      <c r="B405" t="s">
        <v>3</v>
      </c>
      <c r="F405">
        <v>0</v>
      </c>
      <c r="G405">
        <v>6</v>
      </c>
      <c r="H405" s="1">
        <v>43952</v>
      </c>
      <c r="I405" s="1">
        <v>44256</v>
      </c>
      <c r="J405">
        <v>10</v>
      </c>
      <c r="K405">
        <v>3</v>
      </c>
      <c r="L405" s="1">
        <v>44105</v>
      </c>
      <c r="M405">
        <v>0</v>
      </c>
      <c r="N405" s="8" cm="1">
        <f t="array" ref="N405">_xlfn.SWITCH(Sales[[#This Row],[Subscription Type]],"Basic",10,"Premium",10,"Business",25,"Enterprise",27)</f>
        <v>10</v>
      </c>
      <c r="O405">
        <f>IF(Sales[[#This Row],[Number of Users]]-Sales[[#This Row],[Licenses Bought]]&lt;0,0,Sales[[#This Row],[Number of Users]]-Sales[[#This Row],[Licenses Bought]])</f>
        <v>6</v>
      </c>
      <c r="P405" s="8">
        <f>IF(Sales[[#This Row],[Sales Month]]=MAX(Sales[Sales Month]),Sales[[#This Row],[Non-Paying Users]]*Sales[[#This Row],[Upsell $ per Non-Paying User]],0)</f>
        <v>0</v>
      </c>
      <c r="Q405" t="str" cm="1">
        <f t="array" ref="Q405">_xlfn.IFS(Sales[[#This Row],[Current Upsell $]]=0,"",Sales[[#This Row],[Current Upsell $]]&gt;=400,"High",Sales[[#This Row],[Current Upsell $]]&gt;=100,"Medium",Sales[[#This Row],[Current Upsell $]]&lt;100,"Low")</f>
        <v/>
      </c>
      <c r="R405" t="str">
        <f>IF(Sales[[#This Row],[Current Upsell $]]&gt;0,_xlfn.CONCAT(Sales[[#This Row],[Subscription Type]]," ",Sales[[#This Row],[Upsell Priority]]," ",TEXT(Sales[[#This Row],[Current Upsell $]],"$#,#")),"")</f>
        <v/>
      </c>
    </row>
    <row r="406" spans="1:18" x14ac:dyDescent="0.25">
      <c r="A406">
        <v>100032</v>
      </c>
      <c r="B406" t="s">
        <v>3</v>
      </c>
      <c r="F406">
        <v>0</v>
      </c>
      <c r="G406">
        <v>4</v>
      </c>
      <c r="H406" s="1">
        <v>43952</v>
      </c>
      <c r="I406" s="1">
        <v>44256</v>
      </c>
      <c r="J406">
        <v>10</v>
      </c>
      <c r="K406">
        <v>3</v>
      </c>
      <c r="L406" s="1">
        <v>44136</v>
      </c>
      <c r="M406">
        <v>0</v>
      </c>
      <c r="N406" s="8" cm="1">
        <f t="array" ref="N406">_xlfn.SWITCH(Sales[[#This Row],[Subscription Type]],"Basic",10,"Premium",10,"Business",25,"Enterprise",27)</f>
        <v>10</v>
      </c>
      <c r="O406">
        <f>IF(Sales[[#This Row],[Number of Users]]-Sales[[#This Row],[Licenses Bought]]&lt;0,0,Sales[[#This Row],[Number of Users]]-Sales[[#This Row],[Licenses Bought]])</f>
        <v>4</v>
      </c>
      <c r="P406" s="8">
        <f>IF(Sales[[#This Row],[Sales Month]]=MAX(Sales[Sales Month]),Sales[[#This Row],[Non-Paying Users]]*Sales[[#This Row],[Upsell $ per Non-Paying User]],0)</f>
        <v>0</v>
      </c>
      <c r="Q406" t="str" cm="1">
        <f t="array" ref="Q406">_xlfn.IFS(Sales[[#This Row],[Current Upsell $]]=0,"",Sales[[#This Row],[Current Upsell $]]&gt;=400,"High",Sales[[#This Row],[Current Upsell $]]&gt;=100,"Medium",Sales[[#This Row],[Current Upsell $]]&lt;100,"Low")</f>
        <v/>
      </c>
      <c r="R406" t="str">
        <f>IF(Sales[[#This Row],[Current Upsell $]]&gt;0,_xlfn.CONCAT(Sales[[#This Row],[Subscription Type]]," ",Sales[[#This Row],[Upsell Priority]]," ",TEXT(Sales[[#This Row],[Current Upsell $]],"$#,#")),"")</f>
        <v/>
      </c>
    </row>
    <row r="407" spans="1:18" x14ac:dyDescent="0.25">
      <c r="A407">
        <v>100032</v>
      </c>
      <c r="B407" t="s">
        <v>3</v>
      </c>
      <c r="F407">
        <v>0</v>
      </c>
      <c r="G407">
        <v>6</v>
      </c>
      <c r="H407" s="1">
        <v>43952</v>
      </c>
      <c r="I407" s="1">
        <v>44256</v>
      </c>
      <c r="J407">
        <v>10</v>
      </c>
      <c r="K407">
        <v>3</v>
      </c>
      <c r="L407" s="1">
        <v>44166</v>
      </c>
      <c r="M407">
        <v>0</v>
      </c>
      <c r="N407" s="8" cm="1">
        <f t="array" ref="N407">_xlfn.SWITCH(Sales[[#This Row],[Subscription Type]],"Basic",10,"Premium",10,"Business",25,"Enterprise",27)</f>
        <v>10</v>
      </c>
      <c r="O407">
        <f>IF(Sales[[#This Row],[Number of Users]]-Sales[[#This Row],[Licenses Bought]]&lt;0,0,Sales[[#This Row],[Number of Users]]-Sales[[#This Row],[Licenses Bought]])</f>
        <v>6</v>
      </c>
      <c r="P407" s="8">
        <f>IF(Sales[[#This Row],[Sales Month]]=MAX(Sales[Sales Month]),Sales[[#This Row],[Non-Paying Users]]*Sales[[#This Row],[Upsell $ per Non-Paying User]],0)</f>
        <v>0</v>
      </c>
      <c r="Q407" t="str" cm="1">
        <f t="array" ref="Q407">_xlfn.IFS(Sales[[#This Row],[Current Upsell $]]=0,"",Sales[[#This Row],[Current Upsell $]]&gt;=400,"High",Sales[[#This Row],[Current Upsell $]]&gt;=100,"Medium",Sales[[#This Row],[Current Upsell $]]&lt;100,"Low")</f>
        <v/>
      </c>
      <c r="R407" t="str">
        <f>IF(Sales[[#This Row],[Current Upsell $]]&gt;0,_xlfn.CONCAT(Sales[[#This Row],[Subscription Type]]," ",Sales[[#This Row],[Upsell Priority]]," ",TEXT(Sales[[#This Row],[Current Upsell $]],"$#,#")),"")</f>
        <v/>
      </c>
    </row>
    <row r="408" spans="1:18" x14ac:dyDescent="0.25">
      <c r="A408">
        <v>100032</v>
      </c>
      <c r="B408" t="s">
        <v>3</v>
      </c>
      <c r="F408">
        <v>0</v>
      </c>
      <c r="G408">
        <v>5</v>
      </c>
      <c r="H408" s="1">
        <v>43952</v>
      </c>
      <c r="I408" s="1">
        <v>44256</v>
      </c>
      <c r="J408">
        <v>10</v>
      </c>
      <c r="K408">
        <v>3</v>
      </c>
      <c r="L408" s="1">
        <v>44197</v>
      </c>
      <c r="M408">
        <v>0</v>
      </c>
      <c r="N408" s="8" cm="1">
        <f t="array" ref="N408">_xlfn.SWITCH(Sales[[#This Row],[Subscription Type]],"Basic",10,"Premium",10,"Business",25,"Enterprise",27)</f>
        <v>10</v>
      </c>
      <c r="O408">
        <f>IF(Sales[[#This Row],[Number of Users]]-Sales[[#This Row],[Licenses Bought]]&lt;0,0,Sales[[#This Row],[Number of Users]]-Sales[[#This Row],[Licenses Bought]])</f>
        <v>5</v>
      </c>
      <c r="P408" s="8">
        <f>IF(Sales[[#This Row],[Sales Month]]=MAX(Sales[Sales Month]),Sales[[#This Row],[Non-Paying Users]]*Sales[[#This Row],[Upsell $ per Non-Paying User]],0)</f>
        <v>0</v>
      </c>
      <c r="Q408" t="str" cm="1">
        <f t="array" ref="Q408">_xlfn.IFS(Sales[[#This Row],[Current Upsell $]]=0,"",Sales[[#This Row],[Current Upsell $]]&gt;=400,"High",Sales[[#This Row],[Current Upsell $]]&gt;=100,"Medium",Sales[[#This Row],[Current Upsell $]]&lt;100,"Low")</f>
        <v/>
      </c>
      <c r="R408" t="str">
        <f>IF(Sales[[#This Row],[Current Upsell $]]&gt;0,_xlfn.CONCAT(Sales[[#This Row],[Subscription Type]]," ",Sales[[#This Row],[Upsell Priority]]," ",TEXT(Sales[[#This Row],[Current Upsell $]],"$#,#")),"")</f>
        <v/>
      </c>
    </row>
    <row r="409" spans="1:18" x14ac:dyDescent="0.25">
      <c r="A409">
        <v>100032</v>
      </c>
      <c r="B409" t="s">
        <v>3</v>
      </c>
      <c r="F409">
        <v>0</v>
      </c>
      <c r="G409">
        <v>5</v>
      </c>
      <c r="H409" s="1">
        <v>43952</v>
      </c>
      <c r="I409" s="1">
        <v>44256</v>
      </c>
      <c r="J409">
        <v>10</v>
      </c>
      <c r="K409">
        <v>3</v>
      </c>
      <c r="L409" s="1">
        <v>44228</v>
      </c>
      <c r="M409">
        <v>0</v>
      </c>
      <c r="N409" s="8" cm="1">
        <f t="array" ref="N409">_xlfn.SWITCH(Sales[[#This Row],[Subscription Type]],"Basic",10,"Premium",10,"Business",25,"Enterprise",27)</f>
        <v>10</v>
      </c>
      <c r="O409">
        <f>IF(Sales[[#This Row],[Number of Users]]-Sales[[#This Row],[Licenses Bought]]&lt;0,0,Sales[[#This Row],[Number of Users]]-Sales[[#This Row],[Licenses Bought]])</f>
        <v>5</v>
      </c>
      <c r="P409" s="8">
        <f>IF(Sales[[#This Row],[Sales Month]]=MAX(Sales[Sales Month]),Sales[[#This Row],[Non-Paying Users]]*Sales[[#This Row],[Upsell $ per Non-Paying User]],0)</f>
        <v>0</v>
      </c>
      <c r="Q409" t="str" cm="1">
        <f t="array" ref="Q409">_xlfn.IFS(Sales[[#This Row],[Current Upsell $]]=0,"",Sales[[#This Row],[Current Upsell $]]&gt;=400,"High",Sales[[#This Row],[Current Upsell $]]&gt;=100,"Medium",Sales[[#This Row],[Current Upsell $]]&lt;100,"Low")</f>
        <v/>
      </c>
      <c r="R409" t="str">
        <f>IF(Sales[[#This Row],[Current Upsell $]]&gt;0,_xlfn.CONCAT(Sales[[#This Row],[Subscription Type]]," ",Sales[[#This Row],[Upsell Priority]]," ",TEXT(Sales[[#This Row],[Current Upsell $]],"$#,#")),"")</f>
        <v/>
      </c>
    </row>
    <row r="410" spans="1:18" x14ac:dyDescent="0.25">
      <c r="A410">
        <v>100032</v>
      </c>
      <c r="B410" t="s">
        <v>3</v>
      </c>
      <c r="F410">
        <v>0</v>
      </c>
      <c r="G410">
        <v>5</v>
      </c>
      <c r="H410" s="1">
        <v>43952</v>
      </c>
      <c r="I410" s="1">
        <v>44256</v>
      </c>
      <c r="J410">
        <v>10</v>
      </c>
      <c r="K410">
        <v>3</v>
      </c>
      <c r="L410" s="1">
        <v>44256</v>
      </c>
      <c r="M410">
        <v>0</v>
      </c>
      <c r="N410" s="8" cm="1">
        <f t="array" ref="N410">_xlfn.SWITCH(Sales[[#This Row],[Subscription Type]],"Basic",10,"Premium",10,"Business",25,"Enterprise",27)</f>
        <v>10</v>
      </c>
      <c r="O410">
        <f>IF(Sales[[#This Row],[Number of Users]]-Sales[[#This Row],[Licenses Bought]]&lt;0,0,Sales[[#This Row],[Number of Users]]-Sales[[#This Row],[Licenses Bought]])</f>
        <v>5</v>
      </c>
      <c r="P410" s="8">
        <f>IF(Sales[[#This Row],[Sales Month]]=MAX(Sales[Sales Month]),Sales[[#This Row],[Non-Paying Users]]*Sales[[#This Row],[Upsell $ per Non-Paying User]],0)</f>
        <v>0</v>
      </c>
      <c r="Q410" t="str" cm="1">
        <f t="array" ref="Q410">_xlfn.IFS(Sales[[#This Row],[Current Upsell $]]=0,"",Sales[[#This Row],[Current Upsell $]]&gt;=400,"High",Sales[[#This Row],[Current Upsell $]]&gt;=100,"Medium",Sales[[#This Row],[Current Upsell $]]&lt;100,"Low")</f>
        <v/>
      </c>
      <c r="R410" t="str">
        <f>IF(Sales[[#This Row],[Current Upsell $]]&gt;0,_xlfn.CONCAT(Sales[[#This Row],[Subscription Type]]," ",Sales[[#This Row],[Upsell Priority]]," ",TEXT(Sales[[#This Row],[Current Upsell $]],"$#,#")),"")</f>
        <v/>
      </c>
    </row>
    <row r="411" spans="1:18" x14ac:dyDescent="0.25">
      <c r="A411">
        <v>100033</v>
      </c>
      <c r="B411" t="s">
        <v>3</v>
      </c>
      <c r="F411">
        <v>0</v>
      </c>
      <c r="G411">
        <v>2</v>
      </c>
      <c r="H411" s="1">
        <v>43952</v>
      </c>
      <c r="I411" s="1">
        <v>44228</v>
      </c>
      <c r="J411">
        <v>9</v>
      </c>
      <c r="K411">
        <v>4</v>
      </c>
      <c r="L411" s="1">
        <v>43952</v>
      </c>
      <c r="M411">
        <v>0</v>
      </c>
      <c r="N411" s="8" cm="1">
        <f t="array" ref="N411">_xlfn.SWITCH(Sales[[#This Row],[Subscription Type]],"Basic",10,"Premium",10,"Business",25,"Enterprise",27)</f>
        <v>10</v>
      </c>
      <c r="O411">
        <f>IF(Sales[[#This Row],[Number of Users]]-Sales[[#This Row],[Licenses Bought]]&lt;0,0,Sales[[#This Row],[Number of Users]]-Sales[[#This Row],[Licenses Bought]])</f>
        <v>2</v>
      </c>
      <c r="P411" s="8">
        <f>IF(Sales[[#This Row],[Sales Month]]=MAX(Sales[Sales Month]),Sales[[#This Row],[Non-Paying Users]]*Sales[[#This Row],[Upsell $ per Non-Paying User]],0)</f>
        <v>0</v>
      </c>
      <c r="Q411" t="str" cm="1">
        <f t="array" ref="Q411">_xlfn.IFS(Sales[[#This Row],[Current Upsell $]]=0,"",Sales[[#This Row],[Current Upsell $]]&gt;=400,"High",Sales[[#This Row],[Current Upsell $]]&gt;=100,"Medium",Sales[[#This Row],[Current Upsell $]]&lt;100,"Low")</f>
        <v/>
      </c>
      <c r="R411" t="str">
        <f>IF(Sales[[#This Row],[Current Upsell $]]&gt;0,_xlfn.CONCAT(Sales[[#This Row],[Subscription Type]]," ",Sales[[#This Row],[Upsell Priority]]," ",TEXT(Sales[[#This Row],[Current Upsell $]],"$#,#")),"")</f>
        <v/>
      </c>
    </row>
    <row r="412" spans="1:18" x14ac:dyDescent="0.25">
      <c r="A412">
        <v>100033</v>
      </c>
      <c r="B412" t="s">
        <v>3</v>
      </c>
      <c r="F412">
        <v>0</v>
      </c>
      <c r="G412">
        <v>2</v>
      </c>
      <c r="H412" s="1">
        <v>43952</v>
      </c>
      <c r="I412" s="1">
        <v>44228</v>
      </c>
      <c r="J412">
        <v>9</v>
      </c>
      <c r="K412">
        <v>4</v>
      </c>
      <c r="L412" s="1">
        <v>43983</v>
      </c>
      <c r="M412">
        <v>0</v>
      </c>
      <c r="N412" s="8" cm="1">
        <f t="array" ref="N412">_xlfn.SWITCH(Sales[[#This Row],[Subscription Type]],"Basic",10,"Premium",10,"Business",25,"Enterprise",27)</f>
        <v>10</v>
      </c>
      <c r="O412">
        <f>IF(Sales[[#This Row],[Number of Users]]-Sales[[#This Row],[Licenses Bought]]&lt;0,0,Sales[[#This Row],[Number of Users]]-Sales[[#This Row],[Licenses Bought]])</f>
        <v>2</v>
      </c>
      <c r="P412" s="8">
        <f>IF(Sales[[#This Row],[Sales Month]]=MAX(Sales[Sales Month]),Sales[[#This Row],[Non-Paying Users]]*Sales[[#This Row],[Upsell $ per Non-Paying User]],0)</f>
        <v>0</v>
      </c>
      <c r="Q412" t="str" cm="1">
        <f t="array" ref="Q412">_xlfn.IFS(Sales[[#This Row],[Current Upsell $]]=0,"",Sales[[#This Row],[Current Upsell $]]&gt;=400,"High",Sales[[#This Row],[Current Upsell $]]&gt;=100,"Medium",Sales[[#This Row],[Current Upsell $]]&lt;100,"Low")</f>
        <v/>
      </c>
      <c r="R412" t="str">
        <f>IF(Sales[[#This Row],[Current Upsell $]]&gt;0,_xlfn.CONCAT(Sales[[#This Row],[Subscription Type]]," ",Sales[[#This Row],[Upsell Priority]]," ",TEXT(Sales[[#This Row],[Current Upsell $]],"$#,#")),"")</f>
        <v/>
      </c>
    </row>
    <row r="413" spans="1:18" x14ac:dyDescent="0.25">
      <c r="A413">
        <v>100033</v>
      </c>
      <c r="B413" t="s">
        <v>3</v>
      </c>
      <c r="F413">
        <v>0</v>
      </c>
      <c r="G413">
        <v>2</v>
      </c>
      <c r="H413" s="1">
        <v>43952</v>
      </c>
      <c r="I413" s="1">
        <v>44228</v>
      </c>
      <c r="J413">
        <v>9</v>
      </c>
      <c r="K413">
        <v>4</v>
      </c>
      <c r="L413" s="1">
        <v>44013</v>
      </c>
      <c r="M413">
        <v>0</v>
      </c>
      <c r="N413" s="8" cm="1">
        <f t="array" ref="N413">_xlfn.SWITCH(Sales[[#This Row],[Subscription Type]],"Basic",10,"Premium",10,"Business",25,"Enterprise",27)</f>
        <v>10</v>
      </c>
      <c r="O413">
        <f>IF(Sales[[#This Row],[Number of Users]]-Sales[[#This Row],[Licenses Bought]]&lt;0,0,Sales[[#This Row],[Number of Users]]-Sales[[#This Row],[Licenses Bought]])</f>
        <v>2</v>
      </c>
      <c r="P413" s="8">
        <f>IF(Sales[[#This Row],[Sales Month]]=MAX(Sales[Sales Month]),Sales[[#This Row],[Non-Paying Users]]*Sales[[#This Row],[Upsell $ per Non-Paying User]],0)</f>
        <v>0</v>
      </c>
      <c r="Q413" t="str" cm="1">
        <f t="array" ref="Q413">_xlfn.IFS(Sales[[#This Row],[Current Upsell $]]=0,"",Sales[[#This Row],[Current Upsell $]]&gt;=400,"High",Sales[[#This Row],[Current Upsell $]]&gt;=100,"Medium",Sales[[#This Row],[Current Upsell $]]&lt;100,"Low")</f>
        <v/>
      </c>
      <c r="R413" t="str">
        <f>IF(Sales[[#This Row],[Current Upsell $]]&gt;0,_xlfn.CONCAT(Sales[[#This Row],[Subscription Type]]," ",Sales[[#This Row],[Upsell Priority]]," ",TEXT(Sales[[#This Row],[Current Upsell $]],"$#,#")),"")</f>
        <v/>
      </c>
    </row>
    <row r="414" spans="1:18" x14ac:dyDescent="0.25">
      <c r="A414">
        <v>100033</v>
      </c>
      <c r="B414" t="s">
        <v>3</v>
      </c>
      <c r="F414">
        <v>0</v>
      </c>
      <c r="G414">
        <v>2</v>
      </c>
      <c r="H414" s="1">
        <v>43952</v>
      </c>
      <c r="I414" s="1">
        <v>44228</v>
      </c>
      <c r="J414">
        <v>9</v>
      </c>
      <c r="K414">
        <v>4</v>
      </c>
      <c r="L414" s="1">
        <v>44044</v>
      </c>
      <c r="M414">
        <v>0</v>
      </c>
      <c r="N414" s="8" cm="1">
        <f t="array" ref="N414">_xlfn.SWITCH(Sales[[#This Row],[Subscription Type]],"Basic",10,"Premium",10,"Business",25,"Enterprise",27)</f>
        <v>10</v>
      </c>
      <c r="O414">
        <f>IF(Sales[[#This Row],[Number of Users]]-Sales[[#This Row],[Licenses Bought]]&lt;0,0,Sales[[#This Row],[Number of Users]]-Sales[[#This Row],[Licenses Bought]])</f>
        <v>2</v>
      </c>
      <c r="P414" s="8">
        <f>IF(Sales[[#This Row],[Sales Month]]=MAX(Sales[Sales Month]),Sales[[#This Row],[Non-Paying Users]]*Sales[[#This Row],[Upsell $ per Non-Paying User]],0)</f>
        <v>0</v>
      </c>
      <c r="Q414" t="str" cm="1">
        <f t="array" ref="Q414">_xlfn.IFS(Sales[[#This Row],[Current Upsell $]]=0,"",Sales[[#This Row],[Current Upsell $]]&gt;=400,"High",Sales[[#This Row],[Current Upsell $]]&gt;=100,"Medium",Sales[[#This Row],[Current Upsell $]]&lt;100,"Low")</f>
        <v/>
      </c>
      <c r="R414" t="str">
        <f>IF(Sales[[#This Row],[Current Upsell $]]&gt;0,_xlfn.CONCAT(Sales[[#This Row],[Subscription Type]]," ",Sales[[#This Row],[Upsell Priority]]," ",TEXT(Sales[[#This Row],[Current Upsell $]],"$#,#")),"")</f>
        <v/>
      </c>
    </row>
    <row r="415" spans="1:18" x14ac:dyDescent="0.25">
      <c r="A415">
        <v>100033</v>
      </c>
      <c r="B415" t="s">
        <v>3</v>
      </c>
      <c r="F415">
        <v>0</v>
      </c>
      <c r="G415">
        <v>2</v>
      </c>
      <c r="H415" s="1">
        <v>43952</v>
      </c>
      <c r="I415" s="1">
        <v>44228</v>
      </c>
      <c r="J415">
        <v>9</v>
      </c>
      <c r="K415">
        <v>4</v>
      </c>
      <c r="L415" s="1">
        <v>44075</v>
      </c>
      <c r="M415">
        <v>0</v>
      </c>
      <c r="N415" s="8" cm="1">
        <f t="array" ref="N415">_xlfn.SWITCH(Sales[[#This Row],[Subscription Type]],"Basic",10,"Premium",10,"Business",25,"Enterprise",27)</f>
        <v>10</v>
      </c>
      <c r="O415">
        <f>IF(Sales[[#This Row],[Number of Users]]-Sales[[#This Row],[Licenses Bought]]&lt;0,0,Sales[[#This Row],[Number of Users]]-Sales[[#This Row],[Licenses Bought]])</f>
        <v>2</v>
      </c>
      <c r="P415" s="8">
        <f>IF(Sales[[#This Row],[Sales Month]]=MAX(Sales[Sales Month]),Sales[[#This Row],[Non-Paying Users]]*Sales[[#This Row],[Upsell $ per Non-Paying User]],0)</f>
        <v>0</v>
      </c>
      <c r="Q415" t="str" cm="1">
        <f t="array" ref="Q415">_xlfn.IFS(Sales[[#This Row],[Current Upsell $]]=0,"",Sales[[#This Row],[Current Upsell $]]&gt;=400,"High",Sales[[#This Row],[Current Upsell $]]&gt;=100,"Medium",Sales[[#This Row],[Current Upsell $]]&lt;100,"Low")</f>
        <v/>
      </c>
      <c r="R415" t="str">
        <f>IF(Sales[[#This Row],[Current Upsell $]]&gt;0,_xlfn.CONCAT(Sales[[#This Row],[Subscription Type]]," ",Sales[[#This Row],[Upsell Priority]]," ",TEXT(Sales[[#This Row],[Current Upsell $]],"$#,#")),"")</f>
        <v/>
      </c>
    </row>
    <row r="416" spans="1:18" x14ac:dyDescent="0.25">
      <c r="A416">
        <v>100033</v>
      </c>
      <c r="B416" t="s">
        <v>3</v>
      </c>
      <c r="F416">
        <v>0</v>
      </c>
      <c r="G416">
        <v>2</v>
      </c>
      <c r="H416" s="1">
        <v>43952</v>
      </c>
      <c r="I416" s="1">
        <v>44228</v>
      </c>
      <c r="J416">
        <v>9</v>
      </c>
      <c r="K416">
        <v>4</v>
      </c>
      <c r="L416" s="1">
        <v>44105</v>
      </c>
      <c r="M416">
        <v>0</v>
      </c>
      <c r="N416" s="8" cm="1">
        <f t="array" ref="N416">_xlfn.SWITCH(Sales[[#This Row],[Subscription Type]],"Basic",10,"Premium",10,"Business",25,"Enterprise",27)</f>
        <v>10</v>
      </c>
      <c r="O416">
        <f>IF(Sales[[#This Row],[Number of Users]]-Sales[[#This Row],[Licenses Bought]]&lt;0,0,Sales[[#This Row],[Number of Users]]-Sales[[#This Row],[Licenses Bought]])</f>
        <v>2</v>
      </c>
      <c r="P416" s="8">
        <f>IF(Sales[[#This Row],[Sales Month]]=MAX(Sales[Sales Month]),Sales[[#This Row],[Non-Paying Users]]*Sales[[#This Row],[Upsell $ per Non-Paying User]],0)</f>
        <v>0</v>
      </c>
      <c r="Q416" t="str" cm="1">
        <f t="array" ref="Q416">_xlfn.IFS(Sales[[#This Row],[Current Upsell $]]=0,"",Sales[[#This Row],[Current Upsell $]]&gt;=400,"High",Sales[[#This Row],[Current Upsell $]]&gt;=100,"Medium",Sales[[#This Row],[Current Upsell $]]&lt;100,"Low")</f>
        <v/>
      </c>
      <c r="R416" t="str">
        <f>IF(Sales[[#This Row],[Current Upsell $]]&gt;0,_xlfn.CONCAT(Sales[[#This Row],[Subscription Type]]," ",Sales[[#This Row],[Upsell Priority]]," ",TEXT(Sales[[#This Row],[Current Upsell $]],"$#,#")),"")</f>
        <v/>
      </c>
    </row>
    <row r="417" spans="1:18" x14ac:dyDescent="0.25">
      <c r="A417">
        <v>100033</v>
      </c>
      <c r="B417" t="s">
        <v>3</v>
      </c>
      <c r="F417">
        <v>0</v>
      </c>
      <c r="G417">
        <v>2</v>
      </c>
      <c r="H417" s="1">
        <v>43952</v>
      </c>
      <c r="I417" s="1">
        <v>44228</v>
      </c>
      <c r="J417">
        <v>9</v>
      </c>
      <c r="K417">
        <v>4</v>
      </c>
      <c r="L417" s="1">
        <v>44136</v>
      </c>
      <c r="M417">
        <v>0</v>
      </c>
      <c r="N417" s="8" cm="1">
        <f t="array" ref="N417">_xlfn.SWITCH(Sales[[#This Row],[Subscription Type]],"Basic",10,"Premium",10,"Business",25,"Enterprise",27)</f>
        <v>10</v>
      </c>
      <c r="O417">
        <f>IF(Sales[[#This Row],[Number of Users]]-Sales[[#This Row],[Licenses Bought]]&lt;0,0,Sales[[#This Row],[Number of Users]]-Sales[[#This Row],[Licenses Bought]])</f>
        <v>2</v>
      </c>
      <c r="P417" s="8">
        <f>IF(Sales[[#This Row],[Sales Month]]=MAX(Sales[Sales Month]),Sales[[#This Row],[Non-Paying Users]]*Sales[[#This Row],[Upsell $ per Non-Paying User]],0)</f>
        <v>0</v>
      </c>
      <c r="Q417" t="str" cm="1">
        <f t="array" ref="Q417">_xlfn.IFS(Sales[[#This Row],[Current Upsell $]]=0,"",Sales[[#This Row],[Current Upsell $]]&gt;=400,"High",Sales[[#This Row],[Current Upsell $]]&gt;=100,"Medium",Sales[[#This Row],[Current Upsell $]]&lt;100,"Low")</f>
        <v/>
      </c>
      <c r="R417" t="str">
        <f>IF(Sales[[#This Row],[Current Upsell $]]&gt;0,_xlfn.CONCAT(Sales[[#This Row],[Subscription Type]]," ",Sales[[#This Row],[Upsell Priority]]," ",TEXT(Sales[[#This Row],[Current Upsell $]],"$#,#")),"")</f>
        <v/>
      </c>
    </row>
    <row r="418" spans="1:18" x14ac:dyDescent="0.25">
      <c r="A418">
        <v>100033</v>
      </c>
      <c r="B418" t="s">
        <v>3</v>
      </c>
      <c r="F418">
        <v>0</v>
      </c>
      <c r="G418">
        <v>2</v>
      </c>
      <c r="H418" s="1">
        <v>43952</v>
      </c>
      <c r="I418" s="1">
        <v>44228</v>
      </c>
      <c r="J418">
        <v>9</v>
      </c>
      <c r="K418">
        <v>4</v>
      </c>
      <c r="L418" s="1">
        <v>44166</v>
      </c>
      <c r="M418">
        <v>0</v>
      </c>
      <c r="N418" s="8" cm="1">
        <f t="array" ref="N418">_xlfn.SWITCH(Sales[[#This Row],[Subscription Type]],"Basic",10,"Premium",10,"Business",25,"Enterprise",27)</f>
        <v>10</v>
      </c>
      <c r="O418">
        <f>IF(Sales[[#This Row],[Number of Users]]-Sales[[#This Row],[Licenses Bought]]&lt;0,0,Sales[[#This Row],[Number of Users]]-Sales[[#This Row],[Licenses Bought]])</f>
        <v>2</v>
      </c>
      <c r="P418" s="8">
        <f>IF(Sales[[#This Row],[Sales Month]]=MAX(Sales[Sales Month]),Sales[[#This Row],[Non-Paying Users]]*Sales[[#This Row],[Upsell $ per Non-Paying User]],0)</f>
        <v>0</v>
      </c>
      <c r="Q418" t="str" cm="1">
        <f t="array" ref="Q418">_xlfn.IFS(Sales[[#This Row],[Current Upsell $]]=0,"",Sales[[#This Row],[Current Upsell $]]&gt;=400,"High",Sales[[#This Row],[Current Upsell $]]&gt;=100,"Medium",Sales[[#This Row],[Current Upsell $]]&lt;100,"Low")</f>
        <v/>
      </c>
      <c r="R418" t="str">
        <f>IF(Sales[[#This Row],[Current Upsell $]]&gt;0,_xlfn.CONCAT(Sales[[#This Row],[Subscription Type]]," ",Sales[[#This Row],[Upsell Priority]]," ",TEXT(Sales[[#This Row],[Current Upsell $]],"$#,#")),"")</f>
        <v/>
      </c>
    </row>
    <row r="419" spans="1:18" x14ac:dyDescent="0.25">
      <c r="A419">
        <v>100033</v>
      </c>
      <c r="B419" t="s">
        <v>3</v>
      </c>
      <c r="F419">
        <v>0</v>
      </c>
      <c r="G419">
        <v>2</v>
      </c>
      <c r="H419" s="1">
        <v>43952</v>
      </c>
      <c r="I419" s="1">
        <v>44228</v>
      </c>
      <c r="J419">
        <v>9</v>
      </c>
      <c r="K419">
        <v>4</v>
      </c>
      <c r="L419" s="1">
        <v>44197</v>
      </c>
      <c r="M419">
        <v>0</v>
      </c>
      <c r="N419" s="8" cm="1">
        <f t="array" ref="N419">_xlfn.SWITCH(Sales[[#This Row],[Subscription Type]],"Basic",10,"Premium",10,"Business",25,"Enterprise",27)</f>
        <v>10</v>
      </c>
      <c r="O419">
        <f>IF(Sales[[#This Row],[Number of Users]]-Sales[[#This Row],[Licenses Bought]]&lt;0,0,Sales[[#This Row],[Number of Users]]-Sales[[#This Row],[Licenses Bought]])</f>
        <v>2</v>
      </c>
      <c r="P419" s="8">
        <f>IF(Sales[[#This Row],[Sales Month]]=MAX(Sales[Sales Month]),Sales[[#This Row],[Non-Paying Users]]*Sales[[#This Row],[Upsell $ per Non-Paying User]],0)</f>
        <v>0</v>
      </c>
      <c r="Q419" t="str" cm="1">
        <f t="array" ref="Q419">_xlfn.IFS(Sales[[#This Row],[Current Upsell $]]=0,"",Sales[[#This Row],[Current Upsell $]]&gt;=400,"High",Sales[[#This Row],[Current Upsell $]]&gt;=100,"Medium",Sales[[#This Row],[Current Upsell $]]&lt;100,"Low")</f>
        <v/>
      </c>
      <c r="R419" t="str">
        <f>IF(Sales[[#This Row],[Current Upsell $]]&gt;0,_xlfn.CONCAT(Sales[[#This Row],[Subscription Type]]," ",Sales[[#This Row],[Upsell Priority]]," ",TEXT(Sales[[#This Row],[Current Upsell $]],"$#,#")),"")</f>
        <v/>
      </c>
    </row>
    <row r="420" spans="1:18" x14ac:dyDescent="0.25">
      <c r="A420">
        <v>100033</v>
      </c>
      <c r="B420" t="s">
        <v>3</v>
      </c>
      <c r="F420">
        <v>0</v>
      </c>
      <c r="G420">
        <v>2</v>
      </c>
      <c r="H420" s="1">
        <v>43952</v>
      </c>
      <c r="I420" s="1">
        <v>44228</v>
      </c>
      <c r="J420">
        <v>9</v>
      </c>
      <c r="K420">
        <v>4</v>
      </c>
      <c r="L420" s="1">
        <v>44228</v>
      </c>
      <c r="M420">
        <v>0</v>
      </c>
      <c r="N420" s="8" cm="1">
        <f t="array" ref="N420">_xlfn.SWITCH(Sales[[#This Row],[Subscription Type]],"Basic",10,"Premium",10,"Business",25,"Enterprise",27)</f>
        <v>10</v>
      </c>
      <c r="O420">
        <f>IF(Sales[[#This Row],[Number of Users]]-Sales[[#This Row],[Licenses Bought]]&lt;0,0,Sales[[#This Row],[Number of Users]]-Sales[[#This Row],[Licenses Bought]])</f>
        <v>2</v>
      </c>
      <c r="P420" s="8">
        <f>IF(Sales[[#This Row],[Sales Month]]=MAX(Sales[Sales Month]),Sales[[#This Row],[Non-Paying Users]]*Sales[[#This Row],[Upsell $ per Non-Paying User]],0)</f>
        <v>0</v>
      </c>
      <c r="Q420" t="str" cm="1">
        <f t="array" ref="Q420">_xlfn.IFS(Sales[[#This Row],[Current Upsell $]]=0,"",Sales[[#This Row],[Current Upsell $]]&gt;=400,"High",Sales[[#This Row],[Current Upsell $]]&gt;=100,"Medium",Sales[[#This Row],[Current Upsell $]]&lt;100,"Low")</f>
        <v/>
      </c>
      <c r="R420" t="str">
        <f>IF(Sales[[#This Row],[Current Upsell $]]&gt;0,_xlfn.CONCAT(Sales[[#This Row],[Subscription Type]]," ",Sales[[#This Row],[Upsell Priority]]," ",TEXT(Sales[[#This Row],[Current Upsell $]],"$#,#")),"")</f>
        <v/>
      </c>
    </row>
    <row r="421" spans="1:18" x14ac:dyDescent="0.25">
      <c r="A421">
        <v>100034</v>
      </c>
      <c r="B421" t="s">
        <v>3</v>
      </c>
      <c r="F421">
        <v>0</v>
      </c>
      <c r="G421">
        <v>2</v>
      </c>
      <c r="H421" s="1">
        <v>43952</v>
      </c>
      <c r="I421" s="1">
        <v>44317</v>
      </c>
      <c r="J421">
        <v>12</v>
      </c>
      <c r="K421">
        <v>1</v>
      </c>
      <c r="L421" s="1">
        <v>43952</v>
      </c>
      <c r="M421">
        <v>0</v>
      </c>
      <c r="N421" s="8" cm="1">
        <f t="array" ref="N421">_xlfn.SWITCH(Sales[[#This Row],[Subscription Type]],"Basic",10,"Premium",10,"Business",25,"Enterprise",27)</f>
        <v>10</v>
      </c>
      <c r="O421">
        <f>IF(Sales[[#This Row],[Number of Users]]-Sales[[#This Row],[Licenses Bought]]&lt;0,0,Sales[[#This Row],[Number of Users]]-Sales[[#This Row],[Licenses Bought]])</f>
        <v>2</v>
      </c>
      <c r="P421" s="8">
        <f>IF(Sales[[#This Row],[Sales Month]]=MAX(Sales[Sales Month]),Sales[[#This Row],[Non-Paying Users]]*Sales[[#This Row],[Upsell $ per Non-Paying User]],0)</f>
        <v>0</v>
      </c>
      <c r="Q421" t="str" cm="1">
        <f t="array" ref="Q421">_xlfn.IFS(Sales[[#This Row],[Current Upsell $]]=0,"",Sales[[#This Row],[Current Upsell $]]&gt;=400,"High",Sales[[#This Row],[Current Upsell $]]&gt;=100,"Medium",Sales[[#This Row],[Current Upsell $]]&lt;100,"Low")</f>
        <v/>
      </c>
      <c r="R421" t="str">
        <f>IF(Sales[[#This Row],[Current Upsell $]]&gt;0,_xlfn.CONCAT(Sales[[#This Row],[Subscription Type]]," ",Sales[[#This Row],[Upsell Priority]]," ",TEXT(Sales[[#This Row],[Current Upsell $]],"$#,#")),"")</f>
        <v/>
      </c>
    </row>
    <row r="422" spans="1:18" x14ac:dyDescent="0.25">
      <c r="A422">
        <v>100034</v>
      </c>
      <c r="B422" t="s">
        <v>3</v>
      </c>
      <c r="F422">
        <v>0</v>
      </c>
      <c r="G422">
        <v>2</v>
      </c>
      <c r="H422" s="1">
        <v>43952</v>
      </c>
      <c r="I422" s="1">
        <v>44317</v>
      </c>
      <c r="J422">
        <v>12</v>
      </c>
      <c r="K422">
        <v>1</v>
      </c>
      <c r="L422" s="1">
        <v>43983</v>
      </c>
      <c r="M422">
        <v>0</v>
      </c>
      <c r="N422" s="8" cm="1">
        <f t="array" ref="N422">_xlfn.SWITCH(Sales[[#This Row],[Subscription Type]],"Basic",10,"Premium",10,"Business",25,"Enterprise",27)</f>
        <v>10</v>
      </c>
      <c r="O422">
        <f>IF(Sales[[#This Row],[Number of Users]]-Sales[[#This Row],[Licenses Bought]]&lt;0,0,Sales[[#This Row],[Number of Users]]-Sales[[#This Row],[Licenses Bought]])</f>
        <v>2</v>
      </c>
      <c r="P422" s="8">
        <f>IF(Sales[[#This Row],[Sales Month]]=MAX(Sales[Sales Month]),Sales[[#This Row],[Non-Paying Users]]*Sales[[#This Row],[Upsell $ per Non-Paying User]],0)</f>
        <v>0</v>
      </c>
      <c r="Q422" t="str" cm="1">
        <f t="array" ref="Q422">_xlfn.IFS(Sales[[#This Row],[Current Upsell $]]=0,"",Sales[[#This Row],[Current Upsell $]]&gt;=400,"High",Sales[[#This Row],[Current Upsell $]]&gt;=100,"Medium",Sales[[#This Row],[Current Upsell $]]&lt;100,"Low")</f>
        <v/>
      </c>
      <c r="R422" t="str">
        <f>IF(Sales[[#This Row],[Current Upsell $]]&gt;0,_xlfn.CONCAT(Sales[[#This Row],[Subscription Type]]," ",Sales[[#This Row],[Upsell Priority]]," ",TEXT(Sales[[#This Row],[Current Upsell $]],"$#,#")),"")</f>
        <v/>
      </c>
    </row>
    <row r="423" spans="1:18" x14ac:dyDescent="0.25">
      <c r="A423">
        <v>100034</v>
      </c>
      <c r="B423" t="s">
        <v>3</v>
      </c>
      <c r="F423">
        <v>0</v>
      </c>
      <c r="G423">
        <v>2</v>
      </c>
      <c r="H423" s="1">
        <v>43952</v>
      </c>
      <c r="I423" s="1">
        <v>44317</v>
      </c>
      <c r="J423">
        <v>12</v>
      </c>
      <c r="K423">
        <v>1</v>
      </c>
      <c r="L423" s="1">
        <v>44013</v>
      </c>
      <c r="M423">
        <v>0</v>
      </c>
      <c r="N423" s="8" cm="1">
        <f t="array" ref="N423">_xlfn.SWITCH(Sales[[#This Row],[Subscription Type]],"Basic",10,"Premium",10,"Business",25,"Enterprise",27)</f>
        <v>10</v>
      </c>
      <c r="O423">
        <f>IF(Sales[[#This Row],[Number of Users]]-Sales[[#This Row],[Licenses Bought]]&lt;0,0,Sales[[#This Row],[Number of Users]]-Sales[[#This Row],[Licenses Bought]])</f>
        <v>2</v>
      </c>
      <c r="P423" s="8">
        <f>IF(Sales[[#This Row],[Sales Month]]=MAX(Sales[Sales Month]),Sales[[#This Row],[Non-Paying Users]]*Sales[[#This Row],[Upsell $ per Non-Paying User]],0)</f>
        <v>0</v>
      </c>
      <c r="Q423" t="str" cm="1">
        <f t="array" ref="Q423">_xlfn.IFS(Sales[[#This Row],[Current Upsell $]]=0,"",Sales[[#This Row],[Current Upsell $]]&gt;=400,"High",Sales[[#This Row],[Current Upsell $]]&gt;=100,"Medium",Sales[[#This Row],[Current Upsell $]]&lt;100,"Low")</f>
        <v/>
      </c>
      <c r="R423" t="str">
        <f>IF(Sales[[#This Row],[Current Upsell $]]&gt;0,_xlfn.CONCAT(Sales[[#This Row],[Subscription Type]]," ",Sales[[#This Row],[Upsell Priority]]," ",TEXT(Sales[[#This Row],[Current Upsell $]],"$#,#")),"")</f>
        <v/>
      </c>
    </row>
    <row r="424" spans="1:18" x14ac:dyDescent="0.25">
      <c r="A424">
        <v>100034</v>
      </c>
      <c r="B424" t="s">
        <v>3</v>
      </c>
      <c r="F424">
        <v>0</v>
      </c>
      <c r="G424">
        <v>2</v>
      </c>
      <c r="H424" s="1">
        <v>43952</v>
      </c>
      <c r="I424" s="1">
        <v>44317</v>
      </c>
      <c r="J424">
        <v>12</v>
      </c>
      <c r="K424">
        <v>1</v>
      </c>
      <c r="L424" s="1">
        <v>44044</v>
      </c>
      <c r="M424">
        <v>0</v>
      </c>
      <c r="N424" s="8" cm="1">
        <f t="array" ref="N424">_xlfn.SWITCH(Sales[[#This Row],[Subscription Type]],"Basic",10,"Premium",10,"Business",25,"Enterprise",27)</f>
        <v>10</v>
      </c>
      <c r="O424">
        <f>IF(Sales[[#This Row],[Number of Users]]-Sales[[#This Row],[Licenses Bought]]&lt;0,0,Sales[[#This Row],[Number of Users]]-Sales[[#This Row],[Licenses Bought]])</f>
        <v>2</v>
      </c>
      <c r="P424" s="8">
        <f>IF(Sales[[#This Row],[Sales Month]]=MAX(Sales[Sales Month]),Sales[[#This Row],[Non-Paying Users]]*Sales[[#This Row],[Upsell $ per Non-Paying User]],0)</f>
        <v>0</v>
      </c>
      <c r="Q424" t="str" cm="1">
        <f t="array" ref="Q424">_xlfn.IFS(Sales[[#This Row],[Current Upsell $]]=0,"",Sales[[#This Row],[Current Upsell $]]&gt;=400,"High",Sales[[#This Row],[Current Upsell $]]&gt;=100,"Medium",Sales[[#This Row],[Current Upsell $]]&lt;100,"Low")</f>
        <v/>
      </c>
      <c r="R424" t="str">
        <f>IF(Sales[[#This Row],[Current Upsell $]]&gt;0,_xlfn.CONCAT(Sales[[#This Row],[Subscription Type]]," ",Sales[[#This Row],[Upsell Priority]]," ",TEXT(Sales[[#This Row],[Current Upsell $]],"$#,#")),"")</f>
        <v/>
      </c>
    </row>
    <row r="425" spans="1:18" x14ac:dyDescent="0.25">
      <c r="A425">
        <v>100034</v>
      </c>
      <c r="B425" t="s">
        <v>3</v>
      </c>
      <c r="F425">
        <v>0</v>
      </c>
      <c r="G425">
        <v>2</v>
      </c>
      <c r="H425" s="1">
        <v>43952</v>
      </c>
      <c r="I425" s="1">
        <v>44317</v>
      </c>
      <c r="J425">
        <v>12</v>
      </c>
      <c r="K425">
        <v>1</v>
      </c>
      <c r="L425" s="1">
        <v>44075</v>
      </c>
      <c r="M425">
        <v>0</v>
      </c>
      <c r="N425" s="8" cm="1">
        <f t="array" ref="N425">_xlfn.SWITCH(Sales[[#This Row],[Subscription Type]],"Basic",10,"Premium",10,"Business",25,"Enterprise",27)</f>
        <v>10</v>
      </c>
      <c r="O425">
        <f>IF(Sales[[#This Row],[Number of Users]]-Sales[[#This Row],[Licenses Bought]]&lt;0,0,Sales[[#This Row],[Number of Users]]-Sales[[#This Row],[Licenses Bought]])</f>
        <v>2</v>
      </c>
      <c r="P425" s="8">
        <f>IF(Sales[[#This Row],[Sales Month]]=MAX(Sales[Sales Month]),Sales[[#This Row],[Non-Paying Users]]*Sales[[#This Row],[Upsell $ per Non-Paying User]],0)</f>
        <v>0</v>
      </c>
      <c r="Q425" t="str" cm="1">
        <f t="array" ref="Q425">_xlfn.IFS(Sales[[#This Row],[Current Upsell $]]=0,"",Sales[[#This Row],[Current Upsell $]]&gt;=400,"High",Sales[[#This Row],[Current Upsell $]]&gt;=100,"Medium",Sales[[#This Row],[Current Upsell $]]&lt;100,"Low")</f>
        <v/>
      </c>
      <c r="R425" t="str">
        <f>IF(Sales[[#This Row],[Current Upsell $]]&gt;0,_xlfn.CONCAT(Sales[[#This Row],[Subscription Type]]," ",Sales[[#This Row],[Upsell Priority]]," ",TEXT(Sales[[#This Row],[Current Upsell $]],"$#,#")),"")</f>
        <v/>
      </c>
    </row>
    <row r="426" spans="1:18" x14ac:dyDescent="0.25">
      <c r="A426">
        <v>100034</v>
      </c>
      <c r="B426" t="s">
        <v>3</v>
      </c>
      <c r="F426">
        <v>0</v>
      </c>
      <c r="G426">
        <v>2</v>
      </c>
      <c r="H426" s="1">
        <v>43952</v>
      </c>
      <c r="I426" s="1">
        <v>44317</v>
      </c>
      <c r="J426">
        <v>12</v>
      </c>
      <c r="K426">
        <v>1</v>
      </c>
      <c r="L426" s="1">
        <v>44105</v>
      </c>
      <c r="M426">
        <v>0</v>
      </c>
      <c r="N426" s="8" cm="1">
        <f t="array" ref="N426">_xlfn.SWITCH(Sales[[#This Row],[Subscription Type]],"Basic",10,"Premium",10,"Business",25,"Enterprise",27)</f>
        <v>10</v>
      </c>
      <c r="O426">
        <f>IF(Sales[[#This Row],[Number of Users]]-Sales[[#This Row],[Licenses Bought]]&lt;0,0,Sales[[#This Row],[Number of Users]]-Sales[[#This Row],[Licenses Bought]])</f>
        <v>2</v>
      </c>
      <c r="P426" s="8">
        <f>IF(Sales[[#This Row],[Sales Month]]=MAX(Sales[Sales Month]),Sales[[#This Row],[Non-Paying Users]]*Sales[[#This Row],[Upsell $ per Non-Paying User]],0)</f>
        <v>0</v>
      </c>
      <c r="Q426" t="str" cm="1">
        <f t="array" ref="Q426">_xlfn.IFS(Sales[[#This Row],[Current Upsell $]]=0,"",Sales[[#This Row],[Current Upsell $]]&gt;=400,"High",Sales[[#This Row],[Current Upsell $]]&gt;=100,"Medium",Sales[[#This Row],[Current Upsell $]]&lt;100,"Low")</f>
        <v/>
      </c>
      <c r="R426" t="str">
        <f>IF(Sales[[#This Row],[Current Upsell $]]&gt;0,_xlfn.CONCAT(Sales[[#This Row],[Subscription Type]]," ",Sales[[#This Row],[Upsell Priority]]," ",TEXT(Sales[[#This Row],[Current Upsell $]],"$#,#")),"")</f>
        <v/>
      </c>
    </row>
    <row r="427" spans="1:18" x14ac:dyDescent="0.25">
      <c r="A427">
        <v>100034</v>
      </c>
      <c r="B427" t="s">
        <v>3</v>
      </c>
      <c r="F427">
        <v>0</v>
      </c>
      <c r="G427">
        <v>2</v>
      </c>
      <c r="H427" s="1">
        <v>43952</v>
      </c>
      <c r="I427" s="1">
        <v>44317</v>
      </c>
      <c r="J427">
        <v>12</v>
      </c>
      <c r="K427">
        <v>1</v>
      </c>
      <c r="L427" s="1">
        <v>44136</v>
      </c>
      <c r="M427">
        <v>0</v>
      </c>
      <c r="N427" s="8" cm="1">
        <f t="array" ref="N427">_xlfn.SWITCH(Sales[[#This Row],[Subscription Type]],"Basic",10,"Premium",10,"Business",25,"Enterprise",27)</f>
        <v>10</v>
      </c>
      <c r="O427">
        <f>IF(Sales[[#This Row],[Number of Users]]-Sales[[#This Row],[Licenses Bought]]&lt;0,0,Sales[[#This Row],[Number of Users]]-Sales[[#This Row],[Licenses Bought]])</f>
        <v>2</v>
      </c>
      <c r="P427" s="8">
        <f>IF(Sales[[#This Row],[Sales Month]]=MAX(Sales[Sales Month]),Sales[[#This Row],[Non-Paying Users]]*Sales[[#This Row],[Upsell $ per Non-Paying User]],0)</f>
        <v>0</v>
      </c>
      <c r="Q427" t="str" cm="1">
        <f t="array" ref="Q427">_xlfn.IFS(Sales[[#This Row],[Current Upsell $]]=0,"",Sales[[#This Row],[Current Upsell $]]&gt;=400,"High",Sales[[#This Row],[Current Upsell $]]&gt;=100,"Medium",Sales[[#This Row],[Current Upsell $]]&lt;100,"Low")</f>
        <v/>
      </c>
      <c r="R427" t="str">
        <f>IF(Sales[[#This Row],[Current Upsell $]]&gt;0,_xlfn.CONCAT(Sales[[#This Row],[Subscription Type]]," ",Sales[[#This Row],[Upsell Priority]]," ",TEXT(Sales[[#This Row],[Current Upsell $]],"$#,#")),"")</f>
        <v/>
      </c>
    </row>
    <row r="428" spans="1:18" x14ac:dyDescent="0.25">
      <c r="A428">
        <v>100034</v>
      </c>
      <c r="B428" t="s">
        <v>3</v>
      </c>
      <c r="F428">
        <v>0</v>
      </c>
      <c r="G428">
        <v>2</v>
      </c>
      <c r="H428" s="1">
        <v>43952</v>
      </c>
      <c r="I428" s="1">
        <v>44317</v>
      </c>
      <c r="J428">
        <v>12</v>
      </c>
      <c r="K428">
        <v>1</v>
      </c>
      <c r="L428" s="1">
        <v>44166</v>
      </c>
      <c r="M428">
        <v>0</v>
      </c>
      <c r="N428" s="8" cm="1">
        <f t="array" ref="N428">_xlfn.SWITCH(Sales[[#This Row],[Subscription Type]],"Basic",10,"Premium",10,"Business",25,"Enterprise",27)</f>
        <v>10</v>
      </c>
      <c r="O428">
        <f>IF(Sales[[#This Row],[Number of Users]]-Sales[[#This Row],[Licenses Bought]]&lt;0,0,Sales[[#This Row],[Number of Users]]-Sales[[#This Row],[Licenses Bought]])</f>
        <v>2</v>
      </c>
      <c r="P428" s="8">
        <f>IF(Sales[[#This Row],[Sales Month]]=MAX(Sales[Sales Month]),Sales[[#This Row],[Non-Paying Users]]*Sales[[#This Row],[Upsell $ per Non-Paying User]],0)</f>
        <v>0</v>
      </c>
      <c r="Q428" t="str" cm="1">
        <f t="array" ref="Q428">_xlfn.IFS(Sales[[#This Row],[Current Upsell $]]=0,"",Sales[[#This Row],[Current Upsell $]]&gt;=400,"High",Sales[[#This Row],[Current Upsell $]]&gt;=100,"Medium",Sales[[#This Row],[Current Upsell $]]&lt;100,"Low")</f>
        <v/>
      </c>
      <c r="R428" t="str">
        <f>IF(Sales[[#This Row],[Current Upsell $]]&gt;0,_xlfn.CONCAT(Sales[[#This Row],[Subscription Type]]," ",Sales[[#This Row],[Upsell Priority]]," ",TEXT(Sales[[#This Row],[Current Upsell $]],"$#,#")),"")</f>
        <v/>
      </c>
    </row>
    <row r="429" spans="1:18" x14ac:dyDescent="0.25">
      <c r="A429">
        <v>100034</v>
      </c>
      <c r="B429" t="s">
        <v>3</v>
      </c>
      <c r="F429">
        <v>0</v>
      </c>
      <c r="G429">
        <v>2</v>
      </c>
      <c r="H429" s="1">
        <v>43952</v>
      </c>
      <c r="I429" s="1">
        <v>44317</v>
      </c>
      <c r="J429">
        <v>12</v>
      </c>
      <c r="K429">
        <v>1</v>
      </c>
      <c r="L429" s="1">
        <v>44197</v>
      </c>
      <c r="M429">
        <v>0</v>
      </c>
      <c r="N429" s="8" cm="1">
        <f t="array" ref="N429">_xlfn.SWITCH(Sales[[#This Row],[Subscription Type]],"Basic",10,"Premium",10,"Business",25,"Enterprise",27)</f>
        <v>10</v>
      </c>
      <c r="O429">
        <f>IF(Sales[[#This Row],[Number of Users]]-Sales[[#This Row],[Licenses Bought]]&lt;0,0,Sales[[#This Row],[Number of Users]]-Sales[[#This Row],[Licenses Bought]])</f>
        <v>2</v>
      </c>
      <c r="P429" s="8">
        <f>IF(Sales[[#This Row],[Sales Month]]=MAX(Sales[Sales Month]),Sales[[#This Row],[Non-Paying Users]]*Sales[[#This Row],[Upsell $ per Non-Paying User]],0)</f>
        <v>0</v>
      </c>
      <c r="Q429" t="str" cm="1">
        <f t="array" ref="Q429">_xlfn.IFS(Sales[[#This Row],[Current Upsell $]]=0,"",Sales[[#This Row],[Current Upsell $]]&gt;=400,"High",Sales[[#This Row],[Current Upsell $]]&gt;=100,"Medium",Sales[[#This Row],[Current Upsell $]]&lt;100,"Low")</f>
        <v/>
      </c>
      <c r="R429" t="str">
        <f>IF(Sales[[#This Row],[Current Upsell $]]&gt;0,_xlfn.CONCAT(Sales[[#This Row],[Subscription Type]]," ",Sales[[#This Row],[Upsell Priority]]," ",TEXT(Sales[[#This Row],[Current Upsell $]],"$#,#")),"")</f>
        <v/>
      </c>
    </row>
    <row r="430" spans="1:18" x14ac:dyDescent="0.25">
      <c r="A430">
        <v>100034</v>
      </c>
      <c r="B430" t="s">
        <v>3</v>
      </c>
      <c r="F430">
        <v>0</v>
      </c>
      <c r="G430">
        <v>2</v>
      </c>
      <c r="H430" s="1">
        <v>43952</v>
      </c>
      <c r="I430" s="1">
        <v>44317</v>
      </c>
      <c r="J430">
        <v>12</v>
      </c>
      <c r="K430">
        <v>1</v>
      </c>
      <c r="L430" s="1">
        <v>44228</v>
      </c>
      <c r="M430">
        <v>0</v>
      </c>
      <c r="N430" s="8" cm="1">
        <f t="array" ref="N430">_xlfn.SWITCH(Sales[[#This Row],[Subscription Type]],"Basic",10,"Premium",10,"Business",25,"Enterprise",27)</f>
        <v>10</v>
      </c>
      <c r="O430">
        <f>IF(Sales[[#This Row],[Number of Users]]-Sales[[#This Row],[Licenses Bought]]&lt;0,0,Sales[[#This Row],[Number of Users]]-Sales[[#This Row],[Licenses Bought]])</f>
        <v>2</v>
      </c>
      <c r="P430" s="8">
        <f>IF(Sales[[#This Row],[Sales Month]]=MAX(Sales[Sales Month]),Sales[[#This Row],[Non-Paying Users]]*Sales[[#This Row],[Upsell $ per Non-Paying User]],0)</f>
        <v>0</v>
      </c>
      <c r="Q430" t="str" cm="1">
        <f t="array" ref="Q430">_xlfn.IFS(Sales[[#This Row],[Current Upsell $]]=0,"",Sales[[#This Row],[Current Upsell $]]&gt;=400,"High",Sales[[#This Row],[Current Upsell $]]&gt;=100,"Medium",Sales[[#This Row],[Current Upsell $]]&lt;100,"Low")</f>
        <v/>
      </c>
      <c r="R430" t="str">
        <f>IF(Sales[[#This Row],[Current Upsell $]]&gt;0,_xlfn.CONCAT(Sales[[#This Row],[Subscription Type]]," ",Sales[[#This Row],[Upsell Priority]]," ",TEXT(Sales[[#This Row],[Current Upsell $]],"$#,#")),"")</f>
        <v/>
      </c>
    </row>
    <row r="431" spans="1:18" x14ac:dyDescent="0.25">
      <c r="A431">
        <v>100034</v>
      </c>
      <c r="B431" t="s">
        <v>3</v>
      </c>
      <c r="F431">
        <v>0</v>
      </c>
      <c r="G431">
        <v>2</v>
      </c>
      <c r="H431" s="1">
        <v>43952</v>
      </c>
      <c r="I431" s="1">
        <v>44317</v>
      </c>
      <c r="J431">
        <v>12</v>
      </c>
      <c r="K431">
        <v>1</v>
      </c>
      <c r="L431" s="1">
        <v>44256</v>
      </c>
      <c r="M431">
        <v>0</v>
      </c>
      <c r="N431" s="8" cm="1">
        <f t="array" ref="N431">_xlfn.SWITCH(Sales[[#This Row],[Subscription Type]],"Basic",10,"Premium",10,"Business",25,"Enterprise",27)</f>
        <v>10</v>
      </c>
      <c r="O431">
        <f>IF(Sales[[#This Row],[Number of Users]]-Sales[[#This Row],[Licenses Bought]]&lt;0,0,Sales[[#This Row],[Number of Users]]-Sales[[#This Row],[Licenses Bought]])</f>
        <v>2</v>
      </c>
      <c r="P431" s="8">
        <f>IF(Sales[[#This Row],[Sales Month]]=MAX(Sales[Sales Month]),Sales[[#This Row],[Non-Paying Users]]*Sales[[#This Row],[Upsell $ per Non-Paying User]],0)</f>
        <v>0</v>
      </c>
      <c r="Q431" t="str" cm="1">
        <f t="array" ref="Q431">_xlfn.IFS(Sales[[#This Row],[Current Upsell $]]=0,"",Sales[[#This Row],[Current Upsell $]]&gt;=400,"High",Sales[[#This Row],[Current Upsell $]]&gt;=100,"Medium",Sales[[#This Row],[Current Upsell $]]&lt;100,"Low")</f>
        <v/>
      </c>
      <c r="R431" t="str">
        <f>IF(Sales[[#This Row],[Current Upsell $]]&gt;0,_xlfn.CONCAT(Sales[[#This Row],[Subscription Type]]," ",Sales[[#This Row],[Upsell Priority]]," ",TEXT(Sales[[#This Row],[Current Upsell $]],"$#,#")),"")</f>
        <v/>
      </c>
    </row>
    <row r="432" spans="1:18" x14ac:dyDescent="0.25">
      <c r="A432">
        <v>100034</v>
      </c>
      <c r="B432" t="s">
        <v>3</v>
      </c>
      <c r="F432">
        <v>0</v>
      </c>
      <c r="G432">
        <v>2</v>
      </c>
      <c r="H432" s="1">
        <v>43952</v>
      </c>
      <c r="I432" s="1">
        <v>44317</v>
      </c>
      <c r="J432">
        <v>12</v>
      </c>
      <c r="K432">
        <v>1</v>
      </c>
      <c r="L432" s="1">
        <v>44287</v>
      </c>
      <c r="M432">
        <v>0</v>
      </c>
      <c r="N432" s="8" cm="1">
        <f t="array" ref="N432">_xlfn.SWITCH(Sales[[#This Row],[Subscription Type]],"Basic",10,"Premium",10,"Business",25,"Enterprise",27)</f>
        <v>10</v>
      </c>
      <c r="O432">
        <f>IF(Sales[[#This Row],[Number of Users]]-Sales[[#This Row],[Licenses Bought]]&lt;0,0,Sales[[#This Row],[Number of Users]]-Sales[[#This Row],[Licenses Bought]])</f>
        <v>2</v>
      </c>
      <c r="P432" s="8">
        <f>IF(Sales[[#This Row],[Sales Month]]=MAX(Sales[Sales Month]),Sales[[#This Row],[Non-Paying Users]]*Sales[[#This Row],[Upsell $ per Non-Paying User]],0)</f>
        <v>0</v>
      </c>
      <c r="Q432" t="str" cm="1">
        <f t="array" ref="Q432">_xlfn.IFS(Sales[[#This Row],[Current Upsell $]]=0,"",Sales[[#This Row],[Current Upsell $]]&gt;=400,"High",Sales[[#This Row],[Current Upsell $]]&gt;=100,"Medium",Sales[[#This Row],[Current Upsell $]]&lt;100,"Low")</f>
        <v/>
      </c>
      <c r="R432" t="str">
        <f>IF(Sales[[#This Row],[Current Upsell $]]&gt;0,_xlfn.CONCAT(Sales[[#This Row],[Subscription Type]]," ",Sales[[#This Row],[Upsell Priority]]," ",TEXT(Sales[[#This Row],[Current Upsell $]],"$#,#")),"")</f>
        <v/>
      </c>
    </row>
    <row r="433" spans="1:18" x14ac:dyDescent="0.25">
      <c r="A433">
        <v>100034</v>
      </c>
      <c r="B433" t="s">
        <v>3</v>
      </c>
      <c r="F433">
        <v>0</v>
      </c>
      <c r="G433">
        <v>2</v>
      </c>
      <c r="H433" s="1">
        <v>43952</v>
      </c>
      <c r="I433" s="1">
        <v>44317</v>
      </c>
      <c r="J433">
        <v>12</v>
      </c>
      <c r="K433">
        <v>1</v>
      </c>
      <c r="L433" s="1">
        <v>44317</v>
      </c>
      <c r="M433">
        <v>0</v>
      </c>
      <c r="N433" s="8" cm="1">
        <f t="array" ref="N433">_xlfn.SWITCH(Sales[[#This Row],[Subscription Type]],"Basic",10,"Premium",10,"Business",25,"Enterprise",27)</f>
        <v>10</v>
      </c>
      <c r="O433">
        <f>IF(Sales[[#This Row],[Number of Users]]-Sales[[#This Row],[Licenses Bought]]&lt;0,0,Sales[[#This Row],[Number of Users]]-Sales[[#This Row],[Licenses Bought]])</f>
        <v>2</v>
      </c>
      <c r="P433" s="8">
        <f>IF(Sales[[#This Row],[Sales Month]]=MAX(Sales[Sales Month]),Sales[[#This Row],[Non-Paying Users]]*Sales[[#This Row],[Upsell $ per Non-Paying User]],0)</f>
        <v>0</v>
      </c>
      <c r="Q433" t="str" cm="1">
        <f t="array" ref="Q433">_xlfn.IFS(Sales[[#This Row],[Current Upsell $]]=0,"",Sales[[#This Row],[Current Upsell $]]&gt;=400,"High",Sales[[#This Row],[Current Upsell $]]&gt;=100,"Medium",Sales[[#This Row],[Current Upsell $]]&lt;100,"Low")</f>
        <v/>
      </c>
      <c r="R433" t="str">
        <f>IF(Sales[[#This Row],[Current Upsell $]]&gt;0,_xlfn.CONCAT(Sales[[#This Row],[Subscription Type]]," ",Sales[[#This Row],[Upsell Priority]]," ",TEXT(Sales[[#This Row],[Current Upsell $]],"$#,#")),"")</f>
        <v/>
      </c>
    </row>
    <row r="434" spans="1:18" x14ac:dyDescent="0.25">
      <c r="A434">
        <v>100035</v>
      </c>
      <c r="B434" t="s">
        <v>3</v>
      </c>
      <c r="F434">
        <v>0</v>
      </c>
      <c r="G434">
        <v>2</v>
      </c>
      <c r="H434" s="1">
        <v>43952</v>
      </c>
      <c r="I434" s="1">
        <v>44228</v>
      </c>
      <c r="J434">
        <v>9</v>
      </c>
      <c r="K434">
        <v>4</v>
      </c>
      <c r="L434" s="1">
        <v>43952</v>
      </c>
      <c r="M434">
        <v>0</v>
      </c>
      <c r="N434" s="8" cm="1">
        <f t="array" ref="N434">_xlfn.SWITCH(Sales[[#This Row],[Subscription Type]],"Basic",10,"Premium",10,"Business",25,"Enterprise",27)</f>
        <v>10</v>
      </c>
      <c r="O434">
        <f>IF(Sales[[#This Row],[Number of Users]]-Sales[[#This Row],[Licenses Bought]]&lt;0,0,Sales[[#This Row],[Number of Users]]-Sales[[#This Row],[Licenses Bought]])</f>
        <v>2</v>
      </c>
      <c r="P434" s="8">
        <f>IF(Sales[[#This Row],[Sales Month]]=MAX(Sales[Sales Month]),Sales[[#This Row],[Non-Paying Users]]*Sales[[#This Row],[Upsell $ per Non-Paying User]],0)</f>
        <v>0</v>
      </c>
      <c r="Q434" t="str" cm="1">
        <f t="array" ref="Q434">_xlfn.IFS(Sales[[#This Row],[Current Upsell $]]=0,"",Sales[[#This Row],[Current Upsell $]]&gt;=400,"High",Sales[[#This Row],[Current Upsell $]]&gt;=100,"Medium",Sales[[#This Row],[Current Upsell $]]&lt;100,"Low")</f>
        <v/>
      </c>
      <c r="R434" t="str">
        <f>IF(Sales[[#This Row],[Current Upsell $]]&gt;0,_xlfn.CONCAT(Sales[[#This Row],[Subscription Type]]," ",Sales[[#This Row],[Upsell Priority]]," ",TEXT(Sales[[#This Row],[Current Upsell $]],"$#,#")),"")</f>
        <v/>
      </c>
    </row>
    <row r="435" spans="1:18" x14ac:dyDescent="0.25">
      <c r="A435">
        <v>100035</v>
      </c>
      <c r="B435" t="s">
        <v>3</v>
      </c>
      <c r="F435">
        <v>0</v>
      </c>
      <c r="G435">
        <v>2</v>
      </c>
      <c r="H435" s="1">
        <v>43952</v>
      </c>
      <c r="I435" s="1">
        <v>44228</v>
      </c>
      <c r="J435">
        <v>9</v>
      </c>
      <c r="K435">
        <v>4</v>
      </c>
      <c r="L435" s="1">
        <v>43983</v>
      </c>
      <c r="M435">
        <v>0</v>
      </c>
      <c r="N435" s="8" cm="1">
        <f t="array" ref="N435">_xlfn.SWITCH(Sales[[#This Row],[Subscription Type]],"Basic",10,"Premium",10,"Business",25,"Enterprise",27)</f>
        <v>10</v>
      </c>
      <c r="O435">
        <f>IF(Sales[[#This Row],[Number of Users]]-Sales[[#This Row],[Licenses Bought]]&lt;0,0,Sales[[#This Row],[Number of Users]]-Sales[[#This Row],[Licenses Bought]])</f>
        <v>2</v>
      </c>
      <c r="P435" s="8">
        <f>IF(Sales[[#This Row],[Sales Month]]=MAX(Sales[Sales Month]),Sales[[#This Row],[Non-Paying Users]]*Sales[[#This Row],[Upsell $ per Non-Paying User]],0)</f>
        <v>0</v>
      </c>
      <c r="Q435" t="str" cm="1">
        <f t="array" ref="Q435">_xlfn.IFS(Sales[[#This Row],[Current Upsell $]]=0,"",Sales[[#This Row],[Current Upsell $]]&gt;=400,"High",Sales[[#This Row],[Current Upsell $]]&gt;=100,"Medium",Sales[[#This Row],[Current Upsell $]]&lt;100,"Low")</f>
        <v/>
      </c>
      <c r="R435" t="str">
        <f>IF(Sales[[#This Row],[Current Upsell $]]&gt;0,_xlfn.CONCAT(Sales[[#This Row],[Subscription Type]]," ",Sales[[#This Row],[Upsell Priority]]," ",TEXT(Sales[[#This Row],[Current Upsell $]],"$#,#")),"")</f>
        <v/>
      </c>
    </row>
    <row r="436" spans="1:18" x14ac:dyDescent="0.25">
      <c r="A436">
        <v>100035</v>
      </c>
      <c r="B436" t="s">
        <v>3</v>
      </c>
      <c r="F436">
        <v>0</v>
      </c>
      <c r="G436">
        <v>2</v>
      </c>
      <c r="H436" s="1">
        <v>43952</v>
      </c>
      <c r="I436" s="1">
        <v>44228</v>
      </c>
      <c r="J436">
        <v>9</v>
      </c>
      <c r="K436">
        <v>4</v>
      </c>
      <c r="L436" s="1">
        <v>44013</v>
      </c>
      <c r="M436">
        <v>0</v>
      </c>
      <c r="N436" s="8" cm="1">
        <f t="array" ref="N436">_xlfn.SWITCH(Sales[[#This Row],[Subscription Type]],"Basic",10,"Premium",10,"Business",25,"Enterprise",27)</f>
        <v>10</v>
      </c>
      <c r="O436">
        <f>IF(Sales[[#This Row],[Number of Users]]-Sales[[#This Row],[Licenses Bought]]&lt;0,0,Sales[[#This Row],[Number of Users]]-Sales[[#This Row],[Licenses Bought]])</f>
        <v>2</v>
      </c>
      <c r="P436" s="8">
        <f>IF(Sales[[#This Row],[Sales Month]]=MAX(Sales[Sales Month]),Sales[[#This Row],[Non-Paying Users]]*Sales[[#This Row],[Upsell $ per Non-Paying User]],0)</f>
        <v>0</v>
      </c>
      <c r="Q436" t="str" cm="1">
        <f t="array" ref="Q436">_xlfn.IFS(Sales[[#This Row],[Current Upsell $]]=0,"",Sales[[#This Row],[Current Upsell $]]&gt;=400,"High",Sales[[#This Row],[Current Upsell $]]&gt;=100,"Medium",Sales[[#This Row],[Current Upsell $]]&lt;100,"Low")</f>
        <v/>
      </c>
      <c r="R436" t="str">
        <f>IF(Sales[[#This Row],[Current Upsell $]]&gt;0,_xlfn.CONCAT(Sales[[#This Row],[Subscription Type]]," ",Sales[[#This Row],[Upsell Priority]]," ",TEXT(Sales[[#This Row],[Current Upsell $]],"$#,#")),"")</f>
        <v/>
      </c>
    </row>
    <row r="437" spans="1:18" x14ac:dyDescent="0.25">
      <c r="A437">
        <v>100035</v>
      </c>
      <c r="B437" t="s">
        <v>3</v>
      </c>
      <c r="F437">
        <v>0</v>
      </c>
      <c r="G437">
        <v>1</v>
      </c>
      <c r="H437" s="1">
        <v>43952</v>
      </c>
      <c r="I437" s="1">
        <v>44228</v>
      </c>
      <c r="J437">
        <v>9</v>
      </c>
      <c r="K437">
        <v>4</v>
      </c>
      <c r="L437" s="1">
        <v>44044</v>
      </c>
      <c r="M437">
        <v>0</v>
      </c>
      <c r="N437" s="8" cm="1">
        <f t="array" ref="N437">_xlfn.SWITCH(Sales[[#This Row],[Subscription Type]],"Basic",10,"Premium",10,"Business",25,"Enterprise",27)</f>
        <v>10</v>
      </c>
      <c r="O437">
        <f>IF(Sales[[#This Row],[Number of Users]]-Sales[[#This Row],[Licenses Bought]]&lt;0,0,Sales[[#This Row],[Number of Users]]-Sales[[#This Row],[Licenses Bought]])</f>
        <v>1</v>
      </c>
      <c r="P437" s="8">
        <f>IF(Sales[[#This Row],[Sales Month]]=MAX(Sales[Sales Month]),Sales[[#This Row],[Non-Paying Users]]*Sales[[#This Row],[Upsell $ per Non-Paying User]],0)</f>
        <v>0</v>
      </c>
      <c r="Q437" t="str" cm="1">
        <f t="array" ref="Q437">_xlfn.IFS(Sales[[#This Row],[Current Upsell $]]=0,"",Sales[[#This Row],[Current Upsell $]]&gt;=400,"High",Sales[[#This Row],[Current Upsell $]]&gt;=100,"Medium",Sales[[#This Row],[Current Upsell $]]&lt;100,"Low")</f>
        <v/>
      </c>
      <c r="R437" t="str">
        <f>IF(Sales[[#This Row],[Current Upsell $]]&gt;0,_xlfn.CONCAT(Sales[[#This Row],[Subscription Type]]," ",Sales[[#This Row],[Upsell Priority]]," ",TEXT(Sales[[#This Row],[Current Upsell $]],"$#,#")),"")</f>
        <v/>
      </c>
    </row>
    <row r="438" spans="1:18" x14ac:dyDescent="0.25">
      <c r="A438">
        <v>100035</v>
      </c>
      <c r="B438" t="s">
        <v>3</v>
      </c>
      <c r="F438">
        <v>0</v>
      </c>
      <c r="G438">
        <v>2</v>
      </c>
      <c r="H438" s="1">
        <v>43952</v>
      </c>
      <c r="I438" s="1">
        <v>44228</v>
      </c>
      <c r="J438">
        <v>9</v>
      </c>
      <c r="K438">
        <v>4</v>
      </c>
      <c r="L438" s="1">
        <v>44075</v>
      </c>
      <c r="M438">
        <v>0</v>
      </c>
      <c r="N438" s="8" cm="1">
        <f t="array" ref="N438">_xlfn.SWITCH(Sales[[#This Row],[Subscription Type]],"Basic",10,"Premium",10,"Business",25,"Enterprise",27)</f>
        <v>10</v>
      </c>
      <c r="O438">
        <f>IF(Sales[[#This Row],[Number of Users]]-Sales[[#This Row],[Licenses Bought]]&lt;0,0,Sales[[#This Row],[Number of Users]]-Sales[[#This Row],[Licenses Bought]])</f>
        <v>2</v>
      </c>
      <c r="P438" s="8">
        <f>IF(Sales[[#This Row],[Sales Month]]=MAX(Sales[Sales Month]),Sales[[#This Row],[Non-Paying Users]]*Sales[[#This Row],[Upsell $ per Non-Paying User]],0)</f>
        <v>0</v>
      </c>
      <c r="Q438" t="str" cm="1">
        <f t="array" ref="Q438">_xlfn.IFS(Sales[[#This Row],[Current Upsell $]]=0,"",Sales[[#This Row],[Current Upsell $]]&gt;=400,"High",Sales[[#This Row],[Current Upsell $]]&gt;=100,"Medium",Sales[[#This Row],[Current Upsell $]]&lt;100,"Low")</f>
        <v/>
      </c>
      <c r="R438" t="str">
        <f>IF(Sales[[#This Row],[Current Upsell $]]&gt;0,_xlfn.CONCAT(Sales[[#This Row],[Subscription Type]]," ",Sales[[#This Row],[Upsell Priority]]," ",TEXT(Sales[[#This Row],[Current Upsell $]],"$#,#")),"")</f>
        <v/>
      </c>
    </row>
    <row r="439" spans="1:18" x14ac:dyDescent="0.25">
      <c r="A439">
        <v>100035</v>
      </c>
      <c r="B439" t="s">
        <v>3</v>
      </c>
      <c r="F439">
        <v>0</v>
      </c>
      <c r="G439">
        <v>2</v>
      </c>
      <c r="H439" s="1">
        <v>43952</v>
      </c>
      <c r="I439" s="1">
        <v>44228</v>
      </c>
      <c r="J439">
        <v>9</v>
      </c>
      <c r="K439">
        <v>4</v>
      </c>
      <c r="L439" s="1">
        <v>44105</v>
      </c>
      <c r="M439">
        <v>0</v>
      </c>
      <c r="N439" s="8" cm="1">
        <f t="array" ref="N439">_xlfn.SWITCH(Sales[[#This Row],[Subscription Type]],"Basic",10,"Premium",10,"Business",25,"Enterprise",27)</f>
        <v>10</v>
      </c>
      <c r="O439">
        <f>IF(Sales[[#This Row],[Number of Users]]-Sales[[#This Row],[Licenses Bought]]&lt;0,0,Sales[[#This Row],[Number of Users]]-Sales[[#This Row],[Licenses Bought]])</f>
        <v>2</v>
      </c>
      <c r="P439" s="8">
        <f>IF(Sales[[#This Row],[Sales Month]]=MAX(Sales[Sales Month]),Sales[[#This Row],[Non-Paying Users]]*Sales[[#This Row],[Upsell $ per Non-Paying User]],0)</f>
        <v>0</v>
      </c>
      <c r="Q439" t="str" cm="1">
        <f t="array" ref="Q439">_xlfn.IFS(Sales[[#This Row],[Current Upsell $]]=0,"",Sales[[#This Row],[Current Upsell $]]&gt;=400,"High",Sales[[#This Row],[Current Upsell $]]&gt;=100,"Medium",Sales[[#This Row],[Current Upsell $]]&lt;100,"Low")</f>
        <v/>
      </c>
      <c r="R439" t="str">
        <f>IF(Sales[[#This Row],[Current Upsell $]]&gt;0,_xlfn.CONCAT(Sales[[#This Row],[Subscription Type]]," ",Sales[[#This Row],[Upsell Priority]]," ",TEXT(Sales[[#This Row],[Current Upsell $]],"$#,#")),"")</f>
        <v/>
      </c>
    </row>
    <row r="440" spans="1:18" x14ac:dyDescent="0.25">
      <c r="A440">
        <v>100035</v>
      </c>
      <c r="B440" t="s">
        <v>3</v>
      </c>
      <c r="F440">
        <v>0</v>
      </c>
      <c r="G440">
        <v>2</v>
      </c>
      <c r="H440" s="1">
        <v>43952</v>
      </c>
      <c r="I440" s="1">
        <v>44228</v>
      </c>
      <c r="J440">
        <v>9</v>
      </c>
      <c r="K440">
        <v>4</v>
      </c>
      <c r="L440" s="1">
        <v>44136</v>
      </c>
      <c r="M440">
        <v>0</v>
      </c>
      <c r="N440" s="8" cm="1">
        <f t="array" ref="N440">_xlfn.SWITCH(Sales[[#This Row],[Subscription Type]],"Basic",10,"Premium",10,"Business",25,"Enterprise",27)</f>
        <v>10</v>
      </c>
      <c r="O440">
        <f>IF(Sales[[#This Row],[Number of Users]]-Sales[[#This Row],[Licenses Bought]]&lt;0,0,Sales[[#This Row],[Number of Users]]-Sales[[#This Row],[Licenses Bought]])</f>
        <v>2</v>
      </c>
      <c r="P440" s="8">
        <f>IF(Sales[[#This Row],[Sales Month]]=MAX(Sales[Sales Month]),Sales[[#This Row],[Non-Paying Users]]*Sales[[#This Row],[Upsell $ per Non-Paying User]],0)</f>
        <v>0</v>
      </c>
      <c r="Q440" t="str" cm="1">
        <f t="array" ref="Q440">_xlfn.IFS(Sales[[#This Row],[Current Upsell $]]=0,"",Sales[[#This Row],[Current Upsell $]]&gt;=400,"High",Sales[[#This Row],[Current Upsell $]]&gt;=100,"Medium",Sales[[#This Row],[Current Upsell $]]&lt;100,"Low")</f>
        <v/>
      </c>
      <c r="R440" t="str">
        <f>IF(Sales[[#This Row],[Current Upsell $]]&gt;0,_xlfn.CONCAT(Sales[[#This Row],[Subscription Type]]," ",Sales[[#This Row],[Upsell Priority]]," ",TEXT(Sales[[#This Row],[Current Upsell $]],"$#,#")),"")</f>
        <v/>
      </c>
    </row>
    <row r="441" spans="1:18" x14ac:dyDescent="0.25">
      <c r="A441">
        <v>100035</v>
      </c>
      <c r="B441" t="s">
        <v>3</v>
      </c>
      <c r="F441">
        <v>0</v>
      </c>
      <c r="G441">
        <v>2</v>
      </c>
      <c r="H441" s="1">
        <v>43952</v>
      </c>
      <c r="I441" s="1">
        <v>44228</v>
      </c>
      <c r="J441">
        <v>9</v>
      </c>
      <c r="K441">
        <v>4</v>
      </c>
      <c r="L441" s="1">
        <v>44166</v>
      </c>
      <c r="M441">
        <v>0</v>
      </c>
      <c r="N441" s="8" cm="1">
        <f t="array" ref="N441">_xlfn.SWITCH(Sales[[#This Row],[Subscription Type]],"Basic",10,"Premium",10,"Business",25,"Enterprise",27)</f>
        <v>10</v>
      </c>
      <c r="O441">
        <f>IF(Sales[[#This Row],[Number of Users]]-Sales[[#This Row],[Licenses Bought]]&lt;0,0,Sales[[#This Row],[Number of Users]]-Sales[[#This Row],[Licenses Bought]])</f>
        <v>2</v>
      </c>
      <c r="P441" s="8">
        <f>IF(Sales[[#This Row],[Sales Month]]=MAX(Sales[Sales Month]),Sales[[#This Row],[Non-Paying Users]]*Sales[[#This Row],[Upsell $ per Non-Paying User]],0)</f>
        <v>0</v>
      </c>
      <c r="Q441" t="str" cm="1">
        <f t="array" ref="Q441">_xlfn.IFS(Sales[[#This Row],[Current Upsell $]]=0,"",Sales[[#This Row],[Current Upsell $]]&gt;=400,"High",Sales[[#This Row],[Current Upsell $]]&gt;=100,"Medium",Sales[[#This Row],[Current Upsell $]]&lt;100,"Low")</f>
        <v/>
      </c>
      <c r="R441" t="str">
        <f>IF(Sales[[#This Row],[Current Upsell $]]&gt;0,_xlfn.CONCAT(Sales[[#This Row],[Subscription Type]]," ",Sales[[#This Row],[Upsell Priority]]," ",TEXT(Sales[[#This Row],[Current Upsell $]],"$#,#")),"")</f>
        <v/>
      </c>
    </row>
    <row r="442" spans="1:18" x14ac:dyDescent="0.25">
      <c r="A442">
        <v>100035</v>
      </c>
      <c r="B442" t="s">
        <v>3</v>
      </c>
      <c r="F442">
        <v>0</v>
      </c>
      <c r="G442">
        <v>2</v>
      </c>
      <c r="H442" s="1">
        <v>43952</v>
      </c>
      <c r="I442" s="1">
        <v>44228</v>
      </c>
      <c r="J442">
        <v>9</v>
      </c>
      <c r="K442">
        <v>4</v>
      </c>
      <c r="L442" s="1">
        <v>44197</v>
      </c>
      <c r="M442">
        <v>0</v>
      </c>
      <c r="N442" s="8" cm="1">
        <f t="array" ref="N442">_xlfn.SWITCH(Sales[[#This Row],[Subscription Type]],"Basic",10,"Premium",10,"Business",25,"Enterprise",27)</f>
        <v>10</v>
      </c>
      <c r="O442">
        <f>IF(Sales[[#This Row],[Number of Users]]-Sales[[#This Row],[Licenses Bought]]&lt;0,0,Sales[[#This Row],[Number of Users]]-Sales[[#This Row],[Licenses Bought]])</f>
        <v>2</v>
      </c>
      <c r="P442" s="8">
        <f>IF(Sales[[#This Row],[Sales Month]]=MAX(Sales[Sales Month]),Sales[[#This Row],[Non-Paying Users]]*Sales[[#This Row],[Upsell $ per Non-Paying User]],0)</f>
        <v>0</v>
      </c>
      <c r="Q442" t="str" cm="1">
        <f t="array" ref="Q442">_xlfn.IFS(Sales[[#This Row],[Current Upsell $]]=0,"",Sales[[#This Row],[Current Upsell $]]&gt;=400,"High",Sales[[#This Row],[Current Upsell $]]&gt;=100,"Medium",Sales[[#This Row],[Current Upsell $]]&lt;100,"Low")</f>
        <v/>
      </c>
      <c r="R442" t="str">
        <f>IF(Sales[[#This Row],[Current Upsell $]]&gt;0,_xlfn.CONCAT(Sales[[#This Row],[Subscription Type]]," ",Sales[[#This Row],[Upsell Priority]]," ",TEXT(Sales[[#This Row],[Current Upsell $]],"$#,#")),"")</f>
        <v/>
      </c>
    </row>
    <row r="443" spans="1:18" x14ac:dyDescent="0.25">
      <c r="A443">
        <v>100035</v>
      </c>
      <c r="B443" t="s">
        <v>3</v>
      </c>
      <c r="F443">
        <v>0</v>
      </c>
      <c r="G443">
        <v>2</v>
      </c>
      <c r="H443" s="1">
        <v>43952</v>
      </c>
      <c r="I443" s="1">
        <v>44228</v>
      </c>
      <c r="J443">
        <v>9</v>
      </c>
      <c r="K443">
        <v>4</v>
      </c>
      <c r="L443" s="1">
        <v>44228</v>
      </c>
      <c r="M443">
        <v>0</v>
      </c>
      <c r="N443" s="8" cm="1">
        <f t="array" ref="N443">_xlfn.SWITCH(Sales[[#This Row],[Subscription Type]],"Basic",10,"Premium",10,"Business",25,"Enterprise",27)</f>
        <v>10</v>
      </c>
      <c r="O443">
        <f>IF(Sales[[#This Row],[Number of Users]]-Sales[[#This Row],[Licenses Bought]]&lt;0,0,Sales[[#This Row],[Number of Users]]-Sales[[#This Row],[Licenses Bought]])</f>
        <v>2</v>
      </c>
      <c r="P443" s="8">
        <f>IF(Sales[[#This Row],[Sales Month]]=MAX(Sales[Sales Month]),Sales[[#This Row],[Non-Paying Users]]*Sales[[#This Row],[Upsell $ per Non-Paying User]],0)</f>
        <v>0</v>
      </c>
      <c r="Q443" t="str" cm="1">
        <f t="array" ref="Q443">_xlfn.IFS(Sales[[#This Row],[Current Upsell $]]=0,"",Sales[[#This Row],[Current Upsell $]]&gt;=400,"High",Sales[[#This Row],[Current Upsell $]]&gt;=100,"Medium",Sales[[#This Row],[Current Upsell $]]&lt;100,"Low")</f>
        <v/>
      </c>
      <c r="R443" t="str">
        <f>IF(Sales[[#This Row],[Current Upsell $]]&gt;0,_xlfn.CONCAT(Sales[[#This Row],[Subscription Type]]," ",Sales[[#This Row],[Upsell Priority]]," ",TEXT(Sales[[#This Row],[Current Upsell $]],"$#,#")),"")</f>
        <v/>
      </c>
    </row>
    <row r="444" spans="1:18" x14ac:dyDescent="0.25">
      <c r="A444">
        <v>100036</v>
      </c>
      <c r="B444" t="s">
        <v>3</v>
      </c>
      <c r="D444" s="1"/>
      <c r="E444" s="1"/>
      <c r="F444">
        <v>0</v>
      </c>
      <c r="G444">
        <v>2</v>
      </c>
      <c r="H444" s="1">
        <v>43952</v>
      </c>
      <c r="I444" s="1">
        <v>44378</v>
      </c>
      <c r="J444">
        <v>14</v>
      </c>
      <c r="K444">
        <v>0</v>
      </c>
      <c r="L444" s="1">
        <v>43952</v>
      </c>
      <c r="M444">
        <v>0</v>
      </c>
      <c r="N444" s="8" cm="1">
        <f t="array" ref="N444">_xlfn.SWITCH(Sales[[#This Row],[Subscription Type]],"Basic",10,"Premium",10,"Business",25,"Enterprise",27)</f>
        <v>10</v>
      </c>
      <c r="O444">
        <f>IF(Sales[[#This Row],[Number of Users]]-Sales[[#This Row],[Licenses Bought]]&lt;0,0,Sales[[#This Row],[Number of Users]]-Sales[[#This Row],[Licenses Bought]])</f>
        <v>2</v>
      </c>
      <c r="P444" s="8">
        <f>IF(Sales[[#This Row],[Sales Month]]=MAX(Sales[Sales Month]),Sales[[#This Row],[Non-Paying Users]]*Sales[[#This Row],[Upsell $ per Non-Paying User]],0)</f>
        <v>0</v>
      </c>
      <c r="Q444" t="str" cm="1">
        <f t="array" ref="Q444">_xlfn.IFS(Sales[[#This Row],[Current Upsell $]]=0,"",Sales[[#This Row],[Current Upsell $]]&gt;=400,"High",Sales[[#This Row],[Current Upsell $]]&gt;=100,"Medium",Sales[[#This Row],[Current Upsell $]]&lt;100,"Low")</f>
        <v/>
      </c>
      <c r="R444" t="str">
        <f>IF(Sales[[#This Row],[Current Upsell $]]&gt;0,_xlfn.CONCAT(Sales[[#This Row],[Subscription Type]]," ",Sales[[#This Row],[Upsell Priority]]," ",TEXT(Sales[[#This Row],[Current Upsell $]],"$#,#")),"")</f>
        <v/>
      </c>
    </row>
    <row r="445" spans="1:18" x14ac:dyDescent="0.25">
      <c r="A445">
        <v>100036</v>
      </c>
      <c r="B445" t="s">
        <v>0</v>
      </c>
      <c r="D445" s="1"/>
      <c r="E445" s="1"/>
      <c r="F445">
        <v>1</v>
      </c>
      <c r="G445">
        <v>2</v>
      </c>
      <c r="H445" s="1">
        <v>43952</v>
      </c>
      <c r="I445" s="1">
        <v>44378</v>
      </c>
      <c r="J445">
        <v>14</v>
      </c>
      <c r="K445">
        <v>0</v>
      </c>
      <c r="L445" s="1">
        <v>43983</v>
      </c>
      <c r="M445">
        <v>10</v>
      </c>
      <c r="N445" s="8" cm="1">
        <f t="array" ref="N445">_xlfn.SWITCH(Sales[[#This Row],[Subscription Type]],"Basic",10,"Premium",10,"Business",25,"Enterprise",27)</f>
        <v>10</v>
      </c>
      <c r="O445">
        <f>IF(Sales[[#This Row],[Number of Users]]-Sales[[#This Row],[Licenses Bought]]&lt;0,0,Sales[[#This Row],[Number of Users]]-Sales[[#This Row],[Licenses Bought]])</f>
        <v>1</v>
      </c>
      <c r="P445" s="8">
        <f>IF(Sales[[#This Row],[Sales Month]]=MAX(Sales[Sales Month]),Sales[[#This Row],[Non-Paying Users]]*Sales[[#This Row],[Upsell $ per Non-Paying User]],0)</f>
        <v>0</v>
      </c>
      <c r="Q445" t="str" cm="1">
        <f t="array" ref="Q445">_xlfn.IFS(Sales[[#This Row],[Current Upsell $]]=0,"",Sales[[#This Row],[Current Upsell $]]&gt;=400,"High",Sales[[#This Row],[Current Upsell $]]&gt;=100,"Medium",Sales[[#This Row],[Current Upsell $]]&lt;100,"Low")</f>
        <v/>
      </c>
      <c r="R445" t="str">
        <f>IF(Sales[[#This Row],[Current Upsell $]]&gt;0,_xlfn.CONCAT(Sales[[#This Row],[Subscription Type]]," ",Sales[[#This Row],[Upsell Priority]]," ",TEXT(Sales[[#This Row],[Current Upsell $]],"$#,#")),"")</f>
        <v/>
      </c>
    </row>
    <row r="446" spans="1:18" x14ac:dyDescent="0.25">
      <c r="A446">
        <v>100036</v>
      </c>
      <c r="B446" t="s">
        <v>0</v>
      </c>
      <c r="D446" s="1"/>
      <c r="E446" s="1"/>
      <c r="F446">
        <v>1</v>
      </c>
      <c r="G446">
        <v>2</v>
      </c>
      <c r="H446" s="1">
        <v>43952</v>
      </c>
      <c r="I446" s="1">
        <v>44378</v>
      </c>
      <c r="J446">
        <v>14</v>
      </c>
      <c r="K446">
        <v>0</v>
      </c>
      <c r="L446" s="1">
        <v>44013</v>
      </c>
      <c r="M446">
        <v>10</v>
      </c>
      <c r="N446" s="8" cm="1">
        <f t="array" ref="N446">_xlfn.SWITCH(Sales[[#This Row],[Subscription Type]],"Basic",10,"Premium",10,"Business",25,"Enterprise",27)</f>
        <v>10</v>
      </c>
      <c r="O446">
        <f>IF(Sales[[#This Row],[Number of Users]]-Sales[[#This Row],[Licenses Bought]]&lt;0,0,Sales[[#This Row],[Number of Users]]-Sales[[#This Row],[Licenses Bought]])</f>
        <v>1</v>
      </c>
      <c r="P446" s="8">
        <f>IF(Sales[[#This Row],[Sales Month]]=MAX(Sales[Sales Month]),Sales[[#This Row],[Non-Paying Users]]*Sales[[#This Row],[Upsell $ per Non-Paying User]],0)</f>
        <v>0</v>
      </c>
      <c r="Q446" t="str" cm="1">
        <f t="array" ref="Q446">_xlfn.IFS(Sales[[#This Row],[Current Upsell $]]=0,"",Sales[[#This Row],[Current Upsell $]]&gt;=400,"High",Sales[[#This Row],[Current Upsell $]]&gt;=100,"Medium",Sales[[#This Row],[Current Upsell $]]&lt;100,"Low")</f>
        <v/>
      </c>
      <c r="R446" t="str">
        <f>IF(Sales[[#This Row],[Current Upsell $]]&gt;0,_xlfn.CONCAT(Sales[[#This Row],[Subscription Type]]," ",Sales[[#This Row],[Upsell Priority]]," ",TEXT(Sales[[#This Row],[Current Upsell $]],"$#,#")),"")</f>
        <v/>
      </c>
    </row>
    <row r="447" spans="1:18" x14ac:dyDescent="0.25">
      <c r="A447">
        <v>100036</v>
      </c>
      <c r="B447" t="s">
        <v>0</v>
      </c>
      <c r="D447" s="1"/>
      <c r="E447" s="1"/>
      <c r="F447">
        <v>1</v>
      </c>
      <c r="G447">
        <v>2</v>
      </c>
      <c r="H447" s="1">
        <v>43952</v>
      </c>
      <c r="I447" s="1">
        <v>44378</v>
      </c>
      <c r="J447">
        <v>14</v>
      </c>
      <c r="K447">
        <v>0</v>
      </c>
      <c r="L447" s="1">
        <v>44044</v>
      </c>
      <c r="M447">
        <v>10</v>
      </c>
      <c r="N447" s="8" cm="1">
        <f t="array" ref="N447">_xlfn.SWITCH(Sales[[#This Row],[Subscription Type]],"Basic",10,"Premium",10,"Business",25,"Enterprise",27)</f>
        <v>10</v>
      </c>
      <c r="O447">
        <f>IF(Sales[[#This Row],[Number of Users]]-Sales[[#This Row],[Licenses Bought]]&lt;0,0,Sales[[#This Row],[Number of Users]]-Sales[[#This Row],[Licenses Bought]])</f>
        <v>1</v>
      </c>
      <c r="P447" s="8">
        <f>IF(Sales[[#This Row],[Sales Month]]=MAX(Sales[Sales Month]),Sales[[#This Row],[Non-Paying Users]]*Sales[[#This Row],[Upsell $ per Non-Paying User]],0)</f>
        <v>0</v>
      </c>
      <c r="Q447" t="str" cm="1">
        <f t="array" ref="Q447">_xlfn.IFS(Sales[[#This Row],[Current Upsell $]]=0,"",Sales[[#This Row],[Current Upsell $]]&gt;=400,"High",Sales[[#This Row],[Current Upsell $]]&gt;=100,"Medium",Sales[[#This Row],[Current Upsell $]]&lt;100,"Low")</f>
        <v/>
      </c>
      <c r="R447" t="str">
        <f>IF(Sales[[#This Row],[Current Upsell $]]&gt;0,_xlfn.CONCAT(Sales[[#This Row],[Subscription Type]]," ",Sales[[#This Row],[Upsell Priority]]," ",TEXT(Sales[[#This Row],[Current Upsell $]],"$#,#")),"")</f>
        <v/>
      </c>
    </row>
    <row r="448" spans="1:18" x14ac:dyDescent="0.25">
      <c r="A448">
        <v>100036</v>
      </c>
      <c r="B448" t="s">
        <v>0</v>
      </c>
      <c r="D448" s="1"/>
      <c r="E448" s="1"/>
      <c r="F448">
        <v>1</v>
      </c>
      <c r="G448">
        <v>2</v>
      </c>
      <c r="H448" s="1">
        <v>43952</v>
      </c>
      <c r="I448" s="1">
        <v>44378</v>
      </c>
      <c r="J448">
        <v>14</v>
      </c>
      <c r="K448">
        <v>0</v>
      </c>
      <c r="L448" s="1">
        <v>44075</v>
      </c>
      <c r="M448">
        <v>10</v>
      </c>
      <c r="N448" s="8" cm="1">
        <f t="array" ref="N448">_xlfn.SWITCH(Sales[[#This Row],[Subscription Type]],"Basic",10,"Premium",10,"Business",25,"Enterprise",27)</f>
        <v>10</v>
      </c>
      <c r="O448">
        <f>IF(Sales[[#This Row],[Number of Users]]-Sales[[#This Row],[Licenses Bought]]&lt;0,0,Sales[[#This Row],[Number of Users]]-Sales[[#This Row],[Licenses Bought]])</f>
        <v>1</v>
      </c>
      <c r="P448" s="8">
        <f>IF(Sales[[#This Row],[Sales Month]]=MAX(Sales[Sales Month]),Sales[[#This Row],[Non-Paying Users]]*Sales[[#This Row],[Upsell $ per Non-Paying User]],0)</f>
        <v>0</v>
      </c>
      <c r="Q448" t="str" cm="1">
        <f t="array" ref="Q448">_xlfn.IFS(Sales[[#This Row],[Current Upsell $]]=0,"",Sales[[#This Row],[Current Upsell $]]&gt;=400,"High",Sales[[#This Row],[Current Upsell $]]&gt;=100,"Medium",Sales[[#This Row],[Current Upsell $]]&lt;100,"Low")</f>
        <v/>
      </c>
      <c r="R448" t="str">
        <f>IF(Sales[[#This Row],[Current Upsell $]]&gt;0,_xlfn.CONCAT(Sales[[#This Row],[Subscription Type]]," ",Sales[[#This Row],[Upsell Priority]]," ",TEXT(Sales[[#This Row],[Current Upsell $]],"$#,#")),"")</f>
        <v/>
      </c>
    </row>
    <row r="449" spans="1:18" x14ac:dyDescent="0.25">
      <c r="A449">
        <v>100036</v>
      </c>
      <c r="B449" t="s">
        <v>0</v>
      </c>
      <c r="D449" s="1"/>
      <c r="E449" s="1"/>
      <c r="F449">
        <v>1</v>
      </c>
      <c r="G449">
        <v>2</v>
      </c>
      <c r="H449" s="1">
        <v>43952</v>
      </c>
      <c r="I449" s="1">
        <v>44378</v>
      </c>
      <c r="J449">
        <v>14</v>
      </c>
      <c r="K449">
        <v>0</v>
      </c>
      <c r="L449" s="1">
        <v>44105</v>
      </c>
      <c r="M449">
        <v>10</v>
      </c>
      <c r="N449" s="8" cm="1">
        <f t="array" ref="N449">_xlfn.SWITCH(Sales[[#This Row],[Subscription Type]],"Basic",10,"Premium",10,"Business",25,"Enterprise",27)</f>
        <v>10</v>
      </c>
      <c r="O449">
        <f>IF(Sales[[#This Row],[Number of Users]]-Sales[[#This Row],[Licenses Bought]]&lt;0,0,Sales[[#This Row],[Number of Users]]-Sales[[#This Row],[Licenses Bought]])</f>
        <v>1</v>
      </c>
      <c r="P449" s="8">
        <f>IF(Sales[[#This Row],[Sales Month]]=MAX(Sales[Sales Month]),Sales[[#This Row],[Non-Paying Users]]*Sales[[#This Row],[Upsell $ per Non-Paying User]],0)</f>
        <v>0</v>
      </c>
      <c r="Q449" t="str" cm="1">
        <f t="array" ref="Q449">_xlfn.IFS(Sales[[#This Row],[Current Upsell $]]=0,"",Sales[[#This Row],[Current Upsell $]]&gt;=400,"High",Sales[[#This Row],[Current Upsell $]]&gt;=100,"Medium",Sales[[#This Row],[Current Upsell $]]&lt;100,"Low")</f>
        <v/>
      </c>
      <c r="R449" t="str">
        <f>IF(Sales[[#This Row],[Current Upsell $]]&gt;0,_xlfn.CONCAT(Sales[[#This Row],[Subscription Type]]," ",Sales[[#This Row],[Upsell Priority]]," ",TEXT(Sales[[#This Row],[Current Upsell $]],"$#,#")),"")</f>
        <v/>
      </c>
    </row>
    <row r="450" spans="1:18" x14ac:dyDescent="0.25">
      <c r="A450">
        <v>100036</v>
      </c>
      <c r="B450" t="s">
        <v>0</v>
      </c>
      <c r="D450" s="1"/>
      <c r="E450" s="1"/>
      <c r="F450">
        <v>1</v>
      </c>
      <c r="G450">
        <v>2</v>
      </c>
      <c r="H450" s="1">
        <v>43952</v>
      </c>
      <c r="I450" s="1">
        <v>44378</v>
      </c>
      <c r="J450">
        <v>14</v>
      </c>
      <c r="K450">
        <v>0</v>
      </c>
      <c r="L450" s="1">
        <v>44136</v>
      </c>
      <c r="M450">
        <v>10</v>
      </c>
      <c r="N450" s="8" cm="1">
        <f t="array" ref="N450">_xlfn.SWITCH(Sales[[#This Row],[Subscription Type]],"Basic",10,"Premium",10,"Business",25,"Enterprise",27)</f>
        <v>10</v>
      </c>
      <c r="O450">
        <f>IF(Sales[[#This Row],[Number of Users]]-Sales[[#This Row],[Licenses Bought]]&lt;0,0,Sales[[#This Row],[Number of Users]]-Sales[[#This Row],[Licenses Bought]])</f>
        <v>1</v>
      </c>
      <c r="P450" s="8">
        <f>IF(Sales[[#This Row],[Sales Month]]=MAX(Sales[Sales Month]),Sales[[#This Row],[Non-Paying Users]]*Sales[[#This Row],[Upsell $ per Non-Paying User]],0)</f>
        <v>0</v>
      </c>
      <c r="Q450" t="str" cm="1">
        <f t="array" ref="Q450">_xlfn.IFS(Sales[[#This Row],[Current Upsell $]]=0,"",Sales[[#This Row],[Current Upsell $]]&gt;=400,"High",Sales[[#This Row],[Current Upsell $]]&gt;=100,"Medium",Sales[[#This Row],[Current Upsell $]]&lt;100,"Low")</f>
        <v/>
      </c>
      <c r="R450" t="str">
        <f>IF(Sales[[#This Row],[Current Upsell $]]&gt;0,_xlfn.CONCAT(Sales[[#This Row],[Subscription Type]]," ",Sales[[#This Row],[Upsell Priority]]," ",TEXT(Sales[[#This Row],[Current Upsell $]],"$#,#")),"")</f>
        <v/>
      </c>
    </row>
    <row r="451" spans="1:18" x14ac:dyDescent="0.25">
      <c r="A451">
        <v>100036</v>
      </c>
      <c r="B451" t="s">
        <v>0</v>
      </c>
      <c r="D451" s="1"/>
      <c r="E451" s="1"/>
      <c r="F451">
        <v>1</v>
      </c>
      <c r="G451">
        <v>2</v>
      </c>
      <c r="H451" s="1">
        <v>43952</v>
      </c>
      <c r="I451" s="1">
        <v>44378</v>
      </c>
      <c r="J451">
        <v>14</v>
      </c>
      <c r="K451">
        <v>0</v>
      </c>
      <c r="L451" s="1">
        <v>44166</v>
      </c>
      <c r="M451">
        <v>10</v>
      </c>
      <c r="N451" s="8" cm="1">
        <f t="array" ref="N451">_xlfn.SWITCH(Sales[[#This Row],[Subscription Type]],"Basic",10,"Premium",10,"Business",25,"Enterprise",27)</f>
        <v>10</v>
      </c>
      <c r="O451">
        <f>IF(Sales[[#This Row],[Number of Users]]-Sales[[#This Row],[Licenses Bought]]&lt;0,0,Sales[[#This Row],[Number of Users]]-Sales[[#This Row],[Licenses Bought]])</f>
        <v>1</v>
      </c>
      <c r="P451" s="8">
        <f>IF(Sales[[#This Row],[Sales Month]]=MAX(Sales[Sales Month]),Sales[[#This Row],[Non-Paying Users]]*Sales[[#This Row],[Upsell $ per Non-Paying User]],0)</f>
        <v>0</v>
      </c>
      <c r="Q451" t="str" cm="1">
        <f t="array" ref="Q451">_xlfn.IFS(Sales[[#This Row],[Current Upsell $]]=0,"",Sales[[#This Row],[Current Upsell $]]&gt;=400,"High",Sales[[#This Row],[Current Upsell $]]&gt;=100,"Medium",Sales[[#This Row],[Current Upsell $]]&lt;100,"Low")</f>
        <v/>
      </c>
      <c r="R451" t="str">
        <f>IF(Sales[[#This Row],[Current Upsell $]]&gt;0,_xlfn.CONCAT(Sales[[#This Row],[Subscription Type]]," ",Sales[[#This Row],[Upsell Priority]]," ",TEXT(Sales[[#This Row],[Current Upsell $]],"$#,#")),"")</f>
        <v/>
      </c>
    </row>
    <row r="452" spans="1:18" x14ac:dyDescent="0.25">
      <c r="A452">
        <v>100036</v>
      </c>
      <c r="B452" t="s">
        <v>0</v>
      </c>
      <c r="D452" s="1"/>
      <c r="E452" s="1"/>
      <c r="F452">
        <v>1</v>
      </c>
      <c r="G452">
        <v>2</v>
      </c>
      <c r="H452" s="1">
        <v>43952</v>
      </c>
      <c r="I452" s="1">
        <v>44378</v>
      </c>
      <c r="J452">
        <v>14</v>
      </c>
      <c r="K452">
        <v>0</v>
      </c>
      <c r="L452" s="1">
        <v>44197</v>
      </c>
      <c r="M452">
        <v>10</v>
      </c>
      <c r="N452" s="8" cm="1">
        <f t="array" ref="N452">_xlfn.SWITCH(Sales[[#This Row],[Subscription Type]],"Basic",10,"Premium",10,"Business",25,"Enterprise",27)</f>
        <v>10</v>
      </c>
      <c r="O452">
        <f>IF(Sales[[#This Row],[Number of Users]]-Sales[[#This Row],[Licenses Bought]]&lt;0,0,Sales[[#This Row],[Number of Users]]-Sales[[#This Row],[Licenses Bought]])</f>
        <v>1</v>
      </c>
      <c r="P452" s="8">
        <f>IF(Sales[[#This Row],[Sales Month]]=MAX(Sales[Sales Month]),Sales[[#This Row],[Non-Paying Users]]*Sales[[#This Row],[Upsell $ per Non-Paying User]],0)</f>
        <v>0</v>
      </c>
      <c r="Q452" t="str" cm="1">
        <f t="array" ref="Q452">_xlfn.IFS(Sales[[#This Row],[Current Upsell $]]=0,"",Sales[[#This Row],[Current Upsell $]]&gt;=400,"High",Sales[[#This Row],[Current Upsell $]]&gt;=100,"Medium",Sales[[#This Row],[Current Upsell $]]&lt;100,"Low")</f>
        <v/>
      </c>
      <c r="R452" t="str">
        <f>IF(Sales[[#This Row],[Current Upsell $]]&gt;0,_xlfn.CONCAT(Sales[[#This Row],[Subscription Type]]," ",Sales[[#This Row],[Upsell Priority]]," ",TEXT(Sales[[#This Row],[Current Upsell $]],"$#,#")),"")</f>
        <v/>
      </c>
    </row>
    <row r="453" spans="1:18" x14ac:dyDescent="0.25">
      <c r="A453">
        <v>100036</v>
      </c>
      <c r="B453" t="s">
        <v>0</v>
      </c>
      <c r="D453" s="1"/>
      <c r="E453" s="1"/>
      <c r="F453">
        <v>1</v>
      </c>
      <c r="G453">
        <v>2</v>
      </c>
      <c r="H453" s="1">
        <v>43952</v>
      </c>
      <c r="I453" s="1">
        <v>44378</v>
      </c>
      <c r="J453">
        <v>14</v>
      </c>
      <c r="K453">
        <v>0</v>
      </c>
      <c r="L453" s="1">
        <v>44228</v>
      </c>
      <c r="M453">
        <v>10</v>
      </c>
      <c r="N453" s="8" cm="1">
        <f t="array" ref="N453">_xlfn.SWITCH(Sales[[#This Row],[Subscription Type]],"Basic",10,"Premium",10,"Business",25,"Enterprise",27)</f>
        <v>10</v>
      </c>
      <c r="O453">
        <f>IF(Sales[[#This Row],[Number of Users]]-Sales[[#This Row],[Licenses Bought]]&lt;0,0,Sales[[#This Row],[Number of Users]]-Sales[[#This Row],[Licenses Bought]])</f>
        <v>1</v>
      </c>
      <c r="P453" s="8">
        <f>IF(Sales[[#This Row],[Sales Month]]=MAX(Sales[Sales Month]),Sales[[#This Row],[Non-Paying Users]]*Sales[[#This Row],[Upsell $ per Non-Paying User]],0)</f>
        <v>0</v>
      </c>
      <c r="Q453" t="str" cm="1">
        <f t="array" ref="Q453">_xlfn.IFS(Sales[[#This Row],[Current Upsell $]]=0,"",Sales[[#This Row],[Current Upsell $]]&gt;=400,"High",Sales[[#This Row],[Current Upsell $]]&gt;=100,"Medium",Sales[[#This Row],[Current Upsell $]]&lt;100,"Low")</f>
        <v/>
      </c>
      <c r="R453" t="str">
        <f>IF(Sales[[#This Row],[Current Upsell $]]&gt;0,_xlfn.CONCAT(Sales[[#This Row],[Subscription Type]]," ",Sales[[#This Row],[Upsell Priority]]," ",TEXT(Sales[[#This Row],[Current Upsell $]],"$#,#")),"")</f>
        <v/>
      </c>
    </row>
    <row r="454" spans="1:18" x14ac:dyDescent="0.25">
      <c r="A454">
        <v>100036</v>
      </c>
      <c r="B454" t="s">
        <v>0</v>
      </c>
      <c r="D454" s="1"/>
      <c r="E454" s="1"/>
      <c r="F454">
        <v>1</v>
      </c>
      <c r="G454">
        <v>2</v>
      </c>
      <c r="H454" s="1">
        <v>43952</v>
      </c>
      <c r="I454" s="1">
        <v>44378</v>
      </c>
      <c r="J454">
        <v>14</v>
      </c>
      <c r="K454">
        <v>0</v>
      </c>
      <c r="L454" s="1">
        <v>44256</v>
      </c>
      <c r="M454">
        <v>10</v>
      </c>
      <c r="N454" s="8" cm="1">
        <f t="array" ref="N454">_xlfn.SWITCH(Sales[[#This Row],[Subscription Type]],"Basic",10,"Premium",10,"Business",25,"Enterprise",27)</f>
        <v>10</v>
      </c>
      <c r="O454">
        <f>IF(Sales[[#This Row],[Number of Users]]-Sales[[#This Row],[Licenses Bought]]&lt;0,0,Sales[[#This Row],[Number of Users]]-Sales[[#This Row],[Licenses Bought]])</f>
        <v>1</v>
      </c>
      <c r="P454" s="8">
        <f>IF(Sales[[#This Row],[Sales Month]]=MAX(Sales[Sales Month]),Sales[[#This Row],[Non-Paying Users]]*Sales[[#This Row],[Upsell $ per Non-Paying User]],0)</f>
        <v>0</v>
      </c>
      <c r="Q454" t="str" cm="1">
        <f t="array" ref="Q454">_xlfn.IFS(Sales[[#This Row],[Current Upsell $]]=0,"",Sales[[#This Row],[Current Upsell $]]&gt;=400,"High",Sales[[#This Row],[Current Upsell $]]&gt;=100,"Medium",Sales[[#This Row],[Current Upsell $]]&lt;100,"Low")</f>
        <v/>
      </c>
      <c r="R454" t="str">
        <f>IF(Sales[[#This Row],[Current Upsell $]]&gt;0,_xlfn.CONCAT(Sales[[#This Row],[Subscription Type]]," ",Sales[[#This Row],[Upsell Priority]]," ",TEXT(Sales[[#This Row],[Current Upsell $]],"$#,#")),"")</f>
        <v/>
      </c>
    </row>
    <row r="455" spans="1:18" x14ac:dyDescent="0.25">
      <c r="A455">
        <v>100036</v>
      </c>
      <c r="B455" t="s">
        <v>0</v>
      </c>
      <c r="D455" s="1"/>
      <c r="E455" s="1"/>
      <c r="F455">
        <v>1</v>
      </c>
      <c r="G455">
        <v>2</v>
      </c>
      <c r="H455" s="1">
        <v>43952</v>
      </c>
      <c r="I455" s="1">
        <v>44378</v>
      </c>
      <c r="J455">
        <v>14</v>
      </c>
      <c r="K455">
        <v>0</v>
      </c>
      <c r="L455" s="1">
        <v>44287</v>
      </c>
      <c r="M455">
        <v>10</v>
      </c>
      <c r="N455" s="8" cm="1">
        <f t="array" ref="N455">_xlfn.SWITCH(Sales[[#This Row],[Subscription Type]],"Basic",10,"Premium",10,"Business",25,"Enterprise",27)</f>
        <v>10</v>
      </c>
      <c r="O455">
        <f>IF(Sales[[#This Row],[Number of Users]]-Sales[[#This Row],[Licenses Bought]]&lt;0,0,Sales[[#This Row],[Number of Users]]-Sales[[#This Row],[Licenses Bought]])</f>
        <v>1</v>
      </c>
      <c r="P455" s="8">
        <f>IF(Sales[[#This Row],[Sales Month]]=MAX(Sales[Sales Month]),Sales[[#This Row],[Non-Paying Users]]*Sales[[#This Row],[Upsell $ per Non-Paying User]],0)</f>
        <v>0</v>
      </c>
      <c r="Q455" t="str" cm="1">
        <f t="array" ref="Q455">_xlfn.IFS(Sales[[#This Row],[Current Upsell $]]=0,"",Sales[[#This Row],[Current Upsell $]]&gt;=400,"High",Sales[[#This Row],[Current Upsell $]]&gt;=100,"Medium",Sales[[#This Row],[Current Upsell $]]&lt;100,"Low")</f>
        <v/>
      </c>
      <c r="R455" t="str">
        <f>IF(Sales[[#This Row],[Current Upsell $]]&gt;0,_xlfn.CONCAT(Sales[[#This Row],[Subscription Type]]," ",Sales[[#This Row],[Upsell Priority]]," ",TEXT(Sales[[#This Row],[Current Upsell $]],"$#,#")),"")</f>
        <v/>
      </c>
    </row>
    <row r="456" spans="1:18" x14ac:dyDescent="0.25">
      <c r="A456">
        <v>100036</v>
      </c>
      <c r="B456" t="s">
        <v>0</v>
      </c>
      <c r="D456" s="1"/>
      <c r="E456" s="1"/>
      <c r="F456">
        <v>1</v>
      </c>
      <c r="G456">
        <v>1</v>
      </c>
      <c r="H456" s="1">
        <v>43952</v>
      </c>
      <c r="I456" s="1">
        <v>44378</v>
      </c>
      <c r="J456">
        <v>14</v>
      </c>
      <c r="K456">
        <v>0</v>
      </c>
      <c r="L456" s="1">
        <v>44317</v>
      </c>
      <c r="M456">
        <v>10</v>
      </c>
      <c r="N456" s="8" cm="1">
        <f t="array" ref="N456">_xlfn.SWITCH(Sales[[#This Row],[Subscription Type]],"Basic",10,"Premium",10,"Business",25,"Enterprise",27)</f>
        <v>10</v>
      </c>
      <c r="O456">
        <f>IF(Sales[[#This Row],[Number of Users]]-Sales[[#This Row],[Licenses Bought]]&lt;0,0,Sales[[#This Row],[Number of Users]]-Sales[[#This Row],[Licenses Bought]])</f>
        <v>0</v>
      </c>
      <c r="P456" s="8">
        <f>IF(Sales[[#This Row],[Sales Month]]=MAX(Sales[Sales Month]),Sales[[#This Row],[Non-Paying Users]]*Sales[[#This Row],[Upsell $ per Non-Paying User]],0)</f>
        <v>0</v>
      </c>
      <c r="Q456" t="str" cm="1">
        <f t="array" ref="Q456">_xlfn.IFS(Sales[[#This Row],[Current Upsell $]]=0,"",Sales[[#This Row],[Current Upsell $]]&gt;=400,"High",Sales[[#This Row],[Current Upsell $]]&gt;=100,"Medium",Sales[[#This Row],[Current Upsell $]]&lt;100,"Low")</f>
        <v/>
      </c>
      <c r="R456" t="str">
        <f>IF(Sales[[#This Row],[Current Upsell $]]&gt;0,_xlfn.CONCAT(Sales[[#This Row],[Subscription Type]]," ",Sales[[#This Row],[Upsell Priority]]," ",TEXT(Sales[[#This Row],[Current Upsell $]],"$#,#")),"")</f>
        <v/>
      </c>
    </row>
    <row r="457" spans="1:18" x14ac:dyDescent="0.25">
      <c r="A457">
        <v>100036</v>
      </c>
      <c r="B457" t="s">
        <v>0</v>
      </c>
      <c r="D457" s="1"/>
      <c r="E457" s="1"/>
      <c r="F457">
        <v>1</v>
      </c>
      <c r="G457">
        <v>2</v>
      </c>
      <c r="H457" s="1">
        <v>43952</v>
      </c>
      <c r="I457" s="1">
        <v>44378</v>
      </c>
      <c r="J457">
        <v>14</v>
      </c>
      <c r="K457">
        <v>0</v>
      </c>
      <c r="L457" s="1">
        <v>44348</v>
      </c>
      <c r="M457">
        <v>10</v>
      </c>
      <c r="N457" s="8" cm="1">
        <f t="array" ref="N457">_xlfn.SWITCH(Sales[[#This Row],[Subscription Type]],"Basic",10,"Premium",10,"Business",25,"Enterprise",27)</f>
        <v>10</v>
      </c>
      <c r="O457">
        <f>IF(Sales[[#This Row],[Number of Users]]-Sales[[#This Row],[Licenses Bought]]&lt;0,0,Sales[[#This Row],[Number of Users]]-Sales[[#This Row],[Licenses Bought]])</f>
        <v>1</v>
      </c>
      <c r="P457" s="8">
        <f>IF(Sales[[#This Row],[Sales Month]]=MAX(Sales[Sales Month]),Sales[[#This Row],[Non-Paying Users]]*Sales[[#This Row],[Upsell $ per Non-Paying User]],0)</f>
        <v>10</v>
      </c>
      <c r="Q457" t="str" cm="1">
        <f t="array" ref="Q457">_xlfn.IFS(Sales[[#This Row],[Current Upsell $]]=0,"",Sales[[#This Row],[Current Upsell $]]&gt;=400,"High",Sales[[#This Row],[Current Upsell $]]&gt;=100,"Medium",Sales[[#This Row],[Current Upsell $]]&lt;100,"Low")</f>
        <v>Low</v>
      </c>
      <c r="R457" t="str">
        <f>IF(Sales[[#This Row],[Current Upsell $]]&gt;0,_xlfn.CONCAT(Sales[[#This Row],[Subscription Type]]," ",Sales[[#This Row],[Upsell Priority]]," ",TEXT(Sales[[#This Row],[Current Upsell $]],"$#,#")),"")</f>
        <v>Premium Low $10</v>
      </c>
    </row>
    <row r="458" spans="1:18" x14ac:dyDescent="0.25">
      <c r="A458">
        <v>100037</v>
      </c>
      <c r="B458" t="s">
        <v>3</v>
      </c>
      <c r="D458" s="1"/>
      <c r="E458" s="1"/>
      <c r="F458">
        <v>0</v>
      </c>
      <c r="G458">
        <v>65</v>
      </c>
      <c r="H458" s="1">
        <v>43983</v>
      </c>
      <c r="I458" s="1">
        <v>44378</v>
      </c>
      <c r="J458">
        <v>13</v>
      </c>
      <c r="K458">
        <v>0</v>
      </c>
      <c r="L458" s="1">
        <v>43983</v>
      </c>
      <c r="M458">
        <v>0</v>
      </c>
      <c r="N458" s="8" cm="1">
        <f t="array" ref="N458">_xlfn.SWITCH(Sales[[#This Row],[Subscription Type]],"Basic",10,"Premium",10,"Business",25,"Enterprise",27)</f>
        <v>10</v>
      </c>
      <c r="O458">
        <f>IF(Sales[[#This Row],[Number of Users]]-Sales[[#This Row],[Licenses Bought]]&lt;0,0,Sales[[#This Row],[Number of Users]]-Sales[[#This Row],[Licenses Bought]])</f>
        <v>65</v>
      </c>
      <c r="P458" s="8">
        <f>IF(Sales[[#This Row],[Sales Month]]=MAX(Sales[Sales Month]),Sales[[#This Row],[Non-Paying Users]]*Sales[[#This Row],[Upsell $ per Non-Paying User]],0)</f>
        <v>0</v>
      </c>
      <c r="Q458" t="str" cm="1">
        <f t="array" ref="Q458">_xlfn.IFS(Sales[[#This Row],[Current Upsell $]]=0,"",Sales[[#This Row],[Current Upsell $]]&gt;=400,"High",Sales[[#This Row],[Current Upsell $]]&gt;=100,"Medium",Sales[[#This Row],[Current Upsell $]]&lt;100,"Low")</f>
        <v/>
      </c>
      <c r="R458" t="str">
        <f>IF(Sales[[#This Row],[Current Upsell $]]&gt;0,_xlfn.CONCAT(Sales[[#This Row],[Subscription Type]]," ",Sales[[#This Row],[Upsell Priority]]," ",TEXT(Sales[[#This Row],[Current Upsell $]],"$#,#")),"")</f>
        <v/>
      </c>
    </row>
    <row r="459" spans="1:18" x14ac:dyDescent="0.25">
      <c r="A459">
        <v>100037</v>
      </c>
      <c r="B459" t="s">
        <v>0</v>
      </c>
      <c r="D459" s="1"/>
      <c r="E459" s="1"/>
      <c r="F459">
        <v>22</v>
      </c>
      <c r="G459">
        <v>65</v>
      </c>
      <c r="H459" s="1">
        <v>43983</v>
      </c>
      <c r="I459" s="1">
        <v>44378</v>
      </c>
      <c r="J459">
        <v>13</v>
      </c>
      <c r="K459">
        <v>0</v>
      </c>
      <c r="L459" s="1">
        <v>44013</v>
      </c>
      <c r="M459">
        <v>220</v>
      </c>
      <c r="N459" s="8" cm="1">
        <f t="array" ref="N459">_xlfn.SWITCH(Sales[[#This Row],[Subscription Type]],"Basic",10,"Premium",10,"Business",25,"Enterprise",27)</f>
        <v>10</v>
      </c>
      <c r="O459">
        <f>IF(Sales[[#This Row],[Number of Users]]-Sales[[#This Row],[Licenses Bought]]&lt;0,0,Sales[[#This Row],[Number of Users]]-Sales[[#This Row],[Licenses Bought]])</f>
        <v>43</v>
      </c>
      <c r="P459" s="8">
        <f>IF(Sales[[#This Row],[Sales Month]]=MAX(Sales[Sales Month]),Sales[[#This Row],[Non-Paying Users]]*Sales[[#This Row],[Upsell $ per Non-Paying User]],0)</f>
        <v>0</v>
      </c>
      <c r="Q459" t="str" cm="1">
        <f t="array" ref="Q459">_xlfn.IFS(Sales[[#This Row],[Current Upsell $]]=0,"",Sales[[#This Row],[Current Upsell $]]&gt;=400,"High",Sales[[#This Row],[Current Upsell $]]&gt;=100,"Medium",Sales[[#This Row],[Current Upsell $]]&lt;100,"Low")</f>
        <v/>
      </c>
      <c r="R459" t="str">
        <f>IF(Sales[[#This Row],[Current Upsell $]]&gt;0,_xlfn.CONCAT(Sales[[#This Row],[Subscription Type]]," ",Sales[[#This Row],[Upsell Priority]]," ",TEXT(Sales[[#This Row],[Current Upsell $]],"$#,#")),"")</f>
        <v/>
      </c>
    </row>
    <row r="460" spans="1:18" x14ac:dyDescent="0.25">
      <c r="A460">
        <v>100037</v>
      </c>
      <c r="B460" t="s">
        <v>0</v>
      </c>
      <c r="D460" s="1"/>
      <c r="E460" s="1"/>
      <c r="F460">
        <v>53</v>
      </c>
      <c r="G460">
        <v>61</v>
      </c>
      <c r="H460" s="1">
        <v>43983</v>
      </c>
      <c r="I460" s="1">
        <v>44378</v>
      </c>
      <c r="J460">
        <v>13</v>
      </c>
      <c r="K460">
        <v>0</v>
      </c>
      <c r="L460" s="1">
        <v>44044</v>
      </c>
      <c r="M460">
        <v>530</v>
      </c>
      <c r="N460" s="8" cm="1">
        <f t="array" ref="N460">_xlfn.SWITCH(Sales[[#This Row],[Subscription Type]],"Basic",10,"Premium",10,"Business",25,"Enterprise",27)</f>
        <v>10</v>
      </c>
      <c r="O460">
        <f>IF(Sales[[#This Row],[Number of Users]]-Sales[[#This Row],[Licenses Bought]]&lt;0,0,Sales[[#This Row],[Number of Users]]-Sales[[#This Row],[Licenses Bought]])</f>
        <v>8</v>
      </c>
      <c r="P460" s="8">
        <f>IF(Sales[[#This Row],[Sales Month]]=MAX(Sales[Sales Month]),Sales[[#This Row],[Non-Paying Users]]*Sales[[#This Row],[Upsell $ per Non-Paying User]],0)</f>
        <v>0</v>
      </c>
      <c r="Q460" t="str" cm="1">
        <f t="array" ref="Q460">_xlfn.IFS(Sales[[#This Row],[Current Upsell $]]=0,"",Sales[[#This Row],[Current Upsell $]]&gt;=400,"High",Sales[[#This Row],[Current Upsell $]]&gt;=100,"Medium",Sales[[#This Row],[Current Upsell $]]&lt;100,"Low")</f>
        <v/>
      </c>
      <c r="R460" t="str">
        <f>IF(Sales[[#This Row],[Current Upsell $]]&gt;0,_xlfn.CONCAT(Sales[[#This Row],[Subscription Type]]," ",Sales[[#This Row],[Upsell Priority]]," ",TEXT(Sales[[#This Row],[Current Upsell $]],"$#,#")),"")</f>
        <v/>
      </c>
    </row>
    <row r="461" spans="1:18" x14ac:dyDescent="0.25">
      <c r="A461">
        <v>100037</v>
      </c>
      <c r="B461" t="s">
        <v>0</v>
      </c>
      <c r="D461" s="1"/>
      <c r="E461" s="1"/>
      <c r="F461">
        <v>53</v>
      </c>
      <c r="G461">
        <v>71</v>
      </c>
      <c r="H461" s="1">
        <v>43983</v>
      </c>
      <c r="I461" s="1">
        <v>44378</v>
      </c>
      <c r="J461">
        <v>13</v>
      </c>
      <c r="K461">
        <v>0</v>
      </c>
      <c r="L461" s="1">
        <v>44075</v>
      </c>
      <c r="M461">
        <v>530</v>
      </c>
      <c r="N461" s="8" cm="1">
        <f t="array" ref="N461">_xlfn.SWITCH(Sales[[#This Row],[Subscription Type]],"Basic",10,"Premium",10,"Business",25,"Enterprise",27)</f>
        <v>10</v>
      </c>
      <c r="O461">
        <f>IF(Sales[[#This Row],[Number of Users]]-Sales[[#This Row],[Licenses Bought]]&lt;0,0,Sales[[#This Row],[Number of Users]]-Sales[[#This Row],[Licenses Bought]])</f>
        <v>18</v>
      </c>
      <c r="P461" s="8">
        <f>IF(Sales[[#This Row],[Sales Month]]=MAX(Sales[Sales Month]),Sales[[#This Row],[Non-Paying Users]]*Sales[[#This Row],[Upsell $ per Non-Paying User]],0)</f>
        <v>0</v>
      </c>
      <c r="Q461" t="str" cm="1">
        <f t="array" ref="Q461">_xlfn.IFS(Sales[[#This Row],[Current Upsell $]]=0,"",Sales[[#This Row],[Current Upsell $]]&gt;=400,"High",Sales[[#This Row],[Current Upsell $]]&gt;=100,"Medium",Sales[[#This Row],[Current Upsell $]]&lt;100,"Low")</f>
        <v/>
      </c>
      <c r="R461" t="str">
        <f>IF(Sales[[#This Row],[Current Upsell $]]&gt;0,_xlfn.CONCAT(Sales[[#This Row],[Subscription Type]]," ",Sales[[#This Row],[Upsell Priority]]," ",TEXT(Sales[[#This Row],[Current Upsell $]],"$#,#")),"")</f>
        <v/>
      </c>
    </row>
    <row r="462" spans="1:18" x14ac:dyDescent="0.25">
      <c r="A462">
        <v>100037</v>
      </c>
      <c r="B462" t="s">
        <v>0</v>
      </c>
      <c r="D462" s="1"/>
      <c r="E462" s="1"/>
      <c r="F462">
        <v>53</v>
      </c>
      <c r="G462">
        <v>56</v>
      </c>
      <c r="H462" s="1">
        <v>43983</v>
      </c>
      <c r="I462" s="1">
        <v>44378</v>
      </c>
      <c r="J462">
        <v>13</v>
      </c>
      <c r="K462">
        <v>0</v>
      </c>
      <c r="L462" s="1">
        <v>44105</v>
      </c>
      <c r="M462">
        <v>530</v>
      </c>
      <c r="N462" s="8" cm="1">
        <f t="array" ref="N462">_xlfn.SWITCH(Sales[[#This Row],[Subscription Type]],"Basic",10,"Premium",10,"Business",25,"Enterprise",27)</f>
        <v>10</v>
      </c>
      <c r="O462">
        <f>IF(Sales[[#This Row],[Number of Users]]-Sales[[#This Row],[Licenses Bought]]&lt;0,0,Sales[[#This Row],[Number of Users]]-Sales[[#This Row],[Licenses Bought]])</f>
        <v>3</v>
      </c>
      <c r="P462" s="8">
        <f>IF(Sales[[#This Row],[Sales Month]]=MAX(Sales[Sales Month]),Sales[[#This Row],[Non-Paying Users]]*Sales[[#This Row],[Upsell $ per Non-Paying User]],0)</f>
        <v>0</v>
      </c>
      <c r="Q462" t="str" cm="1">
        <f t="array" ref="Q462">_xlfn.IFS(Sales[[#This Row],[Current Upsell $]]=0,"",Sales[[#This Row],[Current Upsell $]]&gt;=400,"High",Sales[[#This Row],[Current Upsell $]]&gt;=100,"Medium",Sales[[#This Row],[Current Upsell $]]&lt;100,"Low")</f>
        <v/>
      </c>
      <c r="R462" t="str">
        <f>IF(Sales[[#This Row],[Current Upsell $]]&gt;0,_xlfn.CONCAT(Sales[[#This Row],[Subscription Type]]," ",Sales[[#This Row],[Upsell Priority]]," ",TEXT(Sales[[#This Row],[Current Upsell $]],"$#,#")),"")</f>
        <v/>
      </c>
    </row>
    <row r="463" spans="1:18" x14ac:dyDescent="0.25">
      <c r="A463">
        <v>100037</v>
      </c>
      <c r="B463" t="s">
        <v>0</v>
      </c>
      <c r="D463" s="1"/>
      <c r="E463" s="1"/>
      <c r="F463">
        <v>53</v>
      </c>
      <c r="G463">
        <v>73</v>
      </c>
      <c r="H463" s="1">
        <v>43983</v>
      </c>
      <c r="I463" s="1">
        <v>44378</v>
      </c>
      <c r="J463">
        <v>13</v>
      </c>
      <c r="K463">
        <v>0</v>
      </c>
      <c r="L463" s="1">
        <v>44136</v>
      </c>
      <c r="M463">
        <v>530</v>
      </c>
      <c r="N463" s="8" cm="1">
        <f t="array" ref="N463">_xlfn.SWITCH(Sales[[#This Row],[Subscription Type]],"Basic",10,"Premium",10,"Business",25,"Enterprise",27)</f>
        <v>10</v>
      </c>
      <c r="O463">
        <f>IF(Sales[[#This Row],[Number of Users]]-Sales[[#This Row],[Licenses Bought]]&lt;0,0,Sales[[#This Row],[Number of Users]]-Sales[[#This Row],[Licenses Bought]])</f>
        <v>20</v>
      </c>
      <c r="P463" s="8">
        <f>IF(Sales[[#This Row],[Sales Month]]=MAX(Sales[Sales Month]),Sales[[#This Row],[Non-Paying Users]]*Sales[[#This Row],[Upsell $ per Non-Paying User]],0)</f>
        <v>0</v>
      </c>
      <c r="Q463" t="str" cm="1">
        <f t="array" ref="Q463">_xlfn.IFS(Sales[[#This Row],[Current Upsell $]]=0,"",Sales[[#This Row],[Current Upsell $]]&gt;=400,"High",Sales[[#This Row],[Current Upsell $]]&gt;=100,"Medium",Sales[[#This Row],[Current Upsell $]]&lt;100,"Low")</f>
        <v/>
      </c>
      <c r="R463" t="str">
        <f>IF(Sales[[#This Row],[Current Upsell $]]&gt;0,_xlfn.CONCAT(Sales[[#This Row],[Subscription Type]]," ",Sales[[#This Row],[Upsell Priority]]," ",TEXT(Sales[[#This Row],[Current Upsell $]],"$#,#")),"")</f>
        <v/>
      </c>
    </row>
    <row r="464" spans="1:18" x14ac:dyDescent="0.25">
      <c r="A464">
        <v>100037</v>
      </c>
      <c r="B464" t="s">
        <v>0</v>
      </c>
      <c r="D464" s="1"/>
      <c r="E464" s="1"/>
      <c r="F464">
        <v>53</v>
      </c>
      <c r="G464">
        <v>66</v>
      </c>
      <c r="H464" s="1">
        <v>43983</v>
      </c>
      <c r="I464" s="1">
        <v>44378</v>
      </c>
      <c r="J464">
        <v>13</v>
      </c>
      <c r="K464">
        <v>0</v>
      </c>
      <c r="L464" s="1">
        <v>44166</v>
      </c>
      <c r="M464">
        <v>530</v>
      </c>
      <c r="N464" s="8" cm="1">
        <f t="array" ref="N464">_xlfn.SWITCH(Sales[[#This Row],[Subscription Type]],"Basic",10,"Premium",10,"Business",25,"Enterprise",27)</f>
        <v>10</v>
      </c>
      <c r="O464">
        <f>IF(Sales[[#This Row],[Number of Users]]-Sales[[#This Row],[Licenses Bought]]&lt;0,0,Sales[[#This Row],[Number of Users]]-Sales[[#This Row],[Licenses Bought]])</f>
        <v>13</v>
      </c>
      <c r="P464" s="8">
        <f>IF(Sales[[#This Row],[Sales Month]]=MAX(Sales[Sales Month]),Sales[[#This Row],[Non-Paying Users]]*Sales[[#This Row],[Upsell $ per Non-Paying User]],0)</f>
        <v>0</v>
      </c>
      <c r="Q464" t="str" cm="1">
        <f t="array" ref="Q464">_xlfn.IFS(Sales[[#This Row],[Current Upsell $]]=0,"",Sales[[#This Row],[Current Upsell $]]&gt;=400,"High",Sales[[#This Row],[Current Upsell $]]&gt;=100,"Medium",Sales[[#This Row],[Current Upsell $]]&lt;100,"Low")</f>
        <v/>
      </c>
      <c r="R464" t="str">
        <f>IF(Sales[[#This Row],[Current Upsell $]]&gt;0,_xlfn.CONCAT(Sales[[#This Row],[Subscription Type]]," ",Sales[[#This Row],[Upsell Priority]]," ",TEXT(Sales[[#This Row],[Current Upsell $]],"$#,#")),"")</f>
        <v/>
      </c>
    </row>
    <row r="465" spans="1:18" x14ac:dyDescent="0.25">
      <c r="A465">
        <v>100037</v>
      </c>
      <c r="B465" t="s">
        <v>0</v>
      </c>
      <c r="D465" s="1"/>
      <c r="E465" s="1"/>
      <c r="F465">
        <v>53</v>
      </c>
      <c r="G465">
        <v>67</v>
      </c>
      <c r="H465" s="1">
        <v>43983</v>
      </c>
      <c r="I465" s="1">
        <v>44378</v>
      </c>
      <c r="J465">
        <v>13</v>
      </c>
      <c r="K465">
        <v>0</v>
      </c>
      <c r="L465" s="1">
        <v>44197</v>
      </c>
      <c r="M465">
        <v>530</v>
      </c>
      <c r="N465" s="8" cm="1">
        <f t="array" ref="N465">_xlfn.SWITCH(Sales[[#This Row],[Subscription Type]],"Basic",10,"Premium",10,"Business",25,"Enterprise",27)</f>
        <v>10</v>
      </c>
      <c r="O465">
        <f>IF(Sales[[#This Row],[Number of Users]]-Sales[[#This Row],[Licenses Bought]]&lt;0,0,Sales[[#This Row],[Number of Users]]-Sales[[#This Row],[Licenses Bought]])</f>
        <v>14</v>
      </c>
      <c r="P465" s="8">
        <f>IF(Sales[[#This Row],[Sales Month]]=MAX(Sales[Sales Month]),Sales[[#This Row],[Non-Paying Users]]*Sales[[#This Row],[Upsell $ per Non-Paying User]],0)</f>
        <v>0</v>
      </c>
      <c r="Q465" t="str" cm="1">
        <f t="array" ref="Q465">_xlfn.IFS(Sales[[#This Row],[Current Upsell $]]=0,"",Sales[[#This Row],[Current Upsell $]]&gt;=400,"High",Sales[[#This Row],[Current Upsell $]]&gt;=100,"Medium",Sales[[#This Row],[Current Upsell $]]&lt;100,"Low")</f>
        <v/>
      </c>
      <c r="R465" t="str">
        <f>IF(Sales[[#This Row],[Current Upsell $]]&gt;0,_xlfn.CONCAT(Sales[[#This Row],[Subscription Type]]," ",Sales[[#This Row],[Upsell Priority]]," ",TEXT(Sales[[#This Row],[Current Upsell $]],"$#,#")),"")</f>
        <v/>
      </c>
    </row>
    <row r="466" spans="1:18" x14ac:dyDescent="0.25">
      <c r="A466">
        <v>100037</v>
      </c>
      <c r="B466" t="s">
        <v>0</v>
      </c>
      <c r="D466" s="1"/>
      <c r="E466" s="1"/>
      <c r="F466">
        <v>53</v>
      </c>
      <c r="G466">
        <v>62</v>
      </c>
      <c r="H466" s="1">
        <v>43983</v>
      </c>
      <c r="I466" s="1">
        <v>44378</v>
      </c>
      <c r="J466">
        <v>13</v>
      </c>
      <c r="K466">
        <v>0</v>
      </c>
      <c r="L466" s="1">
        <v>44228</v>
      </c>
      <c r="M466">
        <v>530</v>
      </c>
      <c r="N466" s="8" cm="1">
        <f t="array" ref="N466">_xlfn.SWITCH(Sales[[#This Row],[Subscription Type]],"Basic",10,"Premium",10,"Business",25,"Enterprise",27)</f>
        <v>10</v>
      </c>
      <c r="O466">
        <f>IF(Sales[[#This Row],[Number of Users]]-Sales[[#This Row],[Licenses Bought]]&lt;0,0,Sales[[#This Row],[Number of Users]]-Sales[[#This Row],[Licenses Bought]])</f>
        <v>9</v>
      </c>
      <c r="P466" s="8">
        <f>IF(Sales[[#This Row],[Sales Month]]=MAX(Sales[Sales Month]),Sales[[#This Row],[Non-Paying Users]]*Sales[[#This Row],[Upsell $ per Non-Paying User]],0)</f>
        <v>0</v>
      </c>
      <c r="Q466" t="str" cm="1">
        <f t="array" ref="Q466">_xlfn.IFS(Sales[[#This Row],[Current Upsell $]]=0,"",Sales[[#This Row],[Current Upsell $]]&gt;=400,"High",Sales[[#This Row],[Current Upsell $]]&gt;=100,"Medium",Sales[[#This Row],[Current Upsell $]]&lt;100,"Low")</f>
        <v/>
      </c>
      <c r="R466" t="str">
        <f>IF(Sales[[#This Row],[Current Upsell $]]&gt;0,_xlfn.CONCAT(Sales[[#This Row],[Subscription Type]]," ",Sales[[#This Row],[Upsell Priority]]," ",TEXT(Sales[[#This Row],[Current Upsell $]],"$#,#")),"")</f>
        <v/>
      </c>
    </row>
    <row r="467" spans="1:18" x14ac:dyDescent="0.25">
      <c r="A467">
        <v>100037</v>
      </c>
      <c r="B467" t="s">
        <v>0</v>
      </c>
      <c r="D467" s="1"/>
      <c r="E467" s="1"/>
      <c r="F467">
        <v>53</v>
      </c>
      <c r="G467">
        <v>70</v>
      </c>
      <c r="H467" s="1">
        <v>43983</v>
      </c>
      <c r="I467" s="1">
        <v>44378</v>
      </c>
      <c r="J467">
        <v>13</v>
      </c>
      <c r="K467">
        <v>0</v>
      </c>
      <c r="L467" s="1">
        <v>44256</v>
      </c>
      <c r="M467">
        <v>530</v>
      </c>
      <c r="N467" s="8" cm="1">
        <f t="array" ref="N467">_xlfn.SWITCH(Sales[[#This Row],[Subscription Type]],"Basic",10,"Premium",10,"Business",25,"Enterprise",27)</f>
        <v>10</v>
      </c>
      <c r="O467">
        <f>IF(Sales[[#This Row],[Number of Users]]-Sales[[#This Row],[Licenses Bought]]&lt;0,0,Sales[[#This Row],[Number of Users]]-Sales[[#This Row],[Licenses Bought]])</f>
        <v>17</v>
      </c>
      <c r="P467" s="8">
        <f>IF(Sales[[#This Row],[Sales Month]]=MAX(Sales[Sales Month]),Sales[[#This Row],[Non-Paying Users]]*Sales[[#This Row],[Upsell $ per Non-Paying User]],0)</f>
        <v>0</v>
      </c>
      <c r="Q467" t="str" cm="1">
        <f t="array" ref="Q467">_xlfn.IFS(Sales[[#This Row],[Current Upsell $]]=0,"",Sales[[#This Row],[Current Upsell $]]&gt;=400,"High",Sales[[#This Row],[Current Upsell $]]&gt;=100,"Medium",Sales[[#This Row],[Current Upsell $]]&lt;100,"Low")</f>
        <v/>
      </c>
      <c r="R467" t="str">
        <f>IF(Sales[[#This Row],[Current Upsell $]]&gt;0,_xlfn.CONCAT(Sales[[#This Row],[Subscription Type]]," ",Sales[[#This Row],[Upsell Priority]]," ",TEXT(Sales[[#This Row],[Current Upsell $]],"$#,#")),"")</f>
        <v/>
      </c>
    </row>
    <row r="468" spans="1:18" x14ac:dyDescent="0.25">
      <c r="A468">
        <v>100037</v>
      </c>
      <c r="B468" t="s">
        <v>0</v>
      </c>
      <c r="D468" s="1"/>
      <c r="E468" s="1"/>
      <c r="F468">
        <v>53</v>
      </c>
      <c r="G468">
        <v>63</v>
      </c>
      <c r="H468" s="1">
        <v>43983</v>
      </c>
      <c r="I468" s="1">
        <v>44378</v>
      </c>
      <c r="J468">
        <v>13</v>
      </c>
      <c r="K468">
        <v>0</v>
      </c>
      <c r="L468" s="1">
        <v>44287</v>
      </c>
      <c r="M468">
        <v>530</v>
      </c>
      <c r="N468" s="8" cm="1">
        <f t="array" ref="N468">_xlfn.SWITCH(Sales[[#This Row],[Subscription Type]],"Basic",10,"Premium",10,"Business",25,"Enterprise",27)</f>
        <v>10</v>
      </c>
      <c r="O468">
        <f>IF(Sales[[#This Row],[Number of Users]]-Sales[[#This Row],[Licenses Bought]]&lt;0,0,Sales[[#This Row],[Number of Users]]-Sales[[#This Row],[Licenses Bought]])</f>
        <v>10</v>
      </c>
      <c r="P468" s="8">
        <f>IF(Sales[[#This Row],[Sales Month]]=MAX(Sales[Sales Month]),Sales[[#This Row],[Non-Paying Users]]*Sales[[#This Row],[Upsell $ per Non-Paying User]],0)</f>
        <v>0</v>
      </c>
      <c r="Q468" t="str" cm="1">
        <f t="array" ref="Q468">_xlfn.IFS(Sales[[#This Row],[Current Upsell $]]=0,"",Sales[[#This Row],[Current Upsell $]]&gt;=400,"High",Sales[[#This Row],[Current Upsell $]]&gt;=100,"Medium",Sales[[#This Row],[Current Upsell $]]&lt;100,"Low")</f>
        <v/>
      </c>
      <c r="R468" t="str">
        <f>IF(Sales[[#This Row],[Current Upsell $]]&gt;0,_xlfn.CONCAT(Sales[[#This Row],[Subscription Type]]," ",Sales[[#This Row],[Upsell Priority]]," ",TEXT(Sales[[#This Row],[Current Upsell $]],"$#,#")),"")</f>
        <v/>
      </c>
    </row>
    <row r="469" spans="1:18" x14ac:dyDescent="0.25">
      <c r="A469">
        <v>100037</v>
      </c>
      <c r="B469" t="s">
        <v>0</v>
      </c>
      <c r="D469" s="1"/>
      <c r="E469" s="1"/>
      <c r="F469">
        <v>53</v>
      </c>
      <c r="G469">
        <v>56</v>
      </c>
      <c r="H469" s="1">
        <v>43983</v>
      </c>
      <c r="I469" s="1">
        <v>44378</v>
      </c>
      <c r="J469">
        <v>13</v>
      </c>
      <c r="K469">
        <v>0</v>
      </c>
      <c r="L469" s="1">
        <v>44317</v>
      </c>
      <c r="M469">
        <v>530</v>
      </c>
      <c r="N469" s="8" cm="1">
        <f t="array" ref="N469">_xlfn.SWITCH(Sales[[#This Row],[Subscription Type]],"Basic",10,"Premium",10,"Business",25,"Enterprise",27)</f>
        <v>10</v>
      </c>
      <c r="O469">
        <f>IF(Sales[[#This Row],[Number of Users]]-Sales[[#This Row],[Licenses Bought]]&lt;0,0,Sales[[#This Row],[Number of Users]]-Sales[[#This Row],[Licenses Bought]])</f>
        <v>3</v>
      </c>
      <c r="P469" s="8">
        <f>IF(Sales[[#This Row],[Sales Month]]=MAX(Sales[Sales Month]),Sales[[#This Row],[Non-Paying Users]]*Sales[[#This Row],[Upsell $ per Non-Paying User]],0)</f>
        <v>0</v>
      </c>
      <c r="Q469" t="str" cm="1">
        <f t="array" ref="Q469">_xlfn.IFS(Sales[[#This Row],[Current Upsell $]]=0,"",Sales[[#This Row],[Current Upsell $]]&gt;=400,"High",Sales[[#This Row],[Current Upsell $]]&gt;=100,"Medium",Sales[[#This Row],[Current Upsell $]]&lt;100,"Low")</f>
        <v/>
      </c>
      <c r="R469" t="str">
        <f>IF(Sales[[#This Row],[Current Upsell $]]&gt;0,_xlfn.CONCAT(Sales[[#This Row],[Subscription Type]]," ",Sales[[#This Row],[Upsell Priority]]," ",TEXT(Sales[[#This Row],[Current Upsell $]],"$#,#")),"")</f>
        <v/>
      </c>
    </row>
    <row r="470" spans="1:18" x14ac:dyDescent="0.25">
      <c r="A470">
        <v>100037</v>
      </c>
      <c r="B470" t="s">
        <v>0</v>
      </c>
      <c r="D470" s="1"/>
      <c r="E470" s="1"/>
      <c r="F470">
        <v>53</v>
      </c>
      <c r="G470">
        <v>66</v>
      </c>
      <c r="H470" s="1">
        <v>43983</v>
      </c>
      <c r="I470" s="1">
        <v>44378</v>
      </c>
      <c r="J470">
        <v>13</v>
      </c>
      <c r="K470">
        <v>0</v>
      </c>
      <c r="L470" s="1">
        <v>44348</v>
      </c>
      <c r="M470">
        <v>530</v>
      </c>
      <c r="N470" s="8" cm="1">
        <f t="array" ref="N470">_xlfn.SWITCH(Sales[[#This Row],[Subscription Type]],"Basic",10,"Premium",10,"Business",25,"Enterprise",27)</f>
        <v>10</v>
      </c>
      <c r="O470">
        <f>IF(Sales[[#This Row],[Number of Users]]-Sales[[#This Row],[Licenses Bought]]&lt;0,0,Sales[[#This Row],[Number of Users]]-Sales[[#This Row],[Licenses Bought]])</f>
        <v>13</v>
      </c>
      <c r="P470" s="8">
        <f>IF(Sales[[#This Row],[Sales Month]]=MAX(Sales[Sales Month]),Sales[[#This Row],[Non-Paying Users]]*Sales[[#This Row],[Upsell $ per Non-Paying User]],0)</f>
        <v>130</v>
      </c>
      <c r="Q470" t="str" cm="1">
        <f t="array" ref="Q470">_xlfn.IFS(Sales[[#This Row],[Current Upsell $]]=0,"",Sales[[#This Row],[Current Upsell $]]&gt;=400,"High",Sales[[#This Row],[Current Upsell $]]&gt;=100,"Medium",Sales[[#This Row],[Current Upsell $]]&lt;100,"Low")</f>
        <v>Medium</v>
      </c>
      <c r="R470" t="str">
        <f>IF(Sales[[#This Row],[Current Upsell $]]&gt;0,_xlfn.CONCAT(Sales[[#This Row],[Subscription Type]]," ",Sales[[#This Row],[Upsell Priority]]," ",TEXT(Sales[[#This Row],[Current Upsell $]],"$#,#")),"")</f>
        <v>Premium Medium $130</v>
      </c>
    </row>
    <row r="471" spans="1:18" x14ac:dyDescent="0.25">
      <c r="A471">
        <v>100038</v>
      </c>
      <c r="B471" t="s">
        <v>3</v>
      </c>
      <c r="D471" s="1"/>
      <c r="E471" s="1"/>
      <c r="F471">
        <v>0</v>
      </c>
      <c r="G471">
        <v>76</v>
      </c>
      <c r="H471" s="1">
        <v>43983</v>
      </c>
      <c r="I471" s="1">
        <v>44378</v>
      </c>
      <c r="J471">
        <v>13</v>
      </c>
      <c r="K471">
        <v>0</v>
      </c>
      <c r="L471" s="1">
        <v>43983</v>
      </c>
      <c r="M471">
        <v>0</v>
      </c>
      <c r="N471" s="8" cm="1">
        <f t="array" ref="N471">_xlfn.SWITCH(Sales[[#This Row],[Subscription Type]],"Basic",10,"Premium",10,"Business",25,"Enterprise",27)</f>
        <v>10</v>
      </c>
      <c r="O471">
        <f>IF(Sales[[#This Row],[Number of Users]]-Sales[[#This Row],[Licenses Bought]]&lt;0,0,Sales[[#This Row],[Number of Users]]-Sales[[#This Row],[Licenses Bought]])</f>
        <v>76</v>
      </c>
      <c r="P471" s="8">
        <f>IF(Sales[[#This Row],[Sales Month]]=MAX(Sales[Sales Month]),Sales[[#This Row],[Non-Paying Users]]*Sales[[#This Row],[Upsell $ per Non-Paying User]],0)</f>
        <v>0</v>
      </c>
      <c r="Q471" t="str" cm="1">
        <f t="array" ref="Q471">_xlfn.IFS(Sales[[#This Row],[Current Upsell $]]=0,"",Sales[[#This Row],[Current Upsell $]]&gt;=400,"High",Sales[[#This Row],[Current Upsell $]]&gt;=100,"Medium",Sales[[#This Row],[Current Upsell $]]&lt;100,"Low")</f>
        <v/>
      </c>
      <c r="R471" t="str">
        <f>IF(Sales[[#This Row],[Current Upsell $]]&gt;0,_xlfn.CONCAT(Sales[[#This Row],[Subscription Type]]," ",Sales[[#This Row],[Upsell Priority]]," ",TEXT(Sales[[#This Row],[Current Upsell $]],"$#,#")),"")</f>
        <v/>
      </c>
    </row>
    <row r="472" spans="1:18" x14ac:dyDescent="0.25">
      <c r="A472">
        <v>100038</v>
      </c>
      <c r="B472" t="s">
        <v>1</v>
      </c>
      <c r="D472" s="1"/>
      <c r="E472" s="1"/>
      <c r="F472">
        <v>18</v>
      </c>
      <c r="G472">
        <v>65</v>
      </c>
      <c r="H472" s="1">
        <v>43983</v>
      </c>
      <c r="I472" s="1">
        <v>44378</v>
      </c>
      <c r="J472">
        <v>13</v>
      </c>
      <c r="K472">
        <v>0</v>
      </c>
      <c r="L472" s="1">
        <v>44013</v>
      </c>
      <c r="M472">
        <v>450</v>
      </c>
      <c r="N472" s="8" cm="1">
        <f t="array" ref="N472">_xlfn.SWITCH(Sales[[#This Row],[Subscription Type]],"Basic",10,"Premium",10,"Business",25,"Enterprise",27)</f>
        <v>25</v>
      </c>
      <c r="O472">
        <f>IF(Sales[[#This Row],[Number of Users]]-Sales[[#This Row],[Licenses Bought]]&lt;0,0,Sales[[#This Row],[Number of Users]]-Sales[[#This Row],[Licenses Bought]])</f>
        <v>47</v>
      </c>
      <c r="P472" s="8">
        <f>IF(Sales[[#This Row],[Sales Month]]=MAX(Sales[Sales Month]),Sales[[#This Row],[Non-Paying Users]]*Sales[[#This Row],[Upsell $ per Non-Paying User]],0)</f>
        <v>0</v>
      </c>
      <c r="Q472" t="str" cm="1">
        <f t="array" ref="Q472">_xlfn.IFS(Sales[[#This Row],[Current Upsell $]]=0,"",Sales[[#This Row],[Current Upsell $]]&gt;=400,"High",Sales[[#This Row],[Current Upsell $]]&gt;=100,"Medium",Sales[[#This Row],[Current Upsell $]]&lt;100,"Low")</f>
        <v/>
      </c>
      <c r="R472" t="str">
        <f>IF(Sales[[#This Row],[Current Upsell $]]&gt;0,_xlfn.CONCAT(Sales[[#This Row],[Subscription Type]]," ",Sales[[#This Row],[Upsell Priority]]," ",TEXT(Sales[[#This Row],[Current Upsell $]],"$#,#")),"")</f>
        <v/>
      </c>
    </row>
    <row r="473" spans="1:18" x14ac:dyDescent="0.25">
      <c r="A473">
        <v>100038</v>
      </c>
      <c r="B473" t="s">
        <v>1</v>
      </c>
      <c r="D473" s="1"/>
      <c r="E473" s="1"/>
      <c r="F473">
        <v>27</v>
      </c>
      <c r="G473">
        <v>72</v>
      </c>
      <c r="H473" s="1">
        <v>43983</v>
      </c>
      <c r="I473" s="1">
        <v>44378</v>
      </c>
      <c r="J473">
        <v>13</v>
      </c>
      <c r="K473">
        <v>0</v>
      </c>
      <c r="L473" s="1">
        <v>44044</v>
      </c>
      <c r="M473">
        <v>675</v>
      </c>
      <c r="N473" s="8" cm="1">
        <f t="array" ref="N473">_xlfn.SWITCH(Sales[[#This Row],[Subscription Type]],"Basic",10,"Premium",10,"Business",25,"Enterprise",27)</f>
        <v>25</v>
      </c>
      <c r="O473">
        <f>IF(Sales[[#This Row],[Number of Users]]-Sales[[#This Row],[Licenses Bought]]&lt;0,0,Sales[[#This Row],[Number of Users]]-Sales[[#This Row],[Licenses Bought]])</f>
        <v>45</v>
      </c>
      <c r="P473" s="8">
        <f>IF(Sales[[#This Row],[Sales Month]]=MAX(Sales[Sales Month]),Sales[[#This Row],[Non-Paying Users]]*Sales[[#This Row],[Upsell $ per Non-Paying User]],0)</f>
        <v>0</v>
      </c>
      <c r="Q473" t="str" cm="1">
        <f t="array" ref="Q473">_xlfn.IFS(Sales[[#This Row],[Current Upsell $]]=0,"",Sales[[#This Row],[Current Upsell $]]&gt;=400,"High",Sales[[#This Row],[Current Upsell $]]&gt;=100,"Medium",Sales[[#This Row],[Current Upsell $]]&lt;100,"Low")</f>
        <v/>
      </c>
      <c r="R473" t="str">
        <f>IF(Sales[[#This Row],[Current Upsell $]]&gt;0,_xlfn.CONCAT(Sales[[#This Row],[Subscription Type]]," ",Sales[[#This Row],[Upsell Priority]]," ",TEXT(Sales[[#This Row],[Current Upsell $]],"$#,#")),"")</f>
        <v/>
      </c>
    </row>
    <row r="474" spans="1:18" x14ac:dyDescent="0.25">
      <c r="A474">
        <v>100038</v>
      </c>
      <c r="B474" t="s">
        <v>1</v>
      </c>
      <c r="D474" s="1"/>
      <c r="E474" s="1"/>
      <c r="F474">
        <v>52</v>
      </c>
      <c r="G474">
        <v>72</v>
      </c>
      <c r="H474" s="1">
        <v>43983</v>
      </c>
      <c r="I474" s="1">
        <v>44378</v>
      </c>
      <c r="J474">
        <v>13</v>
      </c>
      <c r="K474">
        <v>0</v>
      </c>
      <c r="L474" s="1">
        <v>44075</v>
      </c>
      <c r="M474">
        <v>1300</v>
      </c>
      <c r="N474" s="8" cm="1">
        <f t="array" ref="N474">_xlfn.SWITCH(Sales[[#This Row],[Subscription Type]],"Basic",10,"Premium",10,"Business",25,"Enterprise",27)</f>
        <v>25</v>
      </c>
      <c r="O474">
        <f>IF(Sales[[#This Row],[Number of Users]]-Sales[[#This Row],[Licenses Bought]]&lt;0,0,Sales[[#This Row],[Number of Users]]-Sales[[#This Row],[Licenses Bought]])</f>
        <v>20</v>
      </c>
      <c r="P474" s="8">
        <f>IF(Sales[[#This Row],[Sales Month]]=MAX(Sales[Sales Month]),Sales[[#This Row],[Non-Paying Users]]*Sales[[#This Row],[Upsell $ per Non-Paying User]],0)</f>
        <v>0</v>
      </c>
      <c r="Q474" t="str" cm="1">
        <f t="array" ref="Q474">_xlfn.IFS(Sales[[#This Row],[Current Upsell $]]=0,"",Sales[[#This Row],[Current Upsell $]]&gt;=400,"High",Sales[[#This Row],[Current Upsell $]]&gt;=100,"Medium",Sales[[#This Row],[Current Upsell $]]&lt;100,"Low")</f>
        <v/>
      </c>
      <c r="R474" t="str">
        <f>IF(Sales[[#This Row],[Current Upsell $]]&gt;0,_xlfn.CONCAT(Sales[[#This Row],[Subscription Type]]," ",Sales[[#This Row],[Upsell Priority]]," ",TEXT(Sales[[#This Row],[Current Upsell $]],"$#,#")),"")</f>
        <v/>
      </c>
    </row>
    <row r="475" spans="1:18" x14ac:dyDescent="0.25">
      <c r="A475">
        <v>100038</v>
      </c>
      <c r="B475" t="s">
        <v>1</v>
      </c>
      <c r="D475" s="1"/>
      <c r="E475" s="1"/>
      <c r="F475">
        <v>52</v>
      </c>
      <c r="G475">
        <v>52</v>
      </c>
      <c r="H475" s="1">
        <v>43983</v>
      </c>
      <c r="I475" s="1">
        <v>44378</v>
      </c>
      <c r="J475">
        <v>13</v>
      </c>
      <c r="K475">
        <v>0</v>
      </c>
      <c r="L475" s="1">
        <v>44105</v>
      </c>
      <c r="M475">
        <v>1300</v>
      </c>
      <c r="N475" s="8" cm="1">
        <f t="array" ref="N475">_xlfn.SWITCH(Sales[[#This Row],[Subscription Type]],"Basic",10,"Premium",10,"Business",25,"Enterprise",27)</f>
        <v>25</v>
      </c>
      <c r="O475">
        <f>IF(Sales[[#This Row],[Number of Users]]-Sales[[#This Row],[Licenses Bought]]&lt;0,0,Sales[[#This Row],[Number of Users]]-Sales[[#This Row],[Licenses Bought]])</f>
        <v>0</v>
      </c>
      <c r="P475" s="8">
        <f>IF(Sales[[#This Row],[Sales Month]]=MAX(Sales[Sales Month]),Sales[[#This Row],[Non-Paying Users]]*Sales[[#This Row],[Upsell $ per Non-Paying User]],0)</f>
        <v>0</v>
      </c>
      <c r="Q475" t="str" cm="1">
        <f t="array" ref="Q475">_xlfn.IFS(Sales[[#This Row],[Current Upsell $]]=0,"",Sales[[#This Row],[Current Upsell $]]&gt;=400,"High",Sales[[#This Row],[Current Upsell $]]&gt;=100,"Medium",Sales[[#This Row],[Current Upsell $]]&lt;100,"Low")</f>
        <v/>
      </c>
      <c r="R475" t="str">
        <f>IF(Sales[[#This Row],[Current Upsell $]]&gt;0,_xlfn.CONCAT(Sales[[#This Row],[Subscription Type]]," ",Sales[[#This Row],[Upsell Priority]]," ",TEXT(Sales[[#This Row],[Current Upsell $]],"$#,#")),"")</f>
        <v/>
      </c>
    </row>
    <row r="476" spans="1:18" x14ac:dyDescent="0.25">
      <c r="A476">
        <v>100038</v>
      </c>
      <c r="B476" t="s">
        <v>1</v>
      </c>
      <c r="D476" s="1"/>
      <c r="E476" s="1"/>
      <c r="F476">
        <v>52</v>
      </c>
      <c r="G476">
        <v>64</v>
      </c>
      <c r="H476" s="1">
        <v>43983</v>
      </c>
      <c r="I476" s="1">
        <v>44378</v>
      </c>
      <c r="J476">
        <v>13</v>
      </c>
      <c r="K476">
        <v>0</v>
      </c>
      <c r="L476" s="1">
        <v>44136</v>
      </c>
      <c r="M476">
        <v>1300</v>
      </c>
      <c r="N476" s="8" cm="1">
        <f t="array" ref="N476">_xlfn.SWITCH(Sales[[#This Row],[Subscription Type]],"Basic",10,"Premium",10,"Business",25,"Enterprise",27)</f>
        <v>25</v>
      </c>
      <c r="O476">
        <f>IF(Sales[[#This Row],[Number of Users]]-Sales[[#This Row],[Licenses Bought]]&lt;0,0,Sales[[#This Row],[Number of Users]]-Sales[[#This Row],[Licenses Bought]])</f>
        <v>12</v>
      </c>
      <c r="P476" s="8">
        <f>IF(Sales[[#This Row],[Sales Month]]=MAX(Sales[Sales Month]),Sales[[#This Row],[Non-Paying Users]]*Sales[[#This Row],[Upsell $ per Non-Paying User]],0)</f>
        <v>0</v>
      </c>
      <c r="Q476" t="str" cm="1">
        <f t="array" ref="Q476">_xlfn.IFS(Sales[[#This Row],[Current Upsell $]]=0,"",Sales[[#This Row],[Current Upsell $]]&gt;=400,"High",Sales[[#This Row],[Current Upsell $]]&gt;=100,"Medium",Sales[[#This Row],[Current Upsell $]]&lt;100,"Low")</f>
        <v/>
      </c>
      <c r="R476" t="str">
        <f>IF(Sales[[#This Row],[Current Upsell $]]&gt;0,_xlfn.CONCAT(Sales[[#This Row],[Subscription Type]]," ",Sales[[#This Row],[Upsell Priority]]," ",TEXT(Sales[[#This Row],[Current Upsell $]],"$#,#")),"")</f>
        <v/>
      </c>
    </row>
    <row r="477" spans="1:18" x14ac:dyDescent="0.25">
      <c r="A477">
        <v>100038</v>
      </c>
      <c r="B477" t="s">
        <v>1</v>
      </c>
      <c r="D477" s="1"/>
      <c r="E477" s="1"/>
      <c r="F477">
        <v>52</v>
      </c>
      <c r="G477">
        <v>68</v>
      </c>
      <c r="H477" s="1">
        <v>43983</v>
      </c>
      <c r="I477" s="1">
        <v>44378</v>
      </c>
      <c r="J477">
        <v>13</v>
      </c>
      <c r="K477">
        <v>0</v>
      </c>
      <c r="L477" s="1">
        <v>44166</v>
      </c>
      <c r="M477">
        <v>1300</v>
      </c>
      <c r="N477" s="8" cm="1">
        <f t="array" ref="N477">_xlfn.SWITCH(Sales[[#This Row],[Subscription Type]],"Basic",10,"Premium",10,"Business",25,"Enterprise",27)</f>
        <v>25</v>
      </c>
      <c r="O477">
        <f>IF(Sales[[#This Row],[Number of Users]]-Sales[[#This Row],[Licenses Bought]]&lt;0,0,Sales[[#This Row],[Number of Users]]-Sales[[#This Row],[Licenses Bought]])</f>
        <v>16</v>
      </c>
      <c r="P477" s="8">
        <f>IF(Sales[[#This Row],[Sales Month]]=MAX(Sales[Sales Month]),Sales[[#This Row],[Non-Paying Users]]*Sales[[#This Row],[Upsell $ per Non-Paying User]],0)</f>
        <v>0</v>
      </c>
      <c r="Q477" t="str" cm="1">
        <f t="array" ref="Q477">_xlfn.IFS(Sales[[#This Row],[Current Upsell $]]=0,"",Sales[[#This Row],[Current Upsell $]]&gt;=400,"High",Sales[[#This Row],[Current Upsell $]]&gt;=100,"Medium",Sales[[#This Row],[Current Upsell $]]&lt;100,"Low")</f>
        <v/>
      </c>
      <c r="R477" t="str">
        <f>IF(Sales[[#This Row],[Current Upsell $]]&gt;0,_xlfn.CONCAT(Sales[[#This Row],[Subscription Type]]," ",Sales[[#This Row],[Upsell Priority]]," ",TEXT(Sales[[#This Row],[Current Upsell $]],"$#,#")),"")</f>
        <v/>
      </c>
    </row>
    <row r="478" spans="1:18" x14ac:dyDescent="0.25">
      <c r="A478">
        <v>100038</v>
      </c>
      <c r="B478" t="s">
        <v>1</v>
      </c>
      <c r="D478" s="1"/>
      <c r="E478" s="1"/>
      <c r="F478">
        <v>52</v>
      </c>
      <c r="G478">
        <v>61</v>
      </c>
      <c r="H478" s="1">
        <v>43983</v>
      </c>
      <c r="I478" s="1">
        <v>44378</v>
      </c>
      <c r="J478">
        <v>13</v>
      </c>
      <c r="K478">
        <v>0</v>
      </c>
      <c r="L478" s="1">
        <v>44197</v>
      </c>
      <c r="M478">
        <v>1300</v>
      </c>
      <c r="N478" s="8" cm="1">
        <f t="array" ref="N478">_xlfn.SWITCH(Sales[[#This Row],[Subscription Type]],"Basic",10,"Premium",10,"Business",25,"Enterprise",27)</f>
        <v>25</v>
      </c>
      <c r="O478">
        <f>IF(Sales[[#This Row],[Number of Users]]-Sales[[#This Row],[Licenses Bought]]&lt;0,0,Sales[[#This Row],[Number of Users]]-Sales[[#This Row],[Licenses Bought]])</f>
        <v>9</v>
      </c>
      <c r="P478" s="8">
        <f>IF(Sales[[#This Row],[Sales Month]]=MAX(Sales[Sales Month]),Sales[[#This Row],[Non-Paying Users]]*Sales[[#This Row],[Upsell $ per Non-Paying User]],0)</f>
        <v>0</v>
      </c>
      <c r="Q478" t="str" cm="1">
        <f t="array" ref="Q478">_xlfn.IFS(Sales[[#This Row],[Current Upsell $]]=0,"",Sales[[#This Row],[Current Upsell $]]&gt;=400,"High",Sales[[#This Row],[Current Upsell $]]&gt;=100,"Medium",Sales[[#This Row],[Current Upsell $]]&lt;100,"Low")</f>
        <v/>
      </c>
      <c r="R478" t="str">
        <f>IF(Sales[[#This Row],[Current Upsell $]]&gt;0,_xlfn.CONCAT(Sales[[#This Row],[Subscription Type]]," ",Sales[[#This Row],[Upsell Priority]]," ",TEXT(Sales[[#This Row],[Current Upsell $]],"$#,#")),"")</f>
        <v/>
      </c>
    </row>
    <row r="479" spans="1:18" x14ac:dyDescent="0.25">
      <c r="A479">
        <v>100038</v>
      </c>
      <c r="B479" t="s">
        <v>1</v>
      </c>
      <c r="D479" s="1"/>
      <c r="E479" s="1"/>
      <c r="F479">
        <v>52</v>
      </c>
      <c r="G479">
        <v>60</v>
      </c>
      <c r="H479" s="1">
        <v>43983</v>
      </c>
      <c r="I479" s="1">
        <v>44378</v>
      </c>
      <c r="J479">
        <v>13</v>
      </c>
      <c r="K479">
        <v>0</v>
      </c>
      <c r="L479" s="1">
        <v>44228</v>
      </c>
      <c r="M479">
        <v>1300</v>
      </c>
      <c r="N479" s="8" cm="1">
        <f t="array" ref="N479">_xlfn.SWITCH(Sales[[#This Row],[Subscription Type]],"Basic",10,"Premium",10,"Business",25,"Enterprise",27)</f>
        <v>25</v>
      </c>
      <c r="O479">
        <f>IF(Sales[[#This Row],[Number of Users]]-Sales[[#This Row],[Licenses Bought]]&lt;0,0,Sales[[#This Row],[Number of Users]]-Sales[[#This Row],[Licenses Bought]])</f>
        <v>8</v>
      </c>
      <c r="P479" s="8">
        <f>IF(Sales[[#This Row],[Sales Month]]=MAX(Sales[Sales Month]),Sales[[#This Row],[Non-Paying Users]]*Sales[[#This Row],[Upsell $ per Non-Paying User]],0)</f>
        <v>0</v>
      </c>
      <c r="Q479" t="str" cm="1">
        <f t="array" ref="Q479">_xlfn.IFS(Sales[[#This Row],[Current Upsell $]]=0,"",Sales[[#This Row],[Current Upsell $]]&gt;=400,"High",Sales[[#This Row],[Current Upsell $]]&gt;=100,"Medium",Sales[[#This Row],[Current Upsell $]]&lt;100,"Low")</f>
        <v/>
      </c>
      <c r="R479" t="str">
        <f>IF(Sales[[#This Row],[Current Upsell $]]&gt;0,_xlfn.CONCAT(Sales[[#This Row],[Subscription Type]]," ",Sales[[#This Row],[Upsell Priority]]," ",TEXT(Sales[[#This Row],[Current Upsell $]],"$#,#")),"")</f>
        <v/>
      </c>
    </row>
    <row r="480" spans="1:18" x14ac:dyDescent="0.25">
      <c r="A480">
        <v>100038</v>
      </c>
      <c r="B480" t="s">
        <v>1</v>
      </c>
      <c r="D480" s="1"/>
      <c r="E480" s="1"/>
      <c r="F480">
        <v>52</v>
      </c>
      <c r="G480">
        <v>54</v>
      </c>
      <c r="H480" s="1">
        <v>43983</v>
      </c>
      <c r="I480" s="1">
        <v>44378</v>
      </c>
      <c r="J480">
        <v>13</v>
      </c>
      <c r="K480">
        <v>0</v>
      </c>
      <c r="L480" s="1">
        <v>44256</v>
      </c>
      <c r="M480">
        <v>1300</v>
      </c>
      <c r="N480" s="8" cm="1">
        <f t="array" ref="N480">_xlfn.SWITCH(Sales[[#This Row],[Subscription Type]],"Basic",10,"Premium",10,"Business",25,"Enterprise",27)</f>
        <v>25</v>
      </c>
      <c r="O480">
        <f>IF(Sales[[#This Row],[Number of Users]]-Sales[[#This Row],[Licenses Bought]]&lt;0,0,Sales[[#This Row],[Number of Users]]-Sales[[#This Row],[Licenses Bought]])</f>
        <v>2</v>
      </c>
      <c r="P480" s="8">
        <f>IF(Sales[[#This Row],[Sales Month]]=MAX(Sales[Sales Month]),Sales[[#This Row],[Non-Paying Users]]*Sales[[#This Row],[Upsell $ per Non-Paying User]],0)</f>
        <v>0</v>
      </c>
      <c r="Q480" t="str" cm="1">
        <f t="array" ref="Q480">_xlfn.IFS(Sales[[#This Row],[Current Upsell $]]=0,"",Sales[[#This Row],[Current Upsell $]]&gt;=400,"High",Sales[[#This Row],[Current Upsell $]]&gt;=100,"Medium",Sales[[#This Row],[Current Upsell $]]&lt;100,"Low")</f>
        <v/>
      </c>
      <c r="R480" t="str">
        <f>IF(Sales[[#This Row],[Current Upsell $]]&gt;0,_xlfn.CONCAT(Sales[[#This Row],[Subscription Type]]," ",Sales[[#This Row],[Upsell Priority]]," ",TEXT(Sales[[#This Row],[Current Upsell $]],"$#,#")),"")</f>
        <v/>
      </c>
    </row>
    <row r="481" spans="1:18" x14ac:dyDescent="0.25">
      <c r="A481">
        <v>100038</v>
      </c>
      <c r="B481" t="s">
        <v>1</v>
      </c>
      <c r="D481" s="1"/>
      <c r="E481" s="1"/>
      <c r="F481">
        <v>52</v>
      </c>
      <c r="G481">
        <v>74</v>
      </c>
      <c r="H481" s="1">
        <v>43983</v>
      </c>
      <c r="I481" s="1">
        <v>44378</v>
      </c>
      <c r="J481">
        <v>13</v>
      </c>
      <c r="K481">
        <v>0</v>
      </c>
      <c r="L481" s="1">
        <v>44287</v>
      </c>
      <c r="M481">
        <v>1300</v>
      </c>
      <c r="N481" s="8" cm="1">
        <f t="array" ref="N481">_xlfn.SWITCH(Sales[[#This Row],[Subscription Type]],"Basic",10,"Premium",10,"Business",25,"Enterprise",27)</f>
        <v>25</v>
      </c>
      <c r="O481">
        <f>IF(Sales[[#This Row],[Number of Users]]-Sales[[#This Row],[Licenses Bought]]&lt;0,0,Sales[[#This Row],[Number of Users]]-Sales[[#This Row],[Licenses Bought]])</f>
        <v>22</v>
      </c>
      <c r="P481" s="8">
        <f>IF(Sales[[#This Row],[Sales Month]]=MAX(Sales[Sales Month]),Sales[[#This Row],[Non-Paying Users]]*Sales[[#This Row],[Upsell $ per Non-Paying User]],0)</f>
        <v>0</v>
      </c>
      <c r="Q481" t="str" cm="1">
        <f t="array" ref="Q481">_xlfn.IFS(Sales[[#This Row],[Current Upsell $]]=0,"",Sales[[#This Row],[Current Upsell $]]&gt;=400,"High",Sales[[#This Row],[Current Upsell $]]&gt;=100,"Medium",Sales[[#This Row],[Current Upsell $]]&lt;100,"Low")</f>
        <v/>
      </c>
      <c r="R481" t="str">
        <f>IF(Sales[[#This Row],[Current Upsell $]]&gt;0,_xlfn.CONCAT(Sales[[#This Row],[Subscription Type]]," ",Sales[[#This Row],[Upsell Priority]]," ",TEXT(Sales[[#This Row],[Current Upsell $]],"$#,#")),"")</f>
        <v/>
      </c>
    </row>
    <row r="482" spans="1:18" x14ac:dyDescent="0.25">
      <c r="A482">
        <v>100038</v>
      </c>
      <c r="B482" t="s">
        <v>1</v>
      </c>
      <c r="D482" s="1"/>
      <c r="E482" s="1"/>
      <c r="F482">
        <v>52</v>
      </c>
      <c r="G482">
        <v>50</v>
      </c>
      <c r="H482" s="1">
        <v>43983</v>
      </c>
      <c r="I482" s="1">
        <v>44378</v>
      </c>
      <c r="J482">
        <v>13</v>
      </c>
      <c r="K482">
        <v>0</v>
      </c>
      <c r="L482" s="1">
        <v>44317</v>
      </c>
      <c r="M482">
        <v>1300</v>
      </c>
      <c r="N482" s="8" cm="1">
        <f t="array" ref="N482">_xlfn.SWITCH(Sales[[#This Row],[Subscription Type]],"Basic",10,"Premium",10,"Business",25,"Enterprise",27)</f>
        <v>25</v>
      </c>
      <c r="O482">
        <f>IF(Sales[[#This Row],[Number of Users]]-Sales[[#This Row],[Licenses Bought]]&lt;0,0,Sales[[#This Row],[Number of Users]]-Sales[[#This Row],[Licenses Bought]])</f>
        <v>0</v>
      </c>
      <c r="P482" s="8">
        <f>IF(Sales[[#This Row],[Sales Month]]=MAX(Sales[Sales Month]),Sales[[#This Row],[Non-Paying Users]]*Sales[[#This Row],[Upsell $ per Non-Paying User]],0)</f>
        <v>0</v>
      </c>
      <c r="Q482" t="str" cm="1">
        <f t="array" ref="Q482">_xlfn.IFS(Sales[[#This Row],[Current Upsell $]]=0,"",Sales[[#This Row],[Current Upsell $]]&gt;=400,"High",Sales[[#This Row],[Current Upsell $]]&gt;=100,"Medium",Sales[[#This Row],[Current Upsell $]]&lt;100,"Low")</f>
        <v/>
      </c>
      <c r="R482" t="str">
        <f>IF(Sales[[#This Row],[Current Upsell $]]&gt;0,_xlfn.CONCAT(Sales[[#This Row],[Subscription Type]]," ",Sales[[#This Row],[Upsell Priority]]," ",TEXT(Sales[[#This Row],[Current Upsell $]],"$#,#")),"")</f>
        <v/>
      </c>
    </row>
    <row r="483" spans="1:18" x14ac:dyDescent="0.25">
      <c r="A483">
        <v>100038</v>
      </c>
      <c r="B483" t="s">
        <v>1</v>
      </c>
      <c r="D483" s="1"/>
      <c r="E483" s="1"/>
      <c r="F483">
        <v>52</v>
      </c>
      <c r="G483">
        <v>64</v>
      </c>
      <c r="H483" s="1">
        <v>43983</v>
      </c>
      <c r="I483" s="1">
        <v>44378</v>
      </c>
      <c r="J483">
        <v>13</v>
      </c>
      <c r="K483">
        <v>0</v>
      </c>
      <c r="L483" s="1">
        <v>44348</v>
      </c>
      <c r="M483">
        <v>1300</v>
      </c>
      <c r="N483" s="8" cm="1">
        <f t="array" ref="N483">_xlfn.SWITCH(Sales[[#This Row],[Subscription Type]],"Basic",10,"Premium",10,"Business",25,"Enterprise",27)</f>
        <v>25</v>
      </c>
      <c r="O483">
        <f>IF(Sales[[#This Row],[Number of Users]]-Sales[[#This Row],[Licenses Bought]]&lt;0,0,Sales[[#This Row],[Number of Users]]-Sales[[#This Row],[Licenses Bought]])</f>
        <v>12</v>
      </c>
      <c r="P483" s="8">
        <f>IF(Sales[[#This Row],[Sales Month]]=MAX(Sales[Sales Month]),Sales[[#This Row],[Non-Paying Users]]*Sales[[#This Row],[Upsell $ per Non-Paying User]],0)</f>
        <v>300</v>
      </c>
      <c r="Q483" t="str" cm="1">
        <f t="array" ref="Q483">_xlfn.IFS(Sales[[#This Row],[Current Upsell $]]=0,"",Sales[[#This Row],[Current Upsell $]]&gt;=400,"High",Sales[[#This Row],[Current Upsell $]]&gt;=100,"Medium",Sales[[#This Row],[Current Upsell $]]&lt;100,"Low")</f>
        <v>Medium</v>
      </c>
      <c r="R483" t="str">
        <f>IF(Sales[[#This Row],[Current Upsell $]]&gt;0,_xlfn.CONCAT(Sales[[#This Row],[Subscription Type]]," ",Sales[[#This Row],[Upsell Priority]]," ",TEXT(Sales[[#This Row],[Current Upsell $]],"$#,#")),"")</f>
        <v>Business Medium $300</v>
      </c>
    </row>
    <row r="484" spans="1:18" x14ac:dyDescent="0.25">
      <c r="A484">
        <v>100039</v>
      </c>
      <c r="B484" t="s">
        <v>3</v>
      </c>
      <c r="D484" s="1"/>
      <c r="E484" s="1"/>
      <c r="F484">
        <v>0</v>
      </c>
      <c r="G484">
        <v>53</v>
      </c>
      <c r="H484" s="1">
        <v>43983</v>
      </c>
      <c r="I484" s="1">
        <v>44378</v>
      </c>
      <c r="J484">
        <v>13</v>
      </c>
      <c r="K484">
        <v>0</v>
      </c>
      <c r="L484" s="1">
        <v>43983</v>
      </c>
      <c r="M484">
        <v>0</v>
      </c>
      <c r="N484" s="8" cm="1">
        <f t="array" ref="N484">_xlfn.SWITCH(Sales[[#This Row],[Subscription Type]],"Basic",10,"Premium",10,"Business",25,"Enterprise",27)</f>
        <v>10</v>
      </c>
      <c r="O484">
        <f>IF(Sales[[#This Row],[Number of Users]]-Sales[[#This Row],[Licenses Bought]]&lt;0,0,Sales[[#This Row],[Number of Users]]-Sales[[#This Row],[Licenses Bought]])</f>
        <v>53</v>
      </c>
      <c r="P484" s="8">
        <f>IF(Sales[[#This Row],[Sales Month]]=MAX(Sales[Sales Month]),Sales[[#This Row],[Non-Paying Users]]*Sales[[#This Row],[Upsell $ per Non-Paying User]],0)</f>
        <v>0</v>
      </c>
      <c r="Q484" t="str" cm="1">
        <f t="array" ref="Q484">_xlfn.IFS(Sales[[#This Row],[Current Upsell $]]=0,"",Sales[[#This Row],[Current Upsell $]]&gt;=400,"High",Sales[[#This Row],[Current Upsell $]]&gt;=100,"Medium",Sales[[#This Row],[Current Upsell $]]&lt;100,"Low")</f>
        <v/>
      </c>
      <c r="R484" t="str">
        <f>IF(Sales[[#This Row],[Current Upsell $]]&gt;0,_xlfn.CONCAT(Sales[[#This Row],[Subscription Type]]," ",Sales[[#This Row],[Upsell Priority]]," ",TEXT(Sales[[#This Row],[Current Upsell $]],"$#,#")),"")</f>
        <v/>
      </c>
    </row>
    <row r="485" spans="1:18" x14ac:dyDescent="0.25">
      <c r="A485">
        <v>100039</v>
      </c>
      <c r="B485" t="s">
        <v>0</v>
      </c>
      <c r="D485" s="1"/>
      <c r="E485" s="1"/>
      <c r="F485">
        <v>21</v>
      </c>
      <c r="G485">
        <v>37</v>
      </c>
      <c r="H485" s="1">
        <v>43983</v>
      </c>
      <c r="I485" s="1">
        <v>44378</v>
      </c>
      <c r="J485">
        <v>13</v>
      </c>
      <c r="K485">
        <v>0</v>
      </c>
      <c r="L485" s="1">
        <v>44013</v>
      </c>
      <c r="M485">
        <v>210</v>
      </c>
      <c r="N485" s="8" cm="1">
        <f t="array" ref="N485">_xlfn.SWITCH(Sales[[#This Row],[Subscription Type]],"Basic",10,"Premium",10,"Business",25,"Enterprise",27)</f>
        <v>10</v>
      </c>
      <c r="O485">
        <f>IF(Sales[[#This Row],[Number of Users]]-Sales[[#This Row],[Licenses Bought]]&lt;0,0,Sales[[#This Row],[Number of Users]]-Sales[[#This Row],[Licenses Bought]])</f>
        <v>16</v>
      </c>
      <c r="P485" s="8">
        <f>IF(Sales[[#This Row],[Sales Month]]=MAX(Sales[Sales Month]),Sales[[#This Row],[Non-Paying Users]]*Sales[[#This Row],[Upsell $ per Non-Paying User]],0)</f>
        <v>0</v>
      </c>
      <c r="Q485" t="str" cm="1">
        <f t="array" ref="Q485">_xlfn.IFS(Sales[[#This Row],[Current Upsell $]]=0,"",Sales[[#This Row],[Current Upsell $]]&gt;=400,"High",Sales[[#This Row],[Current Upsell $]]&gt;=100,"Medium",Sales[[#This Row],[Current Upsell $]]&lt;100,"Low")</f>
        <v/>
      </c>
      <c r="R485" t="str">
        <f>IF(Sales[[#This Row],[Current Upsell $]]&gt;0,_xlfn.CONCAT(Sales[[#This Row],[Subscription Type]]," ",Sales[[#This Row],[Upsell Priority]]," ",TEXT(Sales[[#This Row],[Current Upsell $]],"$#,#")),"")</f>
        <v/>
      </c>
    </row>
    <row r="486" spans="1:18" x14ac:dyDescent="0.25">
      <c r="A486">
        <v>100039</v>
      </c>
      <c r="B486" t="s">
        <v>0</v>
      </c>
      <c r="D486" s="1"/>
      <c r="E486" s="1"/>
      <c r="F486">
        <v>40</v>
      </c>
      <c r="G486">
        <v>55</v>
      </c>
      <c r="H486" s="1">
        <v>43983</v>
      </c>
      <c r="I486" s="1">
        <v>44378</v>
      </c>
      <c r="J486">
        <v>13</v>
      </c>
      <c r="K486">
        <v>0</v>
      </c>
      <c r="L486" s="1">
        <v>44044</v>
      </c>
      <c r="M486">
        <v>400</v>
      </c>
      <c r="N486" s="8" cm="1">
        <f t="array" ref="N486">_xlfn.SWITCH(Sales[[#This Row],[Subscription Type]],"Basic",10,"Premium",10,"Business",25,"Enterprise",27)</f>
        <v>10</v>
      </c>
      <c r="O486">
        <f>IF(Sales[[#This Row],[Number of Users]]-Sales[[#This Row],[Licenses Bought]]&lt;0,0,Sales[[#This Row],[Number of Users]]-Sales[[#This Row],[Licenses Bought]])</f>
        <v>15</v>
      </c>
      <c r="P486" s="8">
        <f>IF(Sales[[#This Row],[Sales Month]]=MAX(Sales[Sales Month]),Sales[[#This Row],[Non-Paying Users]]*Sales[[#This Row],[Upsell $ per Non-Paying User]],0)</f>
        <v>0</v>
      </c>
      <c r="Q486" t="str" cm="1">
        <f t="array" ref="Q486">_xlfn.IFS(Sales[[#This Row],[Current Upsell $]]=0,"",Sales[[#This Row],[Current Upsell $]]&gt;=400,"High",Sales[[#This Row],[Current Upsell $]]&gt;=100,"Medium",Sales[[#This Row],[Current Upsell $]]&lt;100,"Low")</f>
        <v/>
      </c>
      <c r="R486" t="str">
        <f>IF(Sales[[#This Row],[Current Upsell $]]&gt;0,_xlfn.CONCAT(Sales[[#This Row],[Subscription Type]]," ",Sales[[#This Row],[Upsell Priority]]," ",TEXT(Sales[[#This Row],[Current Upsell $]],"$#,#")),"")</f>
        <v/>
      </c>
    </row>
    <row r="487" spans="1:18" x14ac:dyDescent="0.25">
      <c r="A487">
        <v>100039</v>
      </c>
      <c r="B487" t="s">
        <v>0</v>
      </c>
      <c r="D487" s="1"/>
      <c r="E487" s="1"/>
      <c r="F487">
        <v>40</v>
      </c>
      <c r="G487">
        <v>45</v>
      </c>
      <c r="H487" s="1">
        <v>43983</v>
      </c>
      <c r="I487" s="1">
        <v>44378</v>
      </c>
      <c r="J487">
        <v>13</v>
      </c>
      <c r="K487">
        <v>0</v>
      </c>
      <c r="L487" s="1">
        <v>44075</v>
      </c>
      <c r="M487">
        <v>400</v>
      </c>
      <c r="N487" s="8" cm="1">
        <f t="array" ref="N487">_xlfn.SWITCH(Sales[[#This Row],[Subscription Type]],"Basic",10,"Premium",10,"Business",25,"Enterprise",27)</f>
        <v>10</v>
      </c>
      <c r="O487">
        <f>IF(Sales[[#This Row],[Number of Users]]-Sales[[#This Row],[Licenses Bought]]&lt;0,0,Sales[[#This Row],[Number of Users]]-Sales[[#This Row],[Licenses Bought]])</f>
        <v>5</v>
      </c>
      <c r="P487" s="8">
        <f>IF(Sales[[#This Row],[Sales Month]]=MAX(Sales[Sales Month]),Sales[[#This Row],[Non-Paying Users]]*Sales[[#This Row],[Upsell $ per Non-Paying User]],0)</f>
        <v>0</v>
      </c>
      <c r="Q487" t="str" cm="1">
        <f t="array" ref="Q487">_xlfn.IFS(Sales[[#This Row],[Current Upsell $]]=0,"",Sales[[#This Row],[Current Upsell $]]&gt;=400,"High",Sales[[#This Row],[Current Upsell $]]&gt;=100,"Medium",Sales[[#This Row],[Current Upsell $]]&lt;100,"Low")</f>
        <v/>
      </c>
      <c r="R487" t="str">
        <f>IF(Sales[[#This Row],[Current Upsell $]]&gt;0,_xlfn.CONCAT(Sales[[#This Row],[Subscription Type]]," ",Sales[[#This Row],[Upsell Priority]]," ",TEXT(Sales[[#This Row],[Current Upsell $]],"$#,#")),"")</f>
        <v/>
      </c>
    </row>
    <row r="488" spans="1:18" x14ac:dyDescent="0.25">
      <c r="A488">
        <v>100039</v>
      </c>
      <c r="B488" t="s">
        <v>0</v>
      </c>
      <c r="D488" s="1"/>
      <c r="E488" s="1"/>
      <c r="F488">
        <v>40</v>
      </c>
      <c r="G488">
        <v>43</v>
      </c>
      <c r="H488" s="1">
        <v>43983</v>
      </c>
      <c r="I488" s="1">
        <v>44378</v>
      </c>
      <c r="J488">
        <v>13</v>
      </c>
      <c r="K488">
        <v>0</v>
      </c>
      <c r="L488" s="1">
        <v>44105</v>
      </c>
      <c r="M488">
        <v>400</v>
      </c>
      <c r="N488" s="8" cm="1">
        <f t="array" ref="N488">_xlfn.SWITCH(Sales[[#This Row],[Subscription Type]],"Basic",10,"Premium",10,"Business",25,"Enterprise",27)</f>
        <v>10</v>
      </c>
      <c r="O488">
        <f>IF(Sales[[#This Row],[Number of Users]]-Sales[[#This Row],[Licenses Bought]]&lt;0,0,Sales[[#This Row],[Number of Users]]-Sales[[#This Row],[Licenses Bought]])</f>
        <v>3</v>
      </c>
      <c r="P488" s="8">
        <f>IF(Sales[[#This Row],[Sales Month]]=MAX(Sales[Sales Month]),Sales[[#This Row],[Non-Paying Users]]*Sales[[#This Row],[Upsell $ per Non-Paying User]],0)</f>
        <v>0</v>
      </c>
      <c r="Q488" t="str" cm="1">
        <f t="array" ref="Q488">_xlfn.IFS(Sales[[#This Row],[Current Upsell $]]=0,"",Sales[[#This Row],[Current Upsell $]]&gt;=400,"High",Sales[[#This Row],[Current Upsell $]]&gt;=100,"Medium",Sales[[#This Row],[Current Upsell $]]&lt;100,"Low")</f>
        <v/>
      </c>
      <c r="R488" t="str">
        <f>IF(Sales[[#This Row],[Current Upsell $]]&gt;0,_xlfn.CONCAT(Sales[[#This Row],[Subscription Type]]," ",Sales[[#This Row],[Upsell Priority]]," ",TEXT(Sales[[#This Row],[Current Upsell $]],"$#,#")),"")</f>
        <v/>
      </c>
    </row>
    <row r="489" spans="1:18" x14ac:dyDescent="0.25">
      <c r="A489">
        <v>100039</v>
      </c>
      <c r="B489" t="s">
        <v>0</v>
      </c>
      <c r="D489" s="1"/>
      <c r="E489" s="1"/>
      <c r="F489">
        <v>40</v>
      </c>
      <c r="G489">
        <v>37</v>
      </c>
      <c r="H489" s="1">
        <v>43983</v>
      </c>
      <c r="I489" s="1">
        <v>44378</v>
      </c>
      <c r="J489">
        <v>13</v>
      </c>
      <c r="K489">
        <v>0</v>
      </c>
      <c r="L489" s="1">
        <v>44136</v>
      </c>
      <c r="M489">
        <v>400</v>
      </c>
      <c r="N489" s="8" cm="1">
        <f t="array" ref="N489">_xlfn.SWITCH(Sales[[#This Row],[Subscription Type]],"Basic",10,"Premium",10,"Business",25,"Enterprise",27)</f>
        <v>10</v>
      </c>
      <c r="O489">
        <f>IF(Sales[[#This Row],[Number of Users]]-Sales[[#This Row],[Licenses Bought]]&lt;0,0,Sales[[#This Row],[Number of Users]]-Sales[[#This Row],[Licenses Bought]])</f>
        <v>0</v>
      </c>
      <c r="P489" s="8">
        <f>IF(Sales[[#This Row],[Sales Month]]=MAX(Sales[Sales Month]),Sales[[#This Row],[Non-Paying Users]]*Sales[[#This Row],[Upsell $ per Non-Paying User]],0)</f>
        <v>0</v>
      </c>
      <c r="Q489" t="str" cm="1">
        <f t="array" ref="Q489">_xlfn.IFS(Sales[[#This Row],[Current Upsell $]]=0,"",Sales[[#This Row],[Current Upsell $]]&gt;=400,"High",Sales[[#This Row],[Current Upsell $]]&gt;=100,"Medium",Sales[[#This Row],[Current Upsell $]]&lt;100,"Low")</f>
        <v/>
      </c>
      <c r="R489" t="str">
        <f>IF(Sales[[#This Row],[Current Upsell $]]&gt;0,_xlfn.CONCAT(Sales[[#This Row],[Subscription Type]]," ",Sales[[#This Row],[Upsell Priority]]," ",TEXT(Sales[[#This Row],[Current Upsell $]],"$#,#")),"")</f>
        <v/>
      </c>
    </row>
    <row r="490" spans="1:18" x14ac:dyDescent="0.25">
      <c r="A490">
        <v>100039</v>
      </c>
      <c r="B490" t="s">
        <v>0</v>
      </c>
      <c r="D490" s="1"/>
      <c r="E490" s="1"/>
      <c r="F490">
        <v>40</v>
      </c>
      <c r="G490">
        <v>61</v>
      </c>
      <c r="H490" s="1">
        <v>43983</v>
      </c>
      <c r="I490" s="1">
        <v>44378</v>
      </c>
      <c r="J490">
        <v>13</v>
      </c>
      <c r="K490">
        <v>0</v>
      </c>
      <c r="L490" s="1">
        <v>44166</v>
      </c>
      <c r="M490">
        <v>400</v>
      </c>
      <c r="N490" s="8" cm="1">
        <f t="array" ref="N490">_xlfn.SWITCH(Sales[[#This Row],[Subscription Type]],"Basic",10,"Premium",10,"Business",25,"Enterprise",27)</f>
        <v>10</v>
      </c>
      <c r="O490">
        <f>IF(Sales[[#This Row],[Number of Users]]-Sales[[#This Row],[Licenses Bought]]&lt;0,0,Sales[[#This Row],[Number of Users]]-Sales[[#This Row],[Licenses Bought]])</f>
        <v>21</v>
      </c>
      <c r="P490" s="8">
        <f>IF(Sales[[#This Row],[Sales Month]]=MAX(Sales[Sales Month]),Sales[[#This Row],[Non-Paying Users]]*Sales[[#This Row],[Upsell $ per Non-Paying User]],0)</f>
        <v>0</v>
      </c>
      <c r="Q490" t="str" cm="1">
        <f t="array" ref="Q490">_xlfn.IFS(Sales[[#This Row],[Current Upsell $]]=0,"",Sales[[#This Row],[Current Upsell $]]&gt;=400,"High",Sales[[#This Row],[Current Upsell $]]&gt;=100,"Medium",Sales[[#This Row],[Current Upsell $]]&lt;100,"Low")</f>
        <v/>
      </c>
      <c r="R490" t="str">
        <f>IF(Sales[[#This Row],[Current Upsell $]]&gt;0,_xlfn.CONCAT(Sales[[#This Row],[Subscription Type]]," ",Sales[[#This Row],[Upsell Priority]]," ",TEXT(Sales[[#This Row],[Current Upsell $]],"$#,#")),"")</f>
        <v/>
      </c>
    </row>
    <row r="491" spans="1:18" x14ac:dyDescent="0.25">
      <c r="A491">
        <v>100039</v>
      </c>
      <c r="B491" t="s">
        <v>0</v>
      </c>
      <c r="D491" s="1"/>
      <c r="E491" s="1"/>
      <c r="F491">
        <v>40</v>
      </c>
      <c r="G491">
        <v>42</v>
      </c>
      <c r="H491" s="1">
        <v>43983</v>
      </c>
      <c r="I491" s="1">
        <v>44378</v>
      </c>
      <c r="J491">
        <v>13</v>
      </c>
      <c r="K491">
        <v>0</v>
      </c>
      <c r="L491" s="1">
        <v>44197</v>
      </c>
      <c r="M491">
        <v>400</v>
      </c>
      <c r="N491" s="8" cm="1">
        <f t="array" ref="N491">_xlfn.SWITCH(Sales[[#This Row],[Subscription Type]],"Basic",10,"Premium",10,"Business",25,"Enterprise",27)</f>
        <v>10</v>
      </c>
      <c r="O491">
        <f>IF(Sales[[#This Row],[Number of Users]]-Sales[[#This Row],[Licenses Bought]]&lt;0,0,Sales[[#This Row],[Number of Users]]-Sales[[#This Row],[Licenses Bought]])</f>
        <v>2</v>
      </c>
      <c r="P491" s="8">
        <f>IF(Sales[[#This Row],[Sales Month]]=MAX(Sales[Sales Month]),Sales[[#This Row],[Non-Paying Users]]*Sales[[#This Row],[Upsell $ per Non-Paying User]],0)</f>
        <v>0</v>
      </c>
      <c r="Q491" t="str" cm="1">
        <f t="array" ref="Q491">_xlfn.IFS(Sales[[#This Row],[Current Upsell $]]=0,"",Sales[[#This Row],[Current Upsell $]]&gt;=400,"High",Sales[[#This Row],[Current Upsell $]]&gt;=100,"Medium",Sales[[#This Row],[Current Upsell $]]&lt;100,"Low")</f>
        <v/>
      </c>
      <c r="R491" t="str">
        <f>IF(Sales[[#This Row],[Current Upsell $]]&gt;0,_xlfn.CONCAT(Sales[[#This Row],[Subscription Type]]," ",Sales[[#This Row],[Upsell Priority]]," ",TEXT(Sales[[#This Row],[Current Upsell $]],"$#,#")),"")</f>
        <v/>
      </c>
    </row>
    <row r="492" spans="1:18" x14ac:dyDescent="0.25">
      <c r="A492">
        <v>100039</v>
      </c>
      <c r="B492" t="s">
        <v>0</v>
      </c>
      <c r="D492" s="1"/>
      <c r="E492" s="1"/>
      <c r="F492">
        <v>40</v>
      </c>
      <c r="G492">
        <v>46</v>
      </c>
      <c r="H492" s="1">
        <v>43983</v>
      </c>
      <c r="I492" s="1">
        <v>44378</v>
      </c>
      <c r="J492">
        <v>13</v>
      </c>
      <c r="K492">
        <v>0</v>
      </c>
      <c r="L492" s="1">
        <v>44228</v>
      </c>
      <c r="M492">
        <v>400</v>
      </c>
      <c r="N492" s="8" cm="1">
        <f t="array" ref="N492">_xlfn.SWITCH(Sales[[#This Row],[Subscription Type]],"Basic",10,"Premium",10,"Business",25,"Enterprise",27)</f>
        <v>10</v>
      </c>
      <c r="O492">
        <f>IF(Sales[[#This Row],[Number of Users]]-Sales[[#This Row],[Licenses Bought]]&lt;0,0,Sales[[#This Row],[Number of Users]]-Sales[[#This Row],[Licenses Bought]])</f>
        <v>6</v>
      </c>
      <c r="P492" s="8">
        <f>IF(Sales[[#This Row],[Sales Month]]=MAX(Sales[Sales Month]),Sales[[#This Row],[Non-Paying Users]]*Sales[[#This Row],[Upsell $ per Non-Paying User]],0)</f>
        <v>0</v>
      </c>
      <c r="Q492" t="str" cm="1">
        <f t="array" ref="Q492">_xlfn.IFS(Sales[[#This Row],[Current Upsell $]]=0,"",Sales[[#This Row],[Current Upsell $]]&gt;=400,"High",Sales[[#This Row],[Current Upsell $]]&gt;=100,"Medium",Sales[[#This Row],[Current Upsell $]]&lt;100,"Low")</f>
        <v/>
      </c>
      <c r="R492" t="str">
        <f>IF(Sales[[#This Row],[Current Upsell $]]&gt;0,_xlfn.CONCAT(Sales[[#This Row],[Subscription Type]]," ",Sales[[#This Row],[Upsell Priority]]," ",TEXT(Sales[[#This Row],[Current Upsell $]],"$#,#")),"")</f>
        <v/>
      </c>
    </row>
    <row r="493" spans="1:18" x14ac:dyDescent="0.25">
      <c r="A493">
        <v>100039</v>
      </c>
      <c r="B493" t="s">
        <v>0</v>
      </c>
      <c r="D493" s="1"/>
      <c r="E493" s="1"/>
      <c r="F493">
        <v>40</v>
      </c>
      <c r="G493">
        <v>57</v>
      </c>
      <c r="H493" s="1">
        <v>43983</v>
      </c>
      <c r="I493" s="1">
        <v>44378</v>
      </c>
      <c r="J493">
        <v>13</v>
      </c>
      <c r="K493">
        <v>0</v>
      </c>
      <c r="L493" s="1">
        <v>44256</v>
      </c>
      <c r="M493">
        <v>400</v>
      </c>
      <c r="N493" s="8" cm="1">
        <f t="array" ref="N493">_xlfn.SWITCH(Sales[[#This Row],[Subscription Type]],"Basic",10,"Premium",10,"Business",25,"Enterprise",27)</f>
        <v>10</v>
      </c>
      <c r="O493">
        <f>IF(Sales[[#This Row],[Number of Users]]-Sales[[#This Row],[Licenses Bought]]&lt;0,0,Sales[[#This Row],[Number of Users]]-Sales[[#This Row],[Licenses Bought]])</f>
        <v>17</v>
      </c>
      <c r="P493" s="8">
        <f>IF(Sales[[#This Row],[Sales Month]]=MAX(Sales[Sales Month]),Sales[[#This Row],[Non-Paying Users]]*Sales[[#This Row],[Upsell $ per Non-Paying User]],0)</f>
        <v>0</v>
      </c>
      <c r="Q493" t="str" cm="1">
        <f t="array" ref="Q493">_xlfn.IFS(Sales[[#This Row],[Current Upsell $]]=0,"",Sales[[#This Row],[Current Upsell $]]&gt;=400,"High",Sales[[#This Row],[Current Upsell $]]&gt;=100,"Medium",Sales[[#This Row],[Current Upsell $]]&lt;100,"Low")</f>
        <v/>
      </c>
      <c r="R493" t="str">
        <f>IF(Sales[[#This Row],[Current Upsell $]]&gt;0,_xlfn.CONCAT(Sales[[#This Row],[Subscription Type]]," ",Sales[[#This Row],[Upsell Priority]]," ",TEXT(Sales[[#This Row],[Current Upsell $]],"$#,#")),"")</f>
        <v/>
      </c>
    </row>
    <row r="494" spans="1:18" x14ac:dyDescent="0.25">
      <c r="A494">
        <v>100039</v>
      </c>
      <c r="B494" t="s">
        <v>0</v>
      </c>
      <c r="D494" s="1"/>
      <c r="E494" s="1"/>
      <c r="F494">
        <v>40</v>
      </c>
      <c r="G494">
        <v>45</v>
      </c>
      <c r="H494" s="1">
        <v>43983</v>
      </c>
      <c r="I494" s="1">
        <v>44378</v>
      </c>
      <c r="J494">
        <v>13</v>
      </c>
      <c r="K494">
        <v>0</v>
      </c>
      <c r="L494" s="1">
        <v>44287</v>
      </c>
      <c r="M494">
        <v>400</v>
      </c>
      <c r="N494" s="8" cm="1">
        <f t="array" ref="N494">_xlfn.SWITCH(Sales[[#This Row],[Subscription Type]],"Basic",10,"Premium",10,"Business",25,"Enterprise",27)</f>
        <v>10</v>
      </c>
      <c r="O494">
        <f>IF(Sales[[#This Row],[Number of Users]]-Sales[[#This Row],[Licenses Bought]]&lt;0,0,Sales[[#This Row],[Number of Users]]-Sales[[#This Row],[Licenses Bought]])</f>
        <v>5</v>
      </c>
      <c r="P494" s="8">
        <f>IF(Sales[[#This Row],[Sales Month]]=MAX(Sales[Sales Month]),Sales[[#This Row],[Non-Paying Users]]*Sales[[#This Row],[Upsell $ per Non-Paying User]],0)</f>
        <v>0</v>
      </c>
      <c r="Q494" t="str" cm="1">
        <f t="array" ref="Q494">_xlfn.IFS(Sales[[#This Row],[Current Upsell $]]=0,"",Sales[[#This Row],[Current Upsell $]]&gt;=400,"High",Sales[[#This Row],[Current Upsell $]]&gt;=100,"Medium",Sales[[#This Row],[Current Upsell $]]&lt;100,"Low")</f>
        <v/>
      </c>
      <c r="R494" t="str">
        <f>IF(Sales[[#This Row],[Current Upsell $]]&gt;0,_xlfn.CONCAT(Sales[[#This Row],[Subscription Type]]," ",Sales[[#This Row],[Upsell Priority]]," ",TEXT(Sales[[#This Row],[Current Upsell $]],"$#,#")),"")</f>
        <v/>
      </c>
    </row>
    <row r="495" spans="1:18" x14ac:dyDescent="0.25">
      <c r="A495">
        <v>100039</v>
      </c>
      <c r="B495" t="s">
        <v>0</v>
      </c>
      <c r="D495" s="1"/>
      <c r="E495" s="1"/>
      <c r="F495">
        <v>40</v>
      </c>
      <c r="G495">
        <v>45</v>
      </c>
      <c r="H495" s="1">
        <v>43983</v>
      </c>
      <c r="I495" s="1">
        <v>44378</v>
      </c>
      <c r="J495">
        <v>13</v>
      </c>
      <c r="K495">
        <v>0</v>
      </c>
      <c r="L495" s="1">
        <v>44317</v>
      </c>
      <c r="M495">
        <v>400</v>
      </c>
      <c r="N495" s="8" cm="1">
        <f t="array" ref="N495">_xlfn.SWITCH(Sales[[#This Row],[Subscription Type]],"Basic",10,"Premium",10,"Business",25,"Enterprise",27)</f>
        <v>10</v>
      </c>
      <c r="O495">
        <f>IF(Sales[[#This Row],[Number of Users]]-Sales[[#This Row],[Licenses Bought]]&lt;0,0,Sales[[#This Row],[Number of Users]]-Sales[[#This Row],[Licenses Bought]])</f>
        <v>5</v>
      </c>
      <c r="P495" s="8">
        <f>IF(Sales[[#This Row],[Sales Month]]=MAX(Sales[Sales Month]),Sales[[#This Row],[Non-Paying Users]]*Sales[[#This Row],[Upsell $ per Non-Paying User]],0)</f>
        <v>0</v>
      </c>
      <c r="Q495" t="str" cm="1">
        <f t="array" ref="Q495">_xlfn.IFS(Sales[[#This Row],[Current Upsell $]]=0,"",Sales[[#This Row],[Current Upsell $]]&gt;=400,"High",Sales[[#This Row],[Current Upsell $]]&gt;=100,"Medium",Sales[[#This Row],[Current Upsell $]]&lt;100,"Low")</f>
        <v/>
      </c>
      <c r="R495" t="str">
        <f>IF(Sales[[#This Row],[Current Upsell $]]&gt;0,_xlfn.CONCAT(Sales[[#This Row],[Subscription Type]]," ",Sales[[#This Row],[Upsell Priority]]," ",TEXT(Sales[[#This Row],[Current Upsell $]],"$#,#")),"")</f>
        <v/>
      </c>
    </row>
    <row r="496" spans="1:18" x14ac:dyDescent="0.25">
      <c r="A496">
        <v>100039</v>
      </c>
      <c r="B496" t="s">
        <v>0</v>
      </c>
      <c r="D496" s="1"/>
      <c r="E496" s="1"/>
      <c r="F496">
        <v>40</v>
      </c>
      <c r="G496">
        <v>51</v>
      </c>
      <c r="H496" s="1">
        <v>43983</v>
      </c>
      <c r="I496" s="1">
        <v>44378</v>
      </c>
      <c r="J496">
        <v>13</v>
      </c>
      <c r="K496">
        <v>0</v>
      </c>
      <c r="L496" s="1">
        <v>44348</v>
      </c>
      <c r="M496">
        <v>400</v>
      </c>
      <c r="N496" s="8" cm="1">
        <f t="array" ref="N496">_xlfn.SWITCH(Sales[[#This Row],[Subscription Type]],"Basic",10,"Premium",10,"Business",25,"Enterprise",27)</f>
        <v>10</v>
      </c>
      <c r="O496">
        <f>IF(Sales[[#This Row],[Number of Users]]-Sales[[#This Row],[Licenses Bought]]&lt;0,0,Sales[[#This Row],[Number of Users]]-Sales[[#This Row],[Licenses Bought]])</f>
        <v>11</v>
      </c>
      <c r="P496" s="8">
        <f>IF(Sales[[#This Row],[Sales Month]]=MAX(Sales[Sales Month]),Sales[[#This Row],[Non-Paying Users]]*Sales[[#This Row],[Upsell $ per Non-Paying User]],0)</f>
        <v>110</v>
      </c>
      <c r="Q496" t="str" cm="1">
        <f t="array" ref="Q496">_xlfn.IFS(Sales[[#This Row],[Current Upsell $]]=0,"",Sales[[#This Row],[Current Upsell $]]&gt;=400,"High",Sales[[#This Row],[Current Upsell $]]&gt;=100,"Medium",Sales[[#This Row],[Current Upsell $]]&lt;100,"Low")</f>
        <v>Medium</v>
      </c>
      <c r="R496" t="str">
        <f>IF(Sales[[#This Row],[Current Upsell $]]&gt;0,_xlfn.CONCAT(Sales[[#This Row],[Subscription Type]]," ",Sales[[#This Row],[Upsell Priority]]," ",TEXT(Sales[[#This Row],[Current Upsell $]],"$#,#")),"")</f>
        <v>Premium Medium $110</v>
      </c>
    </row>
    <row r="497" spans="1:18" x14ac:dyDescent="0.25">
      <c r="A497">
        <v>100040</v>
      </c>
      <c r="B497" t="s">
        <v>3</v>
      </c>
      <c r="D497" s="1"/>
      <c r="E497" s="1"/>
      <c r="F497">
        <v>0</v>
      </c>
      <c r="G497">
        <v>48</v>
      </c>
      <c r="H497" s="1">
        <v>43983</v>
      </c>
      <c r="I497" s="1">
        <v>44378</v>
      </c>
      <c r="J497">
        <v>13</v>
      </c>
      <c r="K497">
        <v>0</v>
      </c>
      <c r="L497" s="1">
        <v>43983</v>
      </c>
      <c r="M497">
        <v>0</v>
      </c>
      <c r="N497" s="8" cm="1">
        <f t="array" ref="N497">_xlfn.SWITCH(Sales[[#This Row],[Subscription Type]],"Basic",10,"Premium",10,"Business",25,"Enterprise",27)</f>
        <v>10</v>
      </c>
      <c r="O497">
        <f>IF(Sales[[#This Row],[Number of Users]]-Sales[[#This Row],[Licenses Bought]]&lt;0,0,Sales[[#This Row],[Number of Users]]-Sales[[#This Row],[Licenses Bought]])</f>
        <v>48</v>
      </c>
      <c r="P497" s="8">
        <f>IF(Sales[[#This Row],[Sales Month]]=MAX(Sales[Sales Month]),Sales[[#This Row],[Non-Paying Users]]*Sales[[#This Row],[Upsell $ per Non-Paying User]],0)</f>
        <v>0</v>
      </c>
      <c r="Q497" t="str" cm="1">
        <f t="array" ref="Q497">_xlfn.IFS(Sales[[#This Row],[Current Upsell $]]=0,"",Sales[[#This Row],[Current Upsell $]]&gt;=400,"High",Sales[[#This Row],[Current Upsell $]]&gt;=100,"Medium",Sales[[#This Row],[Current Upsell $]]&lt;100,"Low")</f>
        <v/>
      </c>
      <c r="R497" t="str">
        <f>IF(Sales[[#This Row],[Current Upsell $]]&gt;0,_xlfn.CONCAT(Sales[[#This Row],[Subscription Type]]," ",Sales[[#This Row],[Upsell Priority]]," ",TEXT(Sales[[#This Row],[Current Upsell $]],"$#,#")),"")</f>
        <v/>
      </c>
    </row>
    <row r="498" spans="1:18" x14ac:dyDescent="0.25">
      <c r="A498">
        <v>100040</v>
      </c>
      <c r="B498" t="s">
        <v>0</v>
      </c>
      <c r="D498" s="1"/>
      <c r="E498" s="1"/>
      <c r="F498">
        <v>16</v>
      </c>
      <c r="G498">
        <v>47</v>
      </c>
      <c r="H498" s="1">
        <v>43983</v>
      </c>
      <c r="I498" s="1">
        <v>44378</v>
      </c>
      <c r="J498">
        <v>13</v>
      </c>
      <c r="K498">
        <v>0</v>
      </c>
      <c r="L498" s="1">
        <v>44013</v>
      </c>
      <c r="M498">
        <v>160</v>
      </c>
      <c r="N498" s="8" cm="1">
        <f t="array" ref="N498">_xlfn.SWITCH(Sales[[#This Row],[Subscription Type]],"Basic",10,"Premium",10,"Business",25,"Enterprise",27)</f>
        <v>10</v>
      </c>
      <c r="O498">
        <f>IF(Sales[[#This Row],[Number of Users]]-Sales[[#This Row],[Licenses Bought]]&lt;0,0,Sales[[#This Row],[Number of Users]]-Sales[[#This Row],[Licenses Bought]])</f>
        <v>31</v>
      </c>
      <c r="P498" s="8">
        <f>IF(Sales[[#This Row],[Sales Month]]=MAX(Sales[Sales Month]),Sales[[#This Row],[Non-Paying Users]]*Sales[[#This Row],[Upsell $ per Non-Paying User]],0)</f>
        <v>0</v>
      </c>
      <c r="Q498" t="str" cm="1">
        <f t="array" ref="Q498">_xlfn.IFS(Sales[[#This Row],[Current Upsell $]]=0,"",Sales[[#This Row],[Current Upsell $]]&gt;=400,"High",Sales[[#This Row],[Current Upsell $]]&gt;=100,"Medium",Sales[[#This Row],[Current Upsell $]]&lt;100,"Low")</f>
        <v/>
      </c>
      <c r="R498" t="str">
        <f>IF(Sales[[#This Row],[Current Upsell $]]&gt;0,_xlfn.CONCAT(Sales[[#This Row],[Subscription Type]]," ",Sales[[#This Row],[Upsell Priority]]," ",TEXT(Sales[[#This Row],[Current Upsell $]],"$#,#")),"")</f>
        <v/>
      </c>
    </row>
    <row r="499" spans="1:18" x14ac:dyDescent="0.25">
      <c r="A499">
        <v>100040</v>
      </c>
      <c r="B499" t="s">
        <v>0</v>
      </c>
      <c r="D499" s="1"/>
      <c r="E499" s="1"/>
      <c r="F499">
        <v>26</v>
      </c>
      <c r="G499">
        <v>37</v>
      </c>
      <c r="H499" s="1">
        <v>43983</v>
      </c>
      <c r="I499" s="1">
        <v>44378</v>
      </c>
      <c r="J499">
        <v>13</v>
      </c>
      <c r="K499">
        <v>0</v>
      </c>
      <c r="L499" s="1">
        <v>44044</v>
      </c>
      <c r="M499">
        <v>260</v>
      </c>
      <c r="N499" s="8" cm="1">
        <f t="array" ref="N499">_xlfn.SWITCH(Sales[[#This Row],[Subscription Type]],"Basic",10,"Premium",10,"Business",25,"Enterprise",27)</f>
        <v>10</v>
      </c>
      <c r="O499">
        <f>IF(Sales[[#This Row],[Number of Users]]-Sales[[#This Row],[Licenses Bought]]&lt;0,0,Sales[[#This Row],[Number of Users]]-Sales[[#This Row],[Licenses Bought]])</f>
        <v>11</v>
      </c>
      <c r="P499" s="8">
        <f>IF(Sales[[#This Row],[Sales Month]]=MAX(Sales[Sales Month]),Sales[[#This Row],[Non-Paying Users]]*Sales[[#This Row],[Upsell $ per Non-Paying User]],0)</f>
        <v>0</v>
      </c>
      <c r="Q499" t="str" cm="1">
        <f t="array" ref="Q499">_xlfn.IFS(Sales[[#This Row],[Current Upsell $]]=0,"",Sales[[#This Row],[Current Upsell $]]&gt;=400,"High",Sales[[#This Row],[Current Upsell $]]&gt;=100,"Medium",Sales[[#This Row],[Current Upsell $]]&lt;100,"Low")</f>
        <v/>
      </c>
      <c r="R499" t="str">
        <f>IF(Sales[[#This Row],[Current Upsell $]]&gt;0,_xlfn.CONCAT(Sales[[#This Row],[Subscription Type]]," ",Sales[[#This Row],[Upsell Priority]]," ",TEXT(Sales[[#This Row],[Current Upsell $]],"$#,#")),"")</f>
        <v/>
      </c>
    </row>
    <row r="500" spans="1:18" x14ac:dyDescent="0.25">
      <c r="A500">
        <v>100040</v>
      </c>
      <c r="B500" t="s">
        <v>0</v>
      </c>
      <c r="D500" s="1"/>
      <c r="E500" s="1"/>
      <c r="F500">
        <v>36</v>
      </c>
      <c r="G500">
        <v>33</v>
      </c>
      <c r="H500" s="1">
        <v>43983</v>
      </c>
      <c r="I500" s="1">
        <v>44378</v>
      </c>
      <c r="J500">
        <v>13</v>
      </c>
      <c r="K500">
        <v>0</v>
      </c>
      <c r="L500" s="1">
        <v>44075</v>
      </c>
      <c r="M500">
        <v>360</v>
      </c>
      <c r="N500" s="8" cm="1">
        <f t="array" ref="N500">_xlfn.SWITCH(Sales[[#This Row],[Subscription Type]],"Basic",10,"Premium",10,"Business",25,"Enterprise",27)</f>
        <v>10</v>
      </c>
      <c r="O500">
        <f>IF(Sales[[#This Row],[Number of Users]]-Sales[[#This Row],[Licenses Bought]]&lt;0,0,Sales[[#This Row],[Number of Users]]-Sales[[#This Row],[Licenses Bought]])</f>
        <v>0</v>
      </c>
      <c r="P500" s="8">
        <f>IF(Sales[[#This Row],[Sales Month]]=MAX(Sales[Sales Month]),Sales[[#This Row],[Non-Paying Users]]*Sales[[#This Row],[Upsell $ per Non-Paying User]],0)</f>
        <v>0</v>
      </c>
      <c r="Q500" t="str" cm="1">
        <f t="array" ref="Q500">_xlfn.IFS(Sales[[#This Row],[Current Upsell $]]=0,"",Sales[[#This Row],[Current Upsell $]]&gt;=400,"High",Sales[[#This Row],[Current Upsell $]]&gt;=100,"Medium",Sales[[#This Row],[Current Upsell $]]&lt;100,"Low")</f>
        <v/>
      </c>
      <c r="R500" t="str">
        <f>IF(Sales[[#This Row],[Current Upsell $]]&gt;0,_xlfn.CONCAT(Sales[[#This Row],[Subscription Type]]," ",Sales[[#This Row],[Upsell Priority]]," ",TEXT(Sales[[#This Row],[Current Upsell $]],"$#,#")),"")</f>
        <v/>
      </c>
    </row>
    <row r="501" spans="1:18" x14ac:dyDescent="0.25">
      <c r="A501">
        <v>100040</v>
      </c>
      <c r="B501" t="s">
        <v>0</v>
      </c>
      <c r="D501" s="1"/>
      <c r="E501" s="1"/>
      <c r="F501">
        <v>36</v>
      </c>
      <c r="G501">
        <v>42</v>
      </c>
      <c r="H501" s="1">
        <v>43983</v>
      </c>
      <c r="I501" s="1">
        <v>44378</v>
      </c>
      <c r="J501">
        <v>13</v>
      </c>
      <c r="K501">
        <v>0</v>
      </c>
      <c r="L501" s="1">
        <v>44105</v>
      </c>
      <c r="M501">
        <v>360</v>
      </c>
      <c r="N501" s="8" cm="1">
        <f t="array" ref="N501">_xlfn.SWITCH(Sales[[#This Row],[Subscription Type]],"Basic",10,"Premium",10,"Business",25,"Enterprise",27)</f>
        <v>10</v>
      </c>
      <c r="O501">
        <f>IF(Sales[[#This Row],[Number of Users]]-Sales[[#This Row],[Licenses Bought]]&lt;0,0,Sales[[#This Row],[Number of Users]]-Sales[[#This Row],[Licenses Bought]])</f>
        <v>6</v>
      </c>
      <c r="P501" s="8">
        <f>IF(Sales[[#This Row],[Sales Month]]=MAX(Sales[Sales Month]),Sales[[#This Row],[Non-Paying Users]]*Sales[[#This Row],[Upsell $ per Non-Paying User]],0)</f>
        <v>0</v>
      </c>
      <c r="Q501" t="str" cm="1">
        <f t="array" ref="Q501">_xlfn.IFS(Sales[[#This Row],[Current Upsell $]]=0,"",Sales[[#This Row],[Current Upsell $]]&gt;=400,"High",Sales[[#This Row],[Current Upsell $]]&gt;=100,"Medium",Sales[[#This Row],[Current Upsell $]]&lt;100,"Low")</f>
        <v/>
      </c>
      <c r="R501" t="str">
        <f>IF(Sales[[#This Row],[Current Upsell $]]&gt;0,_xlfn.CONCAT(Sales[[#This Row],[Subscription Type]]," ",Sales[[#This Row],[Upsell Priority]]," ",TEXT(Sales[[#This Row],[Current Upsell $]],"$#,#")),"")</f>
        <v/>
      </c>
    </row>
    <row r="502" spans="1:18" x14ac:dyDescent="0.25">
      <c r="A502">
        <v>100040</v>
      </c>
      <c r="B502" t="s">
        <v>0</v>
      </c>
      <c r="D502" s="1"/>
      <c r="E502" s="1"/>
      <c r="F502">
        <v>36</v>
      </c>
      <c r="G502">
        <v>47</v>
      </c>
      <c r="H502" s="1">
        <v>43983</v>
      </c>
      <c r="I502" s="1">
        <v>44378</v>
      </c>
      <c r="J502">
        <v>13</v>
      </c>
      <c r="K502">
        <v>0</v>
      </c>
      <c r="L502" s="1">
        <v>44136</v>
      </c>
      <c r="M502">
        <v>360</v>
      </c>
      <c r="N502" s="8" cm="1">
        <f t="array" ref="N502">_xlfn.SWITCH(Sales[[#This Row],[Subscription Type]],"Basic",10,"Premium",10,"Business",25,"Enterprise",27)</f>
        <v>10</v>
      </c>
      <c r="O502">
        <f>IF(Sales[[#This Row],[Number of Users]]-Sales[[#This Row],[Licenses Bought]]&lt;0,0,Sales[[#This Row],[Number of Users]]-Sales[[#This Row],[Licenses Bought]])</f>
        <v>11</v>
      </c>
      <c r="P502" s="8">
        <f>IF(Sales[[#This Row],[Sales Month]]=MAX(Sales[Sales Month]),Sales[[#This Row],[Non-Paying Users]]*Sales[[#This Row],[Upsell $ per Non-Paying User]],0)</f>
        <v>0</v>
      </c>
      <c r="Q502" t="str" cm="1">
        <f t="array" ref="Q502">_xlfn.IFS(Sales[[#This Row],[Current Upsell $]]=0,"",Sales[[#This Row],[Current Upsell $]]&gt;=400,"High",Sales[[#This Row],[Current Upsell $]]&gt;=100,"Medium",Sales[[#This Row],[Current Upsell $]]&lt;100,"Low")</f>
        <v/>
      </c>
      <c r="R502" t="str">
        <f>IF(Sales[[#This Row],[Current Upsell $]]&gt;0,_xlfn.CONCAT(Sales[[#This Row],[Subscription Type]]," ",Sales[[#This Row],[Upsell Priority]]," ",TEXT(Sales[[#This Row],[Current Upsell $]],"$#,#")),"")</f>
        <v/>
      </c>
    </row>
    <row r="503" spans="1:18" x14ac:dyDescent="0.25">
      <c r="A503">
        <v>100040</v>
      </c>
      <c r="B503" t="s">
        <v>0</v>
      </c>
      <c r="D503" s="1"/>
      <c r="E503" s="1"/>
      <c r="F503">
        <v>36</v>
      </c>
      <c r="G503">
        <v>53</v>
      </c>
      <c r="H503" s="1">
        <v>43983</v>
      </c>
      <c r="I503" s="1">
        <v>44378</v>
      </c>
      <c r="J503">
        <v>13</v>
      </c>
      <c r="K503">
        <v>0</v>
      </c>
      <c r="L503" s="1">
        <v>44166</v>
      </c>
      <c r="M503">
        <v>360</v>
      </c>
      <c r="N503" s="8" cm="1">
        <f t="array" ref="N503">_xlfn.SWITCH(Sales[[#This Row],[Subscription Type]],"Basic",10,"Premium",10,"Business",25,"Enterprise",27)</f>
        <v>10</v>
      </c>
      <c r="O503">
        <f>IF(Sales[[#This Row],[Number of Users]]-Sales[[#This Row],[Licenses Bought]]&lt;0,0,Sales[[#This Row],[Number of Users]]-Sales[[#This Row],[Licenses Bought]])</f>
        <v>17</v>
      </c>
      <c r="P503" s="8">
        <f>IF(Sales[[#This Row],[Sales Month]]=MAX(Sales[Sales Month]),Sales[[#This Row],[Non-Paying Users]]*Sales[[#This Row],[Upsell $ per Non-Paying User]],0)</f>
        <v>0</v>
      </c>
      <c r="Q503" t="str" cm="1">
        <f t="array" ref="Q503">_xlfn.IFS(Sales[[#This Row],[Current Upsell $]]=0,"",Sales[[#This Row],[Current Upsell $]]&gt;=400,"High",Sales[[#This Row],[Current Upsell $]]&gt;=100,"Medium",Sales[[#This Row],[Current Upsell $]]&lt;100,"Low")</f>
        <v/>
      </c>
      <c r="R503" t="str">
        <f>IF(Sales[[#This Row],[Current Upsell $]]&gt;0,_xlfn.CONCAT(Sales[[#This Row],[Subscription Type]]," ",Sales[[#This Row],[Upsell Priority]]," ",TEXT(Sales[[#This Row],[Current Upsell $]],"$#,#")),"")</f>
        <v/>
      </c>
    </row>
    <row r="504" spans="1:18" x14ac:dyDescent="0.25">
      <c r="A504">
        <v>100040</v>
      </c>
      <c r="B504" t="s">
        <v>0</v>
      </c>
      <c r="D504" s="1"/>
      <c r="E504" s="1"/>
      <c r="F504">
        <v>36</v>
      </c>
      <c r="G504">
        <v>44</v>
      </c>
      <c r="H504" s="1">
        <v>43983</v>
      </c>
      <c r="I504" s="1">
        <v>44378</v>
      </c>
      <c r="J504">
        <v>13</v>
      </c>
      <c r="K504">
        <v>0</v>
      </c>
      <c r="L504" s="1">
        <v>44197</v>
      </c>
      <c r="M504">
        <v>360</v>
      </c>
      <c r="N504" s="8" cm="1">
        <f t="array" ref="N504">_xlfn.SWITCH(Sales[[#This Row],[Subscription Type]],"Basic",10,"Premium",10,"Business",25,"Enterprise",27)</f>
        <v>10</v>
      </c>
      <c r="O504">
        <f>IF(Sales[[#This Row],[Number of Users]]-Sales[[#This Row],[Licenses Bought]]&lt;0,0,Sales[[#This Row],[Number of Users]]-Sales[[#This Row],[Licenses Bought]])</f>
        <v>8</v>
      </c>
      <c r="P504" s="8">
        <f>IF(Sales[[#This Row],[Sales Month]]=MAX(Sales[Sales Month]),Sales[[#This Row],[Non-Paying Users]]*Sales[[#This Row],[Upsell $ per Non-Paying User]],0)</f>
        <v>0</v>
      </c>
      <c r="Q504" t="str" cm="1">
        <f t="array" ref="Q504">_xlfn.IFS(Sales[[#This Row],[Current Upsell $]]=0,"",Sales[[#This Row],[Current Upsell $]]&gt;=400,"High",Sales[[#This Row],[Current Upsell $]]&gt;=100,"Medium",Sales[[#This Row],[Current Upsell $]]&lt;100,"Low")</f>
        <v/>
      </c>
      <c r="R504" t="str">
        <f>IF(Sales[[#This Row],[Current Upsell $]]&gt;0,_xlfn.CONCAT(Sales[[#This Row],[Subscription Type]]," ",Sales[[#This Row],[Upsell Priority]]," ",TEXT(Sales[[#This Row],[Current Upsell $]],"$#,#")),"")</f>
        <v/>
      </c>
    </row>
    <row r="505" spans="1:18" x14ac:dyDescent="0.25">
      <c r="A505">
        <v>100040</v>
      </c>
      <c r="B505" t="s">
        <v>0</v>
      </c>
      <c r="D505" s="1"/>
      <c r="E505" s="1"/>
      <c r="F505">
        <v>36</v>
      </c>
      <c r="G505">
        <v>31</v>
      </c>
      <c r="H505" s="1">
        <v>43983</v>
      </c>
      <c r="I505" s="1">
        <v>44378</v>
      </c>
      <c r="J505">
        <v>13</v>
      </c>
      <c r="K505">
        <v>0</v>
      </c>
      <c r="L505" s="1">
        <v>44228</v>
      </c>
      <c r="M505">
        <v>360</v>
      </c>
      <c r="N505" s="8" cm="1">
        <f t="array" ref="N505">_xlfn.SWITCH(Sales[[#This Row],[Subscription Type]],"Basic",10,"Premium",10,"Business",25,"Enterprise",27)</f>
        <v>10</v>
      </c>
      <c r="O505">
        <f>IF(Sales[[#This Row],[Number of Users]]-Sales[[#This Row],[Licenses Bought]]&lt;0,0,Sales[[#This Row],[Number of Users]]-Sales[[#This Row],[Licenses Bought]])</f>
        <v>0</v>
      </c>
      <c r="P505" s="8">
        <f>IF(Sales[[#This Row],[Sales Month]]=MAX(Sales[Sales Month]),Sales[[#This Row],[Non-Paying Users]]*Sales[[#This Row],[Upsell $ per Non-Paying User]],0)</f>
        <v>0</v>
      </c>
      <c r="Q505" t="str" cm="1">
        <f t="array" ref="Q505">_xlfn.IFS(Sales[[#This Row],[Current Upsell $]]=0,"",Sales[[#This Row],[Current Upsell $]]&gt;=400,"High",Sales[[#This Row],[Current Upsell $]]&gt;=100,"Medium",Sales[[#This Row],[Current Upsell $]]&lt;100,"Low")</f>
        <v/>
      </c>
      <c r="R505" t="str">
        <f>IF(Sales[[#This Row],[Current Upsell $]]&gt;0,_xlfn.CONCAT(Sales[[#This Row],[Subscription Type]]," ",Sales[[#This Row],[Upsell Priority]]," ",TEXT(Sales[[#This Row],[Current Upsell $]],"$#,#")),"")</f>
        <v/>
      </c>
    </row>
    <row r="506" spans="1:18" x14ac:dyDescent="0.25">
      <c r="A506">
        <v>100040</v>
      </c>
      <c r="B506" t="s">
        <v>0</v>
      </c>
      <c r="D506" s="1"/>
      <c r="E506" s="1"/>
      <c r="F506">
        <v>36</v>
      </c>
      <c r="G506">
        <v>41</v>
      </c>
      <c r="H506" s="1">
        <v>43983</v>
      </c>
      <c r="I506" s="1">
        <v>44378</v>
      </c>
      <c r="J506">
        <v>13</v>
      </c>
      <c r="K506">
        <v>0</v>
      </c>
      <c r="L506" s="1">
        <v>44256</v>
      </c>
      <c r="M506">
        <v>360</v>
      </c>
      <c r="N506" s="8" cm="1">
        <f t="array" ref="N506">_xlfn.SWITCH(Sales[[#This Row],[Subscription Type]],"Basic",10,"Premium",10,"Business",25,"Enterprise",27)</f>
        <v>10</v>
      </c>
      <c r="O506">
        <f>IF(Sales[[#This Row],[Number of Users]]-Sales[[#This Row],[Licenses Bought]]&lt;0,0,Sales[[#This Row],[Number of Users]]-Sales[[#This Row],[Licenses Bought]])</f>
        <v>5</v>
      </c>
      <c r="P506" s="8">
        <f>IF(Sales[[#This Row],[Sales Month]]=MAX(Sales[Sales Month]),Sales[[#This Row],[Non-Paying Users]]*Sales[[#This Row],[Upsell $ per Non-Paying User]],0)</f>
        <v>0</v>
      </c>
      <c r="Q506" t="str" cm="1">
        <f t="array" ref="Q506">_xlfn.IFS(Sales[[#This Row],[Current Upsell $]]=0,"",Sales[[#This Row],[Current Upsell $]]&gt;=400,"High",Sales[[#This Row],[Current Upsell $]]&gt;=100,"Medium",Sales[[#This Row],[Current Upsell $]]&lt;100,"Low")</f>
        <v/>
      </c>
      <c r="R506" t="str">
        <f>IF(Sales[[#This Row],[Current Upsell $]]&gt;0,_xlfn.CONCAT(Sales[[#This Row],[Subscription Type]]," ",Sales[[#This Row],[Upsell Priority]]," ",TEXT(Sales[[#This Row],[Current Upsell $]],"$#,#")),"")</f>
        <v/>
      </c>
    </row>
    <row r="507" spans="1:18" x14ac:dyDescent="0.25">
      <c r="A507">
        <v>100040</v>
      </c>
      <c r="B507" t="s">
        <v>0</v>
      </c>
      <c r="D507" s="1"/>
      <c r="E507" s="1"/>
      <c r="F507">
        <v>36</v>
      </c>
      <c r="G507">
        <v>50</v>
      </c>
      <c r="H507" s="1">
        <v>43983</v>
      </c>
      <c r="I507" s="1">
        <v>44378</v>
      </c>
      <c r="J507">
        <v>13</v>
      </c>
      <c r="K507">
        <v>0</v>
      </c>
      <c r="L507" s="1">
        <v>44287</v>
      </c>
      <c r="M507">
        <v>360</v>
      </c>
      <c r="N507" s="8" cm="1">
        <f t="array" ref="N507">_xlfn.SWITCH(Sales[[#This Row],[Subscription Type]],"Basic",10,"Premium",10,"Business",25,"Enterprise",27)</f>
        <v>10</v>
      </c>
      <c r="O507">
        <f>IF(Sales[[#This Row],[Number of Users]]-Sales[[#This Row],[Licenses Bought]]&lt;0,0,Sales[[#This Row],[Number of Users]]-Sales[[#This Row],[Licenses Bought]])</f>
        <v>14</v>
      </c>
      <c r="P507" s="8">
        <f>IF(Sales[[#This Row],[Sales Month]]=MAX(Sales[Sales Month]),Sales[[#This Row],[Non-Paying Users]]*Sales[[#This Row],[Upsell $ per Non-Paying User]],0)</f>
        <v>0</v>
      </c>
      <c r="Q507" t="str" cm="1">
        <f t="array" ref="Q507">_xlfn.IFS(Sales[[#This Row],[Current Upsell $]]=0,"",Sales[[#This Row],[Current Upsell $]]&gt;=400,"High",Sales[[#This Row],[Current Upsell $]]&gt;=100,"Medium",Sales[[#This Row],[Current Upsell $]]&lt;100,"Low")</f>
        <v/>
      </c>
      <c r="R507" t="str">
        <f>IF(Sales[[#This Row],[Current Upsell $]]&gt;0,_xlfn.CONCAT(Sales[[#This Row],[Subscription Type]]," ",Sales[[#This Row],[Upsell Priority]]," ",TEXT(Sales[[#This Row],[Current Upsell $]],"$#,#")),"")</f>
        <v/>
      </c>
    </row>
    <row r="508" spans="1:18" x14ac:dyDescent="0.25">
      <c r="A508">
        <v>100040</v>
      </c>
      <c r="B508" t="s">
        <v>0</v>
      </c>
      <c r="D508" s="1"/>
      <c r="E508" s="1"/>
      <c r="F508">
        <v>36</v>
      </c>
      <c r="G508">
        <v>46</v>
      </c>
      <c r="H508" s="1">
        <v>43983</v>
      </c>
      <c r="I508" s="1">
        <v>44378</v>
      </c>
      <c r="J508">
        <v>13</v>
      </c>
      <c r="K508">
        <v>0</v>
      </c>
      <c r="L508" s="1">
        <v>44317</v>
      </c>
      <c r="M508">
        <v>360</v>
      </c>
      <c r="N508" s="8" cm="1">
        <f t="array" ref="N508">_xlfn.SWITCH(Sales[[#This Row],[Subscription Type]],"Basic",10,"Premium",10,"Business",25,"Enterprise",27)</f>
        <v>10</v>
      </c>
      <c r="O508">
        <f>IF(Sales[[#This Row],[Number of Users]]-Sales[[#This Row],[Licenses Bought]]&lt;0,0,Sales[[#This Row],[Number of Users]]-Sales[[#This Row],[Licenses Bought]])</f>
        <v>10</v>
      </c>
      <c r="P508" s="8">
        <f>IF(Sales[[#This Row],[Sales Month]]=MAX(Sales[Sales Month]),Sales[[#This Row],[Non-Paying Users]]*Sales[[#This Row],[Upsell $ per Non-Paying User]],0)</f>
        <v>0</v>
      </c>
      <c r="Q508" t="str" cm="1">
        <f t="array" ref="Q508">_xlfn.IFS(Sales[[#This Row],[Current Upsell $]]=0,"",Sales[[#This Row],[Current Upsell $]]&gt;=400,"High",Sales[[#This Row],[Current Upsell $]]&gt;=100,"Medium",Sales[[#This Row],[Current Upsell $]]&lt;100,"Low")</f>
        <v/>
      </c>
      <c r="R508" t="str">
        <f>IF(Sales[[#This Row],[Current Upsell $]]&gt;0,_xlfn.CONCAT(Sales[[#This Row],[Subscription Type]]," ",Sales[[#This Row],[Upsell Priority]]," ",TEXT(Sales[[#This Row],[Current Upsell $]],"$#,#")),"")</f>
        <v/>
      </c>
    </row>
    <row r="509" spans="1:18" x14ac:dyDescent="0.25">
      <c r="A509">
        <v>100040</v>
      </c>
      <c r="B509" t="s">
        <v>0</v>
      </c>
      <c r="D509" s="1"/>
      <c r="E509" s="1"/>
      <c r="F509">
        <v>36</v>
      </c>
      <c r="G509">
        <v>43</v>
      </c>
      <c r="H509" s="1">
        <v>43983</v>
      </c>
      <c r="I509" s="1">
        <v>44378</v>
      </c>
      <c r="J509">
        <v>13</v>
      </c>
      <c r="K509">
        <v>0</v>
      </c>
      <c r="L509" s="1">
        <v>44348</v>
      </c>
      <c r="M509">
        <v>360</v>
      </c>
      <c r="N509" s="8" cm="1">
        <f t="array" ref="N509">_xlfn.SWITCH(Sales[[#This Row],[Subscription Type]],"Basic",10,"Premium",10,"Business",25,"Enterprise",27)</f>
        <v>10</v>
      </c>
      <c r="O509">
        <f>IF(Sales[[#This Row],[Number of Users]]-Sales[[#This Row],[Licenses Bought]]&lt;0,0,Sales[[#This Row],[Number of Users]]-Sales[[#This Row],[Licenses Bought]])</f>
        <v>7</v>
      </c>
      <c r="P509" s="8">
        <f>IF(Sales[[#This Row],[Sales Month]]=MAX(Sales[Sales Month]),Sales[[#This Row],[Non-Paying Users]]*Sales[[#This Row],[Upsell $ per Non-Paying User]],0)</f>
        <v>70</v>
      </c>
      <c r="Q509" t="str" cm="1">
        <f t="array" ref="Q509">_xlfn.IFS(Sales[[#This Row],[Current Upsell $]]=0,"",Sales[[#This Row],[Current Upsell $]]&gt;=400,"High",Sales[[#This Row],[Current Upsell $]]&gt;=100,"Medium",Sales[[#This Row],[Current Upsell $]]&lt;100,"Low")</f>
        <v>Low</v>
      </c>
      <c r="R509" t="str">
        <f>IF(Sales[[#This Row],[Current Upsell $]]&gt;0,_xlfn.CONCAT(Sales[[#This Row],[Subscription Type]]," ",Sales[[#This Row],[Upsell Priority]]," ",TEXT(Sales[[#This Row],[Current Upsell $]],"$#,#")),"")</f>
        <v>Premium Low $70</v>
      </c>
    </row>
    <row r="510" spans="1:18" x14ac:dyDescent="0.25">
      <c r="A510">
        <v>100041</v>
      </c>
      <c r="B510" t="s">
        <v>3</v>
      </c>
      <c r="D510" s="1"/>
      <c r="E510" s="1"/>
      <c r="F510">
        <v>0</v>
      </c>
      <c r="G510">
        <v>30</v>
      </c>
      <c r="H510" s="1">
        <v>43983</v>
      </c>
      <c r="I510" s="1">
        <v>44378</v>
      </c>
      <c r="J510">
        <v>13</v>
      </c>
      <c r="K510">
        <v>0</v>
      </c>
      <c r="L510" s="1">
        <v>43983</v>
      </c>
      <c r="M510">
        <v>0</v>
      </c>
      <c r="N510" s="8" cm="1">
        <f t="array" ref="N510">_xlfn.SWITCH(Sales[[#This Row],[Subscription Type]],"Basic",10,"Premium",10,"Business",25,"Enterprise",27)</f>
        <v>10</v>
      </c>
      <c r="O510">
        <f>IF(Sales[[#This Row],[Number of Users]]-Sales[[#This Row],[Licenses Bought]]&lt;0,0,Sales[[#This Row],[Number of Users]]-Sales[[#This Row],[Licenses Bought]])</f>
        <v>30</v>
      </c>
      <c r="P510" s="8">
        <f>IF(Sales[[#This Row],[Sales Month]]=MAX(Sales[Sales Month]),Sales[[#This Row],[Non-Paying Users]]*Sales[[#This Row],[Upsell $ per Non-Paying User]],0)</f>
        <v>0</v>
      </c>
      <c r="Q510" t="str" cm="1">
        <f t="array" ref="Q510">_xlfn.IFS(Sales[[#This Row],[Current Upsell $]]=0,"",Sales[[#This Row],[Current Upsell $]]&gt;=400,"High",Sales[[#This Row],[Current Upsell $]]&gt;=100,"Medium",Sales[[#This Row],[Current Upsell $]]&lt;100,"Low")</f>
        <v/>
      </c>
      <c r="R510" t="str">
        <f>IF(Sales[[#This Row],[Current Upsell $]]&gt;0,_xlfn.CONCAT(Sales[[#This Row],[Subscription Type]]," ",Sales[[#This Row],[Upsell Priority]]," ",TEXT(Sales[[#This Row],[Current Upsell $]],"$#,#")),"")</f>
        <v/>
      </c>
    </row>
    <row r="511" spans="1:18" x14ac:dyDescent="0.25">
      <c r="A511">
        <v>100041</v>
      </c>
      <c r="B511" t="s">
        <v>1</v>
      </c>
      <c r="D511" s="1"/>
      <c r="E511" s="1"/>
      <c r="F511">
        <v>10</v>
      </c>
      <c r="G511">
        <v>38</v>
      </c>
      <c r="H511" s="1">
        <v>43983</v>
      </c>
      <c r="I511" s="1">
        <v>44378</v>
      </c>
      <c r="J511">
        <v>13</v>
      </c>
      <c r="K511">
        <v>0</v>
      </c>
      <c r="L511" s="1">
        <v>44013</v>
      </c>
      <c r="M511">
        <v>250</v>
      </c>
      <c r="N511" s="8" cm="1">
        <f t="array" ref="N511">_xlfn.SWITCH(Sales[[#This Row],[Subscription Type]],"Basic",10,"Premium",10,"Business",25,"Enterprise",27)</f>
        <v>25</v>
      </c>
      <c r="O511">
        <f>IF(Sales[[#This Row],[Number of Users]]-Sales[[#This Row],[Licenses Bought]]&lt;0,0,Sales[[#This Row],[Number of Users]]-Sales[[#This Row],[Licenses Bought]])</f>
        <v>28</v>
      </c>
      <c r="P511" s="8">
        <f>IF(Sales[[#This Row],[Sales Month]]=MAX(Sales[Sales Month]),Sales[[#This Row],[Non-Paying Users]]*Sales[[#This Row],[Upsell $ per Non-Paying User]],0)</f>
        <v>0</v>
      </c>
      <c r="Q511" t="str" cm="1">
        <f t="array" ref="Q511">_xlfn.IFS(Sales[[#This Row],[Current Upsell $]]=0,"",Sales[[#This Row],[Current Upsell $]]&gt;=400,"High",Sales[[#This Row],[Current Upsell $]]&gt;=100,"Medium",Sales[[#This Row],[Current Upsell $]]&lt;100,"Low")</f>
        <v/>
      </c>
      <c r="R511" t="str">
        <f>IF(Sales[[#This Row],[Current Upsell $]]&gt;0,_xlfn.CONCAT(Sales[[#This Row],[Subscription Type]]," ",Sales[[#This Row],[Upsell Priority]]," ",TEXT(Sales[[#This Row],[Current Upsell $]],"$#,#")),"")</f>
        <v/>
      </c>
    </row>
    <row r="512" spans="1:18" x14ac:dyDescent="0.25">
      <c r="A512">
        <v>100041</v>
      </c>
      <c r="B512" t="s">
        <v>1</v>
      </c>
      <c r="D512" s="1"/>
      <c r="E512" s="1"/>
      <c r="F512">
        <v>32</v>
      </c>
      <c r="G512">
        <v>32</v>
      </c>
      <c r="H512" s="1">
        <v>43983</v>
      </c>
      <c r="I512" s="1">
        <v>44378</v>
      </c>
      <c r="J512">
        <v>13</v>
      </c>
      <c r="K512">
        <v>0</v>
      </c>
      <c r="L512" s="1">
        <v>44044</v>
      </c>
      <c r="M512">
        <v>800</v>
      </c>
      <c r="N512" s="8" cm="1">
        <f t="array" ref="N512">_xlfn.SWITCH(Sales[[#This Row],[Subscription Type]],"Basic",10,"Premium",10,"Business",25,"Enterprise",27)</f>
        <v>25</v>
      </c>
      <c r="O512">
        <f>IF(Sales[[#This Row],[Number of Users]]-Sales[[#This Row],[Licenses Bought]]&lt;0,0,Sales[[#This Row],[Number of Users]]-Sales[[#This Row],[Licenses Bought]])</f>
        <v>0</v>
      </c>
      <c r="P512" s="8">
        <f>IF(Sales[[#This Row],[Sales Month]]=MAX(Sales[Sales Month]),Sales[[#This Row],[Non-Paying Users]]*Sales[[#This Row],[Upsell $ per Non-Paying User]],0)</f>
        <v>0</v>
      </c>
      <c r="Q512" t="str" cm="1">
        <f t="array" ref="Q512">_xlfn.IFS(Sales[[#This Row],[Current Upsell $]]=0,"",Sales[[#This Row],[Current Upsell $]]&gt;=400,"High",Sales[[#This Row],[Current Upsell $]]&gt;=100,"Medium",Sales[[#This Row],[Current Upsell $]]&lt;100,"Low")</f>
        <v/>
      </c>
      <c r="R512" t="str">
        <f>IF(Sales[[#This Row],[Current Upsell $]]&gt;0,_xlfn.CONCAT(Sales[[#This Row],[Subscription Type]]," ",Sales[[#This Row],[Upsell Priority]]," ",TEXT(Sales[[#This Row],[Current Upsell $]],"$#,#")),"")</f>
        <v/>
      </c>
    </row>
    <row r="513" spans="1:18" x14ac:dyDescent="0.25">
      <c r="A513">
        <v>100041</v>
      </c>
      <c r="B513" t="s">
        <v>1</v>
      </c>
      <c r="D513" s="1"/>
      <c r="E513" s="1"/>
      <c r="F513">
        <v>32</v>
      </c>
      <c r="G513">
        <v>39</v>
      </c>
      <c r="H513" s="1">
        <v>43983</v>
      </c>
      <c r="I513" s="1">
        <v>44378</v>
      </c>
      <c r="J513">
        <v>13</v>
      </c>
      <c r="K513">
        <v>0</v>
      </c>
      <c r="L513" s="1">
        <v>44075</v>
      </c>
      <c r="M513">
        <v>800</v>
      </c>
      <c r="N513" s="8" cm="1">
        <f t="array" ref="N513">_xlfn.SWITCH(Sales[[#This Row],[Subscription Type]],"Basic",10,"Premium",10,"Business",25,"Enterprise",27)</f>
        <v>25</v>
      </c>
      <c r="O513">
        <f>IF(Sales[[#This Row],[Number of Users]]-Sales[[#This Row],[Licenses Bought]]&lt;0,0,Sales[[#This Row],[Number of Users]]-Sales[[#This Row],[Licenses Bought]])</f>
        <v>7</v>
      </c>
      <c r="P513" s="8">
        <f>IF(Sales[[#This Row],[Sales Month]]=MAX(Sales[Sales Month]),Sales[[#This Row],[Non-Paying Users]]*Sales[[#This Row],[Upsell $ per Non-Paying User]],0)</f>
        <v>0</v>
      </c>
      <c r="Q513" t="str" cm="1">
        <f t="array" ref="Q513">_xlfn.IFS(Sales[[#This Row],[Current Upsell $]]=0,"",Sales[[#This Row],[Current Upsell $]]&gt;=400,"High",Sales[[#This Row],[Current Upsell $]]&gt;=100,"Medium",Sales[[#This Row],[Current Upsell $]]&lt;100,"Low")</f>
        <v/>
      </c>
      <c r="R513" t="str">
        <f>IF(Sales[[#This Row],[Current Upsell $]]&gt;0,_xlfn.CONCAT(Sales[[#This Row],[Subscription Type]]," ",Sales[[#This Row],[Upsell Priority]]," ",TEXT(Sales[[#This Row],[Current Upsell $]],"$#,#")),"")</f>
        <v/>
      </c>
    </row>
    <row r="514" spans="1:18" x14ac:dyDescent="0.25">
      <c r="A514">
        <v>100041</v>
      </c>
      <c r="B514" t="s">
        <v>1</v>
      </c>
      <c r="D514" s="1"/>
      <c r="E514" s="1"/>
      <c r="F514">
        <v>32</v>
      </c>
      <c r="G514">
        <v>32</v>
      </c>
      <c r="H514" s="1">
        <v>43983</v>
      </c>
      <c r="I514" s="1">
        <v>44378</v>
      </c>
      <c r="J514">
        <v>13</v>
      </c>
      <c r="K514">
        <v>0</v>
      </c>
      <c r="L514" s="1">
        <v>44105</v>
      </c>
      <c r="M514">
        <v>800</v>
      </c>
      <c r="N514" s="8" cm="1">
        <f t="array" ref="N514">_xlfn.SWITCH(Sales[[#This Row],[Subscription Type]],"Basic",10,"Premium",10,"Business",25,"Enterprise",27)</f>
        <v>25</v>
      </c>
      <c r="O514">
        <f>IF(Sales[[#This Row],[Number of Users]]-Sales[[#This Row],[Licenses Bought]]&lt;0,0,Sales[[#This Row],[Number of Users]]-Sales[[#This Row],[Licenses Bought]])</f>
        <v>0</v>
      </c>
      <c r="P514" s="8">
        <f>IF(Sales[[#This Row],[Sales Month]]=MAX(Sales[Sales Month]),Sales[[#This Row],[Non-Paying Users]]*Sales[[#This Row],[Upsell $ per Non-Paying User]],0)</f>
        <v>0</v>
      </c>
      <c r="Q514" t="str" cm="1">
        <f t="array" ref="Q514">_xlfn.IFS(Sales[[#This Row],[Current Upsell $]]=0,"",Sales[[#This Row],[Current Upsell $]]&gt;=400,"High",Sales[[#This Row],[Current Upsell $]]&gt;=100,"Medium",Sales[[#This Row],[Current Upsell $]]&lt;100,"Low")</f>
        <v/>
      </c>
      <c r="R514" t="str">
        <f>IF(Sales[[#This Row],[Current Upsell $]]&gt;0,_xlfn.CONCAT(Sales[[#This Row],[Subscription Type]]," ",Sales[[#This Row],[Upsell Priority]]," ",TEXT(Sales[[#This Row],[Current Upsell $]],"$#,#")),"")</f>
        <v/>
      </c>
    </row>
    <row r="515" spans="1:18" x14ac:dyDescent="0.25">
      <c r="A515">
        <v>100041</v>
      </c>
      <c r="B515" t="s">
        <v>1</v>
      </c>
      <c r="D515" s="1"/>
      <c r="E515" s="1"/>
      <c r="F515">
        <v>32</v>
      </c>
      <c r="G515">
        <v>47</v>
      </c>
      <c r="H515" s="1">
        <v>43983</v>
      </c>
      <c r="I515" s="1">
        <v>44378</v>
      </c>
      <c r="J515">
        <v>13</v>
      </c>
      <c r="K515">
        <v>0</v>
      </c>
      <c r="L515" s="1">
        <v>44136</v>
      </c>
      <c r="M515">
        <v>800</v>
      </c>
      <c r="N515" s="8" cm="1">
        <f t="array" ref="N515">_xlfn.SWITCH(Sales[[#This Row],[Subscription Type]],"Basic",10,"Premium",10,"Business",25,"Enterprise",27)</f>
        <v>25</v>
      </c>
      <c r="O515">
        <f>IF(Sales[[#This Row],[Number of Users]]-Sales[[#This Row],[Licenses Bought]]&lt;0,0,Sales[[#This Row],[Number of Users]]-Sales[[#This Row],[Licenses Bought]])</f>
        <v>15</v>
      </c>
      <c r="P515" s="8">
        <f>IF(Sales[[#This Row],[Sales Month]]=MAX(Sales[Sales Month]),Sales[[#This Row],[Non-Paying Users]]*Sales[[#This Row],[Upsell $ per Non-Paying User]],0)</f>
        <v>0</v>
      </c>
      <c r="Q515" t="str" cm="1">
        <f t="array" ref="Q515">_xlfn.IFS(Sales[[#This Row],[Current Upsell $]]=0,"",Sales[[#This Row],[Current Upsell $]]&gt;=400,"High",Sales[[#This Row],[Current Upsell $]]&gt;=100,"Medium",Sales[[#This Row],[Current Upsell $]]&lt;100,"Low")</f>
        <v/>
      </c>
      <c r="R515" t="str">
        <f>IF(Sales[[#This Row],[Current Upsell $]]&gt;0,_xlfn.CONCAT(Sales[[#This Row],[Subscription Type]]," ",Sales[[#This Row],[Upsell Priority]]," ",TEXT(Sales[[#This Row],[Current Upsell $]],"$#,#")),"")</f>
        <v/>
      </c>
    </row>
    <row r="516" spans="1:18" x14ac:dyDescent="0.25">
      <c r="A516">
        <v>100041</v>
      </c>
      <c r="B516" t="s">
        <v>1</v>
      </c>
      <c r="D516" s="1"/>
      <c r="E516" s="1"/>
      <c r="F516">
        <v>32</v>
      </c>
      <c r="G516">
        <v>41</v>
      </c>
      <c r="H516" s="1">
        <v>43983</v>
      </c>
      <c r="I516" s="1">
        <v>44378</v>
      </c>
      <c r="J516">
        <v>13</v>
      </c>
      <c r="K516">
        <v>0</v>
      </c>
      <c r="L516" s="1">
        <v>44166</v>
      </c>
      <c r="M516">
        <v>800</v>
      </c>
      <c r="N516" s="8" cm="1">
        <f t="array" ref="N516">_xlfn.SWITCH(Sales[[#This Row],[Subscription Type]],"Basic",10,"Premium",10,"Business",25,"Enterprise",27)</f>
        <v>25</v>
      </c>
      <c r="O516">
        <f>IF(Sales[[#This Row],[Number of Users]]-Sales[[#This Row],[Licenses Bought]]&lt;0,0,Sales[[#This Row],[Number of Users]]-Sales[[#This Row],[Licenses Bought]])</f>
        <v>9</v>
      </c>
      <c r="P516" s="8">
        <f>IF(Sales[[#This Row],[Sales Month]]=MAX(Sales[Sales Month]),Sales[[#This Row],[Non-Paying Users]]*Sales[[#This Row],[Upsell $ per Non-Paying User]],0)</f>
        <v>0</v>
      </c>
      <c r="Q516" t="str" cm="1">
        <f t="array" ref="Q516">_xlfn.IFS(Sales[[#This Row],[Current Upsell $]]=0,"",Sales[[#This Row],[Current Upsell $]]&gt;=400,"High",Sales[[#This Row],[Current Upsell $]]&gt;=100,"Medium",Sales[[#This Row],[Current Upsell $]]&lt;100,"Low")</f>
        <v/>
      </c>
      <c r="R516" t="str">
        <f>IF(Sales[[#This Row],[Current Upsell $]]&gt;0,_xlfn.CONCAT(Sales[[#This Row],[Subscription Type]]," ",Sales[[#This Row],[Upsell Priority]]," ",TEXT(Sales[[#This Row],[Current Upsell $]],"$#,#")),"")</f>
        <v/>
      </c>
    </row>
    <row r="517" spans="1:18" x14ac:dyDescent="0.25">
      <c r="A517">
        <v>100041</v>
      </c>
      <c r="B517" t="s">
        <v>1</v>
      </c>
      <c r="D517" s="1"/>
      <c r="E517" s="1"/>
      <c r="F517">
        <v>32</v>
      </c>
      <c r="G517">
        <v>38</v>
      </c>
      <c r="H517" s="1">
        <v>43983</v>
      </c>
      <c r="I517" s="1">
        <v>44378</v>
      </c>
      <c r="J517">
        <v>13</v>
      </c>
      <c r="K517">
        <v>0</v>
      </c>
      <c r="L517" s="1">
        <v>44197</v>
      </c>
      <c r="M517">
        <v>800</v>
      </c>
      <c r="N517" s="8" cm="1">
        <f t="array" ref="N517">_xlfn.SWITCH(Sales[[#This Row],[Subscription Type]],"Basic",10,"Premium",10,"Business",25,"Enterprise",27)</f>
        <v>25</v>
      </c>
      <c r="O517">
        <f>IF(Sales[[#This Row],[Number of Users]]-Sales[[#This Row],[Licenses Bought]]&lt;0,0,Sales[[#This Row],[Number of Users]]-Sales[[#This Row],[Licenses Bought]])</f>
        <v>6</v>
      </c>
      <c r="P517" s="8">
        <f>IF(Sales[[#This Row],[Sales Month]]=MAX(Sales[Sales Month]),Sales[[#This Row],[Non-Paying Users]]*Sales[[#This Row],[Upsell $ per Non-Paying User]],0)</f>
        <v>0</v>
      </c>
      <c r="Q517" t="str" cm="1">
        <f t="array" ref="Q517">_xlfn.IFS(Sales[[#This Row],[Current Upsell $]]=0,"",Sales[[#This Row],[Current Upsell $]]&gt;=400,"High",Sales[[#This Row],[Current Upsell $]]&gt;=100,"Medium",Sales[[#This Row],[Current Upsell $]]&lt;100,"Low")</f>
        <v/>
      </c>
      <c r="R517" t="str">
        <f>IF(Sales[[#This Row],[Current Upsell $]]&gt;0,_xlfn.CONCAT(Sales[[#This Row],[Subscription Type]]," ",Sales[[#This Row],[Upsell Priority]]," ",TEXT(Sales[[#This Row],[Current Upsell $]],"$#,#")),"")</f>
        <v/>
      </c>
    </row>
    <row r="518" spans="1:18" x14ac:dyDescent="0.25">
      <c r="A518">
        <v>100041</v>
      </c>
      <c r="B518" t="s">
        <v>1</v>
      </c>
      <c r="D518" s="1"/>
      <c r="E518" s="1"/>
      <c r="F518">
        <v>32</v>
      </c>
      <c r="G518">
        <v>38</v>
      </c>
      <c r="H518" s="1">
        <v>43983</v>
      </c>
      <c r="I518" s="1">
        <v>44378</v>
      </c>
      <c r="J518">
        <v>13</v>
      </c>
      <c r="K518">
        <v>0</v>
      </c>
      <c r="L518" s="1">
        <v>44228</v>
      </c>
      <c r="M518">
        <v>800</v>
      </c>
      <c r="N518" s="8" cm="1">
        <f t="array" ref="N518">_xlfn.SWITCH(Sales[[#This Row],[Subscription Type]],"Basic",10,"Premium",10,"Business",25,"Enterprise",27)</f>
        <v>25</v>
      </c>
      <c r="O518">
        <f>IF(Sales[[#This Row],[Number of Users]]-Sales[[#This Row],[Licenses Bought]]&lt;0,0,Sales[[#This Row],[Number of Users]]-Sales[[#This Row],[Licenses Bought]])</f>
        <v>6</v>
      </c>
      <c r="P518" s="8">
        <f>IF(Sales[[#This Row],[Sales Month]]=MAX(Sales[Sales Month]),Sales[[#This Row],[Non-Paying Users]]*Sales[[#This Row],[Upsell $ per Non-Paying User]],0)</f>
        <v>0</v>
      </c>
      <c r="Q518" t="str" cm="1">
        <f t="array" ref="Q518">_xlfn.IFS(Sales[[#This Row],[Current Upsell $]]=0,"",Sales[[#This Row],[Current Upsell $]]&gt;=400,"High",Sales[[#This Row],[Current Upsell $]]&gt;=100,"Medium",Sales[[#This Row],[Current Upsell $]]&lt;100,"Low")</f>
        <v/>
      </c>
      <c r="R518" t="str">
        <f>IF(Sales[[#This Row],[Current Upsell $]]&gt;0,_xlfn.CONCAT(Sales[[#This Row],[Subscription Type]]," ",Sales[[#This Row],[Upsell Priority]]," ",TEXT(Sales[[#This Row],[Current Upsell $]],"$#,#")),"")</f>
        <v/>
      </c>
    </row>
    <row r="519" spans="1:18" x14ac:dyDescent="0.25">
      <c r="A519">
        <v>100041</v>
      </c>
      <c r="B519" t="s">
        <v>1</v>
      </c>
      <c r="D519" s="1"/>
      <c r="E519" s="1"/>
      <c r="F519">
        <v>32</v>
      </c>
      <c r="G519">
        <v>39</v>
      </c>
      <c r="H519" s="1">
        <v>43983</v>
      </c>
      <c r="I519" s="1">
        <v>44378</v>
      </c>
      <c r="J519">
        <v>13</v>
      </c>
      <c r="K519">
        <v>0</v>
      </c>
      <c r="L519" s="1">
        <v>44256</v>
      </c>
      <c r="M519">
        <v>800</v>
      </c>
      <c r="N519" s="8" cm="1">
        <f t="array" ref="N519">_xlfn.SWITCH(Sales[[#This Row],[Subscription Type]],"Basic",10,"Premium",10,"Business",25,"Enterprise",27)</f>
        <v>25</v>
      </c>
      <c r="O519">
        <f>IF(Sales[[#This Row],[Number of Users]]-Sales[[#This Row],[Licenses Bought]]&lt;0,0,Sales[[#This Row],[Number of Users]]-Sales[[#This Row],[Licenses Bought]])</f>
        <v>7</v>
      </c>
      <c r="P519" s="8">
        <f>IF(Sales[[#This Row],[Sales Month]]=MAX(Sales[Sales Month]),Sales[[#This Row],[Non-Paying Users]]*Sales[[#This Row],[Upsell $ per Non-Paying User]],0)</f>
        <v>0</v>
      </c>
      <c r="Q519" t="str" cm="1">
        <f t="array" ref="Q519">_xlfn.IFS(Sales[[#This Row],[Current Upsell $]]=0,"",Sales[[#This Row],[Current Upsell $]]&gt;=400,"High",Sales[[#This Row],[Current Upsell $]]&gt;=100,"Medium",Sales[[#This Row],[Current Upsell $]]&lt;100,"Low")</f>
        <v/>
      </c>
      <c r="R519" t="str">
        <f>IF(Sales[[#This Row],[Current Upsell $]]&gt;0,_xlfn.CONCAT(Sales[[#This Row],[Subscription Type]]," ",Sales[[#This Row],[Upsell Priority]]," ",TEXT(Sales[[#This Row],[Current Upsell $]],"$#,#")),"")</f>
        <v/>
      </c>
    </row>
    <row r="520" spans="1:18" x14ac:dyDescent="0.25">
      <c r="A520">
        <v>100041</v>
      </c>
      <c r="B520" t="s">
        <v>1</v>
      </c>
      <c r="D520" s="1"/>
      <c r="E520" s="1"/>
      <c r="F520">
        <v>32</v>
      </c>
      <c r="G520">
        <v>37</v>
      </c>
      <c r="H520" s="1">
        <v>43983</v>
      </c>
      <c r="I520" s="1">
        <v>44378</v>
      </c>
      <c r="J520">
        <v>13</v>
      </c>
      <c r="K520">
        <v>0</v>
      </c>
      <c r="L520" s="1">
        <v>44287</v>
      </c>
      <c r="M520">
        <v>800</v>
      </c>
      <c r="N520" s="8" cm="1">
        <f t="array" ref="N520">_xlfn.SWITCH(Sales[[#This Row],[Subscription Type]],"Basic",10,"Premium",10,"Business",25,"Enterprise",27)</f>
        <v>25</v>
      </c>
      <c r="O520">
        <f>IF(Sales[[#This Row],[Number of Users]]-Sales[[#This Row],[Licenses Bought]]&lt;0,0,Sales[[#This Row],[Number of Users]]-Sales[[#This Row],[Licenses Bought]])</f>
        <v>5</v>
      </c>
      <c r="P520" s="8">
        <f>IF(Sales[[#This Row],[Sales Month]]=MAX(Sales[Sales Month]),Sales[[#This Row],[Non-Paying Users]]*Sales[[#This Row],[Upsell $ per Non-Paying User]],0)</f>
        <v>0</v>
      </c>
      <c r="Q520" t="str" cm="1">
        <f t="array" ref="Q520">_xlfn.IFS(Sales[[#This Row],[Current Upsell $]]=0,"",Sales[[#This Row],[Current Upsell $]]&gt;=400,"High",Sales[[#This Row],[Current Upsell $]]&gt;=100,"Medium",Sales[[#This Row],[Current Upsell $]]&lt;100,"Low")</f>
        <v/>
      </c>
      <c r="R520" t="str">
        <f>IF(Sales[[#This Row],[Current Upsell $]]&gt;0,_xlfn.CONCAT(Sales[[#This Row],[Subscription Type]]," ",Sales[[#This Row],[Upsell Priority]]," ",TEXT(Sales[[#This Row],[Current Upsell $]],"$#,#")),"")</f>
        <v/>
      </c>
    </row>
    <row r="521" spans="1:18" x14ac:dyDescent="0.25">
      <c r="A521">
        <v>100041</v>
      </c>
      <c r="B521" t="s">
        <v>1</v>
      </c>
      <c r="D521" s="1"/>
      <c r="E521" s="1"/>
      <c r="F521">
        <v>32</v>
      </c>
      <c r="G521">
        <v>41</v>
      </c>
      <c r="H521" s="1">
        <v>43983</v>
      </c>
      <c r="I521" s="1">
        <v>44378</v>
      </c>
      <c r="J521">
        <v>13</v>
      </c>
      <c r="K521">
        <v>0</v>
      </c>
      <c r="L521" s="1">
        <v>44317</v>
      </c>
      <c r="M521">
        <v>800</v>
      </c>
      <c r="N521" s="8" cm="1">
        <f t="array" ref="N521">_xlfn.SWITCH(Sales[[#This Row],[Subscription Type]],"Basic",10,"Premium",10,"Business",25,"Enterprise",27)</f>
        <v>25</v>
      </c>
      <c r="O521">
        <f>IF(Sales[[#This Row],[Number of Users]]-Sales[[#This Row],[Licenses Bought]]&lt;0,0,Sales[[#This Row],[Number of Users]]-Sales[[#This Row],[Licenses Bought]])</f>
        <v>9</v>
      </c>
      <c r="P521" s="8">
        <f>IF(Sales[[#This Row],[Sales Month]]=MAX(Sales[Sales Month]),Sales[[#This Row],[Non-Paying Users]]*Sales[[#This Row],[Upsell $ per Non-Paying User]],0)</f>
        <v>0</v>
      </c>
      <c r="Q521" t="str" cm="1">
        <f t="array" ref="Q521">_xlfn.IFS(Sales[[#This Row],[Current Upsell $]]=0,"",Sales[[#This Row],[Current Upsell $]]&gt;=400,"High",Sales[[#This Row],[Current Upsell $]]&gt;=100,"Medium",Sales[[#This Row],[Current Upsell $]]&lt;100,"Low")</f>
        <v/>
      </c>
      <c r="R521" t="str">
        <f>IF(Sales[[#This Row],[Current Upsell $]]&gt;0,_xlfn.CONCAT(Sales[[#This Row],[Subscription Type]]," ",Sales[[#This Row],[Upsell Priority]]," ",TEXT(Sales[[#This Row],[Current Upsell $]],"$#,#")),"")</f>
        <v/>
      </c>
    </row>
    <row r="522" spans="1:18" x14ac:dyDescent="0.25">
      <c r="A522">
        <v>100041</v>
      </c>
      <c r="B522" t="s">
        <v>1</v>
      </c>
      <c r="D522" s="1"/>
      <c r="E522" s="1"/>
      <c r="F522">
        <v>32</v>
      </c>
      <c r="G522">
        <v>45</v>
      </c>
      <c r="H522" s="1">
        <v>43983</v>
      </c>
      <c r="I522" s="1">
        <v>44378</v>
      </c>
      <c r="J522">
        <v>13</v>
      </c>
      <c r="K522">
        <v>0</v>
      </c>
      <c r="L522" s="1">
        <v>44348</v>
      </c>
      <c r="M522">
        <v>800</v>
      </c>
      <c r="N522" s="8" cm="1">
        <f t="array" ref="N522">_xlfn.SWITCH(Sales[[#This Row],[Subscription Type]],"Basic",10,"Premium",10,"Business",25,"Enterprise",27)</f>
        <v>25</v>
      </c>
      <c r="O522">
        <f>IF(Sales[[#This Row],[Number of Users]]-Sales[[#This Row],[Licenses Bought]]&lt;0,0,Sales[[#This Row],[Number of Users]]-Sales[[#This Row],[Licenses Bought]])</f>
        <v>13</v>
      </c>
      <c r="P522" s="8">
        <f>IF(Sales[[#This Row],[Sales Month]]=MAX(Sales[Sales Month]),Sales[[#This Row],[Non-Paying Users]]*Sales[[#This Row],[Upsell $ per Non-Paying User]],0)</f>
        <v>325</v>
      </c>
      <c r="Q522" t="str" cm="1">
        <f t="array" ref="Q522">_xlfn.IFS(Sales[[#This Row],[Current Upsell $]]=0,"",Sales[[#This Row],[Current Upsell $]]&gt;=400,"High",Sales[[#This Row],[Current Upsell $]]&gt;=100,"Medium",Sales[[#This Row],[Current Upsell $]]&lt;100,"Low")</f>
        <v>Medium</v>
      </c>
      <c r="R522" t="str">
        <f>IF(Sales[[#This Row],[Current Upsell $]]&gt;0,_xlfn.CONCAT(Sales[[#This Row],[Subscription Type]]," ",Sales[[#This Row],[Upsell Priority]]," ",TEXT(Sales[[#This Row],[Current Upsell $]],"$#,#")),"")</f>
        <v>Business Medium $325</v>
      </c>
    </row>
    <row r="523" spans="1:18" x14ac:dyDescent="0.25">
      <c r="A523">
        <v>100042</v>
      </c>
      <c r="B523" t="s">
        <v>3</v>
      </c>
      <c r="D523" s="1"/>
      <c r="E523" s="1"/>
      <c r="F523">
        <v>0</v>
      </c>
      <c r="G523">
        <v>31</v>
      </c>
      <c r="H523" s="1">
        <v>43983</v>
      </c>
      <c r="I523" s="1">
        <v>44378</v>
      </c>
      <c r="J523">
        <v>13</v>
      </c>
      <c r="K523">
        <v>0</v>
      </c>
      <c r="L523" s="1">
        <v>43983</v>
      </c>
      <c r="M523">
        <v>0</v>
      </c>
      <c r="N523" s="8" cm="1">
        <f t="array" ref="N523">_xlfn.SWITCH(Sales[[#This Row],[Subscription Type]],"Basic",10,"Premium",10,"Business",25,"Enterprise",27)</f>
        <v>10</v>
      </c>
      <c r="O523">
        <f>IF(Sales[[#This Row],[Number of Users]]-Sales[[#This Row],[Licenses Bought]]&lt;0,0,Sales[[#This Row],[Number of Users]]-Sales[[#This Row],[Licenses Bought]])</f>
        <v>31</v>
      </c>
      <c r="P523" s="8">
        <f>IF(Sales[[#This Row],[Sales Month]]=MAX(Sales[Sales Month]),Sales[[#This Row],[Non-Paying Users]]*Sales[[#This Row],[Upsell $ per Non-Paying User]],0)</f>
        <v>0</v>
      </c>
      <c r="Q523" t="str" cm="1">
        <f t="array" ref="Q523">_xlfn.IFS(Sales[[#This Row],[Current Upsell $]]=0,"",Sales[[#This Row],[Current Upsell $]]&gt;=400,"High",Sales[[#This Row],[Current Upsell $]]&gt;=100,"Medium",Sales[[#This Row],[Current Upsell $]]&lt;100,"Low")</f>
        <v/>
      </c>
      <c r="R523" t="str">
        <f>IF(Sales[[#This Row],[Current Upsell $]]&gt;0,_xlfn.CONCAT(Sales[[#This Row],[Subscription Type]]," ",Sales[[#This Row],[Upsell Priority]]," ",TEXT(Sales[[#This Row],[Current Upsell $]],"$#,#")),"")</f>
        <v/>
      </c>
    </row>
    <row r="524" spans="1:18" x14ac:dyDescent="0.25">
      <c r="A524">
        <v>100042</v>
      </c>
      <c r="B524" t="s">
        <v>1</v>
      </c>
      <c r="D524" s="1"/>
      <c r="E524" s="1"/>
      <c r="F524">
        <v>10</v>
      </c>
      <c r="G524">
        <v>28</v>
      </c>
      <c r="H524" s="1">
        <v>43983</v>
      </c>
      <c r="I524" s="1">
        <v>44378</v>
      </c>
      <c r="J524">
        <v>13</v>
      </c>
      <c r="K524">
        <v>0</v>
      </c>
      <c r="L524" s="1">
        <v>44013</v>
      </c>
      <c r="M524">
        <v>250</v>
      </c>
      <c r="N524" s="8" cm="1">
        <f t="array" ref="N524">_xlfn.SWITCH(Sales[[#This Row],[Subscription Type]],"Basic",10,"Premium",10,"Business",25,"Enterprise",27)</f>
        <v>25</v>
      </c>
      <c r="O524">
        <f>IF(Sales[[#This Row],[Number of Users]]-Sales[[#This Row],[Licenses Bought]]&lt;0,0,Sales[[#This Row],[Number of Users]]-Sales[[#This Row],[Licenses Bought]])</f>
        <v>18</v>
      </c>
      <c r="P524" s="8">
        <f>IF(Sales[[#This Row],[Sales Month]]=MAX(Sales[Sales Month]),Sales[[#This Row],[Non-Paying Users]]*Sales[[#This Row],[Upsell $ per Non-Paying User]],0)</f>
        <v>0</v>
      </c>
      <c r="Q524" t="str" cm="1">
        <f t="array" ref="Q524">_xlfn.IFS(Sales[[#This Row],[Current Upsell $]]=0,"",Sales[[#This Row],[Current Upsell $]]&gt;=400,"High",Sales[[#This Row],[Current Upsell $]]&gt;=100,"Medium",Sales[[#This Row],[Current Upsell $]]&lt;100,"Low")</f>
        <v/>
      </c>
      <c r="R524" t="str">
        <f>IF(Sales[[#This Row],[Current Upsell $]]&gt;0,_xlfn.CONCAT(Sales[[#This Row],[Subscription Type]]," ",Sales[[#This Row],[Upsell Priority]]," ",TEXT(Sales[[#This Row],[Current Upsell $]],"$#,#")),"")</f>
        <v/>
      </c>
    </row>
    <row r="525" spans="1:18" x14ac:dyDescent="0.25">
      <c r="A525">
        <v>100042</v>
      </c>
      <c r="B525" t="s">
        <v>1</v>
      </c>
      <c r="D525" s="1"/>
      <c r="E525" s="1"/>
      <c r="F525">
        <v>25</v>
      </c>
      <c r="G525">
        <v>35</v>
      </c>
      <c r="H525" s="1">
        <v>43983</v>
      </c>
      <c r="I525" s="1">
        <v>44378</v>
      </c>
      <c r="J525">
        <v>13</v>
      </c>
      <c r="K525">
        <v>0</v>
      </c>
      <c r="L525" s="1">
        <v>44044</v>
      </c>
      <c r="M525">
        <v>625</v>
      </c>
      <c r="N525" s="8" cm="1">
        <f t="array" ref="N525">_xlfn.SWITCH(Sales[[#This Row],[Subscription Type]],"Basic",10,"Premium",10,"Business",25,"Enterprise",27)</f>
        <v>25</v>
      </c>
      <c r="O525">
        <f>IF(Sales[[#This Row],[Number of Users]]-Sales[[#This Row],[Licenses Bought]]&lt;0,0,Sales[[#This Row],[Number of Users]]-Sales[[#This Row],[Licenses Bought]])</f>
        <v>10</v>
      </c>
      <c r="P525" s="8">
        <f>IF(Sales[[#This Row],[Sales Month]]=MAX(Sales[Sales Month]),Sales[[#This Row],[Non-Paying Users]]*Sales[[#This Row],[Upsell $ per Non-Paying User]],0)</f>
        <v>0</v>
      </c>
      <c r="Q525" t="str" cm="1">
        <f t="array" ref="Q525">_xlfn.IFS(Sales[[#This Row],[Current Upsell $]]=0,"",Sales[[#This Row],[Current Upsell $]]&gt;=400,"High",Sales[[#This Row],[Current Upsell $]]&gt;=100,"Medium",Sales[[#This Row],[Current Upsell $]]&lt;100,"Low")</f>
        <v/>
      </c>
      <c r="R525" t="str">
        <f>IF(Sales[[#This Row],[Current Upsell $]]&gt;0,_xlfn.CONCAT(Sales[[#This Row],[Subscription Type]]," ",Sales[[#This Row],[Upsell Priority]]," ",TEXT(Sales[[#This Row],[Current Upsell $]],"$#,#")),"")</f>
        <v/>
      </c>
    </row>
    <row r="526" spans="1:18" x14ac:dyDescent="0.25">
      <c r="A526">
        <v>100042</v>
      </c>
      <c r="B526" t="s">
        <v>1</v>
      </c>
      <c r="D526" s="1"/>
      <c r="E526" s="1"/>
      <c r="F526">
        <v>26</v>
      </c>
      <c r="G526">
        <v>35</v>
      </c>
      <c r="H526" s="1">
        <v>43983</v>
      </c>
      <c r="I526" s="1">
        <v>44378</v>
      </c>
      <c r="J526">
        <v>13</v>
      </c>
      <c r="K526">
        <v>0</v>
      </c>
      <c r="L526" s="1">
        <v>44075</v>
      </c>
      <c r="M526">
        <v>650</v>
      </c>
      <c r="N526" s="8" cm="1">
        <f t="array" ref="N526">_xlfn.SWITCH(Sales[[#This Row],[Subscription Type]],"Basic",10,"Premium",10,"Business",25,"Enterprise",27)</f>
        <v>25</v>
      </c>
      <c r="O526">
        <f>IF(Sales[[#This Row],[Number of Users]]-Sales[[#This Row],[Licenses Bought]]&lt;0,0,Sales[[#This Row],[Number of Users]]-Sales[[#This Row],[Licenses Bought]])</f>
        <v>9</v>
      </c>
      <c r="P526" s="8">
        <f>IF(Sales[[#This Row],[Sales Month]]=MAX(Sales[Sales Month]),Sales[[#This Row],[Non-Paying Users]]*Sales[[#This Row],[Upsell $ per Non-Paying User]],0)</f>
        <v>0</v>
      </c>
      <c r="Q526" t="str" cm="1">
        <f t="array" ref="Q526">_xlfn.IFS(Sales[[#This Row],[Current Upsell $]]=0,"",Sales[[#This Row],[Current Upsell $]]&gt;=400,"High",Sales[[#This Row],[Current Upsell $]]&gt;=100,"Medium",Sales[[#This Row],[Current Upsell $]]&lt;100,"Low")</f>
        <v/>
      </c>
      <c r="R526" t="str">
        <f>IF(Sales[[#This Row],[Current Upsell $]]&gt;0,_xlfn.CONCAT(Sales[[#This Row],[Subscription Type]]," ",Sales[[#This Row],[Upsell Priority]]," ",TEXT(Sales[[#This Row],[Current Upsell $]],"$#,#")),"")</f>
        <v/>
      </c>
    </row>
    <row r="527" spans="1:18" x14ac:dyDescent="0.25">
      <c r="A527">
        <v>100042</v>
      </c>
      <c r="B527" t="s">
        <v>1</v>
      </c>
      <c r="D527" s="1"/>
      <c r="E527" s="1"/>
      <c r="F527">
        <v>26</v>
      </c>
      <c r="G527">
        <v>36</v>
      </c>
      <c r="H527" s="1">
        <v>43983</v>
      </c>
      <c r="I527" s="1">
        <v>44378</v>
      </c>
      <c r="J527">
        <v>13</v>
      </c>
      <c r="K527">
        <v>0</v>
      </c>
      <c r="L527" s="1">
        <v>44105</v>
      </c>
      <c r="M527">
        <v>650</v>
      </c>
      <c r="N527" s="8" cm="1">
        <f t="array" ref="N527">_xlfn.SWITCH(Sales[[#This Row],[Subscription Type]],"Basic",10,"Premium",10,"Business",25,"Enterprise",27)</f>
        <v>25</v>
      </c>
      <c r="O527">
        <f>IF(Sales[[#This Row],[Number of Users]]-Sales[[#This Row],[Licenses Bought]]&lt;0,0,Sales[[#This Row],[Number of Users]]-Sales[[#This Row],[Licenses Bought]])</f>
        <v>10</v>
      </c>
      <c r="P527" s="8">
        <f>IF(Sales[[#This Row],[Sales Month]]=MAX(Sales[Sales Month]),Sales[[#This Row],[Non-Paying Users]]*Sales[[#This Row],[Upsell $ per Non-Paying User]],0)</f>
        <v>0</v>
      </c>
      <c r="Q527" t="str" cm="1">
        <f t="array" ref="Q527">_xlfn.IFS(Sales[[#This Row],[Current Upsell $]]=0,"",Sales[[#This Row],[Current Upsell $]]&gt;=400,"High",Sales[[#This Row],[Current Upsell $]]&gt;=100,"Medium",Sales[[#This Row],[Current Upsell $]]&lt;100,"Low")</f>
        <v/>
      </c>
      <c r="R527" t="str">
        <f>IF(Sales[[#This Row],[Current Upsell $]]&gt;0,_xlfn.CONCAT(Sales[[#This Row],[Subscription Type]]," ",Sales[[#This Row],[Upsell Priority]]," ",TEXT(Sales[[#This Row],[Current Upsell $]],"$#,#")),"")</f>
        <v/>
      </c>
    </row>
    <row r="528" spans="1:18" x14ac:dyDescent="0.25">
      <c r="A528">
        <v>100042</v>
      </c>
      <c r="B528" t="s">
        <v>1</v>
      </c>
      <c r="D528" s="1"/>
      <c r="E528" s="1"/>
      <c r="F528">
        <v>26</v>
      </c>
      <c r="G528">
        <v>35</v>
      </c>
      <c r="H528" s="1">
        <v>43983</v>
      </c>
      <c r="I528" s="1">
        <v>44378</v>
      </c>
      <c r="J528">
        <v>13</v>
      </c>
      <c r="K528">
        <v>0</v>
      </c>
      <c r="L528" s="1">
        <v>44136</v>
      </c>
      <c r="M528">
        <v>650</v>
      </c>
      <c r="N528" s="8" cm="1">
        <f t="array" ref="N528">_xlfn.SWITCH(Sales[[#This Row],[Subscription Type]],"Basic",10,"Premium",10,"Business",25,"Enterprise",27)</f>
        <v>25</v>
      </c>
      <c r="O528">
        <f>IF(Sales[[#This Row],[Number of Users]]-Sales[[#This Row],[Licenses Bought]]&lt;0,0,Sales[[#This Row],[Number of Users]]-Sales[[#This Row],[Licenses Bought]])</f>
        <v>9</v>
      </c>
      <c r="P528" s="8">
        <f>IF(Sales[[#This Row],[Sales Month]]=MAX(Sales[Sales Month]),Sales[[#This Row],[Non-Paying Users]]*Sales[[#This Row],[Upsell $ per Non-Paying User]],0)</f>
        <v>0</v>
      </c>
      <c r="Q528" t="str" cm="1">
        <f t="array" ref="Q528">_xlfn.IFS(Sales[[#This Row],[Current Upsell $]]=0,"",Sales[[#This Row],[Current Upsell $]]&gt;=400,"High",Sales[[#This Row],[Current Upsell $]]&gt;=100,"Medium",Sales[[#This Row],[Current Upsell $]]&lt;100,"Low")</f>
        <v/>
      </c>
      <c r="R528" t="str">
        <f>IF(Sales[[#This Row],[Current Upsell $]]&gt;0,_xlfn.CONCAT(Sales[[#This Row],[Subscription Type]]," ",Sales[[#This Row],[Upsell Priority]]," ",TEXT(Sales[[#This Row],[Current Upsell $]],"$#,#")),"")</f>
        <v/>
      </c>
    </row>
    <row r="529" spans="1:18" x14ac:dyDescent="0.25">
      <c r="A529">
        <v>100042</v>
      </c>
      <c r="B529" t="s">
        <v>1</v>
      </c>
      <c r="D529" s="1"/>
      <c r="E529" s="1"/>
      <c r="F529">
        <v>26</v>
      </c>
      <c r="G529">
        <v>30</v>
      </c>
      <c r="H529" s="1">
        <v>43983</v>
      </c>
      <c r="I529" s="1">
        <v>44378</v>
      </c>
      <c r="J529">
        <v>13</v>
      </c>
      <c r="K529">
        <v>0</v>
      </c>
      <c r="L529" s="1">
        <v>44166</v>
      </c>
      <c r="M529">
        <v>650</v>
      </c>
      <c r="N529" s="8" cm="1">
        <f t="array" ref="N529">_xlfn.SWITCH(Sales[[#This Row],[Subscription Type]],"Basic",10,"Premium",10,"Business",25,"Enterprise",27)</f>
        <v>25</v>
      </c>
      <c r="O529">
        <f>IF(Sales[[#This Row],[Number of Users]]-Sales[[#This Row],[Licenses Bought]]&lt;0,0,Sales[[#This Row],[Number of Users]]-Sales[[#This Row],[Licenses Bought]])</f>
        <v>4</v>
      </c>
      <c r="P529" s="8">
        <f>IF(Sales[[#This Row],[Sales Month]]=MAX(Sales[Sales Month]),Sales[[#This Row],[Non-Paying Users]]*Sales[[#This Row],[Upsell $ per Non-Paying User]],0)</f>
        <v>0</v>
      </c>
      <c r="Q529" t="str" cm="1">
        <f t="array" ref="Q529">_xlfn.IFS(Sales[[#This Row],[Current Upsell $]]=0,"",Sales[[#This Row],[Current Upsell $]]&gt;=400,"High",Sales[[#This Row],[Current Upsell $]]&gt;=100,"Medium",Sales[[#This Row],[Current Upsell $]]&lt;100,"Low")</f>
        <v/>
      </c>
      <c r="R529" t="str">
        <f>IF(Sales[[#This Row],[Current Upsell $]]&gt;0,_xlfn.CONCAT(Sales[[#This Row],[Subscription Type]]," ",Sales[[#This Row],[Upsell Priority]]," ",TEXT(Sales[[#This Row],[Current Upsell $]],"$#,#")),"")</f>
        <v/>
      </c>
    </row>
    <row r="530" spans="1:18" x14ac:dyDescent="0.25">
      <c r="A530">
        <v>100042</v>
      </c>
      <c r="B530" t="s">
        <v>1</v>
      </c>
      <c r="D530" s="1"/>
      <c r="E530" s="1"/>
      <c r="F530">
        <v>26</v>
      </c>
      <c r="G530">
        <v>32</v>
      </c>
      <c r="H530" s="1">
        <v>43983</v>
      </c>
      <c r="I530" s="1">
        <v>44378</v>
      </c>
      <c r="J530">
        <v>13</v>
      </c>
      <c r="K530">
        <v>0</v>
      </c>
      <c r="L530" s="1">
        <v>44197</v>
      </c>
      <c r="M530">
        <v>650</v>
      </c>
      <c r="N530" s="8" cm="1">
        <f t="array" ref="N530">_xlfn.SWITCH(Sales[[#This Row],[Subscription Type]],"Basic",10,"Premium",10,"Business",25,"Enterprise",27)</f>
        <v>25</v>
      </c>
      <c r="O530">
        <f>IF(Sales[[#This Row],[Number of Users]]-Sales[[#This Row],[Licenses Bought]]&lt;0,0,Sales[[#This Row],[Number of Users]]-Sales[[#This Row],[Licenses Bought]])</f>
        <v>6</v>
      </c>
      <c r="P530" s="8">
        <f>IF(Sales[[#This Row],[Sales Month]]=MAX(Sales[Sales Month]),Sales[[#This Row],[Non-Paying Users]]*Sales[[#This Row],[Upsell $ per Non-Paying User]],0)</f>
        <v>0</v>
      </c>
      <c r="Q530" t="str" cm="1">
        <f t="array" ref="Q530">_xlfn.IFS(Sales[[#This Row],[Current Upsell $]]=0,"",Sales[[#This Row],[Current Upsell $]]&gt;=400,"High",Sales[[#This Row],[Current Upsell $]]&gt;=100,"Medium",Sales[[#This Row],[Current Upsell $]]&lt;100,"Low")</f>
        <v/>
      </c>
      <c r="R530" t="str">
        <f>IF(Sales[[#This Row],[Current Upsell $]]&gt;0,_xlfn.CONCAT(Sales[[#This Row],[Subscription Type]]," ",Sales[[#This Row],[Upsell Priority]]," ",TEXT(Sales[[#This Row],[Current Upsell $]],"$#,#")),"")</f>
        <v/>
      </c>
    </row>
    <row r="531" spans="1:18" x14ac:dyDescent="0.25">
      <c r="A531">
        <v>100042</v>
      </c>
      <c r="B531" t="s">
        <v>1</v>
      </c>
      <c r="D531" s="1"/>
      <c r="E531" s="1"/>
      <c r="F531">
        <v>26</v>
      </c>
      <c r="G531">
        <v>34</v>
      </c>
      <c r="H531" s="1">
        <v>43983</v>
      </c>
      <c r="I531" s="1">
        <v>44378</v>
      </c>
      <c r="J531">
        <v>13</v>
      </c>
      <c r="K531">
        <v>0</v>
      </c>
      <c r="L531" s="1">
        <v>44228</v>
      </c>
      <c r="M531">
        <v>650</v>
      </c>
      <c r="N531" s="8" cm="1">
        <f t="array" ref="N531">_xlfn.SWITCH(Sales[[#This Row],[Subscription Type]],"Basic",10,"Premium",10,"Business",25,"Enterprise",27)</f>
        <v>25</v>
      </c>
      <c r="O531">
        <f>IF(Sales[[#This Row],[Number of Users]]-Sales[[#This Row],[Licenses Bought]]&lt;0,0,Sales[[#This Row],[Number of Users]]-Sales[[#This Row],[Licenses Bought]])</f>
        <v>8</v>
      </c>
      <c r="P531" s="8">
        <f>IF(Sales[[#This Row],[Sales Month]]=MAX(Sales[Sales Month]),Sales[[#This Row],[Non-Paying Users]]*Sales[[#This Row],[Upsell $ per Non-Paying User]],0)</f>
        <v>0</v>
      </c>
      <c r="Q531" t="str" cm="1">
        <f t="array" ref="Q531">_xlfn.IFS(Sales[[#This Row],[Current Upsell $]]=0,"",Sales[[#This Row],[Current Upsell $]]&gt;=400,"High",Sales[[#This Row],[Current Upsell $]]&gt;=100,"Medium",Sales[[#This Row],[Current Upsell $]]&lt;100,"Low")</f>
        <v/>
      </c>
      <c r="R531" t="str">
        <f>IF(Sales[[#This Row],[Current Upsell $]]&gt;0,_xlfn.CONCAT(Sales[[#This Row],[Subscription Type]]," ",Sales[[#This Row],[Upsell Priority]]," ",TEXT(Sales[[#This Row],[Current Upsell $]],"$#,#")),"")</f>
        <v/>
      </c>
    </row>
    <row r="532" spans="1:18" x14ac:dyDescent="0.25">
      <c r="A532">
        <v>100042</v>
      </c>
      <c r="B532" t="s">
        <v>1</v>
      </c>
      <c r="D532" s="1"/>
      <c r="E532" s="1"/>
      <c r="F532">
        <v>26</v>
      </c>
      <c r="G532">
        <v>26</v>
      </c>
      <c r="H532" s="1">
        <v>43983</v>
      </c>
      <c r="I532" s="1">
        <v>44378</v>
      </c>
      <c r="J532">
        <v>13</v>
      </c>
      <c r="K532">
        <v>0</v>
      </c>
      <c r="L532" s="1">
        <v>44256</v>
      </c>
      <c r="M532">
        <v>650</v>
      </c>
      <c r="N532" s="8" cm="1">
        <f t="array" ref="N532">_xlfn.SWITCH(Sales[[#This Row],[Subscription Type]],"Basic",10,"Premium",10,"Business",25,"Enterprise",27)</f>
        <v>25</v>
      </c>
      <c r="O532">
        <f>IF(Sales[[#This Row],[Number of Users]]-Sales[[#This Row],[Licenses Bought]]&lt;0,0,Sales[[#This Row],[Number of Users]]-Sales[[#This Row],[Licenses Bought]])</f>
        <v>0</v>
      </c>
      <c r="P532" s="8">
        <f>IF(Sales[[#This Row],[Sales Month]]=MAX(Sales[Sales Month]),Sales[[#This Row],[Non-Paying Users]]*Sales[[#This Row],[Upsell $ per Non-Paying User]],0)</f>
        <v>0</v>
      </c>
      <c r="Q532" t="str" cm="1">
        <f t="array" ref="Q532">_xlfn.IFS(Sales[[#This Row],[Current Upsell $]]=0,"",Sales[[#This Row],[Current Upsell $]]&gt;=400,"High",Sales[[#This Row],[Current Upsell $]]&gt;=100,"Medium",Sales[[#This Row],[Current Upsell $]]&lt;100,"Low")</f>
        <v/>
      </c>
      <c r="R532" t="str">
        <f>IF(Sales[[#This Row],[Current Upsell $]]&gt;0,_xlfn.CONCAT(Sales[[#This Row],[Subscription Type]]," ",Sales[[#This Row],[Upsell Priority]]," ",TEXT(Sales[[#This Row],[Current Upsell $]],"$#,#")),"")</f>
        <v/>
      </c>
    </row>
    <row r="533" spans="1:18" x14ac:dyDescent="0.25">
      <c r="A533">
        <v>100042</v>
      </c>
      <c r="B533" t="s">
        <v>1</v>
      </c>
      <c r="D533" s="1"/>
      <c r="E533" s="1"/>
      <c r="F533">
        <v>26</v>
      </c>
      <c r="G533">
        <v>36</v>
      </c>
      <c r="H533" s="1">
        <v>43983</v>
      </c>
      <c r="I533" s="1">
        <v>44378</v>
      </c>
      <c r="J533">
        <v>13</v>
      </c>
      <c r="K533">
        <v>0</v>
      </c>
      <c r="L533" s="1">
        <v>44287</v>
      </c>
      <c r="M533">
        <v>650</v>
      </c>
      <c r="N533" s="8" cm="1">
        <f t="array" ref="N533">_xlfn.SWITCH(Sales[[#This Row],[Subscription Type]],"Basic",10,"Premium",10,"Business",25,"Enterprise",27)</f>
        <v>25</v>
      </c>
      <c r="O533">
        <f>IF(Sales[[#This Row],[Number of Users]]-Sales[[#This Row],[Licenses Bought]]&lt;0,0,Sales[[#This Row],[Number of Users]]-Sales[[#This Row],[Licenses Bought]])</f>
        <v>10</v>
      </c>
      <c r="P533" s="8">
        <f>IF(Sales[[#This Row],[Sales Month]]=MAX(Sales[Sales Month]),Sales[[#This Row],[Non-Paying Users]]*Sales[[#This Row],[Upsell $ per Non-Paying User]],0)</f>
        <v>0</v>
      </c>
      <c r="Q533" t="str" cm="1">
        <f t="array" ref="Q533">_xlfn.IFS(Sales[[#This Row],[Current Upsell $]]=0,"",Sales[[#This Row],[Current Upsell $]]&gt;=400,"High",Sales[[#This Row],[Current Upsell $]]&gt;=100,"Medium",Sales[[#This Row],[Current Upsell $]]&lt;100,"Low")</f>
        <v/>
      </c>
      <c r="R533" t="str">
        <f>IF(Sales[[#This Row],[Current Upsell $]]&gt;0,_xlfn.CONCAT(Sales[[#This Row],[Subscription Type]]," ",Sales[[#This Row],[Upsell Priority]]," ",TEXT(Sales[[#This Row],[Current Upsell $]],"$#,#")),"")</f>
        <v/>
      </c>
    </row>
    <row r="534" spans="1:18" x14ac:dyDescent="0.25">
      <c r="A534">
        <v>100042</v>
      </c>
      <c r="B534" t="s">
        <v>1</v>
      </c>
      <c r="D534" s="1"/>
      <c r="E534" s="1"/>
      <c r="F534">
        <v>26</v>
      </c>
      <c r="G534">
        <v>34</v>
      </c>
      <c r="H534" s="1">
        <v>43983</v>
      </c>
      <c r="I534" s="1">
        <v>44378</v>
      </c>
      <c r="J534">
        <v>13</v>
      </c>
      <c r="K534">
        <v>0</v>
      </c>
      <c r="L534" s="1">
        <v>44317</v>
      </c>
      <c r="M534">
        <v>650</v>
      </c>
      <c r="N534" s="8" cm="1">
        <f t="array" ref="N534">_xlfn.SWITCH(Sales[[#This Row],[Subscription Type]],"Basic",10,"Premium",10,"Business",25,"Enterprise",27)</f>
        <v>25</v>
      </c>
      <c r="O534">
        <f>IF(Sales[[#This Row],[Number of Users]]-Sales[[#This Row],[Licenses Bought]]&lt;0,0,Sales[[#This Row],[Number of Users]]-Sales[[#This Row],[Licenses Bought]])</f>
        <v>8</v>
      </c>
      <c r="P534" s="8">
        <f>IF(Sales[[#This Row],[Sales Month]]=MAX(Sales[Sales Month]),Sales[[#This Row],[Non-Paying Users]]*Sales[[#This Row],[Upsell $ per Non-Paying User]],0)</f>
        <v>0</v>
      </c>
      <c r="Q534" t="str" cm="1">
        <f t="array" ref="Q534">_xlfn.IFS(Sales[[#This Row],[Current Upsell $]]=0,"",Sales[[#This Row],[Current Upsell $]]&gt;=400,"High",Sales[[#This Row],[Current Upsell $]]&gt;=100,"Medium",Sales[[#This Row],[Current Upsell $]]&lt;100,"Low")</f>
        <v/>
      </c>
      <c r="R534" t="str">
        <f>IF(Sales[[#This Row],[Current Upsell $]]&gt;0,_xlfn.CONCAT(Sales[[#This Row],[Subscription Type]]," ",Sales[[#This Row],[Upsell Priority]]," ",TEXT(Sales[[#This Row],[Current Upsell $]],"$#,#")),"")</f>
        <v/>
      </c>
    </row>
    <row r="535" spans="1:18" x14ac:dyDescent="0.25">
      <c r="A535">
        <v>100042</v>
      </c>
      <c r="B535" t="s">
        <v>1</v>
      </c>
      <c r="D535" s="1"/>
      <c r="E535" s="1"/>
      <c r="F535">
        <v>26</v>
      </c>
      <c r="G535">
        <v>31</v>
      </c>
      <c r="H535" s="1">
        <v>43983</v>
      </c>
      <c r="I535" s="1">
        <v>44378</v>
      </c>
      <c r="J535">
        <v>13</v>
      </c>
      <c r="K535">
        <v>0</v>
      </c>
      <c r="L535" s="1">
        <v>44348</v>
      </c>
      <c r="M535">
        <v>650</v>
      </c>
      <c r="N535" s="8" cm="1">
        <f t="array" ref="N535">_xlfn.SWITCH(Sales[[#This Row],[Subscription Type]],"Basic",10,"Premium",10,"Business",25,"Enterprise",27)</f>
        <v>25</v>
      </c>
      <c r="O535">
        <f>IF(Sales[[#This Row],[Number of Users]]-Sales[[#This Row],[Licenses Bought]]&lt;0,0,Sales[[#This Row],[Number of Users]]-Sales[[#This Row],[Licenses Bought]])</f>
        <v>5</v>
      </c>
      <c r="P535" s="8">
        <f>IF(Sales[[#This Row],[Sales Month]]=MAX(Sales[Sales Month]),Sales[[#This Row],[Non-Paying Users]]*Sales[[#This Row],[Upsell $ per Non-Paying User]],0)</f>
        <v>125</v>
      </c>
      <c r="Q535" t="str" cm="1">
        <f t="array" ref="Q535">_xlfn.IFS(Sales[[#This Row],[Current Upsell $]]=0,"",Sales[[#This Row],[Current Upsell $]]&gt;=400,"High",Sales[[#This Row],[Current Upsell $]]&gt;=100,"Medium",Sales[[#This Row],[Current Upsell $]]&lt;100,"Low")</f>
        <v>Medium</v>
      </c>
      <c r="R535" t="str">
        <f>IF(Sales[[#This Row],[Current Upsell $]]&gt;0,_xlfn.CONCAT(Sales[[#This Row],[Subscription Type]]," ",Sales[[#This Row],[Upsell Priority]]," ",TEXT(Sales[[#This Row],[Current Upsell $]],"$#,#")),"")</f>
        <v>Business Medium $125</v>
      </c>
    </row>
    <row r="536" spans="1:18" x14ac:dyDescent="0.25">
      <c r="A536">
        <v>100043</v>
      </c>
      <c r="B536" t="s">
        <v>3</v>
      </c>
      <c r="D536" s="1"/>
      <c r="E536" s="1"/>
      <c r="F536">
        <v>0</v>
      </c>
      <c r="G536">
        <v>20</v>
      </c>
      <c r="H536" s="1">
        <v>43983</v>
      </c>
      <c r="I536" s="1">
        <v>44378</v>
      </c>
      <c r="J536">
        <v>13</v>
      </c>
      <c r="K536">
        <v>0</v>
      </c>
      <c r="L536" s="1">
        <v>43983</v>
      </c>
      <c r="M536">
        <v>0</v>
      </c>
      <c r="N536" s="8" cm="1">
        <f t="array" ref="N536">_xlfn.SWITCH(Sales[[#This Row],[Subscription Type]],"Basic",10,"Premium",10,"Business",25,"Enterprise",27)</f>
        <v>10</v>
      </c>
      <c r="O536">
        <f>IF(Sales[[#This Row],[Number of Users]]-Sales[[#This Row],[Licenses Bought]]&lt;0,0,Sales[[#This Row],[Number of Users]]-Sales[[#This Row],[Licenses Bought]])</f>
        <v>20</v>
      </c>
      <c r="P536" s="8">
        <f>IF(Sales[[#This Row],[Sales Month]]=MAX(Sales[Sales Month]),Sales[[#This Row],[Non-Paying Users]]*Sales[[#This Row],[Upsell $ per Non-Paying User]],0)</f>
        <v>0</v>
      </c>
      <c r="Q536" t="str" cm="1">
        <f t="array" ref="Q536">_xlfn.IFS(Sales[[#This Row],[Current Upsell $]]=0,"",Sales[[#This Row],[Current Upsell $]]&gt;=400,"High",Sales[[#This Row],[Current Upsell $]]&gt;=100,"Medium",Sales[[#This Row],[Current Upsell $]]&lt;100,"Low")</f>
        <v/>
      </c>
      <c r="R536" t="str">
        <f>IF(Sales[[#This Row],[Current Upsell $]]&gt;0,_xlfn.CONCAT(Sales[[#This Row],[Subscription Type]]," ",Sales[[#This Row],[Upsell Priority]]," ",TEXT(Sales[[#This Row],[Current Upsell $]],"$#,#")),"")</f>
        <v/>
      </c>
    </row>
    <row r="537" spans="1:18" x14ac:dyDescent="0.25">
      <c r="A537">
        <v>100043</v>
      </c>
      <c r="B537" t="s">
        <v>0</v>
      </c>
      <c r="D537" s="1"/>
      <c r="E537" s="1"/>
      <c r="F537">
        <v>4</v>
      </c>
      <c r="G537">
        <v>15</v>
      </c>
      <c r="H537" s="1">
        <v>43983</v>
      </c>
      <c r="I537" s="1">
        <v>44378</v>
      </c>
      <c r="J537">
        <v>13</v>
      </c>
      <c r="K537">
        <v>0</v>
      </c>
      <c r="L537" s="1">
        <v>44013</v>
      </c>
      <c r="M537">
        <v>40</v>
      </c>
      <c r="N537" s="8" cm="1">
        <f t="array" ref="N537">_xlfn.SWITCH(Sales[[#This Row],[Subscription Type]],"Basic",10,"Premium",10,"Business",25,"Enterprise",27)</f>
        <v>10</v>
      </c>
      <c r="O537">
        <f>IF(Sales[[#This Row],[Number of Users]]-Sales[[#This Row],[Licenses Bought]]&lt;0,0,Sales[[#This Row],[Number of Users]]-Sales[[#This Row],[Licenses Bought]])</f>
        <v>11</v>
      </c>
      <c r="P537" s="8">
        <f>IF(Sales[[#This Row],[Sales Month]]=MAX(Sales[Sales Month]),Sales[[#This Row],[Non-Paying Users]]*Sales[[#This Row],[Upsell $ per Non-Paying User]],0)</f>
        <v>0</v>
      </c>
      <c r="Q537" t="str" cm="1">
        <f t="array" ref="Q537">_xlfn.IFS(Sales[[#This Row],[Current Upsell $]]=0,"",Sales[[#This Row],[Current Upsell $]]&gt;=400,"High",Sales[[#This Row],[Current Upsell $]]&gt;=100,"Medium",Sales[[#This Row],[Current Upsell $]]&lt;100,"Low")</f>
        <v/>
      </c>
      <c r="R537" t="str">
        <f>IF(Sales[[#This Row],[Current Upsell $]]&gt;0,_xlfn.CONCAT(Sales[[#This Row],[Subscription Type]]," ",Sales[[#This Row],[Upsell Priority]]," ",TEXT(Sales[[#This Row],[Current Upsell $]],"$#,#")),"")</f>
        <v/>
      </c>
    </row>
    <row r="538" spans="1:18" x14ac:dyDescent="0.25">
      <c r="A538">
        <v>100043</v>
      </c>
      <c r="B538" t="s">
        <v>0</v>
      </c>
      <c r="D538" s="1"/>
      <c r="E538" s="1"/>
      <c r="F538">
        <v>13</v>
      </c>
      <c r="G538">
        <v>16</v>
      </c>
      <c r="H538" s="1">
        <v>43983</v>
      </c>
      <c r="I538" s="1">
        <v>44378</v>
      </c>
      <c r="J538">
        <v>13</v>
      </c>
      <c r="K538">
        <v>0</v>
      </c>
      <c r="L538" s="1">
        <v>44044</v>
      </c>
      <c r="M538">
        <v>130</v>
      </c>
      <c r="N538" s="8" cm="1">
        <f t="array" ref="N538">_xlfn.SWITCH(Sales[[#This Row],[Subscription Type]],"Basic",10,"Premium",10,"Business",25,"Enterprise",27)</f>
        <v>10</v>
      </c>
      <c r="O538">
        <f>IF(Sales[[#This Row],[Number of Users]]-Sales[[#This Row],[Licenses Bought]]&lt;0,0,Sales[[#This Row],[Number of Users]]-Sales[[#This Row],[Licenses Bought]])</f>
        <v>3</v>
      </c>
      <c r="P538" s="8">
        <f>IF(Sales[[#This Row],[Sales Month]]=MAX(Sales[Sales Month]),Sales[[#This Row],[Non-Paying Users]]*Sales[[#This Row],[Upsell $ per Non-Paying User]],0)</f>
        <v>0</v>
      </c>
      <c r="Q538" t="str" cm="1">
        <f t="array" ref="Q538">_xlfn.IFS(Sales[[#This Row],[Current Upsell $]]=0,"",Sales[[#This Row],[Current Upsell $]]&gt;=400,"High",Sales[[#This Row],[Current Upsell $]]&gt;=100,"Medium",Sales[[#This Row],[Current Upsell $]]&lt;100,"Low")</f>
        <v/>
      </c>
      <c r="R538" t="str">
        <f>IF(Sales[[#This Row],[Current Upsell $]]&gt;0,_xlfn.CONCAT(Sales[[#This Row],[Subscription Type]]," ",Sales[[#This Row],[Upsell Priority]]," ",TEXT(Sales[[#This Row],[Current Upsell $]],"$#,#")),"")</f>
        <v/>
      </c>
    </row>
    <row r="539" spans="1:18" x14ac:dyDescent="0.25">
      <c r="A539">
        <v>100043</v>
      </c>
      <c r="B539" t="s">
        <v>0</v>
      </c>
      <c r="D539" s="1"/>
      <c r="E539" s="1"/>
      <c r="F539">
        <v>12</v>
      </c>
      <c r="G539">
        <v>17</v>
      </c>
      <c r="H539" s="1">
        <v>43983</v>
      </c>
      <c r="I539" s="1">
        <v>44378</v>
      </c>
      <c r="J539">
        <v>13</v>
      </c>
      <c r="K539">
        <v>0</v>
      </c>
      <c r="L539" s="1">
        <v>44075</v>
      </c>
      <c r="M539">
        <v>120</v>
      </c>
      <c r="N539" s="8" cm="1">
        <f t="array" ref="N539">_xlfn.SWITCH(Sales[[#This Row],[Subscription Type]],"Basic",10,"Premium",10,"Business",25,"Enterprise",27)</f>
        <v>10</v>
      </c>
      <c r="O539">
        <f>IF(Sales[[#This Row],[Number of Users]]-Sales[[#This Row],[Licenses Bought]]&lt;0,0,Sales[[#This Row],[Number of Users]]-Sales[[#This Row],[Licenses Bought]])</f>
        <v>5</v>
      </c>
      <c r="P539" s="8">
        <f>IF(Sales[[#This Row],[Sales Month]]=MAX(Sales[Sales Month]),Sales[[#This Row],[Non-Paying Users]]*Sales[[#This Row],[Upsell $ per Non-Paying User]],0)</f>
        <v>0</v>
      </c>
      <c r="Q539" t="str" cm="1">
        <f t="array" ref="Q539">_xlfn.IFS(Sales[[#This Row],[Current Upsell $]]=0,"",Sales[[#This Row],[Current Upsell $]]&gt;=400,"High",Sales[[#This Row],[Current Upsell $]]&gt;=100,"Medium",Sales[[#This Row],[Current Upsell $]]&lt;100,"Low")</f>
        <v/>
      </c>
      <c r="R539" t="str">
        <f>IF(Sales[[#This Row],[Current Upsell $]]&gt;0,_xlfn.CONCAT(Sales[[#This Row],[Subscription Type]]," ",Sales[[#This Row],[Upsell Priority]]," ",TEXT(Sales[[#This Row],[Current Upsell $]],"$#,#")),"")</f>
        <v/>
      </c>
    </row>
    <row r="540" spans="1:18" x14ac:dyDescent="0.25">
      <c r="A540">
        <v>100043</v>
      </c>
      <c r="B540" t="s">
        <v>0</v>
      </c>
      <c r="D540" s="1"/>
      <c r="E540" s="1"/>
      <c r="F540">
        <v>13</v>
      </c>
      <c r="G540">
        <v>16</v>
      </c>
      <c r="H540" s="1">
        <v>43983</v>
      </c>
      <c r="I540" s="1">
        <v>44378</v>
      </c>
      <c r="J540">
        <v>13</v>
      </c>
      <c r="K540">
        <v>0</v>
      </c>
      <c r="L540" s="1">
        <v>44105</v>
      </c>
      <c r="M540">
        <v>130</v>
      </c>
      <c r="N540" s="8" cm="1">
        <f t="array" ref="N540">_xlfn.SWITCH(Sales[[#This Row],[Subscription Type]],"Basic",10,"Premium",10,"Business",25,"Enterprise",27)</f>
        <v>10</v>
      </c>
      <c r="O540">
        <f>IF(Sales[[#This Row],[Number of Users]]-Sales[[#This Row],[Licenses Bought]]&lt;0,0,Sales[[#This Row],[Number of Users]]-Sales[[#This Row],[Licenses Bought]])</f>
        <v>3</v>
      </c>
      <c r="P540" s="8">
        <f>IF(Sales[[#This Row],[Sales Month]]=MAX(Sales[Sales Month]),Sales[[#This Row],[Non-Paying Users]]*Sales[[#This Row],[Upsell $ per Non-Paying User]],0)</f>
        <v>0</v>
      </c>
      <c r="Q540" t="str" cm="1">
        <f t="array" ref="Q540">_xlfn.IFS(Sales[[#This Row],[Current Upsell $]]=0,"",Sales[[#This Row],[Current Upsell $]]&gt;=400,"High",Sales[[#This Row],[Current Upsell $]]&gt;=100,"Medium",Sales[[#This Row],[Current Upsell $]]&lt;100,"Low")</f>
        <v/>
      </c>
      <c r="R540" t="str">
        <f>IF(Sales[[#This Row],[Current Upsell $]]&gt;0,_xlfn.CONCAT(Sales[[#This Row],[Subscription Type]]," ",Sales[[#This Row],[Upsell Priority]]," ",TEXT(Sales[[#This Row],[Current Upsell $]],"$#,#")),"")</f>
        <v/>
      </c>
    </row>
    <row r="541" spans="1:18" x14ac:dyDescent="0.25">
      <c r="A541">
        <v>100043</v>
      </c>
      <c r="B541" t="s">
        <v>0</v>
      </c>
      <c r="D541" s="1"/>
      <c r="E541" s="1"/>
      <c r="F541">
        <v>13</v>
      </c>
      <c r="G541">
        <v>14</v>
      </c>
      <c r="H541" s="1">
        <v>43983</v>
      </c>
      <c r="I541" s="1">
        <v>44378</v>
      </c>
      <c r="J541">
        <v>13</v>
      </c>
      <c r="K541">
        <v>0</v>
      </c>
      <c r="L541" s="1">
        <v>44136</v>
      </c>
      <c r="M541">
        <v>130</v>
      </c>
      <c r="N541" s="8" cm="1">
        <f t="array" ref="N541">_xlfn.SWITCH(Sales[[#This Row],[Subscription Type]],"Basic",10,"Premium",10,"Business",25,"Enterprise",27)</f>
        <v>10</v>
      </c>
      <c r="O541">
        <f>IF(Sales[[#This Row],[Number of Users]]-Sales[[#This Row],[Licenses Bought]]&lt;0,0,Sales[[#This Row],[Number of Users]]-Sales[[#This Row],[Licenses Bought]])</f>
        <v>1</v>
      </c>
      <c r="P541" s="8">
        <f>IF(Sales[[#This Row],[Sales Month]]=MAX(Sales[Sales Month]),Sales[[#This Row],[Non-Paying Users]]*Sales[[#This Row],[Upsell $ per Non-Paying User]],0)</f>
        <v>0</v>
      </c>
      <c r="Q541" t="str" cm="1">
        <f t="array" ref="Q541">_xlfn.IFS(Sales[[#This Row],[Current Upsell $]]=0,"",Sales[[#This Row],[Current Upsell $]]&gt;=400,"High",Sales[[#This Row],[Current Upsell $]]&gt;=100,"Medium",Sales[[#This Row],[Current Upsell $]]&lt;100,"Low")</f>
        <v/>
      </c>
      <c r="R541" t="str">
        <f>IF(Sales[[#This Row],[Current Upsell $]]&gt;0,_xlfn.CONCAT(Sales[[#This Row],[Subscription Type]]," ",Sales[[#This Row],[Upsell Priority]]," ",TEXT(Sales[[#This Row],[Current Upsell $]],"$#,#")),"")</f>
        <v/>
      </c>
    </row>
    <row r="542" spans="1:18" x14ac:dyDescent="0.25">
      <c r="A542">
        <v>100043</v>
      </c>
      <c r="B542" t="s">
        <v>0</v>
      </c>
      <c r="D542" s="1"/>
      <c r="E542" s="1"/>
      <c r="F542">
        <v>13</v>
      </c>
      <c r="G542">
        <v>13</v>
      </c>
      <c r="H542" s="1">
        <v>43983</v>
      </c>
      <c r="I542" s="1">
        <v>44378</v>
      </c>
      <c r="J542">
        <v>13</v>
      </c>
      <c r="K542">
        <v>0</v>
      </c>
      <c r="L542" s="1">
        <v>44166</v>
      </c>
      <c r="M542">
        <v>130</v>
      </c>
      <c r="N542" s="8" cm="1">
        <f t="array" ref="N542">_xlfn.SWITCH(Sales[[#This Row],[Subscription Type]],"Basic",10,"Premium",10,"Business",25,"Enterprise",27)</f>
        <v>10</v>
      </c>
      <c r="O542">
        <f>IF(Sales[[#This Row],[Number of Users]]-Sales[[#This Row],[Licenses Bought]]&lt;0,0,Sales[[#This Row],[Number of Users]]-Sales[[#This Row],[Licenses Bought]])</f>
        <v>0</v>
      </c>
      <c r="P542" s="8">
        <f>IF(Sales[[#This Row],[Sales Month]]=MAX(Sales[Sales Month]),Sales[[#This Row],[Non-Paying Users]]*Sales[[#This Row],[Upsell $ per Non-Paying User]],0)</f>
        <v>0</v>
      </c>
      <c r="Q542" t="str" cm="1">
        <f t="array" ref="Q542">_xlfn.IFS(Sales[[#This Row],[Current Upsell $]]=0,"",Sales[[#This Row],[Current Upsell $]]&gt;=400,"High",Sales[[#This Row],[Current Upsell $]]&gt;=100,"Medium",Sales[[#This Row],[Current Upsell $]]&lt;100,"Low")</f>
        <v/>
      </c>
      <c r="R542" t="str">
        <f>IF(Sales[[#This Row],[Current Upsell $]]&gt;0,_xlfn.CONCAT(Sales[[#This Row],[Subscription Type]]," ",Sales[[#This Row],[Upsell Priority]]," ",TEXT(Sales[[#This Row],[Current Upsell $]],"$#,#")),"")</f>
        <v/>
      </c>
    </row>
    <row r="543" spans="1:18" x14ac:dyDescent="0.25">
      <c r="A543">
        <v>100043</v>
      </c>
      <c r="B543" t="s">
        <v>0</v>
      </c>
      <c r="D543" s="1"/>
      <c r="E543" s="1"/>
      <c r="F543">
        <v>13</v>
      </c>
      <c r="G543">
        <v>16</v>
      </c>
      <c r="H543" s="1">
        <v>43983</v>
      </c>
      <c r="I543" s="1">
        <v>44378</v>
      </c>
      <c r="J543">
        <v>13</v>
      </c>
      <c r="K543">
        <v>0</v>
      </c>
      <c r="L543" s="1">
        <v>44197</v>
      </c>
      <c r="M543">
        <v>130</v>
      </c>
      <c r="N543" s="8" cm="1">
        <f t="array" ref="N543">_xlfn.SWITCH(Sales[[#This Row],[Subscription Type]],"Basic",10,"Premium",10,"Business",25,"Enterprise",27)</f>
        <v>10</v>
      </c>
      <c r="O543">
        <f>IF(Sales[[#This Row],[Number of Users]]-Sales[[#This Row],[Licenses Bought]]&lt;0,0,Sales[[#This Row],[Number of Users]]-Sales[[#This Row],[Licenses Bought]])</f>
        <v>3</v>
      </c>
      <c r="P543" s="8">
        <f>IF(Sales[[#This Row],[Sales Month]]=MAX(Sales[Sales Month]),Sales[[#This Row],[Non-Paying Users]]*Sales[[#This Row],[Upsell $ per Non-Paying User]],0)</f>
        <v>0</v>
      </c>
      <c r="Q543" t="str" cm="1">
        <f t="array" ref="Q543">_xlfn.IFS(Sales[[#This Row],[Current Upsell $]]=0,"",Sales[[#This Row],[Current Upsell $]]&gt;=400,"High",Sales[[#This Row],[Current Upsell $]]&gt;=100,"Medium",Sales[[#This Row],[Current Upsell $]]&lt;100,"Low")</f>
        <v/>
      </c>
      <c r="R543" t="str">
        <f>IF(Sales[[#This Row],[Current Upsell $]]&gt;0,_xlfn.CONCAT(Sales[[#This Row],[Subscription Type]]," ",Sales[[#This Row],[Upsell Priority]]," ",TEXT(Sales[[#This Row],[Current Upsell $]],"$#,#")),"")</f>
        <v/>
      </c>
    </row>
    <row r="544" spans="1:18" x14ac:dyDescent="0.25">
      <c r="A544">
        <v>100043</v>
      </c>
      <c r="B544" t="s">
        <v>0</v>
      </c>
      <c r="D544" s="1"/>
      <c r="E544" s="1"/>
      <c r="F544">
        <v>13</v>
      </c>
      <c r="G544">
        <v>16</v>
      </c>
      <c r="H544" s="1">
        <v>43983</v>
      </c>
      <c r="I544" s="1">
        <v>44378</v>
      </c>
      <c r="J544">
        <v>13</v>
      </c>
      <c r="K544">
        <v>0</v>
      </c>
      <c r="L544" s="1">
        <v>44228</v>
      </c>
      <c r="M544">
        <v>130</v>
      </c>
      <c r="N544" s="8" cm="1">
        <f t="array" ref="N544">_xlfn.SWITCH(Sales[[#This Row],[Subscription Type]],"Basic",10,"Premium",10,"Business",25,"Enterprise",27)</f>
        <v>10</v>
      </c>
      <c r="O544">
        <f>IF(Sales[[#This Row],[Number of Users]]-Sales[[#This Row],[Licenses Bought]]&lt;0,0,Sales[[#This Row],[Number of Users]]-Sales[[#This Row],[Licenses Bought]])</f>
        <v>3</v>
      </c>
      <c r="P544" s="8">
        <f>IF(Sales[[#This Row],[Sales Month]]=MAX(Sales[Sales Month]),Sales[[#This Row],[Non-Paying Users]]*Sales[[#This Row],[Upsell $ per Non-Paying User]],0)</f>
        <v>0</v>
      </c>
      <c r="Q544" t="str" cm="1">
        <f t="array" ref="Q544">_xlfn.IFS(Sales[[#This Row],[Current Upsell $]]=0,"",Sales[[#This Row],[Current Upsell $]]&gt;=400,"High",Sales[[#This Row],[Current Upsell $]]&gt;=100,"Medium",Sales[[#This Row],[Current Upsell $]]&lt;100,"Low")</f>
        <v/>
      </c>
      <c r="R544" t="str">
        <f>IF(Sales[[#This Row],[Current Upsell $]]&gt;0,_xlfn.CONCAT(Sales[[#This Row],[Subscription Type]]," ",Sales[[#This Row],[Upsell Priority]]," ",TEXT(Sales[[#This Row],[Current Upsell $]],"$#,#")),"")</f>
        <v/>
      </c>
    </row>
    <row r="545" spans="1:18" x14ac:dyDescent="0.25">
      <c r="A545">
        <v>100043</v>
      </c>
      <c r="B545" t="s">
        <v>0</v>
      </c>
      <c r="D545" s="1"/>
      <c r="E545" s="1"/>
      <c r="F545">
        <v>13</v>
      </c>
      <c r="G545">
        <v>15</v>
      </c>
      <c r="H545" s="1">
        <v>43983</v>
      </c>
      <c r="I545" s="1">
        <v>44378</v>
      </c>
      <c r="J545">
        <v>13</v>
      </c>
      <c r="K545">
        <v>0</v>
      </c>
      <c r="L545" s="1">
        <v>44256</v>
      </c>
      <c r="M545">
        <v>130</v>
      </c>
      <c r="N545" s="8" cm="1">
        <f t="array" ref="N545">_xlfn.SWITCH(Sales[[#This Row],[Subscription Type]],"Basic",10,"Premium",10,"Business",25,"Enterprise",27)</f>
        <v>10</v>
      </c>
      <c r="O545">
        <f>IF(Sales[[#This Row],[Number of Users]]-Sales[[#This Row],[Licenses Bought]]&lt;0,0,Sales[[#This Row],[Number of Users]]-Sales[[#This Row],[Licenses Bought]])</f>
        <v>2</v>
      </c>
      <c r="P545" s="8">
        <f>IF(Sales[[#This Row],[Sales Month]]=MAX(Sales[Sales Month]),Sales[[#This Row],[Non-Paying Users]]*Sales[[#This Row],[Upsell $ per Non-Paying User]],0)</f>
        <v>0</v>
      </c>
      <c r="Q545" t="str" cm="1">
        <f t="array" ref="Q545">_xlfn.IFS(Sales[[#This Row],[Current Upsell $]]=0,"",Sales[[#This Row],[Current Upsell $]]&gt;=400,"High",Sales[[#This Row],[Current Upsell $]]&gt;=100,"Medium",Sales[[#This Row],[Current Upsell $]]&lt;100,"Low")</f>
        <v/>
      </c>
      <c r="R545" t="str">
        <f>IF(Sales[[#This Row],[Current Upsell $]]&gt;0,_xlfn.CONCAT(Sales[[#This Row],[Subscription Type]]," ",Sales[[#This Row],[Upsell Priority]]," ",TEXT(Sales[[#This Row],[Current Upsell $]],"$#,#")),"")</f>
        <v/>
      </c>
    </row>
    <row r="546" spans="1:18" x14ac:dyDescent="0.25">
      <c r="A546">
        <v>100043</v>
      </c>
      <c r="B546" t="s">
        <v>0</v>
      </c>
      <c r="D546" s="1"/>
      <c r="E546" s="1"/>
      <c r="F546">
        <v>13</v>
      </c>
      <c r="G546">
        <v>14</v>
      </c>
      <c r="H546" s="1">
        <v>43983</v>
      </c>
      <c r="I546" s="1">
        <v>44378</v>
      </c>
      <c r="J546">
        <v>13</v>
      </c>
      <c r="K546">
        <v>0</v>
      </c>
      <c r="L546" s="1">
        <v>44287</v>
      </c>
      <c r="M546">
        <v>130</v>
      </c>
      <c r="N546" s="8" cm="1">
        <f t="array" ref="N546">_xlfn.SWITCH(Sales[[#This Row],[Subscription Type]],"Basic",10,"Premium",10,"Business",25,"Enterprise",27)</f>
        <v>10</v>
      </c>
      <c r="O546">
        <f>IF(Sales[[#This Row],[Number of Users]]-Sales[[#This Row],[Licenses Bought]]&lt;0,0,Sales[[#This Row],[Number of Users]]-Sales[[#This Row],[Licenses Bought]])</f>
        <v>1</v>
      </c>
      <c r="P546" s="8">
        <f>IF(Sales[[#This Row],[Sales Month]]=MAX(Sales[Sales Month]),Sales[[#This Row],[Non-Paying Users]]*Sales[[#This Row],[Upsell $ per Non-Paying User]],0)</f>
        <v>0</v>
      </c>
      <c r="Q546" t="str" cm="1">
        <f t="array" ref="Q546">_xlfn.IFS(Sales[[#This Row],[Current Upsell $]]=0,"",Sales[[#This Row],[Current Upsell $]]&gt;=400,"High",Sales[[#This Row],[Current Upsell $]]&gt;=100,"Medium",Sales[[#This Row],[Current Upsell $]]&lt;100,"Low")</f>
        <v/>
      </c>
      <c r="R546" t="str">
        <f>IF(Sales[[#This Row],[Current Upsell $]]&gt;0,_xlfn.CONCAT(Sales[[#This Row],[Subscription Type]]," ",Sales[[#This Row],[Upsell Priority]]," ",TEXT(Sales[[#This Row],[Current Upsell $]],"$#,#")),"")</f>
        <v/>
      </c>
    </row>
    <row r="547" spans="1:18" x14ac:dyDescent="0.25">
      <c r="A547">
        <v>100043</v>
      </c>
      <c r="B547" t="s">
        <v>0</v>
      </c>
      <c r="D547" s="1"/>
      <c r="E547" s="1"/>
      <c r="F547">
        <v>13</v>
      </c>
      <c r="G547">
        <v>17</v>
      </c>
      <c r="H547" s="1">
        <v>43983</v>
      </c>
      <c r="I547" s="1">
        <v>44378</v>
      </c>
      <c r="J547">
        <v>13</v>
      </c>
      <c r="K547">
        <v>0</v>
      </c>
      <c r="L547" s="1">
        <v>44317</v>
      </c>
      <c r="M547">
        <v>130</v>
      </c>
      <c r="N547" s="8" cm="1">
        <f t="array" ref="N547">_xlfn.SWITCH(Sales[[#This Row],[Subscription Type]],"Basic",10,"Premium",10,"Business",25,"Enterprise",27)</f>
        <v>10</v>
      </c>
      <c r="O547">
        <f>IF(Sales[[#This Row],[Number of Users]]-Sales[[#This Row],[Licenses Bought]]&lt;0,0,Sales[[#This Row],[Number of Users]]-Sales[[#This Row],[Licenses Bought]])</f>
        <v>4</v>
      </c>
      <c r="P547" s="8">
        <f>IF(Sales[[#This Row],[Sales Month]]=MAX(Sales[Sales Month]),Sales[[#This Row],[Non-Paying Users]]*Sales[[#This Row],[Upsell $ per Non-Paying User]],0)</f>
        <v>0</v>
      </c>
      <c r="Q547" t="str" cm="1">
        <f t="array" ref="Q547">_xlfn.IFS(Sales[[#This Row],[Current Upsell $]]=0,"",Sales[[#This Row],[Current Upsell $]]&gt;=400,"High",Sales[[#This Row],[Current Upsell $]]&gt;=100,"Medium",Sales[[#This Row],[Current Upsell $]]&lt;100,"Low")</f>
        <v/>
      </c>
      <c r="R547" t="str">
        <f>IF(Sales[[#This Row],[Current Upsell $]]&gt;0,_xlfn.CONCAT(Sales[[#This Row],[Subscription Type]]," ",Sales[[#This Row],[Upsell Priority]]," ",TEXT(Sales[[#This Row],[Current Upsell $]],"$#,#")),"")</f>
        <v/>
      </c>
    </row>
    <row r="548" spans="1:18" x14ac:dyDescent="0.25">
      <c r="A548">
        <v>100043</v>
      </c>
      <c r="B548" t="s">
        <v>0</v>
      </c>
      <c r="D548" s="1"/>
      <c r="E548" s="1"/>
      <c r="F548">
        <v>13</v>
      </c>
      <c r="G548">
        <v>18</v>
      </c>
      <c r="H548" s="1">
        <v>43983</v>
      </c>
      <c r="I548" s="1">
        <v>44378</v>
      </c>
      <c r="J548">
        <v>13</v>
      </c>
      <c r="K548">
        <v>0</v>
      </c>
      <c r="L548" s="1">
        <v>44348</v>
      </c>
      <c r="M548">
        <v>130</v>
      </c>
      <c r="N548" s="8" cm="1">
        <f t="array" ref="N548">_xlfn.SWITCH(Sales[[#This Row],[Subscription Type]],"Basic",10,"Premium",10,"Business",25,"Enterprise",27)</f>
        <v>10</v>
      </c>
      <c r="O548">
        <f>IF(Sales[[#This Row],[Number of Users]]-Sales[[#This Row],[Licenses Bought]]&lt;0,0,Sales[[#This Row],[Number of Users]]-Sales[[#This Row],[Licenses Bought]])</f>
        <v>5</v>
      </c>
      <c r="P548" s="8">
        <f>IF(Sales[[#This Row],[Sales Month]]=MAX(Sales[Sales Month]),Sales[[#This Row],[Non-Paying Users]]*Sales[[#This Row],[Upsell $ per Non-Paying User]],0)</f>
        <v>50</v>
      </c>
      <c r="Q548" t="str" cm="1">
        <f t="array" ref="Q548">_xlfn.IFS(Sales[[#This Row],[Current Upsell $]]=0,"",Sales[[#This Row],[Current Upsell $]]&gt;=400,"High",Sales[[#This Row],[Current Upsell $]]&gt;=100,"Medium",Sales[[#This Row],[Current Upsell $]]&lt;100,"Low")</f>
        <v>Low</v>
      </c>
      <c r="R548" t="str">
        <f>IF(Sales[[#This Row],[Current Upsell $]]&gt;0,_xlfn.CONCAT(Sales[[#This Row],[Subscription Type]]," ",Sales[[#This Row],[Upsell Priority]]," ",TEXT(Sales[[#This Row],[Current Upsell $]],"$#,#")),"")</f>
        <v>Premium Low $50</v>
      </c>
    </row>
    <row r="549" spans="1:18" x14ac:dyDescent="0.25">
      <c r="A549">
        <v>100044</v>
      </c>
      <c r="B549" t="s">
        <v>3</v>
      </c>
      <c r="F549">
        <v>0</v>
      </c>
      <c r="G549">
        <v>12</v>
      </c>
      <c r="H549" s="1">
        <v>43983</v>
      </c>
      <c r="I549" s="1">
        <v>44348</v>
      </c>
      <c r="J549">
        <v>12</v>
      </c>
      <c r="K549">
        <v>0</v>
      </c>
      <c r="L549" s="1">
        <v>43983</v>
      </c>
      <c r="M549">
        <v>0</v>
      </c>
      <c r="N549" s="8" cm="1">
        <f t="array" ref="N549">_xlfn.SWITCH(Sales[[#This Row],[Subscription Type]],"Basic",10,"Premium",10,"Business",25,"Enterprise",27)</f>
        <v>10</v>
      </c>
      <c r="O549">
        <f>IF(Sales[[#This Row],[Number of Users]]-Sales[[#This Row],[Licenses Bought]]&lt;0,0,Sales[[#This Row],[Number of Users]]-Sales[[#This Row],[Licenses Bought]])</f>
        <v>12</v>
      </c>
      <c r="P549" s="8">
        <f>IF(Sales[[#This Row],[Sales Month]]=MAX(Sales[Sales Month]),Sales[[#This Row],[Non-Paying Users]]*Sales[[#This Row],[Upsell $ per Non-Paying User]],0)</f>
        <v>0</v>
      </c>
      <c r="Q549" t="str" cm="1">
        <f t="array" ref="Q549">_xlfn.IFS(Sales[[#This Row],[Current Upsell $]]=0,"",Sales[[#This Row],[Current Upsell $]]&gt;=400,"High",Sales[[#This Row],[Current Upsell $]]&gt;=100,"Medium",Sales[[#This Row],[Current Upsell $]]&lt;100,"Low")</f>
        <v/>
      </c>
      <c r="R549" t="str">
        <f>IF(Sales[[#This Row],[Current Upsell $]]&gt;0,_xlfn.CONCAT(Sales[[#This Row],[Subscription Type]]," ",Sales[[#This Row],[Upsell Priority]]," ",TEXT(Sales[[#This Row],[Current Upsell $]],"$#,#")),"")</f>
        <v/>
      </c>
    </row>
    <row r="550" spans="1:18" x14ac:dyDescent="0.25">
      <c r="A550">
        <v>100044</v>
      </c>
      <c r="B550" t="s">
        <v>3</v>
      </c>
      <c r="F550">
        <v>0</v>
      </c>
      <c r="G550">
        <v>13</v>
      </c>
      <c r="H550" s="1">
        <v>43983</v>
      </c>
      <c r="I550" s="1">
        <v>44348</v>
      </c>
      <c r="J550">
        <v>12</v>
      </c>
      <c r="K550">
        <v>0</v>
      </c>
      <c r="L550" s="1">
        <v>44013</v>
      </c>
      <c r="M550">
        <v>0</v>
      </c>
      <c r="N550" s="8" cm="1">
        <f t="array" ref="N550">_xlfn.SWITCH(Sales[[#This Row],[Subscription Type]],"Basic",10,"Premium",10,"Business",25,"Enterprise",27)</f>
        <v>10</v>
      </c>
      <c r="O550">
        <f>IF(Sales[[#This Row],[Number of Users]]-Sales[[#This Row],[Licenses Bought]]&lt;0,0,Sales[[#This Row],[Number of Users]]-Sales[[#This Row],[Licenses Bought]])</f>
        <v>13</v>
      </c>
      <c r="P550" s="8">
        <f>IF(Sales[[#This Row],[Sales Month]]=MAX(Sales[Sales Month]),Sales[[#This Row],[Non-Paying Users]]*Sales[[#This Row],[Upsell $ per Non-Paying User]],0)</f>
        <v>0</v>
      </c>
      <c r="Q550" t="str" cm="1">
        <f t="array" ref="Q550">_xlfn.IFS(Sales[[#This Row],[Current Upsell $]]=0,"",Sales[[#This Row],[Current Upsell $]]&gt;=400,"High",Sales[[#This Row],[Current Upsell $]]&gt;=100,"Medium",Sales[[#This Row],[Current Upsell $]]&lt;100,"Low")</f>
        <v/>
      </c>
      <c r="R550" t="str">
        <f>IF(Sales[[#This Row],[Current Upsell $]]&gt;0,_xlfn.CONCAT(Sales[[#This Row],[Subscription Type]]," ",Sales[[#This Row],[Upsell Priority]]," ",TEXT(Sales[[#This Row],[Current Upsell $]],"$#,#")),"")</f>
        <v/>
      </c>
    </row>
    <row r="551" spans="1:18" x14ac:dyDescent="0.25">
      <c r="A551">
        <v>100044</v>
      </c>
      <c r="B551" t="s">
        <v>3</v>
      </c>
      <c r="F551">
        <v>0</v>
      </c>
      <c r="G551">
        <v>15</v>
      </c>
      <c r="H551" s="1">
        <v>43983</v>
      </c>
      <c r="I551" s="1">
        <v>44348</v>
      </c>
      <c r="J551">
        <v>12</v>
      </c>
      <c r="K551">
        <v>0</v>
      </c>
      <c r="L551" s="1">
        <v>44044</v>
      </c>
      <c r="M551">
        <v>0</v>
      </c>
      <c r="N551" s="8" cm="1">
        <f t="array" ref="N551">_xlfn.SWITCH(Sales[[#This Row],[Subscription Type]],"Basic",10,"Premium",10,"Business",25,"Enterprise",27)</f>
        <v>10</v>
      </c>
      <c r="O551">
        <f>IF(Sales[[#This Row],[Number of Users]]-Sales[[#This Row],[Licenses Bought]]&lt;0,0,Sales[[#This Row],[Number of Users]]-Sales[[#This Row],[Licenses Bought]])</f>
        <v>15</v>
      </c>
      <c r="P551" s="8">
        <f>IF(Sales[[#This Row],[Sales Month]]=MAX(Sales[Sales Month]),Sales[[#This Row],[Non-Paying Users]]*Sales[[#This Row],[Upsell $ per Non-Paying User]],0)</f>
        <v>0</v>
      </c>
      <c r="Q551" t="str" cm="1">
        <f t="array" ref="Q551">_xlfn.IFS(Sales[[#This Row],[Current Upsell $]]=0,"",Sales[[#This Row],[Current Upsell $]]&gt;=400,"High",Sales[[#This Row],[Current Upsell $]]&gt;=100,"Medium",Sales[[#This Row],[Current Upsell $]]&lt;100,"Low")</f>
        <v/>
      </c>
      <c r="R551" t="str">
        <f>IF(Sales[[#This Row],[Current Upsell $]]&gt;0,_xlfn.CONCAT(Sales[[#This Row],[Subscription Type]]," ",Sales[[#This Row],[Upsell Priority]]," ",TEXT(Sales[[#This Row],[Current Upsell $]],"$#,#")),"")</f>
        <v/>
      </c>
    </row>
    <row r="552" spans="1:18" x14ac:dyDescent="0.25">
      <c r="A552">
        <v>100044</v>
      </c>
      <c r="B552" t="s">
        <v>3</v>
      </c>
      <c r="F552">
        <v>0</v>
      </c>
      <c r="G552">
        <v>14</v>
      </c>
      <c r="H552" s="1">
        <v>43983</v>
      </c>
      <c r="I552" s="1">
        <v>44348</v>
      </c>
      <c r="J552">
        <v>12</v>
      </c>
      <c r="K552">
        <v>0</v>
      </c>
      <c r="L552" s="1">
        <v>44075</v>
      </c>
      <c r="M552">
        <v>0</v>
      </c>
      <c r="N552" s="8" cm="1">
        <f t="array" ref="N552">_xlfn.SWITCH(Sales[[#This Row],[Subscription Type]],"Basic",10,"Premium",10,"Business",25,"Enterprise",27)</f>
        <v>10</v>
      </c>
      <c r="O552">
        <f>IF(Sales[[#This Row],[Number of Users]]-Sales[[#This Row],[Licenses Bought]]&lt;0,0,Sales[[#This Row],[Number of Users]]-Sales[[#This Row],[Licenses Bought]])</f>
        <v>14</v>
      </c>
      <c r="P552" s="8">
        <f>IF(Sales[[#This Row],[Sales Month]]=MAX(Sales[Sales Month]),Sales[[#This Row],[Non-Paying Users]]*Sales[[#This Row],[Upsell $ per Non-Paying User]],0)</f>
        <v>0</v>
      </c>
      <c r="Q552" t="str" cm="1">
        <f t="array" ref="Q552">_xlfn.IFS(Sales[[#This Row],[Current Upsell $]]=0,"",Sales[[#This Row],[Current Upsell $]]&gt;=400,"High",Sales[[#This Row],[Current Upsell $]]&gt;=100,"Medium",Sales[[#This Row],[Current Upsell $]]&lt;100,"Low")</f>
        <v/>
      </c>
      <c r="R552" t="str">
        <f>IF(Sales[[#This Row],[Current Upsell $]]&gt;0,_xlfn.CONCAT(Sales[[#This Row],[Subscription Type]]," ",Sales[[#This Row],[Upsell Priority]]," ",TEXT(Sales[[#This Row],[Current Upsell $]],"$#,#")),"")</f>
        <v/>
      </c>
    </row>
    <row r="553" spans="1:18" x14ac:dyDescent="0.25">
      <c r="A553">
        <v>100044</v>
      </c>
      <c r="B553" t="s">
        <v>3</v>
      </c>
      <c r="F553">
        <v>0</v>
      </c>
      <c r="G553">
        <v>11</v>
      </c>
      <c r="H553" s="1">
        <v>43983</v>
      </c>
      <c r="I553" s="1">
        <v>44348</v>
      </c>
      <c r="J553">
        <v>12</v>
      </c>
      <c r="K553">
        <v>0</v>
      </c>
      <c r="L553" s="1">
        <v>44105</v>
      </c>
      <c r="M553">
        <v>0</v>
      </c>
      <c r="N553" s="8" cm="1">
        <f t="array" ref="N553">_xlfn.SWITCH(Sales[[#This Row],[Subscription Type]],"Basic",10,"Premium",10,"Business",25,"Enterprise",27)</f>
        <v>10</v>
      </c>
      <c r="O553">
        <f>IF(Sales[[#This Row],[Number of Users]]-Sales[[#This Row],[Licenses Bought]]&lt;0,0,Sales[[#This Row],[Number of Users]]-Sales[[#This Row],[Licenses Bought]])</f>
        <v>11</v>
      </c>
      <c r="P553" s="8">
        <f>IF(Sales[[#This Row],[Sales Month]]=MAX(Sales[Sales Month]),Sales[[#This Row],[Non-Paying Users]]*Sales[[#This Row],[Upsell $ per Non-Paying User]],0)</f>
        <v>0</v>
      </c>
      <c r="Q553" t="str" cm="1">
        <f t="array" ref="Q553">_xlfn.IFS(Sales[[#This Row],[Current Upsell $]]=0,"",Sales[[#This Row],[Current Upsell $]]&gt;=400,"High",Sales[[#This Row],[Current Upsell $]]&gt;=100,"Medium",Sales[[#This Row],[Current Upsell $]]&lt;100,"Low")</f>
        <v/>
      </c>
      <c r="R553" t="str">
        <f>IF(Sales[[#This Row],[Current Upsell $]]&gt;0,_xlfn.CONCAT(Sales[[#This Row],[Subscription Type]]," ",Sales[[#This Row],[Upsell Priority]]," ",TEXT(Sales[[#This Row],[Current Upsell $]],"$#,#")),"")</f>
        <v/>
      </c>
    </row>
    <row r="554" spans="1:18" x14ac:dyDescent="0.25">
      <c r="A554">
        <v>100044</v>
      </c>
      <c r="B554" t="s">
        <v>3</v>
      </c>
      <c r="F554">
        <v>0</v>
      </c>
      <c r="G554">
        <v>13</v>
      </c>
      <c r="H554" s="1">
        <v>43983</v>
      </c>
      <c r="I554" s="1">
        <v>44348</v>
      </c>
      <c r="J554">
        <v>12</v>
      </c>
      <c r="K554">
        <v>0</v>
      </c>
      <c r="L554" s="1">
        <v>44136</v>
      </c>
      <c r="M554">
        <v>0</v>
      </c>
      <c r="N554" s="8" cm="1">
        <f t="array" ref="N554">_xlfn.SWITCH(Sales[[#This Row],[Subscription Type]],"Basic",10,"Premium",10,"Business",25,"Enterprise",27)</f>
        <v>10</v>
      </c>
      <c r="O554">
        <f>IF(Sales[[#This Row],[Number of Users]]-Sales[[#This Row],[Licenses Bought]]&lt;0,0,Sales[[#This Row],[Number of Users]]-Sales[[#This Row],[Licenses Bought]])</f>
        <v>13</v>
      </c>
      <c r="P554" s="8">
        <f>IF(Sales[[#This Row],[Sales Month]]=MAX(Sales[Sales Month]),Sales[[#This Row],[Non-Paying Users]]*Sales[[#This Row],[Upsell $ per Non-Paying User]],0)</f>
        <v>0</v>
      </c>
      <c r="Q554" t="str" cm="1">
        <f t="array" ref="Q554">_xlfn.IFS(Sales[[#This Row],[Current Upsell $]]=0,"",Sales[[#This Row],[Current Upsell $]]&gt;=400,"High",Sales[[#This Row],[Current Upsell $]]&gt;=100,"Medium",Sales[[#This Row],[Current Upsell $]]&lt;100,"Low")</f>
        <v/>
      </c>
      <c r="R554" t="str">
        <f>IF(Sales[[#This Row],[Current Upsell $]]&gt;0,_xlfn.CONCAT(Sales[[#This Row],[Subscription Type]]," ",Sales[[#This Row],[Upsell Priority]]," ",TEXT(Sales[[#This Row],[Current Upsell $]],"$#,#")),"")</f>
        <v/>
      </c>
    </row>
    <row r="555" spans="1:18" x14ac:dyDescent="0.25">
      <c r="A555">
        <v>100044</v>
      </c>
      <c r="B555" t="s">
        <v>3</v>
      </c>
      <c r="F555">
        <v>0</v>
      </c>
      <c r="G555">
        <v>12</v>
      </c>
      <c r="H555" s="1">
        <v>43983</v>
      </c>
      <c r="I555" s="1">
        <v>44348</v>
      </c>
      <c r="J555">
        <v>12</v>
      </c>
      <c r="K555">
        <v>0</v>
      </c>
      <c r="L555" s="1">
        <v>44166</v>
      </c>
      <c r="M555">
        <v>0</v>
      </c>
      <c r="N555" s="8" cm="1">
        <f t="array" ref="N555">_xlfn.SWITCH(Sales[[#This Row],[Subscription Type]],"Basic",10,"Premium",10,"Business",25,"Enterprise",27)</f>
        <v>10</v>
      </c>
      <c r="O555">
        <f>IF(Sales[[#This Row],[Number of Users]]-Sales[[#This Row],[Licenses Bought]]&lt;0,0,Sales[[#This Row],[Number of Users]]-Sales[[#This Row],[Licenses Bought]])</f>
        <v>12</v>
      </c>
      <c r="P555" s="8">
        <f>IF(Sales[[#This Row],[Sales Month]]=MAX(Sales[Sales Month]),Sales[[#This Row],[Non-Paying Users]]*Sales[[#This Row],[Upsell $ per Non-Paying User]],0)</f>
        <v>0</v>
      </c>
      <c r="Q555" t="str" cm="1">
        <f t="array" ref="Q555">_xlfn.IFS(Sales[[#This Row],[Current Upsell $]]=0,"",Sales[[#This Row],[Current Upsell $]]&gt;=400,"High",Sales[[#This Row],[Current Upsell $]]&gt;=100,"Medium",Sales[[#This Row],[Current Upsell $]]&lt;100,"Low")</f>
        <v/>
      </c>
      <c r="R555" t="str">
        <f>IF(Sales[[#This Row],[Current Upsell $]]&gt;0,_xlfn.CONCAT(Sales[[#This Row],[Subscription Type]]," ",Sales[[#This Row],[Upsell Priority]]," ",TEXT(Sales[[#This Row],[Current Upsell $]],"$#,#")),"")</f>
        <v/>
      </c>
    </row>
    <row r="556" spans="1:18" x14ac:dyDescent="0.25">
      <c r="A556">
        <v>100044</v>
      </c>
      <c r="B556" t="s">
        <v>3</v>
      </c>
      <c r="F556">
        <v>0</v>
      </c>
      <c r="G556">
        <v>14</v>
      </c>
      <c r="H556" s="1">
        <v>43983</v>
      </c>
      <c r="I556" s="1">
        <v>44348</v>
      </c>
      <c r="J556">
        <v>12</v>
      </c>
      <c r="K556">
        <v>0</v>
      </c>
      <c r="L556" s="1">
        <v>44197</v>
      </c>
      <c r="M556">
        <v>0</v>
      </c>
      <c r="N556" s="8" cm="1">
        <f t="array" ref="N556">_xlfn.SWITCH(Sales[[#This Row],[Subscription Type]],"Basic",10,"Premium",10,"Business",25,"Enterprise",27)</f>
        <v>10</v>
      </c>
      <c r="O556">
        <f>IF(Sales[[#This Row],[Number of Users]]-Sales[[#This Row],[Licenses Bought]]&lt;0,0,Sales[[#This Row],[Number of Users]]-Sales[[#This Row],[Licenses Bought]])</f>
        <v>14</v>
      </c>
      <c r="P556" s="8">
        <f>IF(Sales[[#This Row],[Sales Month]]=MAX(Sales[Sales Month]),Sales[[#This Row],[Non-Paying Users]]*Sales[[#This Row],[Upsell $ per Non-Paying User]],0)</f>
        <v>0</v>
      </c>
      <c r="Q556" t="str" cm="1">
        <f t="array" ref="Q556">_xlfn.IFS(Sales[[#This Row],[Current Upsell $]]=0,"",Sales[[#This Row],[Current Upsell $]]&gt;=400,"High",Sales[[#This Row],[Current Upsell $]]&gt;=100,"Medium",Sales[[#This Row],[Current Upsell $]]&lt;100,"Low")</f>
        <v/>
      </c>
      <c r="R556" t="str">
        <f>IF(Sales[[#This Row],[Current Upsell $]]&gt;0,_xlfn.CONCAT(Sales[[#This Row],[Subscription Type]]," ",Sales[[#This Row],[Upsell Priority]]," ",TEXT(Sales[[#This Row],[Current Upsell $]],"$#,#")),"")</f>
        <v/>
      </c>
    </row>
    <row r="557" spans="1:18" x14ac:dyDescent="0.25">
      <c r="A557">
        <v>100044</v>
      </c>
      <c r="B557" t="s">
        <v>3</v>
      </c>
      <c r="F557">
        <v>0</v>
      </c>
      <c r="G557">
        <v>13</v>
      </c>
      <c r="H557" s="1">
        <v>43983</v>
      </c>
      <c r="I557" s="1">
        <v>44348</v>
      </c>
      <c r="J557">
        <v>12</v>
      </c>
      <c r="K557">
        <v>0</v>
      </c>
      <c r="L557" s="1">
        <v>44228</v>
      </c>
      <c r="M557">
        <v>0</v>
      </c>
      <c r="N557" s="8" cm="1">
        <f t="array" ref="N557">_xlfn.SWITCH(Sales[[#This Row],[Subscription Type]],"Basic",10,"Premium",10,"Business",25,"Enterprise",27)</f>
        <v>10</v>
      </c>
      <c r="O557">
        <f>IF(Sales[[#This Row],[Number of Users]]-Sales[[#This Row],[Licenses Bought]]&lt;0,0,Sales[[#This Row],[Number of Users]]-Sales[[#This Row],[Licenses Bought]])</f>
        <v>13</v>
      </c>
      <c r="P557" s="8">
        <f>IF(Sales[[#This Row],[Sales Month]]=MAX(Sales[Sales Month]),Sales[[#This Row],[Non-Paying Users]]*Sales[[#This Row],[Upsell $ per Non-Paying User]],0)</f>
        <v>0</v>
      </c>
      <c r="Q557" t="str" cm="1">
        <f t="array" ref="Q557">_xlfn.IFS(Sales[[#This Row],[Current Upsell $]]=0,"",Sales[[#This Row],[Current Upsell $]]&gt;=400,"High",Sales[[#This Row],[Current Upsell $]]&gt;=100,"Medium",Sales[[#This Row],[Current Upsell $]]&lt;100,"Low")</f>
        <v/>
      </c>
      <c r="R557" t="str">
        <f>IF(Sales[[#This Row],[Current Upsell $]]&gt;0,_xlfn.CONCAT(Sales[[#This Row],[Subscription Type]]," ",Sales[[#This Row],[Upsell Priority]]," ",TEXT(Sales[[#This Row],[Current Upsell $]],"$#,#")),"")</f>
        <v/>
      </c>
    </row>
    <row r="558" spans="1:18" x14ac:dyDescent="0.25">
      <c r="A558">
        <v>100044</v>
      </c>
      <c r="B558" t="s">
        <v>3</v>
      </c>
      <c r="F558">
        <v>0</v>
      </c>
      <c r="G558">
        <v>14</v>
      </c>
      <c r="H558" s="1">
        <v>43983</v>
      </c>
      <c r="I558" s="1">
        <v>44348</v>
      </c>
      <c r="J558">
        <v>12</v>
      </c>
      <c r="K558">
        <v>0</v>
      </c>
      <c r="L558" s="1">
        <v>44256</v>
      </c>
      <c r="M558">
        <v>0</v>
      </c>
      <c r="N558" s="8" cm="1">
        <f t="array" ref="N558">_xlfn.SWITCH(Sales[[#This Row],[Subscription Type]],"Basic",10,"Premium",10,"Business",25,"Enterprise",27)</f>
        <v>10</v>
      </c>
      <c r="O558">
        <f>IF(Sales[[#This Row],[Number of Users]]-Sales[[#This Row],[Licenses Bought]]&lt;0,0,Sales[[#This Row],[Number of Users]]-Sales[[#This Row],[Licenses Bought]])</f>
        <v>14</v>
      </c>
      <c r="P558" s="8">
        <f>IF(Sales[[#This Row],[Sales Month]]=MAX(Sales[Sales Month]),Sales[[#This Row],[Non-Paying Users]]*Sales[[#This Row],[Upsell $ per Non-Paying User]],0)</f>
        <v>0</v>
      </c>
      <c r="Q558" t="str" cm="1">
        <f t="array" ref="Q558">_xlfn.IFS(Sales[[#This Row],[Current Upsell $]]=0,"",Sales[[#This Row],[Current Upsell $]]&gt;=400,"High",Sales[[#This Row],[Current Upsell $]]&gt;=100,"Medium",Sales[[#This Row],[Current Upsell $]]&lt;100,"Low")</f>
        <v/>
      </c>
      <c r="R558" t="str">
        <f>IF(Sales[[#This Row],[Current Upsell $]]&gt;0,_xlfn.CONCAT(Sales[[#This Row],[Subscription Type]]," ",Sales[[#This Row],[Upsell Priority]]," ",TEXT(Sales[[#This Row],[Current Upsell $]],"$#,#")),"")</f>
        <v/>
      </c>
    </row>
    <row r="559" spans="1:18" x14ac:dyDescent="0.25">
      <c r="A559">
        <v>100044</v>
      </c>
      <c r="B559" t="s">
        <v>3</v>
      </c>
      <c r="F559">
        <v>0</v>
      </c>
      <c r="G559">
        <v>13</v>
      </c>
      <c r="H559" s="1">
        <v>43983</v>
      </c>
      <c r="I559" s="1">
        <v>44348</v>
      </c>
      <c r="J559">
        <v>12</v>
      </c>
      <c r="K559">
        <v>0</v>
      </c>
      <c r="L559" s="1">
        <v>44287</v>
      </c>
      <c r="M559">
        <v>0</v>
      </c>
      <c r="N559" s="8" cm="1">
        <f t="array" ref="N559">_xlfn.SWITCH(Sales[[#This Row],[Subscription Type]],"Basic",10,"Premium",10,"Business",25,"Enterprise",27)</f>
        <v>10</v>
      </c>
      <c r="O559">
        <f>IF(Sales[[#This Row],[Number of Users]]-Sales[[#This Row],[Licenses Bought]]&lt;0,0,Sales[[#This Row],[Number of Users]]-Sales[[#This Row],[Licenses Bought]])</f>
        <v>13</v>
      </c>
      <c r="P559" s="8">
        <f>IF(Sales[[#This Row],[Sales Month]]=MAX(Sales[Sales Month]),Sales[[#This Row],[Non-Paying Users]]*Sales[[#This Row],[Upsell $ per Non-Paying User]],0)</f>
        <v>0</v>
      </c>
      <c r="Q559" t="str" cm="1">
        <f t="array" ref="Q559">_xlfn.IFS(Sales[[#This Row],[Current Upsell $]]=0,"",Sales[[#This Row],[Current Upsell $]]&gt;=400,"High",Sales[[#This Row],[Current Upsell $]]&gt;=100,"Medium",Sales[[#This Row],[Current Upsell $]]&lt;100,"Low")</f>
        <v/>
      </c>
      <c r="R559" t="str">
        <f>IF(Sales[[#This Row],[Current Upsell $]]&gt;0,_xlfn.CONCAT(Sales[[#This Row],[Subscription Type]]," ",Sales[[#This Row],[Upsell Priority]]," ",TEXT(Sales[[#This Row],[Current Upsell $]],"$#,#")),"")</f>
        <v/>
      </c>
    </row>
    <row r="560" spans="1:18" x14ac:dyDescent="0.25">
      <c r="A560">
        <v>100044</v>
      </c>
      <c r="B560" t="s">
        <v>3</v>
      </c>
      <c r="F560">
        <v>0</v>
      </c>
      <c r="G560">
        <v>15</v>
      </c>
      <c r="H560" s="1">
        <v>43983</v>
      </c>
      <c r="I560" s="1">
        <v>44348</v>
      </c>
      <c r="J560">
        <v>12</v>
      </c>
      <c r="K560">
        <v>0</v>
      </c>
      <c r="L560" s="1">
        <v>44317</v>
      </c>
      <c r="M560">
        <v>0</v>
      </c>
      <c r="N560" s="8" cm="1">
        <f t="array" ref="N560">_xlfn.SWITCH(Sales[[#This Row],[Subscription Type]],"Basic",10,"Premium",10,"Business",25,"Enterprise",27)</f>
        <v>10</v>
      </c>
      <c r="O560">
        <f>IF(Sales[[#This Row],[Number of Users]]-Sales[[#This Row],[Licenses Bought]]&lt;0,0,Sales[[#This Row],[Number of Users]]-Sales[[#This Row],[Licenses Bought]])</f>
        <v>15</v>
      </c>
      <c r="P560" s="8">
        <f>IF(Sales[[#This Row],[Sales Month]]=MAX(Sales[Sales Month]),Sales[[#This Row],[Non-Paying Users]]*Sales[[#This Row],[Upsell $ per Non-Paying User]],0)</f>
        <v>0</v>
      </c>
      <c r="Q560" t="str" cm="1">
        <f t="array" ref="Q560">_xlfn.IFS(Sales[[#This Row],[Current Upsell $]]=0,"",Sales[[#This Row],[Current Upsell $]]&gt;=400,"High",Sales[[#This Row],[Current Upsell $]]&gt;=100,"Medium",Sales[[#This Row],[Current Upsell $]]&lt;100,"Low")</f>
        <v/>
      </c>
      <c r="R560" t="str">
        <f>IF(Sales[[#This Row],[Current Upsell $]]&gt;0,_xlfn.CONCAT(Sales[[#This Row],[Subscription Type]]," ",Sales[[#This Row],[Upsell Priority]]," ",TEXT(Sales[[#This Row],[Current Upsell $]],"$#,#")),"")</f>
        <v/>
      </c>
    </row>
    <row r="561" spans="1:18" x14ac:dyDescent="0.25">
      <c r="A561">
        <v>100044</v>
      </c>
      <c r="B561" t="s">
        <v>3</v>
      </c>
      <c r="F561">
        <v>0</v>
      </c>
      <c r="G561">
        <v>15</v>
      </c>
      <c r="H561" s="1">
        <v>43983</v>
      </c>
      <c r="I561" s="1">
        <v>44348</v>
      </c>
      <c r="J561">
        <v>12</v>
      </c>
      <c r="K561">
        <v>0</v>
      </c>
      <c r="L561" s="1">
        <v>44348</v>
      </c>
      <c r="M561">
        <v>0</v>
      </c>
      <c r="N561" s="8" cm="1">
        <f t="array" ref="N561">_xlfn.SWITCH(Sales[[#This Row],[Subscription Type]],"Basic",10,"Premium",10,"Business",25,"Enterprise",27)</f>
        <v>10</v>
      </c>
      <c r="O561">
        <f>IF(Sales[[#This Row],[Number of Users]]-Sales[[#This Row],[Licenses Bought]]&lt;0,0,Sales[[#This Row],[Number of Users]]-Sales[[#This Row],[Licenses Bought]])</f>
        <v>15</v>
      </c>
      <c r="P561" s="8">
        <f>IF(Sales[[#This Row],[Sales Month]]=MAX(Sales[Sales Month]),Sales[[#This Row],[Non-Paying Users]]*Sales[[#This Row],[Upsell $ per Non-Paying User]],0)</f>
        <v>150</v>
      </c>
      <c r="Q561" t="str" cm="1">
        <f t="array" ref="Q561">_xlfn.IFS(Sales[[#This Row],[Current Upsell $]]=0,"",Sales[[#This Row],[Current Upsell $]]&gt;=400,"High",Sales[[#This Row],[Current Upsell $]]&gt;=100,"Medium",Sales[[#This Row],[Current Upsell $]]&lt;100,"Low")</f>
        <v>Medium</v>
      </c>
      <c r="R561" t="str">
        <f>IF(Sales[[#This Row],[Current Upsell $]]&gt;0,_xlfn.CONCAT(Sales[[#This Row],[Subscription Type]]," ",Sales[[#This Row],[Upsell Priority]]," ",TEXT(Sales[[#This Row],[Current Upsell $]],"$#,#")),"")</f>
        <v>Basic Medium $150</v>
      </c>
    </row>
    <row r="562" spans="1:18" x14ac:dyDescent="0.25">
      <c r="A562">
        <v>100045</v>
      </c>
      <c r="B562" t="s">
        <v>3</v>
      </c>
      <c r="D562" s="1"/>
      <c r="E562" s="1"/>
      <c r="F562">
        <v>0</v>
      </c>
      <c r="G562">
        <v>11</v>
      </c>
      <c r="H562" s="1">
        <v>43983</v>
      </c>
      <c r="I562" s="1">
        <v>44378</v>
      </c>
      <c r="J562">
        <v>13</v>
      </c>
      <c r="K562">
        <v>0</v>
      </c>
      <c r="L562" s="1">
        <v>43983</v>
      </c>
      <c r="M562">
        <v>0</v>
      </c>
      <c r="N562" s="8" cm="1">
        <f t="array" ref="N562">_xlfn.SWITCH(Sales[[#This Row],[Subscription Type]],"Basic",10,"Premium",10,"Business",25,"Enterprise",27)</f>
        <v>10</v>
      </c>
      <c r="O562">
        <f>IF(Sales[[#This Row],[Number of Users]]-Sales[[#This Row],[Licenses Bought]]&lt;0,0,Sales[[#This Row],[Number of Users]]-Sales[[#This Row],[Licenses Bought]])</f>
        <v>11</v>
      </c>
      <c r="P562" s="8">
        <f>IF(Sales[[#This Row],[Sales Month]]=MAX(Sales[Sales Month]),Sales[[#This Row],[Non-Paying Users]]*Sales[[#This Row],[Upsell $ per Non-Paying User]],0)</f>
        <v>0</v>
      </c>
      <c r="Q562" t="str" cm="1">
        <f t="array" ref="Q562">_xlfn.IFS(Sales[[#This Row],[Current Upsell $]]=0,"",Sales[[#This Row],[Current Upsell $]]&gt;=400,"High",Sales[[#This Row],[Current Upsell $]]&gt;=100,"Medium",Sales[[#This Row],[Current Upsell $]]&lt;100,"Low")</f>
        <v/>
      </c>
      <c r="R562" t="str">
        <f>IF(Sales[[#This Row],[Current Upsell $]]&gt;0,_xlfn.CONCAT(Sales[[#This Row],[Subscription Type]]," ",Sales[[#This Row],[Upsell Priority]]," ",TEXT(Sales[[#This Row],[Current Upsell $]],"$#,#")),"")</f>
        <v/>
      </c>
    </row>
    <row r="563" spans="1:18" x14ac:dyDescent="0.25">
      <c r="A563">
        <v>100045</v>
      </c>
      <c r="B563" t="s">
        <v>1</v>
      </c>
      <c r="D563" s="1"/>
      <c r="E563" s="1"/>
      <c r="F563">
        <v>4</v>
      </c>
      <c r="G563">
        <v>10</v>
      </c>
      <c r="H563" s="1">
        <v>43983</v>
      </c>
      <c r="I563" s="1">
        <v>44378</v>
      </c>
      <c r="J563">
        <v>13</v>
      </c>
      <c r="K563">
        <v>0</v>
      </c>
      <c r="L563" s="1">
        <v>44013</v>
      </c>
      <c r="M563">
        <v>100</v>
      </c>
      <c r="N563" s="8" cm="1">
        <f t="array" ref="N563">_xlfn.SWITCH(Sales[[#This Row],[Subscription Type]],"Basic",10,"Premium",10,"Business",25,"Enterprise",27)</f>
        <v>25</v>
      </c>
      <c r="O563">
        <f>IF(Sales[[#This Row],[Number of Users]]-Sales[[#This Row],[Licenses Bought]]&lt;0,0,Sales[[#This Row],[Number of Users]]-Sales[[#This Row],[Licenses Bought]])</f>
        <v>6</v>
      </c>
      <c r="P563" s="8">
        <f>IF(Sales[[#This Row],[Sales Month]]=MAX(Sales[Sales Month]),Sales[[#This Row],[Non-Paying Users]]*Sales[[#This Row],[Upsell $ per Non-Paying User]],0)</f>
        <v>0</v>
      </c>
      <c r="Q563" t="str" cm="1">
        <f t="array" ref="Q563">_xlfn.IFS(Sales[[#This Row],[Current Upsell $]]=0,"",Sales[[#This Row],[Current Upsell $]]&gt;=400,"High",Sales[[#This Row],[Current Upsell $]]&gt;=100,"Medium",Sales[[#This Row],[Current Upsell $]]&lt;100,"Low")</f>
        <v/>
      </c>
      <c r="R563" t="str">
        <f>IF(Sales[[#This Row],[Current Upsell $]]&gt;0,_xlfn.CONCAT(Sales[[#This Row],[Subscription Type]]," ",Sales[[#This Row],[Upsell Priority]]," ",TEXT(Sales[[#This Row],[Current Upsell $]],"$#,#")),"")</f>
        <v/>
      </c>
    </row>
    <row r="564" spans="1:18" x14ac:dyDescent="0.25">
      <c r="A564">
        <v>100045</v>
      </c>
      <c r="B564" t="s">
        <v>1</v>
      </c>
      <c r="D564" s="1"/>
      <c r="E564" s="1"/>
      <c r="F564">
        <v>9</v>
      </c>
      <c r="G564">
        <v>11</v>
      </c>
      <c r="H564" s="1">
        <v>43983</v>
      </c>
      <c r="I564" s="1">
        <v>44378</v>
      </c>
      <c r="J564">
        <v>13</v>
      </c>
      <c r="K564">
        <v>0</v>
      </c>
      <c r="L564" s="1">
        <v>44044</v>
      </c>
      <c r="M564">
        <v>225</v>
      </c>
      <c r="N564" s="8" cm="1">
        <f t="array" ref="N564">_xlfn.SWITCH(Sales[[#This Row],[Subscription Type]],"Basic",10,"Premium",10,"Business",25,"Enterprise",27)</f>
        <v>25</v>
      </c>
      <c r="O564">
        <f>IF(Sales[[#This Row],[Number of Users]]-Sales[[#This Row],[Licenses Bought]]&lt;0,0,Sales[[#This Row],[Number of Users]]-Sales[[#This Row],[Licenses Bought]])</f>
        <v>2</v>
      </c>
      <c r="P564" s="8">
        <f>IF(Sales[[#This Row],[Sales Month]]=MAX(Sales[Sales Month]),Sales[[#This Row],[Non-Paying Users]]*Sales[[#This Row],[Upsell $ per Non-Paying User]],0)</f>
        <v>0</v>
      </c>
      <c r="Q564" t="str" cm="1">
        <f t="array" ref="Q564">_xlfn.IFS(Sales[[#This Row],[Current Upsell $]]=0,"",Sales[[#This Row],[Current Upsell $]]&gt;=400,"High",Sales[[#This Row],[Current Upsell $]]&gt;=100,"Medium",Sales[[#This Row],[Current Upsell $]]&lt;100,"Low")</f>
        <v/>
      </c>
      <c r="R564" t="str">
        <f>IF(Sales[[#This Row],[Current Upsell $]]&gt;0,_xlfn.CONCAT(Sales[[#This Row],[Subscription Type]]," ",Sales[[#This Row],[Upsell Priority]]," ",TEXT(Sales[[#This Row],[Current Upsell $]],"$#,#")),"")</f>
        <v/>
      </c>
    </row>
    <row r="565" spans="1:18" x14ac:dyDescent="0.25">
      <c r="A565">
        <v>100045</v>
      </c>
      <c r="B565" t="s">
        <v>1</v>
      </c>
      <c r="D565" s="1"/>
      <c r="E565" s="1"/>
      <c r="F565">
        <v>9</v>
      </c>
      <c r="G565">
        <v>13</v>
      </c>
      <c r="H565" s="1">
        <v>43983</v>
      </c>
      <c r="I565" s="1">
        <v>44378</v>
      </c>
      <c r="J565">
        <v>13</v>
      </c>
      <c r="K565">
        <v>0</v>
      </c>
      <c r="L565" s="1">
        <v>44075</v>
      </c>
      <c r="M565">
        <v>225</v>
      </c>
      <c r="N565" s="8" cm="1">
        <f t="array" ref="N565">_xlfn.SWITCH(Sales[[#This Row],[Subscription Type]],"Basic",10,"Premium",10,"Business",25,"Enterprise",27)</f>
        <v>25</v>
      </c>
      <c r="O565">
        <f>IF(Sales[[#This Row],[Number of Users]]-Sales[[#This Row],[Licenses Bought]]&lt;0,0,Sales[[#This Row],[Number of Users]]-Sales[[#This Row],[Licenses Bought]])</f>
        <v>4</v>
      </c>
      <c r="P565" s="8">
        <f>IF(Sales[[#This Row],[Sales Month]]=MAX(Sales[Sales Month]),Sales[[#This Row],[Non-Paying Users]]*Sales[[#This Row],[Upsell $ per Non-Paying User]],0)</f>
        <v>0</v>
      </c>
      <c r="Q565" t="str" cm="1">
        <f t="array" ref="Q565">_xlfn.IFS(Sales[[#This Row],[Current Upsell $]]=0,"",Sales[[#This Row],[Current Upsell $]]&gt;=400,"High",Sales[[#This Row],[Current Upsell $]]&gt;=100,"Medium",Sales[[#This Row],[Current Upsell $]]&lt;100,"Low")</f>
        <v/>
      </c>
      <c r="R565" t="str">
        <f>IF(Sales[[#This Row],[Current Upsell $]]&gt;0,_xlfn.CONCAT(Sales[[#This Row],[Subscription Type]]," ",Sales[[#This Row],[Upsell Priority]]," ",TEXT(Sales[[#This Row],[Current Upsell $]],"$#,#")),"")</f>
        <v/>
      </c>
    </row>
    <row r="566" spans="1:18" x14ac:dyDescent="0.25">
      <c r="A566">
        <v>100045</v>
      </c>
      <c r="B566" t="s">
        <v>1</v>
      </c>
      <c r="D566" s="1"/>
      <c r="E566" s="1"/>
      <c r="F566">
        <v>9</v>
      </c>
      <c r="G566">
        <v>11</v>
      </c>
      <c r="H566" s="1">
        <v>43983</v>
      </c>
      <c r="I566" s="1">
        <v>44378</v>
      </c>
      <c r="J566">
        <v>13</v>
      </c>
      <c r="K566">
        <v>0</v>
      </c>
      <c r="L566" s="1">
        <v>44105</v>
      </c>
      <c r="M566">
        <v>225</v>
      </c>
      <c r="N566" s="8" cm="1">
        <f t="array" ref="N566">_xlfn.SWITCH(Sales[[#This Row],[Subscription Type]],"Basic",10,"Premium",10,"Business",25,"Enterprise",27)</f>
        <v>25</v>
      </c>
      <c r="O566">
        <f>IF(Sales[[#This Row],[Number of Users]]-Sales[[#This Row],[Licenses Bought]]&lt;0,0,Sales[[#This Row],[Number of Users]]-Sales[[#This Row],[Licenses Bought]])</f>
        <v>2</v>
      </c>
      <c r="P566" s="8">
        <f>IF(Sales[[#This Row],[Sales Month]]=MAX(Sales[Sales Month]),Sales[[#This Row],[Non-Paying Users]]*Sales[[#This Row],[Upsell $ per Non-Paying User]],0)</f>
        <v>0</v>
      </c>
      <c r="Q566" t="str" cm="1">
        <f t="array" ref="Q566">_xlfn.IFS(Sales[[#This Row],[Current Upsell $]]=0,"",Sales[[#This Row],[Current Upsell $]]&gt;=400,"High",Sales[[#This Row],[Current Upsell $]]&gt;=100,"Medium",Sales[[#This Row],[Current Upsell $]]&lt;100,"Low")</f>
        <v/>
      </c>
      <c r="R566" t="str">
        <f>IF(Sales[[#This Row],[Current Upsell $]]&gt;0,_xlfn.CONCAT(Sales[[#This Row],[Subscription Type]]," ",Sales[[#This Row],[Upsell Priority]]," ",TEXT(Sales[[#This Row],[Current Upsell $]],"$#,#")),"")</f>
        <v/>
      </c>
    </row>
    <row r="567" spans="1:18" x14ac:dyDescent="0.25">
      <c r="A567">
        <v>100045</v>
      </c>
      <c r="B567" t="s">
        <v>1</v>
      </c>
      <c r="D567" s="1"/>
      <c r="E567" s="1"/>
      <c r="F567">
        <v>9</v>
      </c>
      <c r="G567">
        <v>10</v>
      </c>
      <c r="H567" s="1">
        <v>43983</v>
      </c>
      <c r="I567" s="1">
        <v>44378</v>
      </c>
      <c r="J567">
        <v>13</v>
      </c>
      <c r="K567">
        <v>0</v>
      </c>
      <c r="L567" s="1">
        <v>44136</v>
      </c>
      <c r="M567">
        <v>225</v>
      </c>
      <c r="N567" s="8" cm="1">
        <f t="array" ref="N567">_xlfn.SWITCH(Sales[[#This Row],[Subscription Type]],"Basic",10,"Premium",10,"Business",25,"Enterprise",27)</f>
        <v>25</v>
      </c>
      <c r="O567">
        <f>IF(Sales[[#This Row],[Number of Users]]-Sales[[#This Row],[Licenses Bought]]&lt;0,0,Sales[[#This Row],[Number of Users]]-Sales[[#This Row],[Licenses Bought]])</f>
        <v>1</v>
      </c>
      <c r="P567" s="8">
        <f>IF(Sales[[#This Row],[Sales Month]]=MAX(Sales[Sales Month]),Sales[[#This Row],[Non-Paying Users]]*Sales[[#This Row],[Upsell $ per Non-Paying User]],0)</f>
        <v>0</v>
      </c>
      <c r="Q567" t="str" cm="1">
        <f t="array" ref="Q567">_xlfn.IFS(Sales[[#This Row],[Current Upsell $]]=0,"",Sales[[#This Row],[Current Upsell $]]&gt;=400,"High",Sales[[#This Row],[Current Upsell $]]&gt;=100,"Medium",Sales[[#This Row],[Current Upsell $]]&lt;100,"Low")</f>
        <v/>
      </c>
      <c r="R567" t="str">
        <f>IF(Sales[[#This Row],[Current Upsell $]]&gt;0,_xlfn.CONCAT(Sales[[#This Row],[Subscription Type]]," ",Sales[[#This Row],[Upsell Priority]]," ",TEXT(Sales[[#This Row],[Current Upsell $]],"$#,#")),"")</f>
        <v/>
      </c>
    </row>
    <row r="568" spans="1:18" x14ac:dyDescent="0.25">
      <c r="A568">
        <v>100045</v>
      </c>
      <c r="B568" t="s">
        <v>1</v>
      </c>
      <c r="D568" s="1"/>
      <c r="E568" s="1"/>
      <c r="F568">
        <v>9</v>
      </c>
      <c r="G568">
        <v>11</v>
      </c>
      <c r="H568" s="1">
        <v>43983</v>
      </c>
      <c r="I568" s="1">
        <v>44378</v>
      </c>
      <c r="J568">
        <v>13</v>
      </c>
      <c r="K568">
        <v>0</v>
      </c>
      <c r="L568" s="1">
        <v>44166</v>
      </c>
      <c r="M568">
        <v>225</v>
      </c>
      <c r="N568" s="8" cm="1">
        <f t="array" ref="N568">_xlfn.SWITCH(Sales[[#This Row],[Subscription Type]],"Basic",10,"Premium",10,"Business",25,"Enterprise",27)</f>
        <v>25</v>
      </c>
      <c r="O568">
        <f>IF(Sales[[#This Row],[Number of Users]]-Sales[[#This Row],[Licenses Bought]]&lt;0,0,Sales[[#This Row],[Number of Users]]-Sales[[#This Row],[Licenses Bought]])</f>
        <v>2</v>
      </c>
      <c r="P568" s="8">
        <f>IF(Sales[[#This Row],[Sales Month]]=MAX(Sales[Sales Month]),Sales[[#This Row],[Non-Paying Users]]*Sales[[#This Row],[Upsell $ per Non-Paying User]],0)</f>
        <v>0</v>
      </c>
      <c r="Q568" t="str" cm="1">
        <f t="array" ref="Q568">_xlfn.IFS(Sales[[#This Row],[Current Upsell $]]=0,"",Sales[[#This Row],[Current Upsell $]]&gt;=400,"High",Sales[[#This Row],[Current Upsell $]]&gt;=100,"Medium",Sales[[#This Row],[Current Upsell $]]&lt;100,"Low")</f>
        <v/>
      </c>
      <c r="R568" t="str">
        <f>IF(Sales[[#This Row],[Current Upsell $]]&gt;0,_xlfn.CONCAT(Sales[[#This Row],[Subscription Type]]," ",Sales[[#This Row],[Upsell Priority]]," ",TEXT(Sales[[#This Row],[Current Upsell $]],"$#,#")),"")</f>
        <v/>
      </c>
    </row>
    <row r="569" spans="1:18" x14ac:dyDescent="0.25">
      <c r="A569">
        <v>100045</v>
      </c>
      <c r="B569" t="s">
        <v>1</v>
      </c>
      <c r="D569" s="1"/>
      <c r="E569" s="1"/>
      <c r="F569">
        <v>9</v>
      </c>
      <c r="G569">
        <v>11</v>
      </c>
      <c r="H569" s="1">
        <v>43983</v>
      </c>
      <c r="I569" s="1">
        <v>44378</v>
      </c>
      <c r="J569">
        <v>13</v>
      </c>
      <c r="K569">
        <v>0</v>
      </c>
      <c r="L569" s="1">
        <v>44197</v>
      </c>
      <c r="M569">
        <v>225</v>
      </c>
      <c r="N569" s="8" cm="1">
        <f t="array" ref="N569">_xlfn.SWITCH(Sales[[#This Row],[Subscription Type]],"Basic",10,"Premium",10,"Business",25,"Enterprise",27)</f>
        <v>25</v>
      </c>
      <c r="O569">
        <f>IF(Sales[[#This Row],[Number of Users]]-Sales[[#This Row],[Licenses Bought]]&lt;0,0,Sales[[#This Row],[Number of Users]]-Sales[[#This Row],[Licenses Bought]])</f>
        <v>2</v>
      </c>
      <c r="P569" s="8">
        <f>IF(Sales[[#This Row],[Sales Month]]=MAX(Sales[Sales Month]),Sales[[#This Row],[Non-Paying Users]]*Sales[[#This Row],[Upsell $ per Non-Paying User]],0)</f>
        <v>0</v>
      </c>
      <c r="Q569" t="str" cm="1">
        <f t="array" ref="Q569">_xlfn.IFS(Sales[[#This Row],[Current Upsell $]]=0,"",Sales[[#This Row],[Current Upsell $]]&gt;=400,"High",Sales[[#This Row],[Current Upsell $]]&gt;=100,"Medium",Sales[[#This Row],[Current Upsell $]]&lt;100,"Low")</f>
        <v/>
      </c>
      <c r="R569" t="str">
        <f>IF(Sales[[#This Row],[Current Upsell $]]&gt;0,_xlfn.CONCAT(Sales[[#This Row],[Subscription Type]]," ",Sales[[#This Row],[Upsell Priority]]," ",TEXT(Sales[[#This Row],[Current Upsell $]],"$#,#")),"")</f>
        <v/>
      </c>
    </row>
    <row r="570" spans="1:18" x14ac:dyDescent="0.25">
      <c r="A570">
        <v>100045</v>
      </c>
      <c r="B570" t="s">
        <v>1</v>
      </c>
      <c r="D570" s="1"/>
      <c r="E570" s="1"/>
      <c r="F570">
        <v>9</v>
      </c>
      <c r="G570">
        <v>11</v>
      </c>
      <c r="H570" s="1">
        <v>43983</v>
      </c>
      <c r="I570" s="1">
        <v>44378</v>
      </c>
      <c r="J570">
        <v>13</v>
      </c>
      <c r="K570">
        <v>0</v>
      </c>
      <c r="L570" s="1">
        <v>44228</v>
      </c>
      <c r="M570">
        <v>225</v>
      </c>
      <c r="N570" s="8" cm="1">
        <f t="array" ref="N570">_xlfn.SWITCH(Sales[[#This Row],[Subscription Type]],"Basic",10,"Premium",10,"Business",25,"Enterprise",27)</f>
        <v>25</v>
      </c>
      <c r="O570">
        <f>IF(Sales[[#This Row],[Number of Users]]-Sales[[#This Row],[Licenses Bought]]&lt;0,0,Sales[[#This Row],[Number of Users]]-Sales[[#This Row],[Licenses Bought]])</f>
        <v>2</v>
      </c>
      <c r="P570" s="8">
        <f>IF(Sales[[#This Row],[Sales Month]]=MAX(Sales[Sales Month]),Sales[[#This Row],[Non-Paying Users]]*Sales[[#This Row],[Upsell $ per Non-Paying User]],0)</f>
        <v>0</v>
      </c>
      <c r="Q570" t="str" cm="1">
        <f t="array" ref="Q570">_xlfn.IFS(Sales[[#This Row],[Current Upsell $]]=0,"",Sales[[#This Row],[Current Upsell $]]&gt;=400,"High",Sales[[#This Row],[Current Upsell $]]&gt;=100,"Medium",Sales[[#This Row],[Current Upsell $]]&lt;100,"Low")</f>
        <v/>
      </c>
      <c r="R570" t="str">
        <f>IF(Sales[[#This Row],[Current Upsell $]]&gt;0,_xlfn.CONCAT(Sales[[#This Row],[Subscription Type]]," ",Sales[[#This Row],[Upsell Priority]]," ",TEXT(Sales[[#This Row],[Current Upsell $]],"$#,#")),"")</f>
        <v/>
      </c>
    </row>
    <row r="571" spans="1:18" x14ac:dyDescent="0.25">
      <c r="A571">
        <v>100045</v>
      </c>
      <c r="B571" t="s">
        <v>1</v>
      </c>
      <c r="D571" s="1"/>
      <c r="E571" s="1"/>
      <c r="F571">
        <v>9</v>
      </c>
      <c r="G571">
        <v>12</v>
      </c>
      <c r="H571" s="1">
        <v>43983</v>
      </c>
      <c r="I571" s="1">
        <v>44378</v>
      </c>
      <c r="J571">
        <v>13</v>
      </c>
      <c r="K571">
        <v>0</v>
      </c>
      <c r="L571" s="1">
        <v>44256</v>
      </c>
      <c r="M571">
        <v>225</v>
      </c>
      <c r="N571" s="8" cm="1">
        <f t="array" ref="N571">_xlfn.SWITCH(Sales[[#This Row],[Subscription Type]],"Basic",10,"Premium",10,"Business",25,"Enterprise",27)</f>
        <v>25</v>
      </c>
      <c r="O571">
        <f>IF(Sales[[#This Row],[Number of Users]]-Sales[[#This Row],[Licenses Bought]]&lt;0,0,Sales[[#This Row],[Number of Users]]-Sales[[#This Row],[Licenses Bought]])</f>
        <v>3</v>
      </c>
      <c r="P571" s="8">
        <f>IF(Sales[[#This Row],[Sales Month]]=MAX(Sales[Sales Month]),Sales[[#This Row],[Non-Paying Users]]*Sales[[#This Row],[Upsell $ per Non-Paying User]],0)</f>
        <v>0</v>
      </c>
      <c r="Q571" t="str" cm="1">
        <f t="array" ref="Q571">_xlfn.IFS(Sales[[#This Row],[Current Upsell $]]=0,"",Sales[[#This Row],[Current Upsell $]]&gt;=400,"High",Sales[[#This Row],[Current Upsell $]]&gt;=100,"Medium",Sales[[#This Row],[Current Upsell $]]&lt;100,"Low")</f>
        <v/>
      </c>
      <c r="R571" t="str">
        <f>IF(Sales[[#This Row],[Current Upsell $]]&gt;0,_xlfn.CONCAT(Sales[[#This Row],[Subscription Type]]," ",Sales[[#This Row],[Upsell Priority]]," ",TEXT(Sales[[#This Row],[Current Upsell $]],"$#,#")),"")</f>
        <v/>
      </c>
    </row>
    <row r="572" spans="1:18" x14ac:dyDescent="0.25">
      <c r="A572">
        <v>100045</v>
      </c>
      <c r="B572" t="s">
        <v>1</v>
      </c>
      <c r="D572" s="1"/>
      <c r="E572" s="1"/>
      <c r="F572">
        <v>9</v>
      </c>
      <c r="G572">
        <v>9</v>
      </c>
      <c r="H572" s="1">
        <v>43983</v>
      </c>
      <c r="I572" s="1">
        <v>44378</v>
      </c>
      <c r="J572">
        <v>13</v>
      </c>
      <c r="K572">
        <v>0</v>
      </c>
      <c r="L572" s="1">
        <v>44287</v>
      </c>
      <c r="M572">
        <v>225</v>
      </c>
      <c r="N572" s="8" cm="1">
        <f t="array" ref="N572">_xlfn.SWITCH(Sales[[#This Row],[Subscription Type]],"Basic",10,"Premium",10,"Business",25,"Enterprise",27)</f>
        <v>25</v>
      </c>
      <c r="O572">
        <f>IF(Sales[[#This Row],[Number of Users]]-Sales[[#This Row],[Licenses Bought]]&lt;0,0,Sales[[#This Row],[Number of Users]]-Sales[[#This Row],[Licenses Bought]])</f>
        <v>0</v>
      </c>
      <c r="P572" s="8">
        <f>IF(Sales[[#This Row],[Sales Month]]=MAX(Sales[Sales Month]),Sales[[#This Row],[Non-Paying Users]]*Sales[[#This Row],[Upsell $ per Non-Paying User]],0)</f>
        <v>0</v>
      </c>
      <c r="Q572" t="str" cm="1">
        <f t="array" ref="Q572">_xlfn.IFS(Sales[[#This Row],[Current Upsell $]]=0,"",Sales[[#This Row],[Current Upsell $]]&gt;=400,"High",Sales[[#This Row],[Current Upsell $]]&gt;=100,"Medium",Sales[[#This Row],[Current Upsell $]]&lt;100,"Low")</f>
        <v/>
      </c>
      <c r="R572" t="str">
        <f>IF(Sales[[#This Row],[Current Upsell $]]&gt;0,_xlfn.CONCAT(Sales[[#This Row],[Subscription Type]]," ",Sales[[#This Row],[Upsell Priority]]," ",TEXT(Sales[[#This Row],[Current Upsell $]],"$#,#")),"")</f>
        <v/>
      </c>
    </row>
    <row r="573" spans="1:18" x14ac:dyDescent="0.25">
      <c r="A573">
        <v>100045</v>
      </c>
      <c r="B573" t="s">
        <v>1</v>
      </c>
      <c r="D573" s="1"/>
      <c r="E573" s="1"/>
      <c r="F573">
        <v>9</v>
      </c>
      <c r="G573">
        <v>12</v>
      </c>
      <c r="H573" s="1">
        <v>43983</v>
      </c>
      <c r="I573" s="1">
        <v>44378</v>
      </c>
      <c r="J573">
        <v>13</v>
      </c>
      <c r="K573">
        <v>0</v>
      </c>
      <c r="L573" s="1">
        <v>44317</v>
      </c>
      <c r="M573">
        <v>225</v>
      </c>
      <c r="N573" s="8" cm="1">
        <f t="array" ref="N573">_xlfn.SWITCH(Sales[[#This Row],[Subscription Type]],"Basic",10,"Premium",10,"Business",25,"Enterprise",27)</f>
        <v>25</v>
      </c>
      <c r="O573">
        <f>IF(Sales[[#This Row],[Number of Users]]-Sales[[#This Row],[Licenses Bought]]&lt;0,0,Sales[[#This Row],[Number of Users]]-Sales[[#This Row],[Licenses Bought]])</f>
        <v>3</v>
      </c>
      <c r="P573" s="8">
        <f>IF(Sales[[#This Row],[Sales Month]]=MAX(Sales[Sales Month]),Sales[[#This Row],[Non-Paying Users]]*Sales[[#This Row],[Upsell $ per Non-Paying User]],0)</f>
        <v>0</v>
      </c>
      <c r="Q573" t="str" cm="1">
        <f t="array" ref="Q573">_xlfn.IFS(Sales[[#This Row],[Current Upsell $]]=0,"",Sales[[#This Row],[Current Upsell $]]&gt;=400,"High",Sales[[#This Row],[Current Upsell $]]&gt;=100,"Medium",Sales[[#This Row],[Current Upsell $]]&lt;100,"Low")</f>
        <v/>
      </c>
      <c r="R573" t="str">
        <f>IF(Sales[[#This Row],[Current Upsell $]]&gt;0,_xlfn.CONCAT(Sales[[#This Row],[Subscription Type]]," ",Sales[[#This Row],[Upsell Priority]]," ",TEXT(Sales[[#This Row],[Current Upsell $]],"$#,#")),"")</f>
        <v/>
      </c>
    </row>
    <row r="574" spans="1:18" x14ac:dyDescent="0.25">
      <c r="A574">
        <v>100045</v>
      </c>
      <c r="B574" t="s">
        <v>1</v>
      </c>
      <c r="D574" s="1"/>
      <c r="E574" s="1"/>
      <c r="F574">
        <v>9</v>
      </c>
      <c r="G574">
        <v>10</v>
      </c>
      <c r="H574" s="1">
        <v>43983</v>
      </c>
      <c r="I574" s="1">
        <v>44378</v>
      </c>
      <c r="J574">
        <v>13</v>
      </c>
      <c r="K574">
        <v>0</v>
      </c>
      <c r="L574" s="1">
        <v>44348</v>
      </c>
      <c r="M574">
        <v>225</v>
      </c>
      <c r="N574" s="8" cm="1">
        <f t="array" ref="N574">_xlfn.SWITCH(Sales[[#This Row],[Subscription Type]],"Basic",10,"Premium",10,"Business",25,"Enterprise",27)</f>
        <v>25</v>
      </c>
      <c r="O574">
        <f>IF(Sales[[#This Row],[Number of Users]]-Sales[[#This Row],[Licenses Bought]]&lt;0,0,Sales[[#This Row],[Number of Users]]-Sales[[#This Row],[Licenses Bought]])</f>
        <v>1</v>
      </c>
      <c r="P574" s="8">
        <f>IF(Sales[[#This Row],[Sales Month]]=MAX(Sales[Sales Month]),Sales[[#This Row],[Non-Paying Users]]*Sales[[#This Row],[Upsell $ per Non-Paying User]],0)</f>
        <v>25</v>
      </c>
      <c r="Q574" t="str" cm="1">
        <f t="array" ref="Q574">_xlfn.IFS(Sales[[#This Row],[Current Upsell $]]=0,"",Sales[[#This Row],[Current Upsell $]]&gt;=400,"High",Sales[[#This Row],[Current Upsell $]]&gt;=100,"Medium",Sales[[#This Row],[Current Upsell $]]&lt;100,"Low")</f>
        <v>Low</v>
      </c>
      <c r="R574" t="str">
        <f>IF(Sales[[#This Row],[Current Upsell $]]&gt;0,_xlfn.CONCAT(Sales[[#This Row],[Subscription Type]]," ",Sales[[#This Row],[Upsell Priority]]," ",TEXT(Sales[[#This Row],[Current Upsell $]],"$#,#")),"")</f>
        <v>Business Low $25</v>
      </c>
    </row>
    <row r="575" spans="1:18" x14ac:dyDescent="0.25">
      <c r="A575">
        <v>100046</v>
      </c>
      <c r="B575" t="s">
        <v>3</v>
      </c>
      <c r="F575">
        <v>0</v>
      </c>
      <c r="G575">
        <v>7</v>
      </c>
      <c r="H575" s="1">
        <v>43983</v>
      </c>
      <c r="I575" s="1">
        <v>44044</v>
      </c>
      <c r="J575">
        <v>2</v>
      </c>
      <c r="K575">
        <v>10</v>
      </c>
      <c r="L575" s="1">
        <v>43983</v>
      </c>
      <c r="M575">
        <v>0</v>
      </c>
      <c r="N575" s="8" cm="1">
        <f t="array" ref="N575">_xlfn.SWITCH(Sales[[#This Row],[Subscription Type]],"Basic",10,"Premium",10,"Business",25,"Enterprise",27)</f>
        <v>10</v>
      </c>
      <c r="O575">
        <f>IF(Sales[[#This Row],[Number of Users]]-Sales[[#This Row],[Licenses Bought]]&lt;0,0,Sales[[#This Row],[Number of Users]]-Sales[[#This Row],[Licenses Bought]])</f>
        <v>7</v>
      </c>
      <c r="P575" s="8">
        <f>IF(Sales[[#This Row],[Sales Month]]=MAX(Sales[Sales Month]),Sales[[#This Row],[Non-Paying Users]]*Sales[[#This Row],[Upsell $ per Non-Paying User]],0)</f>
        <v>0</v>
      </c>
      <c r="Q575" t="str" cm="1">
        <f t="array" ref="Q575">_xlfn.IFS(Sales[[#This Row],[Current Upsell $]]=0,"",Sales[[#This Row],[Current Upsell $]]&gt;=400,"High",Sales[[#This Row],[Current Upsell $]]&gt;=100,"Medium",Sales[[#This Row],[Current Upsell $]]&lt;100,"Low")</f>
        <v/>
      </c>
      <c r="R575" t="str">
        <f>IF(Sales[[#This Row],[Current Upsell $]]&gt;0,_xlfn.CONCAT(Sales[[#This Row],[Subscription Type]]," ",Sales[[#This Row],[Upsell Priority]]," ",TEXT(Sales[[#This Row],[Current Upsell $]],"$#,#")),"")</f>
        <v/>
      </c>
    </row>
    <row r="576" spans="1:18" x14ac:dyDescent="0.25">
      <c r="A576">
        <v>100046</v>
      </c>
      <c r="B576" t="s">
        <v>3</v>
      </c>
      <c r="F576">
        <v>0</v>
      </c>
      <c r="G576">
        <v>7</v>
      </c>
      <c r="H576" s="1">
        <v>43983</v>
      </c>
      <c r="I576" s="1">
        <v>44044</v>
      </c>
      <c r="J576">
        <v>2</v>
      </c>
      <c r="K576">
        <v>10</v>
      </c>
      <c r="L576" s="1">
        <v>44013</v>
      </c>
      <c r="M576">
        <v>0</v>
      </c>
      <c r="N576" s="8" cm="1">
        <f t="array" ref="N576">_xlfn.SWITCH(Sales[[#This Row],[Subscription Type]],"Basic",10,"Premium",10,"Business",25,"Enterprise",27)</f>
        <v>10</v>
      </c>
      <c r="O576">
        <f>IF(Sales[[#This Row],[Number of Users]]-Sales[[#This Row],[Licenses Bought]]&lt;0,0,Sales[[#This Row],[Number of Users]]-Sales[[#This Row],[Licenses Bought]])</f>
        <v>7</v>
      </c>
      <c r="P576" s="8">
        <f>IF(Sales[[#This Row],[Sales Month]]=MAX(Sales[Sales Month]),Sales[[#This Row],[Non-Paying Users]]*Sales[[#This Row],[Upsell $ per Non-Paying User]],0)</f>
        <v>0</v>
      </c>
      <c r="Q576" t="str" cm="1">
        <f t="array" ref="Q576">_xlfn.IFS(Sales[[#This Row],[Current Upsell $]]=0,"",Sales[[#This Row],[Current Upsell $]]&gt;=400,"High",Sales[[#This Row],[Current Upsell $]]&gt;=100,"Medium",Sales[[#This Row],[Current Upsell $]]&lt;100,"Low")</f>
        <v/>
      </c>
      <c r="R576" t="str">
        <f>IF(Sales[[#This Row],[Current Upsell $]]&gt;0,_xlfn.CONCAT(Sales[[#This Row],[Subscription Type]]," ",Sales[[#This Row],[Upsell Priority]]," ",TEXT(Sales[[#This Row],[Current Upsell $]],"$#,#")),"")</f>
        <v/>
      </c>
    </row>
    <row r="577" spans="1:18" x14ac:dyDescent="0.25">
      <c r="A577">
        <v>100046</v>
      </c>
      <c r="B577" t="s">
        <v>3</v>
      </c>
      <c r="F577">
        <v>0</v>
      </c>
      <c r="G577">
        <v>7</v>
      </c>
      <c r="H577" s="1">
        <v>43983</v>
      </c>
      <c r="I577" s="1">
        <v>44044</v>
      </c>
      <c r="J577">
        <v>2</v>
      </c>
      <c r="K577">
        <v>10</v>
      </c>
      <c r="L577" s="1">
        <v>44044</v>
      </c>
      <c r="M577">
        <v>0</v>
      </c>
      <c r="N577" s="8" cm="1">
        <f t="array" ref="N577">_xlfn.SWITCH(Sales[[#This Row],[Subscription Type]],"Basic",10,"Premium",10,"Business",25,"Enterprise",27)</f>
        <v>10</v>
      </c>
      <c r="O577">
        <f>IF(Sales[[#This Row],[Number of Users]]-Sales[[#This Row],[Licenses Bought]]&lt;0,0,Sales[[#This Row],[Number of Users]]-Sales[[#This Row],[Licenses Bought]])</f>
        <v>7</v>
      </c>
      <c r="P577" s="8">
        <f>IF(Sales[[#This Row],[Sales Month]]=MAX(Sales[Sales Month]),Sales[[#This Row],[Non-Paying Users]]*Sales[[#This Row],[Upsell $ per Non-Paying User]],0)</f>
        <v>0</v>
      </c>
      <c r="Q577" t="str" cm="1">
        <f t="array" ref="Q577">_xlfn.IFS(Sales[[#This Row],[Current Upsell $]]=0,"",Sales[[#This Row],[Current Upsell $]]&gt;=400,"High",Sales[[#This Row],[Current Upsell $]]&gt;=100,"Medium",Sales[[#This Row],[Current Upsell $]]&lt;100,"Low")</f>
        <v/>
      </c>
      <c r="R577" t="str">
        <f>IF(Sales[[#This Row],[Current Upsell $]]&gt;0,_xlfn.CONCAT(Sales[[#This Row],[Subscription Type]]," ",Sales[[#This Row],[Upsell Priority]]," ",TEXT(Sales[[#This Row],[Current Upsell $]],"$#,#")),"")</f>
        <v/>
      </c>
    </row>
    <row r="578" spans="1:18" x14ac:dyDescent="0.25">
      <c r="A578">
        <v>100047</v>
      </c>
      <c r="B578" t="s">
        <v>3</v>
      </c>
      <c r="F578">
        <v>0</v>
      </c>
      <c r="G578">
        <v>8</v>
      </c>
      <c r="H578" s="1">
        <v>43983</v>
      </c>
      <c r="I578" s="1">
        <v>44197</v>
      </c>
      <c r="J578">
        <v>7</v>
      </c>
      <c r="K578">
        <v>5</v>
      </c>
      <c r="L578" s="1">
        <v>43983</v>
      </c>
      <c r="M578">
        <v>0</v>
      </c>
      <c r="N578" s="8" cm="1">
        <f t="array" ref="N578">_xlfn.SWITCH(Sales[[#This Row],[Subscription Type]],"Basic",10,"Premium",10,"Business",25,"Enterprise",27)</f>
        <v>10</v>
      </c>
      <c r="O578">
        <f>IF(Sales[[#This Row],[Number of Users]]-Sales[[#This Row],[Licenses Bought]]&lt;0,0,Sales[[#This Row],[Number of Users]]-Sales[[#This Row],[Licenses Bought]])</f>
        <v>8</v>
      </c>
      <c r="P578" s="8">
        <f>IF(Sales[[#This Row],[Sales Month]]=MAX(Sales[Sales Month]),Sales[[#This Row],[Non-Paying Users]]*Sales[[#This Row],[Upsell $ per Non-Paying User]],0)</f>
        <v>0</v>
      </c>
      <c r="Q578" t="str" cm="1">
        <f t="array" ref="Q578">_xlfn.IFS(Sales[[#This Row],[Current Upsell $]]=0,"",Sales[[#This Row],[Current Upsell $]]&gt;=400,"High",Sales[[#This Row],[Current Upsell $]]&gt;=100,"Medium",Sales[[#This Row],[Current Upsell $]]&lt;100,"Low")</f>
        <v/>
      </c>
      <c r="R578" t="str">
        <f>IF(Sales[[#This Row],[Current Upsell $]]&gt;0,_xlfn.CONCAT(Sales[[#This Row],[Subscription Type]]," ",Sales[[#This Row],[Upsell Priority]]," ",TEXT(Sales[[#This Row],[Current Upsell $]],"$#,#")),"")</f>
        <v/>
      </c>
    </row>
    <row r="579" spans="1:18" x14ac:dyDescent="0.25">
      <c r="A579">
        <v>100047</v>
      </c>
      <c r="B579" t="s">
        <v>3</v>
      </c>
      <c r="F579">
        <v>0</v>
      </c>
      <c r="G579">
        <v>8</v>
      </c>
      <c r="H579" s="1">
        <v>43983</v>
      </c>
      <c r="I579" s="1">
        <v>44197</v>
      </c>
      <c r="J579">
        <v>7</v>
      </c>
      <c r="K579">
        <v>5</v>
      </c>
      <c r="L579" s="1">
        <v>44013</v>
      </c>
      <c r="M579">
        <v>0</v>
      </c>
      <c r="N579" s="8" cm="1">
        <f t="array" ref="N579">_xlfn.SWITCH(Sales[[#This Row],[Subscription Type]],"Basic",10,"Premium",10,"Business",25,"Enterprise",27)</f>
        <v>10</v>
      </c>
      <c r="O579">
        <f>IF(Sales[[#This Row],[Number of Users]]-Sales[[#This Row],[Licenses Bought]]&lt;0,0,Sales[[#This Row],[Number of Users]]-Sales[[#This Row],[Licenses Bought]])</f>
        <v>8</v>
      </c>
      <c r="P579" s="8">
        <f>IF(Sales[[#This Row],[Sales Month]]=MAX(Sales[Sales Month]),Sales[[#This Row],[Non-Paying Users]]*Sales[[#This Row],[Upsell $ per Non-Paying User]],0)</f>
        <v>0</v>
      </c>
      <c r="Q579" t="str" cm="1">
        <f t="array" ref="Q579">_xlfn.IFS(Sales[[#This Row],[Current Upsell $]]=0,"",Sales[[#This Row],[Current Upsell $]]&gt;=400,"High",Sales[[#This Row],[Current Upsell $]]&gt;=100,"Medium",Sales[[#This Row],[Current Upsell $]]&lt;100,"Low")</f>
        <v/>
      </c>
      <c r="R579" t="str">
        <f>IF(Sales[[#This Row],[Current Upsell $]]&gt;0,_xlfn.CONCAT(Sales[[#This Row],[Subscription Type]]," ",Sales[[#This Row],[Upsell Priority]]," ",TEXT(Sales[[#This Row],[Current Upsell $]],"$#,#")),"")</f>
        <v/>
      </c>
    </row>
    <row r="580" spans="1:18" x14ac:dyDescent="0.25">
      <c r="A580">
        <v>100047</v>
      </c>
      <c r="B580" t="s">
        <v>3</v>
      </c>
      <c r="F580">
        <v>0</v>
      </c>
      <c r="G580">
        <v>8</v>
      </c>
      <c r="H580" s="1">
        <v>43983</v>
      </c>
      <c r="I580" s="1">
        <v>44197</v>
      </c>
      <c r="J580">
        <v>7</v>
      </c>
      <c r="K580">
        <v>5</v>
      </c>
      <c r="L580" s="1">
        <v>44044</v>
      </c>
      <c r="M580">
        <v>0</v>
      </c>
      <c r="N580" s="8" cm="1">
        <f t="array" ref="N580">_xlfn.SWITCH(Sales[[#This Row],[Subscription Type]],"Basic",10,"Premium",10,"Business",25,"Enterprise",27)</f>
        <v>10</v>
      </c>
      <c r="O580">
        <f>IF(Sales[[#This Row],[Number of Users]]-Sales[[#This Row],[Licenses Bought]]&lt;0,0,Sales[[#This Row],[Number of Users]]-Sales[[#This Row],[Licenses Bought]])</f>
        <v>8</v>
      </c>
      <c r="P580" s="8">
        <f>IF(Sales[[#This Row],[Sales Month]]=MAX(Sales[Sales Month]),Sales[[#This Row],[Non-Paying Users]]*Sales[[#This Row],[Upsell $ per Non-Paying User]],0)</f>
        <v>0</v>
      </c>
      <c r="Q580" t="str" cm="1">
        <f t="array" ref="Q580">_xlfn.IFS(Sales[[#This Row],[Current Upsell $]]=0,"",Sales[[#This Row],[Current Upsell $]]&gt;=400,"High",Sales[[#This Row],[Current Upsell $]]&gt;=100,"Medium",Sales[[#This Row],[Current Upsell $]]&lt;100,"Low")</f>
        <v/>
      </c>
      <c r="R580" t="str">
        <f>IF(Sales[[#This Row],[Current Upsell $]]&gt;0,_xlfn.CONCAT(Sales[[#This Row],[Subscription Type]]," ",Sales[[#This Row],[Upsell Priority]]," ",TEXT(Sales[[#This Row],[Current Upsell $]],"$#,#")),"")</f>
        <v/>
      </c>
    </row>
    <row r="581" spans="1:18" x14ac:dyDescent="0.25">
      <c r="A581">
        <v>100047</v>
      </c>
      <c r="B581" t="s">
        <v>3</v>
      </c>
      <c r="F581">
        <v>0</v>
      </c>
      <c r="G581">
        <v>6</v>
      </c>
      <c r="H581" s="1">
        <v>43983</v>
      </c>
      <c r="I581" s="1">
        <v>44197</v>
      </c>
      <c r="J581">
        <v>7</v>
      </c>
      <c r="K581">
        <v>5</v>
      </c>
      <c r="L581" s="1">
        <v>44075</v>
      </c>
      <c r="M581">
        <v>0</v>
      </c>
      <c r="N581" s="8" cm="1">
        <f t="array" ref="N581">_xlfn.SWITCH(Sales[[#This Row],[Subscription Type]],"Basic",10,"Premium",10,"Business",25,"Enterprise",27)</f>
        <v>10</v>
      </c>
      <c r="O581">
        <f>IF(Sales[[#This Row],[Number of Users]]-Sales[[#This Row],[Licenses Bought]]&lt;0,0,Sales[[#This Row],[Number of Users]]-Sales[[#This Row],[Licenses Bought]])</f>
        <v>6</v>
      </c>
      <c r="P581" s="8">
        <f>IF(Sales[[#This Row],[Sales Month]]=MAX(Sales[Sales Month]),Sales[[#This Row],[Non-Paying Users]]*Sales[[#This Row],[Upsell $ per Non-Paying User]],0)</f>
        <v>0</v>
      </c>
      <c r="Q581" t="str" cm="1">
        <f t="array" ref="Q581">_xlfn.IFS(Sales[[#This Row],[Current Upsell $]]=0,"",Sales[[#This Row],[Current Upsell $]]&gt;=400,"High",Sales[[#This Row],[Current Upsell $]]&gt;=100,"Medium",Sales[[#This Row],[Current Upsell $]]&lt;100,"Low")</f>
        <v/>
      </c>
      <c r="R581" t="str">
        <f>IF(Sales[[#This Row],[Current Upsell $]]&gt;0,_xlfn.CONCAT(Sales[[#This Row],[Subscription Type]]," ",Sales[[#This Row],[Upsell Priority]]," ",TEXT(Sales[[#This Row],[Current Upsell $]],"$#,#")),"")</f>
        <v/>
      </c>
    </row>
    <row r="582" spans="1:18" x14ac:dyDescent="0.25">
      <c r="A582">
        <v>100047</v>
      </c>
      <c r="B582" t="s">
        <v>3</v>
      </c>
      <c r="F582">
        <v>0</v>
      </c>
      <c r="G582">
        <v>8</v>
      </c>
      <c r="H582" s="1">
        <v>43983</v>
      </c>
      <c r="I582" s="1">
        <v>44197</v>
      </c>
      <c r="J582">
        <v>7</v>
      </c>
      <c r="K582">
        <v>5</v>
      </c>
      <c r="L582" s="1">
        <v>44105</v>
      </c>
      <c r="M582">
        <v>0</v>
      </c>
      <c r="N582" s="8" cm="1">
        <f t="array" ref="N582">_xlfn.SWITCH(Sales[[#This Row],[Subscription Type]],"Basic",10,"Premium",10,"Business",25,"Enterprise",27)</f>
        <v>10</v>
      </c>
      <c r="O582">
        <f>IF(Sales[[#This Row],[Number of Users]]-Sales[[#This Row],[Licenses Bought]]&lt;0,0,Sales[[#This Row],[Number of Users]]-Sales[[#This Row],[Licenses Bought]])</f>
        <v>8</v>
      </c>
      <c r="P582" s="8">
        <f>IF(Sales[[#This Row],[Sales Month]]=MAX(Sales[Sales Month]),Sales[[#This Row],[Non-Paying Users]]*Sales[[#This Row],[Upsell $ per Non-Paying User]],0)</f>
        <v>0</v>
      </c>
      <c r="Q582" t="str" cm="1">
        <f t="array" ref="Q582">_xlfn.IFS(Sales[[#This Row],[Current Upsell $]]=0,"",Sales[[#This Row],[Current Upsell $]]&gt;=400,"High",Sales[[#This Row],[Current Upsell $]]&gt;=100,"Medium",Sales[[#This Row],[Current Upsell $]]&lt;100,"Low")</f>
        <v/>
      </c>
      <c r="R582" t="str">
        <f>IF(Sales[[#This Row],[Current Upsell $]]&gt;0,_xlfn.CONCAT(Sales[[#This Row],[Subscription Type]]," ",Sales[[#This Row],[Upsell Priority]]," ",TEXT(Sales[[#This Row],[Current Upsell $]],"$#,#")),"")</f>
        <v/>
      </c>
    </row>
    <row r="583" spans="1:18" x14ac:dyDescent="0.25">
      <c r="A583">
        <v>100047</v>
      </c>
      <c r="B583" t="s">
        <v>3</v>
      </c>
      <c r="F583">
        <v>0</v>
      </c>
      <c r="G583">
        <v>8</v>
      </c>
      <c r="H583" s="1">
        <v>43983</v>
      </c>
      <c r="I583" s="1">
        <v>44197</v>
      </c>
      <c r="J583">
        <v>7</v>
      </c>
      <c r="K583">
        <v>5</v>
      </c>
      <c r="L583" s="1">
        <v>44136</v>
      </c>
      <c r="M583">
        <v>0</v>
      </c>
      <c r="N583" s="8" cm="1">
        <f t="array" ref="N583">_xlfn.SWITCH(Sales[[#This Row],[Subscription Type]],"Basic",10,"Premium",10,"Business",25,"Enterprise",27)</f>
        <v>10</v>
      </c>
      <c r="O583">
        <f>IF(Sales[[#This Row],[Number of Users]]-Sales[[#This Row],[Licenses Bought]]&lt;0,0,Sales[[#This Row],[Number of Users]]-Sales[[#This Row],[Licenses Bought]])</f>
        <v>8</v>
      </c>
      <c r="P583" s="8">
        <f>IF(Sales[[#This Row],[Sales Month]]=MAX(Sales[Sales Month]),Sales[[#This Row],[Non-Paying Users]]*Sales[[#This Row],[Upsell $ per Non-Paying User]],0)</f>
        <v>0</v>
      </c>
      <c r="Q583" t="str" cm="1">
        <f t="array" ref="Q583">_xlfn.IFS(Sales[[#This Row],[Current Upsell $]]=0,"",Sales[[#This Row],[Current Upsell $]]&gt;=400,"High",Sales[[#This Row],[Current Upsell $]]&gt;=100,"Medium",Sales[[#This Row],[Current Upsell $]]&lt;100,"Low")</f>
        <v/>
      </c>
      <c r="R583" t="str">
        <f>IF(Sales[[#This Row],[Current Upsell $]]&gt;0,_xlfn.CONCAT(Sales[[#This Row],[Subscription Type]]," ",Sales[[#This Row],[Upsell Priority]]," ",TEXT(Sales[[#This Row],[Current Upsell $]],"$#,#")),"")</f>
        <v/>
      </c>
    </row>
    <row r="584" spans="1:18" x14ac:dyDescent="0.25">
      <c r="A584">
        <v>100047</v>
      </c>
      <c r="B584" t="s">
        <v>3</v>
      </c>
      <c r="F584">
        <v>0</v>
      </c>
      <c r="G584">
        <v>9</v>
      </c>
      <c r="H584" s="1">
        <v>43983</v>
      </c>
      <c r="I584" s="1">
        <v>44197</v>
      </c>
      <c r="J584">
        <v>7</v>
      </c>
      <c r="K584">
        <v>5</v>
      </c>
      <c r="L584" s="1">
        <v>44166</v>
      </c>
      <c r="M584">
        <v>0</v>
      </c>
      <c r="N584" s="8" cm="1">
        <f t="array" ref="N584">_xlfn.SWITCH(Sales[[#This Row],[Subscription Type]],"Basic",10,"Premium",10,"Business",25,"Enterprise",27)</f>
        <v>10</v>
      </c>
      <c r="O584">
        <f>IF(Sales[[#This Row],[Number of Users]]-Sales[[#This Row],[Licenses Bought]]&lt;0,0,Sales[[#This Row],[Number of Users]]-Sales[[#This Row],[Licenses Bought]])</f>
        <v>9</v>
      </c>
      <c r="P584" s="8">
        <f>IF(Sales[[#This Row],[Sales Month]]=MAX(Sales[Sales Month]),Sales[[#This Row],[Non-Paying Users]]*Sales[[#This Row],[Upsell $ per Non-Paying User]],0)</f>
        <v>0</v>
      </c>
      <c r="Q584" t="str" cm="1">
        <f t="array" ref="Q584">_xlfn.IFS(Sales[[#This Row],[Current Upsell $]]=0,"",Sales[[#This Row],[Current Upsell $]]&gt;=400,"High",Sales[[#This Row],[Current Upsell $]]&gt;=100,"Medium",Sales[[#This Row],[Current Upsell $]]&lt;100,"Low")</f>
        <v/>
      </c>
      <c r="R584" t="str">
        <f>IF(Sales[[#This Row],[Current Upsell $]]&gt;0,_xlfn.CONCAT(Sales[[#This Row],[Subscription Type]]," ",Sales[[#This Row],[Upsell Priority]]," ",TEXT(Sales[[#This Row],[Current Upsell $]],"$#,#")),"")</f>
        <v/>
      </c>
    </row>
    <row r="585" spans="1:18" x14ac:dyDescent="0.25">
      <c r="A585">
        <v>100047</v>
      </c>
      <c r="B585" t="s">
        <v>3</v>
      </c>
      <c r="F585">
        <v>0</v>
      </c>
      <c r="G585">
        <v>8</v>
      </c>
      <c r="H585" s="1">
        <v>43983</v>
      </c>
      <c r="I585" s="1">
        <v>44197</v>
      </c>
      <c r="J585">
        <v>7</v>
      </c>
      <c r="K585">
        <v>5</v>
      </c>
      <c r="L585" s="1">
        <v>44197</v>
      </c>
      <c r="M585">
        <v>0</v>
      </c>
      <c r="N585" s="8" cm="1">
        <f t="array" ref="N585">_xlfn.SWITCH(Sales[[#This Row],[Subscription Type]],"Basic",10,"Premium",10,"Business",25,"Enterprise",27)</f>
        <v>10</v>
      </c>
      <c r="O585">
        <f>IF(Sales[[#This Row],[Number of Users]]-Sales[[#This Row],[Licenses Bought]]&lt;0,0,Sales[[#This Row],[Number of Users]]-Sales[[#This Row],[Licenses Bought]])</f>
        <v>8</v>
      </c>
      <c r="P585" s="8">
        <f>IF(Sales[[#This Row],[Sales Month]]=MAX(Sales[Sales Month]),Sales[[#This Row],[Non-Paying Users]]*Sales[[#This Row],[Upsell $ per Non-Paying User]],0)</f>
        <v>0</v>
      </c>
      <c r="Q585" t="str" cm="1">
        <f t="array" ref="Q585">_xlfn.IFS(Sales[[#This Row],[Current Upsell $]]=0,"",Sales[[#This Row],[Current Upsell $]]&gt;=400,"High",Sales[[#This Row],[Current Upsell $]]&gt;=100,"Medium",Sales[[#This Row],[Current Upsell $]]&lt;100,"Low")</f>
        <v/>
      </c>
      <c r="R585" t="str">
        <f>IF(Sales[[#This Row],[Current Upsell $]]&gt;0,_xlfn.CONCAT(Sales[[#This Row],[Subscription Type]]," ",Sales[[#This Row],[Upsell Priority]]," ",TEXT(Sales[[#This Row],[Current Upsell $]],"$#,#")),"")</f>
        <v/>
      </c>
    </row>
    <row r="586" spans="1:18" x14ac:dyDescent="0.25">
      <c r="A586">
        <v>100048</v>
      </c>
      <c r="B586" t="s">
        <v>3</v>
      </c>
      <c r="D586" s="1"/>
      <c r="E586" s="1"/>
      <c r="F586">
        <v>0</v>
      </c>
      <c r="G586">
        <v>8</v>
      </c>
      <c r="H586" s="1">
        <v>43983</v>
      </c>
      <c r="I586" s="1">
        <v>44378</v>
      </c>
      <c r="J586">
        <v>13</v>
      </c>
      <c r="K586">
        <v>0</v>
      </c>
      <c r="L586" s="1">
        <v>43983</v>
      </c>
      <c r="M586">
        <v>0</v>
      </c>
      <c r="N586" s="8" cm="1">
        <f t="array" ref="N586">_xlfn.SWITCH(Sales[[#This Row],[Subscription Type]],"Basic",10,"Premium",10,"Business",25,"Enterprise",27)</f>
        <v>10</v>
      </c>
      <c r="O586">
        <f>IF(Sales[[#This Row],[Number of Users]]-Sales[[#This Row],[Licenses Bought]]&lt;0,0,Sales[[#This Row],[Number of Users]]-Sales[[#This Row],[Licenses Bought]])</f>
        <v>8</v>
      </c>
      <c r="P586" s="8">
        <f>IF(Sales[[#This Row],[Sales Month]]=MAX(Sales[Sales Month]),Sales[[#This Row],[Non-Paying Users]]*Sales[[#This Row],[Upsell $ per Non-Paying User]],0)</f>
        <v>0</v>
      </c>
      <c r="Q586" t="str" cm="1">
        <f t="array" ref="Q586">_xlfn.IFS(Sales[[#This Row],[Current Upsell $]]=0,"",Sales[[#This Row],[Current Upsell $]]&gt;=400,"High",Sales[[#This Row],[Current Upsell $]]&gt;=100,"Medium",Sales[[#This Row],[Current Upsell $]]&lt;100,"Low")</f>
        <v/>
      </c>
      <c r="R586" t="str">
        <f>IF(Sales[[#This Row],[Current Upsell $]]&gt;0,_xlfn.CONCAT(Sales[[#This Row],[Subscription Type]]," ",Sales[[#This Row],[Upsell Priority]]," ",TEXT(Sales[[#This Row],[Current Upsell $]],"$#,#")),"")</f>
        <v/>
      </c>
    </row>
    <row r="587" spans="1:18" x14ac:dyDescent="0.25">
      <c r="A587">
        <v>100048</v>
      </c>
      <c r="B587" t="s">
        <v>0</v>
      </c>
      <c r="D587" s="1"/>
      <c r="E587" s="1"/>
      <c r="F587">
        <v>4</v>
      </c>
      <c r="G587">
        <v>7</v>
      </c>
      <c r="H587" s="1">
        <v>43983</v>
      </c>
      <c r="I587" s="1">
        <v>44378</v>
      </c>
      <c r="J587">
        <v>13</v>
      </c>
      <c r="K587">
        <v>0</v>
      </c>
      <c r="L587" s="1">
        <v>44013</v>
      </c>
      <c r="M587">
        <v>40</v>
      </c>
      <c r="N587" s="8" cm="1">
        <f t="array" ref="N587">_xlfn.SWITCH(Sales[[#This Row],[Subscription Type]],"Basic",10,"Premium",10,"Business",25,"Enterprise",27)</f>
        <v>10</v>
      </c>
      <c r="O587">
        <f>IF(Sales[[#This Row],[Number of Users]]-Sales[[#This Row],[Licenses Bought]]&lt;0,0,Sales[[#This Row],[Number of Users]]-Sales[[#This Row],[Licenses Bought]])</f>
        <v>3</v>
      </c>
      <c r="P587" s="8">
        <f>IF(Sales[[#This Row],[Sales Month]]=MAX(Sales[Sales Month]),Sales[[#This Row],[Non-Paying Users]]*Sales[[#This Row],[Upsell $ per Non-Paying User]],0)</f>
        <v>0</v>
      </c>
      <c r="Q587" t="str" cm="1">
        <f t="array" ref="Q587">_xlfn.IFS(Sales[[#This Row],[Current Upsell $]]=0,"",Sales[[#This Row],[Current Upsell $]]&gt;=400,"High",Sales[[#This Row],[Current Upsell $]]&gt;=100,"Medium",Sales[[#This Row],[Current Upsell $]]&lt;100,"Low")</f>
        <v/>
      </c>
      <c r="R587" t="str">
        <f>IF(Sales[[#This Row],[Current Upsell $]]&gt;0,_xlfn.CONCAT(Sales[[#This Row],[Subscription Type]]," ",Sales[[#This Row],[Upsell Priority]]," ",TEXT(Sales[[#This Row],[Current Upsell $]],"$#,#")),"")</f>
        <v/>
      </c>
    </row>
    <row r="588" spans="1:18" x14ac:dyDescent="0.25">
      <c r="A588">
        <v>100048</v>
      </c>
      <c r="B588" t="s">
        <v>0</v>
      </c>
      <c r="D588" s="1"/>
      <c r="E588" s="1"/>
      <c r="F588">
        <v>4</v>
      </c>
      <c r="G588">
        <v>9</v>
      </c>
      <c r="H588" s="1">
        <v>43983</v>
      </c>
      <c r="I588" s="1">
        <v>44378</v>
      </c>
      <c r="J588">
        <v>13</v>
      </c>
      <c r="K588">
        <v>0</v>
      </c>
      <c r="L588" s="1">
        <v>44044</v>
      </c>
      <c r="M588">
        <v>40</v>
      </c>
      <c r="N588" s="8" cm="1">
        <f t="array" ref="N588">_xlfn.SWITCH(Sales[[#This Row],[Subscription Type]],"Basic",10,"Premium",10,"Business",25,"Enterprise",27)</f>
        <v>10</v>
      </c>
      <c r="O588">
        <f>IF(Sales[[#This Row],[Number of Users]]-Sales[[#This Row],[Licenses Bought]]&lt;0,0,Sales[[#This Row],[Number of Users]]-Sales[[#This Row],[Licenses Bought]])</f>
        <v>5</v>
      </c>
      <c r="P588" s="8">
        <f>IF(Sales[[#This Row],[Sales Month]]=MAX(Sales[Sales Month]),Sales[[#This Row],[Non-Paying Users]]*Sales[[#This Row],[Upsell $ per Non-Paying User]],0)</f>
        <v>0</v>
      </c>
      <c r="Q588" t="str" cm="1">
        <f t="array" ref="Q588">_xlfn.IFS(Sales[[#This Row],[Current Upsell $]]=0,"",Sales[[#This Row],[Current Upsell $]]&gt;=400,"High",Sales[[#This Row],[Current Upsell $]]&gt;=100,"Medium",Sales[[#This Row],[Current Upsell $]]&lt;100,"Low")</f>
        <v/>
      </c>
      <c r="R588" t="str">
        <f>IF(Sales[[#This Row],[Current Upsell $]]&gt;0,_xlfn.CONCAT(Sales[[#This Row],[Subscription Type]]," ",Sales[[#This Row],[Upsell Priority]]," ",TEXT(Sales[[#This Row],[Current Upsell $]],"$#,#")),"")</f>
        <v/>
      </c>
    </row>
    <row r="589" spans="1:18" x14ac:dyDescent="0.25">
      <c r="A589">
        <v>100048</v>
      </c>
      <c r="B589" t="s">
        <v>0</v>
      </c>
      <c r="D589" s="1"/>
      <c r="E589" s="1"/>
      <c r="F589">
        <v>6</v>
      </c>
      <c r="G589">
        <v>9</v>
      </c>
      <c r="H589" s="1">
        <v>43983</v>
      </c>
      <c r="I589" s="1">
        <v>44378</v>
      </c>
      <c r="J589">
        <v>13</v>
      </c>
      <c r="K589">
        <v>0</v>
      </c>
      <c r="L589" s="1">
        <v>44075</v>
      </c>
      <c r="M589">
        <v>60</v>
      </c>
      <c r="N589" s="8" cm="1">
        <f t="array" ref="N589">_xlfn.SWITCH(Sales[[#This Row],[Subscription Type]],"Basic",10,"Premium",10,"Business",25,"Enterprise",27)</f>
        <v>10</v>
      </c>
      <c r="O589">
        <f>IF(Sales[[#This Row],[Number of Users]]-Sales[[#This Row],[Licenses Bought]]&lt;0,0,Sales[[#This Row],[Number of Users]]-Sales[[#This Row],[Licenses Bought]])</f>
        <v>3</v>
      </c>
      <c r="P589" s="8">
        <f>IF(Sales[[#This Row],[Sales Month]]=MAX(Sales[Sales Month]),Sales[[#This Row],[Non-Paying Users]]*Sales[[#This Row],[Upsell $ per Non-Paying User]],0)</f>
        <v>0</v>
      </c>
      <c r="Q589" t="str" cm="1">
        <f t="array" ref="Q589">_xlfn.IFS(Sales[[#This Row],[Current Upsell $]]=0,"",Sales[[#This Row],[Current Upsell $]]&gt;=400,"High",Sales[[#This Row],[Current Upsell $]]&gt;=100,"Medium",Sales[[#This Row],[Current Upsell $]]&lt;100,"Low")</f>
        <v/>
      </c>
      <c r="R589" t="str">
        <f>IF(Sales[[#This Row],[Current Upsell $]]&gt;0,_xlfn.CONCAT(Sales[[#This Row],[Subscription Type]]," ",Sales[[#This Row],[Upsell Priority]]," ",TEXT(Sales[[#This Row],[Current Upsell $]],"$#,#")),"")</f>
        <v/>
      </c>
    </row>
    <row r="590" spans="1:18" x14ac:dyDescent="0.25">
      <c r="A590">
        <v>100048</v>
      </c>
      <c r="B590" t="s">
        <v>0</v>
      </c>
      <c r="D590" s="1"/>
      <c r="E590" s="1"/>
      <c r="F590">
        <v>6</v>
      </c>
      <c r="G590">
        <v>8</v>
      </c>
      <c r="H590" s="1">
        <v>43983</v>
      </c>
      <c r="I590" s="1">
        <v>44378</v>
      </c>
      <c r="J590">
        <v>13</v>
      </c>
      <c r="K590">
        <v>0</v>
      </c>
      <c r="L590" s="1">
        <v>44105</v>
      </c>
      <c r="M590">
        <v>60</v>
      </c>
      <c r="N590" s="8" cm="1">
        <f t="array" ref="N590">_xlfn.SWITCH(Sales[[#This Row],[Subscription Type]],"Basic",10,"Premium",10,"Business",25,"Enterprise",27)</f>
        <v>10</v>
      </c>
      <c r="O590">
        <f>IF(Sales[[#This Row],[Number of Users]]-Sales[[#This Row],[Licenses Bought]]&lt;0,0,Sales[[#This Row],[Number of Users]]-Sales[[#This Row],[Licenses Bought]])</f>
        <v>2</v>
      </c>
      <c r="P590" s="8">
        <f>IF(Sales[[#This Row],[Sales Month]]=MAX(Sales[Sales Month]),Sales[[#This Row],[Non-Paying Users]]*Sales[[#This Row],[Upsell $ per Non-Paying User]],0)</f>
        <v>0</v>
      </c>
      <c r="Q590" t="str" cm="1">
        <f t="array" ref="Q590">_xlfn.IFS(Sales[[#This Row],[Current Upsell $]]=0,"",Sales[[#This Row],[Current Upsell $]]&gt;=400,"High",Sales[[#This Row],[Current Upsell $]]&gt;=100,"Medium",Sales[[#This Row],[Current Upsell $]]&lt;100,"Low")</f>
        <v/>
      </c>
      <c r="R590" t="str">
        <f>IF(Sales[[#This Row],[Current Upsell $]]&gt;0,_xlfn.CONCAT(Sales[[#This Row],[Subscription Type]]," ",Sales[[#This Row],[Upsell Priority]]," ",TEXT(Sales[[#This Row],[Current Upsell $]],"$#,#")),"")</f>
        <v/>
      </c>
    </row>
    <row r="591" spans="1:18" x14ac:dyDescent="0.25">
      <c r="A591">
        <v>100048</v>
      </c>
      <c r="B591" t="s">
        <v>0</v>
      </c>
      <c r="D591" s="1"/>
      <c r="E591" s="1"/>
      <c r="F591">
        <v>6</v>
      </c>
      <c r="G591">
        <v>8</v>
      </c>
      <c r="H591" s="1">
        <v>43983</v>
      </c>
      <c r="I591" s="1">
        <v>44378</v>
      </c>
      <c r="J591">
        <v>13</v>
      </c>
      <c r="K591">
        <v>0</v>
      </c>
      <c r="L591" s="1">
        <v>44136</v>
      </c>
      <c r="M591">
        <v>60</v>
      </c>
      <c r="N591" s="8" cm="1">
        <f t="array" ref="N591">_xlfn.SWITCH(Sales[[#This Row],[Subscription Type]],"Basic",10,"Premium",10,"Business",25,"Enterprise",27)</f>
        <v>10</v>
      </c>
      <c r="O591">
        <f>IF(Sales[[#This Row],[Number of Users]]-Sales[[#This Row],[Licenses Bought]]&lt;0,0,Sales[[#This Row],[Number of Users]]-Sales[[#This Row],[Licenses Bought]])</f>
        <v>2</v>
      </c>
      <c r="P591" s="8">
        <f>IF(Sales[[#This Row],[Sales Month]]=MAX(Sales[Sales Month]),Sales[[#This Row],[Non-Paying Users]]*Sales[[#This Row],[Upsell $ per Non-Paying User]],0)</f>
        <v>0</v>
      </c>
      <c r="Q591" t="str" cm="1">
        <f t="array" ref="Q591">_xlfn.IFS(Sales[[#This Row],[Current Upsell $]]=0,"",Sales[[#This Row],[Current Upsell $]]&gt;=400,"High",Sales[[#This Row],[Current Upsell $]]&gt;=100,"Medium",Sales[[#This Row],[Current Upsell $]]&lt;100,"Low")</f>
        <v/>
      </c>
      <c r="R591" t="str">
        <f>IF(Sales[[#This Row],[Current Upsell $]]&gt;0,_xlfn.CONCAT(Sales[[#This Row],[Subscription Type]]," ",Sales[[#This Row],[Upsell Priority]]," ",TEXT(Sales[[#This Row],[Current Upsell $]],"$#,#")),"")</f>
        <v/>
      </c>
    </row>
    <row r="592" spans="1:18" x14ac:dyDescent="0.25">
      <c r="A592">
        <v>100048</v>
      </c>
      <c r="B592" t="s">
        <v>0</v>
      </c>
      <c r="D592" s="1"/>
      <c r="E592" s="1"/>
      <c r="F592">
        <v>6</v>
      </c>
      <c r="G592">
        <v>7</v>
      </c>
      <c r="H592" s="1">
        <v>43983</v>
      </c>
      <c r="I592" s="1">
        <v>44378</v>
      </c>
      <c r="J592">
        <v>13</v>
      </c>
      <c r="K592">
        <v>0</v>
      </c>
      <c r="L592" s="1">
        <v>44166</v>
      </c>
      <c r="M592">
        <v>60</v>
      </c>
      <c r="N592" s="8" cm="1">
        <f t="array" ref="N592">_xlfn.SWITCH(Sales[[#This Row],[Subscription Type]],"Basic",10,"Premium",10,"Business",25,"Enterprise",27)</f>
        <v>10</v>
      </c>
      <c r="O592">
        <f>IF(Sales[[#This Row],[Number of Users]]-Sales[[#This Row],[Licenses Bought]]&lt;0,0,Sales[[#This Row],[Number of Users]]-Sales[[#This Row],[Licenses Bought]])</f>
        <v>1</v>
      </c>
      <c r="P592" s="8">
        <f>IF(Sales[[#This Row],[Sales Month]]=MAX(Sales[Sales Month]),Sales[[#This Row],[Non-Paying Users]]*Sales[[#This Row],[Upsell $ per Non-Paying User]],0)</f>
        <v>0</v>
      </c>
      <c r="Q592" t="str" cm="1">
        <f t="array" ref="Q592">_xlfn.IFS(Sales[[#This Row],[Current Upsell $]]=0,"",Sales[[#This Row],[Current Upsell $]]&gt;=400,"High",Sales[[#This Row],[Current Upsell $]]&gt;=100,"Medium",Sales[[#This Row],[Current Upsell $]]&lt;100,"Low")</f>
        <v/>
      </c>
      <c r="R592" t="str">
        <f>IF(Sales[[#This Row],[Current Upsell $]]&gt;0,_xlfn.CONCAT(Sales[[#This Row],[Subscription Type]]," ",Sales[[#This Row],[Upsell Priority]]," ",TEXT(Sales[[#This Row],[Current Upsell $]],"$#,#")),"")</f>
        <v/>
      </c>
    </row>
    <row r="593" spans="1:18" x14ac:dyDescent="0.25">
      <c r="A593">
        <v>100048</v>
      </c>
      <c r="B593" t="s">
        <v>0</v>
      </c>
      <c r="D593" s="1"/>
      <c r="E593" s="1"/>
      <c r="F593">
        <v>6</v>
      </c>
      <c r="G593">
        <v>8</v>
      </c>
      <c r="H593" s="1">
        <v>43983</v>
      </c>
      <c r="I593" s="1">
        <v>44378</v>
      </c>
      <c r="J593">
        <v>13</v>
      </c>
      <c r="K593">
        <v>0</v>
      </c>
      <c r="L593" s="1">
        <v>44197</v>
      </c>
      <c r="M593">
        <v>60</v>
      </c>
      <c r="N593" s="8" cm="1">
        <f t="array" ref="N593">_xlfn.SWITCH(Sales[[#This Row],[Subscription Type]],"Basic",10,"Premium",10,"Business",25,"Enterprise",27)</f>
        <v>10</v>
      </c>
      <c r="O593">
        <f>IF(Sales[[#This Row],[Number of Users]]-Sales[[#This Row],[Licenses Bought]]&lt;0,0,Sales[[#This Row],[Number of Users]]-Sales[[#This Row],[Licenses Bought]])</f>
        <v>2</v>
      </c>
      <c r="P593" s="8">
        <f>IF(Sales[[#This Row],[Sales Month]]=MAX(Sales[Sales Month]),Sales[[#This Row],[Non-Paying Users]]*Sales[[#This Row],[Upsell $ per Non-Paying User]],0)</f>
        <v>0</v>
      </c>
      <c r="Q593" t="str" cm="1">
        <f t="array" ref="Q593">_xlfn.IFS(Sales[[#This Row],[Current Upsell $]]=0,"",Sales[[#This Row],[Current Upsell $]]&gt;=400,"High",Sales[[#This Row],[Current Upsell $]]&gt;=100,"Medium",Sales[[#This Row],[Current Upsell $]]&lt;100,"Low")</f>
        <v/>
      </c>
      <c r="R593" t="str">
        <f>IF(Sales[[#This Row],[Current Upsell $]]&gt;0,_xlfn.CONCAT(Sales[[#This Row],[Subscription Type]]," ",Sales[[#This Row],[Upsell Priority]]," ",TEXT(Sales[[#This Row],[Current Upsell $]],"$#,#")),"")</f>
        <v/>
      </c>
    </row>
    <row r="594" spans="1:18" x14ac:dyDescent="0.25">
      <c r="A594">
        <v>100048</v>
      </c>
      <c r="B594" t="s">
        <v>0</v>
      </c>
      <c r="D594" s="1"/>
      <c r="E594" s="1"/>
      <c r="F594">
        <v>6</v>
      </c>
      <c r="G594">
        <v>8</v>
      </c>
      <c r="H594" s="1">
        <v>43983</v>
      </c>
      <c r="I594" s="1">
        <v>44378</v>
      </c>
      <c r="J594">
        <v>13</v>
      </c>
      <c r="K594">
        <v>0</v>
      </c>
      <c r="L594" s="1">
        <v>44228</v>
      </c>
      <c r="M594">
        <v>60</v>
      </c>
      <c r="N594" s="8" cm="1">
        <f t="array" ref="N594">_xlfn.SWITCH(Sales[[#This Row],[Subscription Type]],"Basic",10,"Premium",10,"Business",25,"Enterprise",27)</f>
        <v>10</v>
      </c>
      <c r="O594">
        <f>IF(Sales[[#This Row],[Number of Users]]-Sales[[#This Row],[Licenses Bought]]&lt;0,0,Sales[[#This Row],[Number of Users]]-Sales[[#This Row],[Licenses Bought]])</f>
        <v>2</v>
      </c>
      <c r="P594" s="8">
        <f>IF(Sales[[#This Row],[Sales Month]]=MAX(Sales[Sales Month]),Sales[[#This Row],[Non-Paying Users]]*Sales[[#This Row],[Upsell $ per Non-Paying User]],0)</f>
        <v>0</v>
      </c>
      <c r="Q594" t="str" cm="1">
        <f t="array" ref="Q594">_xlfn.IFS(Sales[[#This Row],[Current Upsell $]]=0,"",Sales[[#This Row],[Current Upsell $]]&gt;=400,"High",Sales[[#This Row],[Current Upsell $]]&gt;=100,"Medium",Sales[[#This Row],[Current Upsell $]]&lt;100,"Low")</f>
        <v/>
      </c>
      <c r="R594" t="str">
        <f>IF(Sales[[#This Row],[Current Upsell $]]&gt;0,_xlfn.CONCAT(Sales[[#This Row],[Subscription Type]]," ",Sales[[#This Row],[Upsell Priority]]," ",TEXT(Sales[[#This Row],[Current Upsell $]],"$#,#")),"")</f>
        <v/>
      </c>
    </row>
    <row r="595" spans="1:18" x14ac:dyDescent="0.25">
      <c r="A595">
        <v>100048</v>
      </c>
      <c r="B595" t="s">
        <v>0</v>
      </c>
      <c r="D595" s="1"/>
      <c r="E595" s="1"/>
      <c r="F595">
        <v>6</v>
      </c>
      <c r="G595">
        <v>9</v>
      </c>
      <c r="H595" s="1">
        <v>43983</v>
      </c>
      <c r="I595" s="1">
        <v>44378</v>
      </c>
      <c r="J595">
        <v>13</v>
      </c>
      <c r="K595">
        <v>0</v>
      </c>
      <c r="L595" s="1">
        <v>44256</v>
      </c>
      <c r="M595">
        <v>60</v>
      </c>
      <c r="N595" s="8" cm="1">
        <f t="array" ref="N595">_xlfn.SWITCH(Sales[[#This Row],[Subscription Type]],"Basic",10,"Premium",10,"Business",25,"Enterprise",27)</f>
        <v>10</v>
      </c>
      <c r="O595">
        <f>IF(Sales[[#This Row],[Number of Users]]-Sales[[#This Row],[Licenses Bought]]&lt;0,0,Sales[[#This Row],[Number of Users]]-Sales[[#This Row],[Licenses Bought]])</f>
        <v>3</v>
      </c>
      <c r="P595" s="8">
        <f>IF(Sales[[#This Row],[Sales Month]]=MAX(Sales[Sales Month]),Sales[[#This Row],[Non-Paying Users]]*Sales[[#This Row],[Upsell $ per Non-Paying User]],0)</f>
        <v>0</v>
      </c>
      <c r="Q595" t="str" cm="1">
        <f t="array" ref="Q595">_xlfn.IFS(Sales[[#This Row],[Current Upsell $]]=0,"",Sales[[#This Row],[Current Upsell $]]&gt;=400,"High",Sales[[#This Row],[Current Upsell $]]&gt;=100,"Medium",Sales[[#This Row],[Current Upsell $]]&lt;100,"Low")</f>
        <v/>
      </c>
      <c r="R595" t="str">
        <f>IF(Sales[[#This Row],[Current Upsell $]]&gt;0,_xlfn.CONCAT(Sales[[#This Row],[Subscription Type]]," ",Sales[[#This Row],[Upsell Priority]]," ",TEXT(Sales[[#This Row],[Current Upsell $]],"$#,#")),"")</f>
        <v/>
      </c>
    </row>
    <row r="596" spans="1:18" x14ac:dyDescent="0.25">
      <c r="A596">
        <v>100048</v>
      </c>
      <c r="B596" t="s">
        <v>0</v>
      </c>
      <c r="D596" s="1"/>
      <c r="E596" s="1"/>
      <c r="F596">
        <v>6</v>
      </c>
      <c r="G596">
        <v>6</v>
      </c>
      <c r="H596" s="1">
        <v>43983</v>
      </c>
      <c r="I596" s="1">
        <v>44378</v>
      </c>
      <c r="J596">
        <v>13</v>
      </c>
      <c r="K596">
        <v>0</v>
      </c>
      <c r="L596" s="1">
        <v>44287</v>
      </c>
      <c r="M596">
        <v>60</v>
      </c>
      <c r="N596" s="8" cm="1">
        <f t="array" ref="N596">_xlfn.SWITCH(Sales[[#This Row],[Subscription Type]],"Basic",10,"Premium",10,"Business",25,"Enterprise",27)</f>
        <v>10</v>
      </c>
      <c r="O596">
        <f>IF(Sales[[#This Row],[Number of Users]]-Sales[[#This Row],[Licenses Bought]]&lt;0,0,Sales[[#This Row],[Number of Users]]-Sales[[#This Row],[Licenses Bought]])</f>
        <v>0</v>
      </c>
      <c r="P596" s="8">
        <f>IF(Sales[[#This Row],[Sales Month]]=MAX(Sales[Sales Month]),Sales[[#This Row],[Non-Paying Users]]*Sales[[#This Row],[Upsell $ per Non-Paying User]],0)</f>
        <v>0</v>
      </c>
      <c r="Q596" t="str" cm="1">
        <f t="array" ref="Q596">_xlfn.IFS(Sales[[#This Row],[Current Upsell $]]=0,"",Sales[[#This Row],[Current Upsell $]]&gt;=400,"High",Sales[[#This Row],[Current Upsell $]]&gt;=100,"Medium",Sales[[#This Row],[Current Upsell $]]&lt;100,"Low")</f>
        <v/>
      </c>
      <c r="R596" t="str">
        <f>IF(Sales[[#This Row],[Current Upsell $]]&gt;0,_xlfn.CONCAT(Sales[[#This Row],[Subscription Type]]," ",Sales[[#This Row],[Upsell Priority]]," ",TEXT(Sales[[#This Row],[Current Upsell $]],"$#,#")),"")</f>
        <v/>
      </c>
    </row>
    <row r="597" spans="1:18" x14ac:dyDescent="0.25">
      <c r="A597">
        <v>100048</v>
      </c>
      <c r="B597" t="s">
        <v>0</v>
      </c>
      <c r="D597" s="1"/>
      <c r="E597" s="1"/>
      <c r="F597">
        <v>6</v>
      </c>
      <c r="G597">
        <v>7</v>
      </c>
      <c r="H597" s="1">
        <v>43983</v>
      </c>
      <c r="I597" s="1">
        <v>44378</v>
      </c>
      <c r="J597">
        <v>13</v>
      </c>
      <c r="K597">
        <v>0</v>
      </c>
      <c r="L597" s="1">
        <v>44317</v>
      </c>
      <c r="M597">
        <v>60</v>
      </c>
      <c r="N597" s="8" cm="1">
        <f t="array" ref="N597">_xlfn.SWITCH(Sales[[#This Row],[Subscription Type]],"Basic",10,"Premium",10,"Business",25,"Enterprise",27)</f>
        <v>10</v>
      </c>
      <c r="O597">
        <f>IF(Sales[[#This Row],[Number of Users]]-Sales[[#This Row],[Licenses Bought]]&lt;0,0,Sales[[#This Row],[Number of Users]]-Sales[[#This Row],[Licenses Bought]])</f>
        <v>1</v>
      </c>
      <c r="P597" s="8">
        <f>IF(Sales[[#This Row],[Sales Month]]=MAX(Sales[Sales Month]),Sales[[#This Row],[Non-Paying Users]]*Sales[[#This Row],[Upsell $ per Non-Paying User]],0)</f>
        <v>0</v>
      </c>
      <c r="Q597" t="str" cm="1">
        <f t="array" ref="Q597">_xlfn.IFS(Sales[[#This Row],[Current Upsell $]]=0,"",Sales[[#This Row],[Current Upsell $]]&gt;=400,"High",Sales[[#This Row],[Current Upsell $]]&gt;=100,"Medium",Sales[[#This Row],[Current Upsell $]]&lt;100,"Low")</f>
        <v/>
      </c>
      <c r="R597" t="str">
        <f>IF(Sales[[#This Row],[Current Upsell $]]&gt;0,_xlfn.CONCAT(Sales[[#This Row],[Subscription Type]]," ",Sales[[#This Row],[Upsell Priority]]," ",TEXT(Sales[[#This Row],[Current Upsell $]],"$#,#")),"")</f>
        <v/>
      </c>
    </row>
    <row r="598" spans="1:18" x14ac:dyDescent="0.25">
      <c r="A598">
        <v>100048</v>
      </c>
      <c r="B598" t="s">
        <v>0</v>
      </c>
      <c r="D598" s="1"/>
      <c r="E598" s="1"/>
      <c r="F598">
        <v>6</v>
      </c>
      <c r="G598">
        <v>9</v>
      </c>
      <c r="H598" s="1">
        <v>43983</v>
      </c>
      <c r="I598" s="1">
        <v>44378</v>
      </c>
      <c r="J598">
        <v>13</v>
      </c>
      <c r="K598">
        <v>0</v>
      </c>
      <c r="L598" s="1">
        <v>44348</v>
      </c>
      <c r="M598">
        <v>60</v>
      </c>
      <c r="N598" s="8" cm="1">
        <f t="array" ref="N598">_xlfn.SWITCH(Sales[[#This Row],[Subscription Type]],"Basic",10,"Premium",10,"Business",25,"Enterprise",27)</f>
        <v>10</v>
      </c>
      <c r="O598">
        <f>IF(Sales[[#This Row],[Number of Users]]-Sales[[#This Row],[Licenses Bought]]&lt;0,0,Sales[[#This Row],[Number of Users]]-Sales[[#This Row],[Licenses Bought]])</f>
        <v>3</v>
      </c>
      <c r="P598" s="8">
        <f>IF(Sales[[#This Row],[Sales Month]]=MAX(Sales[Sales Month]),Sales[[#This Row],[Non-Paying Users]]*Sales[[#This Row],[Upsell $ per Non-Paying User]],0)</f>
        <v>30</v>
      </c>
      <c r="Q598" t="str" cm="1">
        <f t="array" ref="Q598">_xlfn.IFS(Sales[[#This Row],[Current Upsell $]]=0,"",Sales[[#This Row],[Current Upsell $]]&gt;=400,"High",Sales[[#This Row],[Current Upsell $]]&gt;=100,"Medium",Sales[[#This Row],[Current Upsell $]]&lt;100,"Low")</f>
        <v>Low</v>
      </c>
      <c r="R598" t="str">
        <f>IF(Sales[[#This Row],[Current Upsell $]]&gt;0,_xlfn.CONCAT(Sales[[#This Row],[Subscription Type]]," ",Sales[[#This Row],[Upsell Priority]]," ",TEXT(Sales[[#This Row],[Current Upsell $]],"$#,#")),"")</f>
        <v>Premium Low $30</v>
      </c>
    </row>
    <row r="599" spans="1:18" x14ac:dyDescent="0.25">
      <c r="A599">
        <v>100049</v>
      </c>
      <c r="B599" t="s">
        <v>3</v>
      </c>
      <c r="F599">
        <v>0</v>
      </c>
      <c r="G599">
        <v>5</v>
      </c>
      <c r="H599" s="1">
        <v>43983</v>
      </c>
      <c r="I599" s="1">
        <v>44378</v>
      </c>
      <c r="J599">
        <v>13</v>
      </c>
      <c r="K599">
        <v>0</v>
      </c>
      <c r="L599" s="1">
        <v>43983</v>
      </c>
      <c r="M599">
        <v>0</v>
      </c>
      <c r="N599" s="8" cm="1">
        <f t="array" ref="N599">_xlfn.SWITCH(Sales[[#This Row],[Subscription Type]],"Basic",10,"Premium",10,"Business",25,"Enterprise",27)</f>
        <v>10</v>
      </c>
      <c r="O599">
        <f>IF(Sales[[#This Row],[Number of Users]]-Sales[[#This Row],[Licenses Bought]]&lt;0,0,Sales[[#This Row],[Number of Users]]-Sales[[#This Row],[Licenses Bought]])</f>
        <v>5</v>
      </c>
      <c r="P599" s="8">
        <f>IF(Sales[[#This Row],[Sales Month]]=MAX(Sales[Sales Month]),Sales[[#This Row],[Non-Paying Users]]*Sales[[#This Row],[Upsell $ per Non-Paying User]],0)</f>
        <v>0</v>
      </c>
      <c r="Q599" t="str" cm="1">
        <f t="array" ref="Q599">_xlfn.IFS(Sales[[#This Row],[Current Upsell $]]=0,"",Sales[[#This Row],[Current Upsell $]]&gt;=400,"High",Sales[[#This Row],[Current Upsell $]]&gt;=100,"Medium",Sales[[#This Row],[Current Upsell $]]&lt;100,"Low")</f>
        <v/>
      </c>
      <c r="R599" t="str">
        <f>IF(Sales[[#This Row],[Current Upsell $]]&gt;0,_xlfn.CONCAT(Sales[[#This Row],[Subscription Type]]," ",Sales[[#This Row],[Upsell Priority]]," ",TEXT(Sales[[#This Row],[Current Upsell $]],"$#,#")),"")</f>
        <v/>
      </c>
    </row>
    <row r="600" spans="1:18" x14ac:dyDescent="0.25">
      <c r="A600">
        <v>100049</v>
      </c>
      <c r="B600" t="s">
        <v>3</v>
      </c>
      <c r="F600">
        <v>0</v>
      </c>
      <c r="G600">
        <v>7</v>
      </c>
      <c r="H600" s="1">
        <v>43983</v>
      </c>
      <c r="I600" s="1">
        <v>44378</v>
      </c>
      <c r="J600">
        <v>13</v>
      </c>
      <c r="K600">
        <v>0</v>
      </c>
      <c r="L600" s="1">
        <v>44013</v>
      </c>
      <c r="M600">
        <v>0</v>
      </c>
      <c r="N600" s="8" cm="1">
        <f t="array" ref="N600">_xlfn.SWITCH(Sales[[#This Row],[Subscription Type]],"Basic",10,"Premium",10,"Business",25,"Enterprise",27)</f>
        <v>10</v>
      </c>
      <c r="O600">
        <f>IF(Sales[[#This Row],[Number of Users]]-Sales[[#This Row],[Licenses Bought]]&lt;0,0,Sales[[#This Row],[Number of Users]]-Sales[[#This Row],[Licenses Bought]])</f>
        <v>7</v>
      </c>
      <c r="P600" s="8">
        <f>IF(Sales[[#This Row],[Sales Month]]=MAX(Sales[Sales Month]),Sales[[#This Row],[Non-Paying Users]]*Sales[[#This Row],[Upsell $ per Non-Paying User]],0)</f>
        <v>0</v>
      </c>
      <c r="Q600" t="str" cm="1">
        <f t="array" ref="Q600">_xlfn.IFS(Sales[[#This Row],[Current Upsell $]]=0,"",Sales[[#This Row],[Current Upsell $]]&gt;=400,"High",Sales[[#This Row],[Current Upsell $]]&gt;=100,"Medium",Sales[[#This Row],[Current Upsell $]]&lt;100,"Low")</f>
        <v/>
      </c>
      <c r="R600" t="str">
        <f>IF(Sales[[#This Row],[Current Upsell $]]&gt;0,_xlfn.CONCAT(Sales[[#This Row],[Subscription Type]]," ",Sales[[#This Row],[Upsell Priority]]," ",TEXT(Sales[[#This Row],[Current Upsell $]],"$#,#")),"")</f>
        <v/>
      </c>
    </row>
    <row r="601" spans="1:18" x14ac:dyDescent="0.25">
      <c r="A601">
        <v>100049</v>
      </c>
      <c r="B601" t="s">
        <v>3</v>
      </c>
      <c r="F601">
        <v>0</v>
      </c>
      <c r="G601">
        <v>6</v>
      </c>
      <c r="H601" s="1">
        <v>43983</v>
      </c>
      <c r="I601" s="1">
        <v>44378</v>
      </c>
      <c r="J601">
        <v>13</v>
      </c>
      <c r="K601">
        <v>0</v>
      </c>
      <c r="L601" s="1">
        <v>44044</v>
      </c>
      <c r="M601">
        <v>0</v>
      </c>
      <c r="N601" s="8" cm="1">
        <f t="array" ref="N601">_xlfn.SWITCH(Sales[[#This Row],[Subscription Type]],"Basic",10,"Premium",10,"Business",25,"Enterprise",27)</f>
        <v>10</v>
      </c>
      <c r="O601">
        <f>IF(Sales[[#This Row],[Number of Users]]-Sales[[#This Row],[Licenses Bought]]&lt;0,0,Sales[[#This Row],[Number of Users]]-Sales[[#This Row],[Licenses Bought]])</f>
        <v>6</v>
      </c>
      <c r="P601" s="8">
        <f>IF(Sales[[#This Row],[Sales Month]]=MAX(Sales[Sales Month]),Sales[[#This Row],[Non-Paying Users]]*Sales[[#This Row],[Upsell $ per Non-Paying User]],0)</f>
        <v>0</v>
      </c>
      <c r="Q601" t="str" cm="1">
        <f t="array" ref="Q601">_xlfn.IFS(Sales[[#This Row],[Current Upsell $]]=0,"",Sales[[#This Row],[Current Upsell $]]&gt;=400,"High",Sales[[#This Row],[Current Upsell $]]&gt;=100,"Medium",Sales[[#This Row],[Current Upsell $]]&lt;100,"Low")</f>
        <v/>
      </c>
      <c r="R601" t="str">
        <f>IF(Sales[[#This Row],[Current Upsell $]]&gt;0,_xlfn.CONCAT(Sales[[#This Row],[Subscription Type]]," ",Sales[[#This Row],[Upsell Priority]]," ",TEXT(Sales[[#This Row],[Current Upsell $]],"$#,#")),"")</f>
        <v/>
      </c>
    </row>
    <row r="602" spans="1:18" x14ac:dyDescent="0.25">
      <c r="A602">
        <v>100049</v>
      </c>
      <c r="B602" t="s">
        <v>3</v>
      </c>
      <c r="F602">
        <v>0</v>
      </c>
      <c r="G602">
        <v>7</v>
      </c>
      <c r="H602" s="1">
        <v>43983</v>
      </c>
      <c r="I602" s="1">
        <v>44378</v>
      </c>
      <c r="J602">
        <v>13</v>
      </c>
      <c r="K602">
        <v>0</v>
      </c>
      <c r="L602" s="1">
        <v>44075</v>
      </c>
      <c r="M602">
        <v>0</v>
      </c>
      <c r="N602" s="8" cm="1">
        <f t="array" ref="N602">_xlfn.SWITCH(Sales[[#This Row],[Subscription Type]],"Basic",10,"Premium",10,"Business",25,"Enterprise",27)</f>
        <v>10</v>
      </c>
      <c r="O602">
        <f>IF(Sales[[#This Row],[Number of Users]]-Sales[[#This Row],[Licenses Bought]]&lt;0,0,Sales[[#This Row],[Number of Users]]-Sales[[#This Row],[Licenses Bought]])</f>
        <v>7</v>
      </c>
      <c r="P602" s="8">
        <f>IF(Sales[[#This Row],[Sales Month]]=MAX(Sales[Sales Month]),Sales[[#This Row],[Non-Paying Users]]*Sales[[#This Row],[Upsell $ per Non-Paying User]],0)</f>
        <v>0</v>
      </c>
      <c r="Q602" t="str" cm="1">
        <f t="array" ref="Q602">_xlfn.IFS(Sales[[#This Row],[Current Upsell $]]=0,"",Sales[[#This Row],[Current Upsell $]]&gt;=400,"High",Sales[[#This Row],[Current Upsell $]]&gt;=100,"Medium",Sales[[#This Row],[Current Upsell $]]&lt;100,"Low")</f>
        <v/>
      </c>
      <c r="R602" t="str">
        <f>IF(Sales[[#This Row],[Current Upsell $]]&gt;0,_xlfn.CONCAT(Sales[[#This Row],[Subscription Type]]," ",Sales[[#This Row],[Upsell Priority]]," ",TEXT(Sales[[#This Row],[Current Upsell $]],"$#,#")),"")</f>
        <v/>
      </c>
    </row>
    <row r="603" spans="1:18" x14ac:dyDescent="0.25">
      <c r="A603">
        <v>100049</v>
      </c>
      <c r="B603" t="s">
        <v>3</v>
      </c>
      <c r="F603">
        <v>0</v>
      </c>
      <c r="G603">
        <v>7</v>
      </c>
      <c r="H603" s="1">
        <v>43983</v>
      </c>
      <c r="I603" s="1">
        <v>44378</v>
      </c>
      <c r="J603">
        <v>13</v>
      </c>
      <c r="K603">
        <v>0</v>
      </c>
      <c r="L603" s="1">
        <v>44105</v>
      </c>
      <c r="M603">
        <v>0</v>
      </c>
      <c r="N603" s="8" cm="1">
        <f t="array" ref="N603">_xlfn.SWITCH(Sales[[#This Row],[Subscription Type]],"Basic",10,"Premium",10,"Business",25,"Enterprise",27)</f>
        <v>10</v>
      </c>
      <c r="O603">
        <f>IF(Sales[[#This Row],[Number of Users]]-Sales[[#This Row],[Licenses Bought]]&lt;0,0,Sales[[#This Row],[Number of Users]]-Sales[[#This Row],[Licenses Bought]])</f>
        <v>7</v>
      </c>
      <c r="P603" s="8">
        <f>IF(Sales[[#This Row],[Sales Month]]=MAX(Sales[Sales Month]),Sales[[#This Row],[Non-Paying Users]]*Sales[[#This Row],[Upsell $ per Non-Paying User]],0)</f>
        <v>0</v>
      </c>
      <c r="Q603" t="str" cm="1">
        <f t="array" ref="Q603">_xlfn.IFS(Sales[[#This Row],[Current Upsell $]]=0,"",Sales[[#This Row],[Current Upsell $]]&gt;=400,"High",Sales[[#This Row],[Current Upsell $]]&gt;=100,"Medium",Sales[[#This Row],[Current Upsell $]]&lt;100,"Low")</f>
        <v/>
      </c>
      <c r="R603" t="str">
        <f>IF(Sales[[#This Row],[Current Upsell $]]&gt;0,_xlfn.CONCAT(Sales[[#This Row],[Subscription Type]]," ",Sales[[#This Row],[Upsell Priority]]," ",TEXT(Sales[[#This Row],[Current Upsell $]],"$#,#")),"")</f>
        <v/>
      </c>
    </row>
    <row r="604" spans="1:18" x14ac:dyDescent="0.25">
      <c r="A604">
        <v>100049</v>
      </c>
      <c r="B604" t="s">
        <v>3</v>
      </c>
      <c r="F604">
        <v>0</v>
      </c>
      <c r="G604">
        <v>6</v>
      </c>
      <c r="H604" s="1">
        <v>43983</v>
      </c>
      <c r="I604" s="1">
        <v>44378</v>
      </c>
      <c r="J604">
        <v>13</v>
      </c>
      <c r="K604">
        <v>0</v>
      </c>
      <c r="L604" s="1">
        <v>44136</v>
      </c>
      <c r="M604">
        <v>0</v>
      </c>
      <c r="N604" s="8" cm="1">
        <f t="array" ref="N604">_xlfn.SWITCH(Sales[[#This Row],[Subscription Type]],"Basic",10,"Premium",10,"Business",25,"Enterprise",27)</f>
        <v>10</v>
      </c>
      <c r="O604">
        <f>IF(Sales[[#This Row],[Number of Users]]-Sales[[#This Row],[Licenses Bought]]&lt;0,0,Sales[[#This Row],[Number of Users]]-Sales[[#This Row],[Licenses Bought]])</f>
        <v>6</v>
      </c>
      <c r="P604" s="8">
        <f>IF(Sales[[#This Row],[Sales Month]]=MAX(Sales[Sales Month]),Sales[[#This Row],[Non-Paying Users]]*Sales[[#This Row],[Upsell $ per Non-Paying User]],0)</f>
        <v>0</v>
      </c>
      <c r="Q604" t="str" cm="1">
        <f t="array" ref="Q604">_xlfn.IFS(Sales[[#This Row],[Current Upsell $]]=0,"",Sales[[#This Row],[Current Upsell $]]&gt;=400,"High",Sales[[#This Row],[Current Upsell $]]&gt;=100,"Medium",Sales[[#This Row],[Current Upsell $]]&lt;100,"Low")</f>
        <v/>
      </c>
      <c r="R604" t="str">
        <f>IF(Sales[[#This Row],[Current Upsell $]]&gt;0,_xlfn.CONCAT(Sales[[#This Row],[Subscription Type]]," ",Sales[[#This Row],[Upsell Priority]]," ",TEXT(Sales[[#This Row],[Current Upsell $]],"$#,#")),"")</f>
        <v/>
      </c>
    </row>
    <row r="605" spans="1:18" x14ac:dyDescent="0.25">
      <c r="A605">
        <v>100049</v>
      </c>
      <c r="B605" t="s">
        <v>3</v>
      </c>
      <c r="F605">
        <v>0</v>
      </c>
      <c r="G605">
        <v>6</v>
      </c>
      <c r="H605" s="1">
        <v>43983</v>
      </c>
      <c r="I605" s="1">
        <v>44378</v>
      </c>
      <c r="J605">
        <v>13</v>
      </c>
      <c r="K605">
        <v>0</v>
      </c>
      <c r="L605" s="1">
        <v>44166</v>
      </c>
      <c r="M605">
        <v>0</v>
      </c>
      <c r="N605" s="8" cm="1">
        <f t="array" ref="N605">_xlfn.SWITCH(Sales[[#This Row],[Subscription Type]],"Basic",10,"Premium",10,"Business",25,"Enterprise",27)</f>
        <v>10</v>
      </c>
      <c r="O605">
        <f>IF(Sales[[#This Row],[Number of Users]]-Sales[[#This Row],[Licenses Bought]]&lt;0,0,Sales[[#This Row],[Number of Users]]-Sales[[#This Row],[Licenses Bought]])</f>
        <v>6</v>
      </c>
      <c r="P605" s="8">
        <f>IF(Sales[[#This Row],[Sales Month]]=MAX(Sales[Sales Month]),Sales[[#This Row],[Non-Paying Users]]*Sales[[#This Row],[Upsell $ per Non-Paying User]],0)</f>
        <v>0</v>
      </c>
      <c r="Q605" t="str" cm="1">
        <f t="array" ref="Q605">_xlfn.IFS(Sales[[#This Row],[Current Upsell $]]=0,"",Sales[[#This Row],[Current Upsell $]]&gt;=400,"High",Sales[[#This Row],[Current Upsell $]]&gt;=100,"Medium",Sales[[#This Row],[Current Upsell $]]&lt;100,"Low")</f>
        <v/>
      </c>
      <c r="R605" t="str">
        <f>IF(Sales[[#This Row],[Current Upsell $]]&gt;0,_xlfn.CONCAT(Sales[[#This Row],[Subscription Type]]," ",Sales[[#This Row],[Upsell Priority]]," ",TEXT(Sales[[#This Row],[Current Upsell $]],"$#,#")),"")</f>
        <v/>
      </c>
    </row>
    <row r="606" spans="1:18" x14ac:dyDescent="0.25">
      <c r="A606">
        <v>100049</v>
      </c>
      <c r="B606" t="s">
        <v>3</v>
      </c>
      <c r="F606">
        <v>0</v>
      </c>
      <c r="G606">
        <v>6</v>
      </c>
      <c r="H606" s="1">
        <v>43983</v>
      </c>
      <c r="I606" s="1">
        <v>44378</v>
      </c>
      <c r="J606">
        <v>13</v>
      </c>
      <c r="K606">
        <v>0</v>
      </c>
      <c r="L606" s="1">
        <v>44197</v>
      </c>
      <c r="M606">
        <v>0</v>
      </c>
      <c r="N606" s="8" cm="1">
        <f t="array" ref="N606">_xlfn.SWITCH(Sales[[#This Row],[Subscription Type]],"Basic",10,"Premium",10,"Business",25,"Enterprise",27)</f>
        <v>10</v>
      </c>
      <c r="O606">
        <f>IF(Sales[[#This Row],[Number of Users]]-Sales[[#This Row],[Licenses Bought]]&lt;0,0,Sales[[#This Row],[Number of Users]]-Sales[[#This Row],[Licenses Bought]])</f>
        <v>6</v>
      </c>
      <c r="P606" s="8">
        <f>IF(Sales[[#This Row],[Sales Month]]=MAX(Sales[Sales Month]),Sales[[#This Row],[Non-Paying Users]]*Sales[[#This Row],[Upsell $ per Non-Paying User]],0)</f>
        <v>0</v>
      </c>
      <c r="Q606" t="str" cm="1">
        <f t="array" ref="Q606">_xlfn.IFS(Sales[[#This Row],[Current Upsell $]]=0,"",Sales[[#This Row],[Current Upsell $]]&gt;=400,"High",Sales[[#This Row],[Current Upsell $]]&gt;=100,"Medium",Sales[[#This Row],[Current Upsell $]]&lt;100,"Low")</f>
        <v/>
      </c>
      <c r="R606" t="str">
        <f>IF(Sales[[#This Row],[Current Upsell $]]&gt;0,_xlfn.CONCAT(Sales[[#This Row],[Subscription Type]]," ",Sales[[#This Row],[Upsell Priority]]," ",TEXT(Sales[[#This Row],[Current Upsell $]],"$#,#")),"")</f>
        <v/>
      </c>
    </row>
    <row r="607" spans="1:18" x14ac:dyDescent="0.25">
      <c r="A607">
        <v>100049</v>
      </c>
      <c r="B607" t="s">
        <v>3</v>
      </c>
      <c r="F607">
        <v>0</v>
      </c>
      <c r="G607">
        <v>6</v>
      </c>
      <c r="H607" s="1">
        <v>43983</v>
      </c>
      <c r="I607" s="1">
        <v>44378</v>
      </c>
      <c r="J607">
        <v>13</v>
      </c>
      <c r="K607">
        <v>0</v>
      </c>
      <c r="L607" s="1">
        <v>44228</v>
      </c>
      <c r="M607">
        <v>0</v>
      </c>
      <c r="N607" s="8" cm="1">
        <f t="array" ref="N607">_xlfn.SWITCH(Sales[[#This Row],[Subscription Type]],"Basic",10,"Premium",10,"Business",25,"Enterprise",27)</f>
        <v>10</v>
      </c>
      <c r="O607">
        <f>IF(Sales[[#This Row],[Number of Users]]-Sales[[#This Row],[Licenses Bought]]&lt;0,0,Sales[[#This Row],[Number of Users]]-Sales[[#This Row],[Licenses Bought]])</f>
        <v>6</v>
      </c>
      <c r="P607" s="8">
        <f>IF(Sales[[#This Row],[Sales Month]]=MAX(Sales[Sales Month]),Sales[[#This Row],[Non-Paying Users]]*Sales[[#This Row],[Upsell $ per Non-Paying User]],0)</f>
        <v>0</v>
      </c>
      <c r="Q607" t="str" cm="1">
        <f t="array" ref="Q607">_xlfn.IFS(Sales[[#This Row],[Current Upsell $]]=0,"",Sales[[#This Row],[Current Upsell $]]&gt;=400,"High",Sales[[#This Row],[Current Upsell $]]&gt;=100,"Medium",Sales[[#This Row],[Current Upsell $]]&lt;100,"Low")</f>
        <v/>
      </c>
      <c r="R607" t="str">
        <f>IF(Sales[[#This Row],[Current Upsell $]]&gt;0,_xlfn.CONCAT(Sales[[#This Row],[Subscription Type]]," ",Sales[[#This Row],[Upsell Priority]]," ",TEXT(Sales[[#This Row],[Current Upsell $]],"$#,#")),"")</f>
        <v/>
      </c>
    </row>
    <row r="608" spans="1:18" x14ac:dyDescent="0.25">
      <c r="A608">
        <v>100049</v>
      </c>
      <c r="B608" t="s">
        <v>3</v>
      </c>
      <c r="F608">
        <v>0</v>
      </c>
      <c r="G608">
        <v>5</v>
      </c>
      <c r="H608" s="1">
        <v>43983</v>
      </c>
      <c r="I608" s="1">
        <v>44378</v>
      </c>
      <c r="J608">
        <v>13</v>
      </c>
      <c r="K608">
        <v>0</v>
      </c>
      <c r="L608" s="1">
        <v>44256</v>
      </c>
      <c r="M608">
        <v>0</v>
      </c>
      <c r="N608" s="8" cm="1">
        <f t="array" ref="N608">_xlfn.SWITCH(Sales[[#This Row],[Subscription Type]],"Basic",10,"Premium",10,"Business",25,"Enterprise",27)</f>
        <v>10</v>
      </c>
      <c r="O608">
        <f>IF(Sales[[#This Row],[Number of Users]]-Sales[[#This Row],[Licenses Bought]]&lt;0,0,Sales[[#This Row],[Number of Users]]-Sales[[#This Row],[Licenses Bought]])</f>
        <v>5</v>
      </c>
      <c r="P608" s="8">
        <f>IF(Sales[[#This Row],[Sales Month]]=MAX(Sales[Sales Month]),Sales[[#This Row],[Non-Paying Users]]*Sales[[#This Row],[Upsell $ per Non-Paying User]],0)</f>
        <v>0</v>
      </c>
      <c r="Q608" t="str" cm="1">
        <f t="array" ref="Q608">_xlfn.IFS(Sales[[#This Row],[Current Upsell $]]=0,"",Sales[[#This Row],[Current Upsell $]]&gt;=400,"High",Sales[[#This Row],[Current Upsell $]]&gt;=100,"Medium",Sales[[#This Row],[Current Upsell $]]&lt;100,"Low")</f>
        <v/>
      </c>
      <c r="R608" t="str">
        <f>IF(Sales[[#This Row],[Current Upsell $]]&gt;0,_xlfn.CONCAT(Sales[[#This Row],[Subscription Type]]," ",Sales[[#This Row],[Upsell Priority]]," ",TEXT(Sales[[#This Row],[Current Upsell $]],"$#,#")),"")</f>
        <v/>
      </c>
    </row>
    <row r="609" spans="1:18" x14ac:dyDescent="0.25">
      <c r="A609">
        <v>100049</v>
      </c>
      <c r="B609" t="s">
        <v>3</v>
      </c>
      <c r="F609">
        <v>0</v>
      </c>
      <c r="G609">
        <v>5</v>
      </c>
      <c r="H609" s="1">
        <v>43983</v>
      </c>
      <c r="I609" s="1">
        <v>44378</v>
      </c>
      <c r="J609">
        <v>13</v>
      </c>
      <c r="K609">
        <v>0</v>
      </c>
      <c r="L609" s="1">
        <v>44287</v>
      </c>
      <c r="M609">
        <v>0</v>
      </c>
      <c r="N609" s="8" cm="1">
        <f t="array" ref="N609">_xlfn.SWITCH(Sales[[#This Row],[Subscription Type]],"Basic",10,"Premium",10,"Business",25,"Enterprise",27)</f>
        <v>10</v>
      </c>
      <c r="O609">
        <f>IF(Sales[[#This Row],[Number of Users]]-Sales[[#This Row],[Licenses Bought]]&lt;0,0,Sales[[#This Row],[Number of Users]]-Sales[[#This Row],[Licenses Bought]])</f>
        <v>5</v>
      </c>
      <c r="P609" s="8">
        <f>IF(Sales[[#This Row],[Sales Month]]=MAX(Sales[Sales Month]),Sales[[#This Row],[Non-Paying Users]]*Sales[[#This Row],[Upsell $ per Non-Paying User]],0)</f>
        <v>0</v>
      </c>
      <c r="Q609" t="str" cm="1">
        <f t="array" ref="Q609">_xlfn.IFS(Sales[[#This Row],[Current Upsell $]]=0,"",Sales[[#This Row],[Current Upsell $]]&gt;=400,"High",Sales[[#This Row],[Current Upsell $]]&gt;=100,"Medium",Sales[[#This Row],[Current Upsell $]]&lt;100,"Low")</f>
        <v/>
      </c>
      <c r="R609" t="str">
        <f>IF(Sales[[#This Row],[Current Upsell $]]&gt;0,_xlfn.CONCAT(Sales[[#This Row],[Subscription Type]]," ",Sales[[#This Row],[Upsell Priority]]," ",TEXT(Sales[[#This Row],[Current Upsell $]],"$#,#")),"")</f>
        <v/>
      </c>
    </row>
    <row r="610" spans="1:18" x14ac:dyDescent="0.25">
      <c r="A610">
        <v>100049</v>
      </c>
      <c r="B610" t="s">
        <v>3</v>
      </c>
      <c r="F610">
        <v>0</v>
      </c>
      <c r="G610">
        <v>6</v>
      </c>
      <c r="H610" s="1">
        <v>43983</v>
      </c>
      <c r="I610" s="1">
        <v>44378</v>
      </c>
      <c r="J610">
        <v>13</v>
      </c>
      <c r="K610">
        <v>0</v>
      </c>
      <c r="L610" s="1">
        <v>44317</v>
      </c>
      <c r="M610">
        <v>0</v>
      </c>
      <c r="N610" s="8" cm="1">
        <f t="array" ref="N610">_xlfn.SWITCH(Sales[[#This Row],[Subscription Type]],"Basic",10,"Premium",10,"Business",25,"Enterprise",27)</f>
        <v>10</v>
      </c>
      <c r="O610">
        <f>IF(Sales[[#This Row],[Number of Users]]-Sales[[#This Row],[Licenses Bought]]&lt;0,0,Sales[[#This Row],[Number of Users]]-Sales[[#This Row],[Licenses Bought]])</f>
        <v>6</v>
      </c>
      <c r="P610" s="8">
        <f>IF(Sales[[#This Row],[Sales Month]]=MAX(Sales[Sales Month]),Sales[[#This Row],[Non-Paying Users]]*Sales[[#This Row],[Upsell $ per Non-Paying User]],0)</f>
        <v>0</v>
      </c>
      <c r="Q610" t="str" cm="1">
        <f t="array" ref="Q610">_xlfn.IFS(Sales[[#This Row],[Current Upsell $]]=0,"",Sales[[#This Row],[Current Upsell $]]&gt;=400,"High",Sales[[#This Row],[Current Upsell $]]&gt;=100,"Medium",Sales[[#This Row],[Current Upsell $]]&lt;100,"Low")</f>
        <v/>
      </c>
      <c r="R610" t="str">
        <f>IF(Sales[[#This Row],[Current Upsell $]]&gt;0,_xlfn.CONCAT(Sales[[#This Row],[Subscription Type]]," ",Sales[[#This Row],[Upsell Priority]]," ",TEXT(Sales[[#This Row],[Current Upsell $]],"$#,#")),"")</f>
        <v/>
      </c>
    </row>
    <row r="611" spans="1:18" x14ac:dyDescent="0.25">
      <c r="A611">
        <v>100049</v>
      </c>
      <c r="B611" t="s">
        <v>3</v>
      </c>
      <c r="F611">
        <v>0</v>
      </c>
      <c r="G611">
        <v>7</v>
      </c>
      <c r="H611" s="1">
        <v>43983</v>
      </c>
      <c r="I611" s="1">
        <v>44378</v>
      </c>
      <c r="J611">
        <v>13</v>
      </c>
      <c r="K611">
        <v>0</v>
      </c>
      <c r="L611" s="1">
        <v>44348</v>
      </c>
      <c r="M611">
        <v>0</v>
      </c>
      <c r="N611" s="8" cm="1">
        <f t="array" ref="N611">_xlfn.SWITCH(Sales[[#This Row],[Subscription Type]],"Basic",10,"Premium",10,"Business",25,"Enterprise",27)</f>
        <v>10</v>
      </c>
      <c r="O611">
        <f>IF(Sales[[#This Row],[Number of Users]]-Sales[[#This Row],[Licenses Bought]]&lt;0,0,Sales[[#This Row],[Number of Users]]-Sales[[#This Row],[Licenses Bought]])</f>
        <v>7</v>
      </c>
      <c r="P611" s="8">
        <f>IF(Sales[[#This Row],[Sales Month]]=MAX(Sales[Sales Month]),Sales[[#This Row],[Non-Paying Users]]*Sales[[#This Row],[Upsell $ per Non-Paying User]],0)</f>
        <v>70</v>
      </c>
      <c r="Q611" t="str" cm="1">
        <f t="array" ref="Q611">_xlfn.IFS(Sales[[#This Row],[Current Upsell $]]=0,"",Sales[[#This Row],[Current Upsell $]]&gt;=400,"High",Sales[[#This Row],[Current Upsell $]]&gt;=100,"Medium",Sales[[#This Row],[Current Upsell $]]&lt;100,"Low")</f>
        <v>Low</v>
      </c>
      <c r="R611" t="str">
        <f>IF(Sales[[#This Row],[Current Upsell $]]&gt;0,_xlfn.CONCAT(Sales[[#This Row],[Subscription Type]]," ",Sales[[#This Row],[Upsell Priority]]," ",TEXT(Sales[[#This Row],[Current Upsell $]],"$#,#")),"")</f>
        <v>Basic Low $70</v>
      </c>
    </row>
    <row r="612" spans="1:18" x14ac:dyDescent="0.25">
      <c r="A612">
        <v>100050</v>
      </c>
      <c r="B612" t="s">
        <v>3</v>
      </c>
      <c r="D612" s="1"/>
      <c r="E612" s="1"/>
      <c r="F612">
        <v>0</v>
      </c>
      <c r="G612">
        <v>6</v>
      </c>
      <c r="H612" s="1">
        <v>43983</v>
      </c>
      <c r="I612" s="1">
        <v>44378</v>
      </c>
      <c r="J612">
        <v>13</v>
      </c>
      <c r="K612">
        <v>0</v>
      </c>
      <c r="L612" s="1">
        <v>43983</v>
      </c>
      <c r="M612">
        <v>0</v>
      </c>
      <c r="N612" s="8" cm="1">
        <f t="array" ref="N612">_xlfn.SWITCH(Sales[[#This Row],[Subscription Type]],"Basic",10,"Premium",10,"Business",25,"Enterprise",27)</f>
        <v>10</v>
      </c>
      <c r="O612">
        <f>IF(Sales[[#This Row],[Number of Users]]-Sales[[#This Row],[Licenses Bought]]&lt;0,0,Sales[[#This Row],[Number of Users]]-Sales[[#This Row],[Licenses Bought]])</f>
        <v>6</v>
      </c>
      <c r="P612" s="8">
        <f>IF(Sales[[#This Row],[Sales Month]]=MAX(Sales[Sales Month]),Sales[[#This Row],[Non-Paying Users]]*Sales[[#This Row],[Upsell $ per Non-Paying User]],0)</f>
        <v>0</v>
      </c>
      <c r="Q612" t="str" cm="1">
        <f t="array" ref="Q612">_xlfn.IFS(Sales[[#This Row],[Current Upsell $]]=0,"",Sales[[#This Row],[Current Upsell $]]&gt;=400,"High",Sales[[#This Row],[Current Upsell $]]&gt;=100,"Medium",Sales[[#This Row],[Current Upsell $]]&lt;100,"Low")</f>
        <v/>
      </c>
      <c r="R612" t="str">
        <f>IF(Sales[[#This Row],[Current Upsell $]]&gt;0,_xlfn.CONCAT(Sales[[#This Row],[Subscription Type]]," ",Sales[[#This Row],[Upsell Priority]]," ",TEXT(Sales[[#This Row],[Current Upsell $]],"$#,#")),"")</f>
        <v/>
      </c>
    </row>
    <row r="613" spans="1:18" x14ac:dyDescent="0.25">
      <c r="A613">
        <v>100050</v>
      </c>
      <c r="B613" t="s">
        <v>0</v>
      </c>
      <c r="D613" s="1"/>
      <c r="E613" s="1"/>
      <c r="F613">
        <v>2</v>
      </c>
      <c r="G613">
        <v>6</v>
      </c>
      <c r="H613" s="1">
        <v>43983</v>
      </c>
      <c r="I613" s="1">
        <v>44378</v>
      </c>
      <c r="J613">
        <v>13</v>
      </c>
      <c r="K613">
        <v>0</v>
      </c>
      <c r="L613" s="1">
        <v>44013</v>
      </c>
      <c r="M613">
        <v>20</v>
      </c>
      <c r="N613" s="8" cm="1">
        <f t="array" ref="N613">_xlfn.SWITCH(Sales[[#This Row],[Subscription Type]],"Basic",10,"Premium",10,"Business",25,"Enterprise",27)</f>
        <v>10</v>
      </c>
      <c r="O613">
        <f>IF(Sales[[#This Row],[Number of Users]]-Sales[[#This Row],[Licenses Bought]]&lt;0,0,Sales[[#This Row],[Number of Users]]-Sales[[#This Row],[Licenses Bought]])</f>
        <v>4</v>
      </c>
      <c r="P613" s="8">
        <f>IF(Sales[[#This Row],[Sales Month]]=MAX(Sales[Sales Month]),Sales[[#This Row],[Non-Paying Users]]*Sales[[#This Row],[Upsell $ per Non-Paying User]],0)</f>
        <v>0</v>
      </c>
      <c r="Q613" t="str" cm="1">
        <f t="array" ref="Q613">_xlfn.IFS(Sales[[#This Row],[Current Upsell $]]=0,"",Sales[[#This Row],[Current Upsell $]]&gt;=400,"High",Sales[[#This Row],[Current Upsell $]]&gt;=100,"Medium",Sales[[#This Row],[Current Upsell $]]&lt;100,"Low")</f>
        <v/>
      </c>
      <c r="R613" t="str">
        <f>IF(Sales[[#This Row],[Current Upsell $]]&gt;0,_xlfn.CONCAT(Sales[[#This Row],[Subscription Type]]," ",Sales[[#This Row],[Upsell Priority]]," ",TEXT(Sales[[#This Row],[Current Upsell $]],"$#,#")),"")</f>
        <v/>
      </c>
    </row>
    <row r="614" spans="1:18" x14ac:dyDescent="0.25">
      <c r="A614">
        <v>100050</v>
      </c>
      <c r="B614" t="s">
        <v>0</v>
      </c>
      <c r="D614" s="1"/>
      <c r="E614" s="1"/>
      <c r="F614">
        <v>3</v>
      </c>
      <c r="G614">
        <v>6</v>
      </c>
      <c r="H614" s="1">
        <v>43983</v>
      </c>
      <c r="I614" s="1">
        <v>44378</v>
      </c>
      <c r="J614">
        <v>13</v>
      </c>
      <c r="K614">
        <v>0</v>
      </c>
      <c r="L614" s="1">
        <v>44044</v>
      </c>
      <c r="M614">
        <v>30</v>
      </c>
      <c r="N614" s="8" cm="1">
        <f t="array" ref="N614">_xlfn.SWITCH(Sales[[#This Row],[Subscription Type]],"Basic",10,"Premium",10,"Business",25,"Enterprise",27)</f>
        <v>10</v>
      </c>
      <c r="O614">
        <f>IF(Sales[[#This Row],[Number of Users]]-Sales[[#This Row],[Licenses Bought]]&lt;0,0,Sales[[#This Row],[Number of Users]]-Sales[[#This Row],[Licenses Bought]])</f>
        <v>3</v>
      </c>
      <c r="P614" s="8">
        <f>IF(Sales[[#This Row],[Sales Month]]=MAX(Sales[Sales Month]),Sales[[#This Row],[Non-Paying Users]]*Sales[[#This Row],[Upsell $ per Non-Paying User]],0)</f>
        <v>0</v>
      </c>
      <c r="Q614" t="str" cm="1">
        <f t="array" ref="Q614">_xlfn.IFS(Sales[[#This Row],[Current Upsell $]]=0,"",Sales[[#This Row],[Current Upsell $]]&gt;=400,"High",Sales[[#This Row],[Current Upsell $]]&gt;=100,"Medium",Sales[[#This Row],[Current Upsell $]]&lt;100,"Low")</f>
        <v/>
      </c>
      <c r="R614" t="str">
        <f>IF(Sales[[#This Row],[Current Upsell $]]&gt;0,_xlfn.CONCAT(Sales[[#This Row],[Subscription Type]]," ",Sales[[#This Row],[Upsell Priority]]," ",TEXT(Sales[[#This Row],[Current Upsell $]],"$#,#")),"")</f>
        <v/>
      </c>
    </row>
    <row r="615" spans="1:18" x14ac:dyDescent="0.25">
      <c r="A615">
        <v>100050</v>
      </c>
      <c r="B615" t="s">
        <v>0</v>
      </c>
      <c r="D615" s="1"/>
      <c r="E615" s="1"/>
      <c r="F615">
        <v>5</v>
      </c>
      <c r="G615">
        <v>8</v>
      </c>
      <c r="H615" s="1">
        <v>43983</v>
      </c>
      <c r="I615" s="1">
        <v>44378</v>
      </c>
      <c r="J615">
        <v>13</v>
      </c>
      <c r="K615">
        <v>0</v>
      </c>
      <c r="L615" s="1">
        <v>44075</v>
      </c>
      <c r="M615">
        <v>50</v>
      </c>
      <c r="N615" s="8" cm="1">
        <f t="array" ref="N615">_xlfn.SWITCH(Sales[[#This Row],[Subscription Type]],"Basic",10,"Premium",10,"Business",25,"Enterprise",27)</f>
        <v>10</v>
      </c>
      <c r="O615">
        <f>IF(Sales[[#This Row],[Number of Users]]-Sales[[#This Row],[Licenses Bought]]&lt;0,0,Sales[[#This Row],[Number of Users]]-Sales[[#This Row],[Licenses Bought]])</f>
        <v>3</v>
      </c>
      <c r="P615" s="8">
        <f>IF(Sales[[#This Row],[Sales Month]]=MAX(Sales[Sales Month]),Sales[[#This Row],[Non-Paying Users]]*Sales[[#This Row],[Upsell $ per Non-Paying User]],0)</f>
        <v>0</v>
      </c>
      <c r="Q615" t="str" cm="1">
        <f t="array" ref="Q615">_xlfn.IFS(Sales[[#This Row],[Current Upsell $]]=0,"",Sales[[#This Row],[Current Upsell $]]&gt;=400,"High",Sales[[#This Row],[Current Upsell $]]&gt;=100,"Medium",Sales[[#This Row],[Current Upsell $]]&lt;100,"Low")</f>
        <v/>
      </c>
      <c r="R615" t="str">
        <f>IF(Sales[[#This Row],[Current Upsell $]]&gt;0,_xlfn.CONCAT(Sales[[#This Row],[Subscription Type]]," ",Sales[[#This Row],[Upsell Priority]]," ",TEXT(Sales[[#This Row],[Current Upsell $]],"$#,#")),"")</f>
        <v/>
      </c>
    </row>
    <row r="616" spans="1:18" x14ac:dyDescent="0.25">
      <c r="A616">
        <v>100050</v>
      </c>
      <c r="B616" t="s">
        <v>0</v>
      </c>
      <c r="D616" s="1"/>
      <c r="E616" s="1"/>
      <c r="F616">
        <v>5</v>
      </c>
      <c r="G616">
        <v>6</v>
      </c>
      <c r="H616" s="1">
        <v>43983</v>
      </c>
      <c r="I616" s="1">
        <v>44378</v>
      </c>
      <c r="J616">
        <v>13</v>
      </c>
      <c r="K616">
        <v>0</v>
      </c>
      <c r="L616" s="1">
        <v>44105</v>
      </c>
      <c r="M616">
        <v>50</v>
      </c>
      <c r="N616" s="8" cm="1">
        <f t="array" ref="N616">_xlfn.SWITCH(Sales[[#This Row],[Subscription Type]],"Basic",10,"Premium",10,"Business",25,"Enterprise",27)</f>
        <v>10</v>
      </c>
      <c r="O616">
        <f>IF(Sales[[#This Row],[Number of Users]]-Sales[[#This Row],[Licenses Bought]]&lt;0,0,Sales[[#This Row],[Number of Users]]-Sales[[#This Row],[Licenses Bought]])</f>
        <v>1</v>
      </c>
      <c r="P616" s="8">
        <f>IF(Sales[[#This Row],[Sales Month]]=MAX(Sales[Sales Month]),Sales[[#This Row],[Non-Paying Users]]*Sales[[#This Row],[Upsell $ per Non-Paying User]],0)</f>
        <v>0</v>
      </c>
      <c r="Q616" t="str" cm="1">
        <f t="array" ref="Q616">_xlfn.IFS(Sales[[#This Row],[Current Upsell $]]=0,"",Sales[[#This Row],[Current Upsell $]]&gt;=400,"High",Sales[[#This Row],[Current Upsell $]]&gt;=100,"Medium",Sales[[#This Row],[Current Upsell $]]&lt;100,"Low")</f>
        <v/>
      </c>
      <c r="R616" t="str">
        <f>IF(Sales[[#This Row],[Current Upsell $]]&gt;0,_xlfn.CONCAT(Sales[[#This Row],[Subscription Type]]," ",Sales[[#This Row],[Upsell Priority]]," ",TEXT(Sales[[#This Row],[Current Upsell $]],"$#,#")),"")</f>
        <v/>
      </c>
    </row>
    <row r="617" spans="1:18" x14ac:dyDescent="0.25">
      <c r="A617">
        <v>100050</v>
      </c>
      <c r="B617" t="s">
        <v>0</v>
      </c>
      <c r="D617" s="1"/>
      <c r="E617" s="1"/>
      <c r="F617">
        <v>5</v>
      </c>
      <c r="G617">
        <v>6</v>
      </c>
      <c r="H617" s="1">
        <v>43983</v>
      </c>
      <c r="I617" s="1">
        <v>44378</v>
      </c>
      <c r="J617">
        <v>13</v>
      </c>
      <c r="K617">
        <v>0</v>
      </c>
      <c r="L617" s="1">
        <v>44136</v>
      </c>
      <c r="M617">
        <v>50</v>
      </c>
      <c r="N617" s="8" cm="1">
        <f t="array" ref="N617">_xlfn.SWITCH(Sales[[#This Row],[Subscription Type]],"Basic",10,"Premium",10,"Business",25,"Enterprise",27)</f>
        <v>10</v>
      </c>
      <c r="O617">
        <f>IF(Sales[[#This Row],[Number of Users]]-Sales[[#This Row],[Licenses Bought]]&lt;0,0,Sales[[#This Row],[Number of Users]]-Sales[[#This Row],[Licenses Bought]])</f>
        <v>1</v>
      </c>
      <c r="P617" s="8">
        <f>IF(Sales[[#This Row],[Sales Month]]=MAX(Sales[Sales Month]),Sales[[#This Row],[Non-Paying Users]]*Sales[[#This Row],[Upsell $ per Non-Paying User]],0)</f>
        <v>0</v>
      </c>
      <c r="Q617" t="str" cm="1">
        <f t="array" ref="Q617">_xlfn.IFS(Sales[[#This Row],[Current Upsell $]]=0,"",Sales[[#This Row],[Current Upsell $]]&gt;=400,"High",Sales[[#This Row],[Current Upsell $]]&gt;=100,"Medium",Sales[[#This Row],[Current Upsell $]]&lt;100,"Low")</f>
        <v/>
      </c>
      <c r="R617" t="str">
        <f>IF(Sales[[#This Row],[Current Upsell $]]&gt;0,_xlfn.CONCAT(Sales[[#This Row],[Subscription Type]]," ",Sales[[#This Row],[Upsell Priority]]," ",TEXT(Sales[[#This Row],[Current Upsell $]],"$#,#")),"")</f>
        <v/>
      </c>
    </row>
    <row r="618" spans="1:18" x14ac:dyDescent="0.25">
      <c r="A618">
        <v>100050</v>
      </c>
      <c r="B618" t="s">
        <v>0</v>
      </c>
      <c r="D618" s="1"/>
      <c r="E618" s="1"/>
      <c r="F618">
        <v>5</v>
      </c>
      <c r="G618">
        <v>6</v>
      </c>
      <c r="H618" s="1">
        <v>43983</v>
      </c>
      <c r="I618" s="1">
        <v>44378</v>
      </c>
      <c r="J618">
        <v>13</v>
      </c>
      <c r="K618">
        <v>0</v>
      </c>
      <c r="L618" s="1">
        <v>44166</v>
      </c>
      <c r="M618">
        <v>50</v>
      </c>
      <c r="N618" s="8" cm="1">
        <f t="array" ref="N618">_xlfn.SWITCH(Sales[[#This Row],[Subscription Type]],"Basic",10,"Premium",10,"Business",25,"Enterprise",27)</f>
        <v>10</v>
      </c>
      <c r="O618">
        <f>IF(Sales[[#This Row],[Number of Users]]-Sales[[#This Row],[Licenses Bought]]&lt;0,0,Sales[[#This Row],[Number of Users]]-Sales[[#This Row],[Licenses Bought]])</f>
        <v>1</v>
      </c>
      <c r="P618" s="8">
        <f>IF(Sales[[#This Row],[Sales Month]]=MAX(Sales[Sales Month]),Sales[[#This Row],[Non-Paying Users]]*Sales[[#This Row],[Upsell $ per Non-Paying User]],0)</f>
        <v>0</v>
      </c>
      <c r="Q618" t="str" cm="1">
        <f t="array" ref="Q618">_xlfn.IFS(Sales[[#This Row],[Current Upsell $]]=0,"",Sales[[#This Row],[Current Upsell $]]&gt;=400,"High",Sales[[#This Row],[Current Upsell $]]&gt;=100,"Medium",Sales[[#This Row],[Current Upsell $]]&lt;100,"Low")</f>
        <v/>
      </c>
      <c r="R618" t="str">
        <f>IF(Sales[[#This Row],[Current Upsell $]]&gt;0,_xlfn.CONCAT(Sales[[#This Row],[Subscription Type]]," ",Sales[[#This Row],[Upsell Priority]]," ",TEXT(Sales[[#This Row],[Current Upsell $]],"$#,#")),"")</f>
        <v/>
      </c>
    </row>
    <row r="619" spans="1:18" x14ac:dyDescent="0.25">
      <c r="A619">
        <v>100050</v>
      </c>
      <c r="B619" t="s">
        <v>0</v>
      </c>
      <c r="D619" s="1"/>
      <c r="E619" s="1"/>
      <c r="F619">
        <v>5</v>
      </c>
      <c r="G619">
        <v>6</v>
      </c>
      <c r="H619" s="1">
        <v>43983</v>
      </c>
      <c r="I619" s="1">
        <v>44378</v>
      </c>
      <c r="J619">
        <v>13</v>
      </c>
      <c r="K619">
        <v>0</v>
      </c>
      <c r="L619" s="1">
        <v>44197</v>
      </c>
      <c r="M619">
        <v>50</v>
      </c>
      <c r="N619" s="8" cm="1">
        <f t="array" ref="N619">_xlfn.SWITCH(Sales[[#This Row],[Subscription Type]],"Basic",10,"Premium",10,"Business",25,"Enterprise",27)</f>
        <v>10</v>
      </c>
      <c r="O619">
        <f>IF(Sales[[#This Row],[Number of Users]]-Sales[[#This Row],[Licenses Bought]]&lt;0,0,Sales[[#This Row],[Number of Users]]-Sales[[#This Row],[Licenses Bought]])</f>
        <v>1</v>
      </c>
      <c r="P619" s="8">
        <f>IF(Sales[[#This Row],[Sales Month]]=MAX(Sales[Sales Month]),Sales[[#This Row],[Non-Paying Users]]*Sales[[#This Row],[Upsell $ per Non-Paying User]],0)</f>
        <v>0</v>
      </c>
      <c r="Q619" t="str" cm="1">
        <f t="array" ref="Q619">_xlfn.IFS(Sales[[#This Row],[Current Upsell $]]=0,"",Sales[[#This Row],[Current Upsell $]]&gt;=400,"High",Sales[[#This Row],[Current Upsell $]]&gt;=100,"Medium",Sales[[#This Row],[Current Upsell $]]&lt;100,"Low")</f>
        <v/>
      </c>
      <c r="R619" t="str">
        <f>IF(Sales[[#This Row],[Current Upsell $]]&gt;0,_xlfn.CONCAT(Sales[[#This Row],[Subscription Type]]," ",Sales[[#This Row],[Upsell Priority]]," ",TEXT(Sales[[#This Row],[Current Upsell $]],"$#,#")),"")</f>
        <v/>
      </c>
    </row>
    <row r="620" spans="1:18" x14ac:dyDescent="0.25">
      <c r="A620">
        <v>100050</v>
      </c>
      <c r="B620" t="s">
        <v>0</v>
      </c>
      <c r="D620" s="1"/>
      <c r="E620" s="1"/>
      <c r="F620">
        <v>5</v>
      </c>
      <c r="G620">
        <v>6</v>
      </c>
      <c r="H620" s="1">
        <v>43983</v>
      </c>
      <c r="I620" s="1">
        <v>44378</v>
      </c>
      <c r="J620">
        <v>13</v>
      </c>
      <c r="K620">
        <v>0</v>
      </c>
      <c r="L620" s="1">
        <v>44228</v>
      </c>
      <c r="M620">
        <v>50</v>
      </c>
      <c r="N620" s="8" cm="1">
        <f t="array" ref="N620">_xlfn.SWITCH(Sales[[#This Row],[Subscription Type]],"Basic",10,"Premium",10,"Business",25,"Enterprise",27)</f>
        <v>10</v>
      </c>
      <c r="O620">
        <f>IF(Sales[[#This Row],[Number of Users]]-Sales[[#This Row],[Licenses Bought]]&lt;0,0,Sales[[#This Row],[Number of Users]]-Sales[[#This Row],[Licenses Bought]])</f>
        <v>1</v>
      </c>
      <c r="P620" s="8">
        <f>IF(Sales[[#This Row],[Sales Month]]=MAX(Sales[Sales Month]),Sales[[#This Row],[Non-Paying Users]]*Sales[[#This Row],[Upsell $ per Non-Paying User]],0)</f>
        <v>0</v>
      </c>
      <c r="Q620" t="str" cm="1">
        <f t="array" ref="Q620">_xlfn.IFS(Sales[[#This Row],[Current Upsell $]]=0,"",Sales[[#This Row],[Current Upsell $]]&gt;=400,"High",Sales[[#This Row],[Current Upsell $]]&gt;=100,"Medium",Sales[[#This Row],[Current Upsell $]]&lt;100,"Low")</f>
        <v/>
      </c>
      <c r="R620" t="str">
        <f>IF(Sales[[#This Row],[Current Upsell $]]&gt;0,_xlfn.CONCAT(Sales[[#This Row],[Subscription Type]]," ",Sales[[#This Row],[Upsell Priority]]," ",TEXT(Sales[[#This Row],[Current Upsell $]],"$#,#")),"")</f>
        <v/>
      </c>
    </row>
    <row r="621" spans="1:18" x14ac:dyDescent="0.25">
      <c r="A621">
        <v>100050</v>
      </c>
      <c r="B621" t="s">
        <v>0</v>
      </c>
      <c r="D621" s="1"/>
      <c r="E621" s="1"/>
      <c r="F621">
        <v>5</v>
      </c>
      <c r="G621">
        <v>6</v>
      </c>
      <c r="H621" s="1">
        <v>43983</v>
      </c>
      <c r="I621" s="1">
        <v>44378</v>
      </c>
      <c r="J621">
        <v>13</v>
      </c>
      <c r="K621">
        <v>0</v>
      </c>
      <c r="L621" s="1">
        <v>44256</v>
      </c>
      <c r="M621">
        <v>50</v>
      </c>
      <c r="N621" s="8" cm="1">
        <f t="array" ref="N621">_xlfn.SWITCH(Sales[[#This Row],[Subscription Type]],"Basic",10,"Premium",10,"Business",25,"Enterprise",27)</f>
        <v>10</v>
      </c>
      <c r="O621">
        <f>IF(Sales[[#This Row],[Number of Users]]-Sales[[#This Row],[Licenses Bought]]&lt;0,0,Sales[[#This Row],[Number of Users]]-Sales[[#This Row],[Licenses Bought]])</f>
        <v>1</v>
      </c>
      <c r="P621" s="8">
        <f>IF(Sales[[#This Row],[Sales Month]]=MAX(Sales[Sales Month]),Sales[[#This Row],[Non-Paying Users]]*Sales[[#This Row],[Upsell $ per Non-Paying User]],0)</f>
        <v>0</v>
      </c>
      <c r="Q621" t="str" cm="1">
        <f t="array" ref="Q621">_xlfn.IFS(Sales[[#This Row],[Current Upsell $]]=0,"",Sales[[#This Row],[Current Upsell $]]&gt;=400,"High",Sales[[#This Row],[Current Upsell $]]&gt;=100,"Medium",Sales[[#This Row],[Current Upsell $]]&lt;100,"Low")</f>
        <v/>
      </c>
      <c r="R621" t="str">
        <f>IF(Sales[[#This Row],[Current Upsell $]]&gt;0,_xlfn.CONCAT(Sales[[#This Row],[Subscription Type]]," ",Sales[[#This Row],[Upsell Priority]]," ",TEXT(Sales[[#This Row],[Current Upsell $]],"$#,#")),"")</f>
        <v/>
      </c>
    </row>
    <row r="622" spans="1:18" x14ac:dyDescent="0.25">
      <c r="A622">
        <v>100050</v>
      </c>
      <c r="B622" t="s">
        <v>0</v>
      </c>
      <c r="D622" s="1"/>
      <c r="E622" s="1"/>
      <c r="F622">
        <v>5</v>
      </c>
      <c r="G622">
        <v>5</v>
      </c>
      <c r="H622" s="1">
        <v>43983</v>
      </c>
      <c r="I622" s="1">
        <v>44378</v>
      </c>
      <c r="J622">
        <v>13</v>
      </c>
      <c r="K622">
        <v>0</v>
      </c>
      <c r="L622" s="1">
        <v>44287</v>
      </c>
      <c r="M622">
        <v>50</v>
      </c>
      <c r="N622" s="8" cm="1">
        <f t="array" ref="N622">_xlfn.SWITCH(Sales[[#This Row],[Subscription Type]],"Basic",10,"Premium",10,"Business",25,"Enterprise",27)</f>
        <v>10</v>
      </c>
      <c r="O622">
        <f>IF(Sales[[#This Row],[Number of Users]]-Sales[[#This Row],[Licenses Bought]]&lt;0,0,Sales[[#This Row],[Number of Users]]-Sales[[#This Row],[Licenses Bought]])</f>
        <v>0</v>
      </c>
      <c r="P622" s="8">
        <f>IF(Sales[[#This Row],[Sales Month]]=MAX(Sales[Sales Month]),Sales[[#This Row],[Non-Paying Users]]*Sales[[#This Row],[Upsell $ per Non-Paying User]],0)</f>
        <v>0</v>
      </c>
      <c r="Q622" t="str" cm="1">
        <f t="array" ref="Q622">_xlfn.IFS(Sales[[#This Row],[Current Upsell $]]=0,"",Sales[[#This Row],[Current Upsell $]]&gt;=400,"High",Sales[[#This Row],[Current Upsell $]]&gt;=100,"Medium",Sales[[#This Row],[Current Upsell $]]&lt;100,"Low")</f>
        <v/>
      </c>
      <c r="R622" t="str">
        <f>IF(Sales[[#This Row],[Current Upsell $]]&gt;0,_xlfn.CONCAT(Sales[[#This Row],[Subscription Type]]," ",Sales[[#This Row],[Upsell Priority]]," ",TEXT(Sales[[#This Row],[Current Upsell $]],"$#,#")),"")</f>
        <v/>
      </c>
    </row>
    <row r="623" spans="1:18" x14ac:dyDescent="0.25">
      <c r="A623">
        <v>100050</v>
      </c>
      <c r="B623" t="s">
        <v>0</v>
      </c>
      <c r="D623" s="1"/>
      <c r="E623" s="1"/>
      <c r="F623">
        <v>5</v>
      </c>
      <c r="G623">
        <v>6</v>
      </c>
      <c r="H623" s="1">
        <v>43983</v>
      </c>
      <c r="I623" s="1">
        <v>44378</v>
      </c>
      <c r="J623">
        <v>13</v>
      </c>
      <c r="K623">
        <v>0</v>
      </c>
      <c r="L623" s="1">
        <v>44317</v>
      </c>
      <c r="M623">
        <v>50</v>
      </c>
      <c r="N623" s="8" cm="1">
        <f t="array" ref="N623">_xlfn.SWITCH(Sales[[#This Row],[Subscription Type]],"Basic",10,"Premium",10,"Business",25,"Enterprise",27)</f>
        <v>10</v>
      </c>
      <c r="O623">
        <f>IF(Sales[[#This Row],[Number of Users]]-Sales[[#This Row],[Licenses Bought]]&lt;0,0,Sales[[#This Row],[Number of Users]]-Sales[[#This Row],[Licenses Bought]])</f>
        <v>1</v>
      </c>
      <c r="P623" s="8">
        <f>IF(Sales[[#This Row],[Sales Month]]=MAX(Sales[Sales Month]),Sales[[#This Row],[Non-Paying Users]]*Sales[[#This Row],[Upsell $ per Non-Paying User]],0)</f>
        <v>0</v>
      </c>
      <c r="Q623" t="str" cm="1">
        <f t="array" ref="Q623">_xlfn.IFS(Sales[[#This Row],[Current Upsell $]]=0,"",Sales[[#This Row],[Current Upsell $]]&gt;=400,"High",Sales[[#This Row],[Current Upsell $]]&gt;=100,"Medium",Sales[[#This Row],[Current Upsell $]]&lt;100,"Low")</f>
        <v/>
      </c>
      <c r="R623" t="str">
        <f>IF(Sales[[#This Row],[Current Upsell $]]&gt;0,_xlfn.CONCAT(Sales[[#This Row],[Subscription Type]]," ",Sales[[#This Row],[Upsell Priority]]," ",TEXT(Sales[[#This Row],[Current Upsell $]],"$#,#")),"")</f>
        <v/>
      </c>
    </row>
    <row r="624" spans="1:18" x14ac:dyDescent="0.25">
      <c r="A624">
        <v>100050</v>
      </c>
      <c r="B624" t="s">
        <v>0</v>
      </c>
      <c r="D624" s="1"/>
      <c r="E624" s="1"/>
      <c r="F624">
        <v>5</v>
      </c>
      <c r="G624">
        <v>5</v>
      </c>
      <c r="H624" s="1">
        <v>43983</v>
      </c>
      <c r="I624" s="1">
        <v>44378</v>
      </c>
      <c r="J624">
        <v>13</v>
      </c>
      <c r="K624">
        <v>0</v>
      </c>
      <c r="L624" s="1">
        <v>44348</v>
      </c>
      <c r="M624">
        <v>50</v>
      </c>
      <c r="N624" s="8" cm="1">
        <f t="array" ref="N624">_xlfn.SWITCH(Sales[[#This Row],[Subscription Type]],"Basic",10,"Premium",10,"Business",25,"Enterprise",27)</f>
        <v>10</v>
      </c>
      <c r="O624">
        <f>IF(Sales[[#This Row],[Number of Users]]-Sales[[#This Row],[Licenses Bought]]&lt;0,0,Sales[[#This Row],[Number of Users]]-Sales[[#This Row],[Licenses Bought]])</f>
        <v>0</v>
      </c>
      <c r="P624" s="8">
        <f>IF(Sales[[#This Row],[Sales Month]]=MAX(Sales[Sales Month]),Sales[[#This Row],[Non-Paying Users]]*Sales[[#This Row],[Upsell $ per Non-Paying User]],0)</f>
        <v>0</v>
      </c>
      <c r="Q624" t="str" cm="1">
        <f t="array" ref="Q624">_xlfn.IFS(Sales[[#This Row],[Current Upsell $]]=0,"",Sales[[#This Row],[Current Upsell $]]&gt;=400,"High",Sales[[#This Row],[Current Upsell $]]&gt;=100,"Medium",Sales[[#This Row],[Current Upsell $]]&lt;100,"Low")</f>
        <v/>
      </c>
      <c r="R624" t="str">
        <f>IF(Sales[[#This Row],[Current Upsell $]]&gt;0,_xlfn.CONCAT(Sales[[#This Row],[Subscription Type]]," ",Sales[[#This Row],[Upsell Priority]]," ",TEXT(Sales[[#This Row],[Current Upsell $]],"$#,#")),"")</f>
        <v/>
      </c>
    </row>
    <row r="625" spans="1:18" x14ac:dyDescent="0.25">
      <c r="A625">
        <v>100051</v>
      </c>
      <c r="B625" t="s">
        <v>3</v>
      </c>
      <c r="F625">
        <v>0</v>
      </c>
      <c r="G625">
        <v>3</v>
      </c>
      <c r="H625" s="1">
        <v>43983</v>
      </c>
      <c r="I625" s="1">
        <v>44105</v>
      </c>
      <c r="J625">
        <v>4</v>
      </c>
      <c r="K625">
        <v>8</v>
      </c>
      <c r="L625" s="1">
        <v>43983</v>
      </c>
      <c r="M625">
        <v>0</v>
      </c>
      <c r="N625" s="8" cm="1">
        <f t="array" ref="N625">_xlfn.SWITCH(Sales[[#This Row],[Subscription Type]],"Basic",10,"Premium",10,"Business",25,"Enterprise",27)</f>
        <v>10</v>
      </c>
      <c r="O625">
        <f>IF(Sales[[#This Row],[Number of Users]]-Sales[[#This Row],[Licenses Bought]]&lt;0,0,Sales[[#This Row],[Number of Users]]-Sales[[#This Row],[Licenses Bought]])</f>
        <v>3</v>
      </c>
      <c r="P625" s="8">
        <f>IF(Sales[[#This Row],[Sales Month]]=MAX(Sales[Sales Month]),Sales[[#This Row],[Non-Paying Users]]*Sales[[#This Row],[Upsell $ per Non-Paying User]],0)</f>
        <v>0</v>
      </c>
      <c r="Q625" t="str" cm="1">
        <f t="array" ref="Q625">_xlfn.IFS(Sales[[#This Row],[Current Upsell $]]=0,"",Sales[[#This Row],[Current Upsell $]]&gt;=400,"High",Sales[[#This Row],[Current Upsell $]]&gt;=100,"Medium",Sales[[#This Row],[Current Upsell $]]&lt;100,"Low")</f>
        <v/>
      </c>
      <c r="R625" t="str">
        <f>IF(Sales[[#This Row],[Current Upsell $]]&gt;0,_xlfn.CONCAT(Sales[[#This Row],[Subscription Type]]," ",Sales[[#This Row],[Upsell Priority]]," ",TEXT(Sales[[#This Row],[Current Upsell $]],"$#,#")),"")</f>
        <v/>
      </c>
    </row>
    <row r="626" spans="1:18" x14ac:dyDescent="0.25">
      <c r="A626">
        <v>100051</v>
      </c>
      <c r="B626" t="s">
        <v>3</v>
      </c>
      <c r="F626">
        <v>0</v>
      </c>
      <c r="G626">
        <v>3</v>
      </c>
      <c r="H626" s="1">
        <v>43983</v>
      </c>
      <c r="I626" s="1">
        <v>44105</v>
      </c>
      <c r="J626">
        <v>4</v>
      </c>
      <c r="K626">
        <v>8</v>
      </c>
      <c r="L626" s="1">
        <v>44013</v>
      </c>
      <c r="M626">
        <v>0</v>
      </c>
      <c r="N626" s="8" cm="1">
        <f t="array" ref="N626">_xlfn.SWITCH(Sales[[#This Row],[Subscription Type]],"Basic",10,"Premium",10,"Business",25,"Enterprise",27)</f>
        <v>10</v>
      </c>
      <c r="O626">
        <f>IF(Sales[[#This Row],[Number of Users]]-Sales[[#This Row],[Licenses Bought]]&lt;0,0,Sales[[#This Row],[Number of Users]]-Sales[[#This Row],[Licenses Bought]])</f>
        <v>3</v>
      </c>
      <c r="P626" s="8">
        <f>IF(Sales[[#This Row],[Sales Month]]=MAX(Sales[Sales Month]),Sales[[#This Row],[Non-Paying Users]]*Sales[[#This Row],[Upsell $ per Non-Paying User]],0)</f>
        <v>0</v>
      </c>
      <c r="Q626" t="str" cm="1">
        <f t="array" ref="Q626">_xlfn.IFS(Sales[[#This Row],[Current Upsell $]]=0,"",Sales[[#This Row],[Current Upsell $]]&gt;=400,"High",Sales[[#This Row],[Current Upsell $]]&gt;=100,"Medium",Sales[[#This Row],[Current Upsell $]]&lt;100,"Low")</f>
        <v/>
      </c>
      <c r="R626" t="str">
        <f>IF(Sales[[#This Row],[Current Upsell $]]&gt;0,_xlfn.CONCAT(Sales[[#This Row],[Subscription Type]]," ",Sales[[#This Row],[Upsell Priority]]," ",TEXT(Sales[[#This Row],[Current Upsell $]],"$#,#")),"")</f>
        <v/>
      </c>
    </row>
    <row r="627" spans="1:18" x14ac:dyDescent="0.25">
      <c r="A627">
        <v>100051</v>
      </c>
      <c r="B627" t="s">
        <v>3</v>
      </c>
      <c r="F627">
        <v>0</v>
      </c>
      <c r="G627">
        <v>3</v>
      </c>
      <c r="H627" s="1">
        <v>43983</v>
      </c>
      <c r="I627" s="1">
        <v>44105</v>
      </c>
      <c r="J627">
        <v>4</v>
      </c>
      <c r="K627">
        <v>8</v>
      </c>
      <c r="L627" s="1">
        <v>44044</v>
      </c>
      <c r="M627">
        <v>0</v>
      </c>
      <c r="N627" s="8" cm="1">
        <f t="array" ref="N627">_xlfn.SWITCH(Sales[[#This Row],[Subscription Type]],"Basic",10,"Premium",10,"Business",25,"Enterprise",27)</f>
        <v>10</v>
      </c>
      <c r="O627">
        <f>IF(Sales[[#This Row],[Number of Users]]-Sales[[#This Row],[Licenses Bought]]&lt;0,0,Sales[[#This Row],[Number of Users]]-Sales[[#This Row],[Licenses Bought]])</f>
        <v>3</v>
      </c>
      <c r="P627" s="8">
        <f>IF(Sales[[#This Row],[Sales Month]]=MAX(Sales[Sales Month]),Sales[[#This Row],[Non-Paying Users]]*Sales[[#This Row],[Upsell $ per Non-Paying User]],0)</f>
        <v>0</v>
      </c>
      <c r="Q627" t="str" cm="1">
        <f t="array" ref="Q627">_xlfn.IFS(Sales[[#This Row],[Current Upsell $]]=0,"",Sales[[#This Row],[Current Upsell $]]&gt;=400,"High",Sales[[#This Row],[Current Upsell $]]&gt;=100,"Medium",Sales[[#This Row],[Current Upsell $]]&lt;100,"Low")</f>
        <v/>
      </c>
      <c r="R627" t="str">
        <f>IF(Sales[[#This Row],[Current Upsell $]]&gt;0,_xlfn.CONCAT(Sales[[#This Row],[Subscription Type]]," ",Sales[[#This Row],[Upsell Priority]]," ",TEXT(Sales[[#This Row],[Current Upsell $]],"$#,#")),"")</f>
        <v/>
      </c>
    </row>
    <row r="628" spans="1:18" x14ac:dyDescent="0.25">
      <c r="A628">
        <v>100051</v>
      </c>
      <c r="B628" t="s">
        <v>3</v>
      </c>
      <c r="F628">
        <v>0</v>
      </c>
      <c r="G628">
        <v>3</v>
      </c>
      <c r="H628" s="1">
        <v>43983</v>
      </c>
      <c r="I628" s="1">
        <v>44105</v>
      </c>
      <c r="J628">
        <v>4</v>
      </c>
      <c r="K628">
        <v>8</v>
      </c>
      <c r="L628" s="1">
        <v>44075</v>
      </c>
      <c r="M628">
        <v>0</v>
      </c>
      <c r="N628" s="8" cm="1">
        <f t="array" ref="N628">_xlfn.SWITCH(Sales[[#This Row],[Subscription Type]],"Basic",10,"Premium",10,"Business",25,"Enterprise",27)</f>
        <v>10</v>
      </c>
      <c r="O628">
        <f>IF(Sales[[#This Row],[Number of Users]]-Sales[[#This Row],[Licenses Bought]]&lt;0,0,Sales[[#This Row],[Number of Users]]-Sales[[#This Row],[Licenses Bought]])</f>
        <v>3</v>
      </c>
      <c r="P628" s="8">
        <f>IF(Sales[[#This Row],[Sales Month]]=MAX(Sales[Sales Month]),Sales[[#This Row],[Non-Paying Users]]*Sales[[#This Row],[Upsell $ per Non-Paying User]],0)</f>
        <v>0</v>
      </c>
      <c r="Q628" t="str" cm="1">
        <f t="array" ref="Q628">_xlfn.IFS(Sales[[#This Row],[Current Upsell $]]=0,"",Sales[[#This Row],[Current Upsell $]]&gt;=400,"High",Sales[[#This Row],[Current Upsell $]]&gt;=100,"Medium",Sales[[#This Row],[Current Upsell $]]&lt;100,"Low")</f>
        <v/>
      </c>
      <c r="R628" t="str">
        <f>IF(Sales[[#This Row],[Current Upsell $]]&gt;0,_xlfn.CONCAT(Sales[[#This Row],[Subscription Type]]," ",Sales[[#This Row],[Upsell Priority]]," ",TEXT(Sales[[#This Row],[Current Upsell $]],"$#,#")),"")</f>
        <v/>
      </c>
    </row>
    <row r="629" spans="1:18" x14ac:dyDescent="0.25">
      <c r="A629">
        <v>100051</v>
      </c>
      <c r="B629" t="s">
        <v>3</v>
      </c>
      <c r="F629">
        <v>0</v>
      </c>
      <c r="G629">
        <v>3</v>
      </c>
      <c r="H629" s="1">
        <v>43983</v>
      </c>
      <c r="I629" s="1">
        <v>44105</v>
      </c>
      <c r="J629">
        <v>4</v>
      </c>
      <c r="K629">
        <v>8</v>
      </c>
      <c r="L629" s="1">
        <v>44105</v>
      </c>
      <c r="M629">
        <v>0</v>
      </c>
      <c r="N629" s="8" cm="1">
        <f t="array" ref="N629">_xlfn.SWITCH(Sales[[#This Row],[Subscription Type]],"Basic",10,"Premium",10,"Business",25,"Enterprise",27)</f>
        <v>10</v>
      </c>
      <c r="O629">
        <f>IF(Sales[[#This Row],[Number of Users]]-Sales[[#This Row],[Licenses Bought]]&lt;0,0,Sales[[#This Row],[Number of Users]]-Sales[[#This Row],[Licenses Bought]])</f>
        <v>3</v>
      </c>
      <c r="P629" s="8">
        <f>IF(Sales[[#This Row],[Sales Month]]=MAX(Sales[Sales Month]),Sales[[#This Row],[Non-Paying Users]]*Sales[[#This Row],[Upsell $ per Non-Paying User]],0)</f>
        <v>0</v>
      </c>
      <c r="Q629" t="str" cm="1">
        <f t="array" ref="Q629">_xlfn.IFS(Sales[[#This Row],[Current Upsell $]]=0,"",Sales[[#This Row],[Current Upsell $]]&gt;=400,"High",Sales[[#This Row],[Current Upsell $]]&gt;=100,"Medium",Sales[[#This Row],[Current Upsell $]]&lt;100,"Low")</f>
        <v/>
      </c>
      <c r="R629" t="str">
        <f>IF(Sales[[#This Row],[Current Upsell $]]&gt;0,_xlfn.CONCAT(Sales[[#This Row],[Subscription Type]]," ",Sales[[#This Row],[Upsell Priority]]," ",TEXT(Sales[[#This Row],[Current Upsell $]],"$#,#")),"")</f>
        <v/>
      </c>
    </row>
    <row r="630" spans="1:18" x14ac:dyDescent="0.25">
      <c r="A630">
        <v>100052</v>
      </c>
      <c r="B630" t="s">
        <v>3</v>
      </c>
      <c r="F630">
        <v>0</v>
      </c>
      <c r="G630">
        <v>2</v>
      </c>
      <c r="H630" s="1">
        <v>43983</v>
      </c>
      <c r="I630" s="1">
        <v>44044</v>
      </c>
      <c r="J630">
        <v>2</v>
      </c>
      <c r="K630">
        <v>10</v>
      </c>
      <c r="L630" s="1">
        <v>43983</v>
      </c>
      <c r="M630">
        <v>0</v>
      </c>
      <c r="N630" s="8" cm="1">
        <f t="array" ref="N630">_xlfn.SWITCH(Sales[[#This Row],[Subscription Type]],"Basic",10,"Premium",10,"Business",25,"Enterprise",27)</f>
        <v>10</v>
      </c>
      <c r="O630">
        <f>IF(Sales[[#This Row],[Number of Users]]-Sales[[#This Row],[Licenses Bought]]&lt;0,0,Sales[[#This Row],[Number of Users]]-Sales[[#This Row],[Licenses Bought]])</f>
        <v>2</v>
      </c>
      <c r="P630" s="8">
        <f>IF(Sales[[#This Row],[Sales Month]]=MAX(Sales[Sales Month]),Sales[[#This Row],[Non-Paying Users]]*Sales[[#This Row],[Upsell $ per Non-Paying User]],0)</f>
        <v>0</v>
      </c>
      <c r="Q630" t="str" cm="1">
        <f t="array" ref="Q630">_xlfn.IFS(Sales[[#This Row],[Current Upsell $]]=0,"",Sales[[#This Row],[Current Upsell $]]&gt;=400,"High",Sales[[#This Row],[Current Upsell $]]&gt;=100,"Medium",Sales[[#This Row],[Current Upsell $]]&lt;100,"Low")</f>
        <v/>
      </c>
      <c r="R630" t="str">
        <f>IF(Sales[[#This Row],[Current Upsell $]]&gt;0,_xlfn.CONCAT(Sales[[#This Row],[Subscription Type]]," ",Sales[[#This Row],[Upsell Priority]]," ",TEXT(Sales[[#This Row],[Current Upsell $]],"$#,#")),"")</f>
        <v/>
      </c>
    </row>
    <row r="631" spans="1:18" x14ac:dyDescent="0.25">
      <c r="A631">
        <v>100052</v>
      </c>
      <c r="B631" t="s">
        <v>3</v>
      </c>
      <c r="F631">
        <v>0</v>
      </c>
      <c r="G631">
        <v>2</v>
      </c>
      <c r="H631" s="1">
        <v>43983</v>
      </c>
      <c r="I631" s="1">
        <v>44044</v>
      </c>
      <c r="J631">
        <v>2</v>
      </c>
      <c r="K631">
        <v>10</v>
      </c>
      <c r="L631" s="1">
        <v>44013</v>
      </c>
      <c r="M631">
        <v>0</v>
      </c>
      <c r="N631" s="8" cm="1">
        <f t="array" ref="N631">_xlfn.SWITCH(Sales[[#This Row],[Subscription Type]],"Basic",10,"Premium",10,"Business",25,"Enterprise",27)</f>
        <v>10</v>
      </c>
      <c r="O631">
        <f>IF(Sales[[#This Row],[Number of Users]]-Sales[[#This Row],[Licenses Bought]]&lt;0,0,Sales[[#This Row],[Number of Users]]-Sales[[#This Row],[Licenses Bought]])</f>
        <v>2</v>
      </c>
      <c r="P631" s="8">
        <f>IF(Sales[[#This Row],[Sales Month]]=MAX(Sales[Sales Month]),Sales[[#This Row],[Non-Paying Users]]*Sales[[#This Row],[Upsell $ per Non-Paying User]],0)</f>
        <v>0</v>
      </c>
      <c r="Q631" t="str" cm="1">
        <f t="array" ref="Q631">_xlfn.IFS(Sales[[#This Row],[Current Upsell $]]=0,"",Sales[[#This Row],[Current Upsell $]]&gt;=400,"High",Sales[[#This Row],[Current Upsell $]]&gt;=100,"Medium",Sales[[#This Row],[Current Upsell $]]&lt;100,"Low")</f>
        <v/>
      </c>
      <c r="R631" t="str">
        <f>IF(Sales[[#This Row],[Current Upsell $]]&gt;0,_xlfn.CONCAT(Sales[[#This Row],[Subscription Type]]," ",Sales[[#This Row],[Upsell Priority]]," ",TEXT(Sales[[#This Row],[Current Upsell $]],"$#,#")),"")</f>
        <v/>
      </c>
    </row>
    <row r="632" spans="1:18" x14ac:dyDescent="0.25">
      <c r="A632">
        <v>100052</v>
      </c>
      <c r="B632" t="s">
        <v>3</v>
      </c>
      <c r="F632">
        <v>0</v>
      </c>
      <c r="G632">
        <v>2</v>
      </c>
      <c r="H632" s="1">
        <v>43983</v>
      </c>
      <c r="I632" s="1">
        <v>44044</v>
      </c>
      <c r="J632">
        <v>2</v>
      </c>
      <c r="K632">
        <v>10</v>
      </c>
      <c r="L632" s="1">
        <v>44044</v>
      </c>
      <c r="M632">
        <v>0</v>
      </c>
      <c r="N632" s="8" cm="1">
        <f t="array" ref="N632">_xlfn.SWITCH(Sales[[#This Row],[Subscription Type]],"Basic",10,"Premium",10,"Business",25,"Enterprise",27)</f>
        <v>10</v>
      </c>
      <c r="O632">
        <f>IF(Sales[[#This Row],[Number of Users]]-Sales[[#This Row],[Licenses Bought]]&lt;0,0,Sales[[#This Row],[Number of Users]]-Sales[[#This Row],[Licenses Bought]])</f>
        <v>2</v>
      </c>
      <c r="P632" s="8">
        <f>IF(Sales[[#This Row],[Sales Month]]=MAX(Sales[Sales Month]),Sales[[#This Row],[Non-Paying Users]]*Sales[[#This Row],[Upsell $ per Non-Paying User]],0)</f>
        <v>0</v>
      </c>
      <c r="Q632" t="str" cm="1">
        <f t="array" ref="Q632">_xlfn.IFS(Sales[[#This Row],[Current Upsell $]]=0,"",Sales[[#This Row],[Current Upsell $]]&gt;=400,"High",Sales[[#This Row],[Current Upsell $]]&gt;=100,"Medium",Sales[[#This Row],[Current Upsell $]]&lt;100,"Low")</f>
        <v/>
      </c>
      <c r="R632" t="str">
        <f>IF(Sales[[#This Row],[Current Upsell $]]&gt;0,_xlfn.CONCAT(Sales[[#This Row],[Subscription Type]]," ",Sales[[#This Row],[Upsell Priority]]," ",TEXT(Sales[[#This Row],[Current Upsell $]],"$#,#")),"")</f>
        <v/>
      </c>
    </row>
    <row r="633" spans="1:18" x14ac:dyDescent="0.25">
      <c r="A633">
        <v>100053</v>
      </c>
      <c r="B633" t="s">
        <v>3</v>
      </c>
      <c r="F633">
        <v>0</v>
      </c>
      <c r="G633">
        <v>2</v>
      </c>
      <c r="H633" s="1">
        <v>43983</v>
      </c>
      <c r="I633" s="1">
        <v>44013</v>
      </c>
      <c r="J633">
        <v>1</v>
      </c>
      <c r="K633">
        <v>11</v>
      </c>
      <c r="L633" s="1">
        <v>43983</v>
      </c>
      <c r="M633">
        <v>0</v>
      </c>
      <c r="N633" s="8" cm="1">
        <f t="array" ref="N633">_xlfn.SWITCH(Sales[[#This Row],[Subscription Type]],"Basic",10,"Premium",10,"Business",25,"Enterprise",27)</f>
        <v>10</v>
      </c>
      <c r="O633">
        <f>IF(Sales[[#This Row],[Number of Users]]-Sales[[#This Row],[Licenses Bought]]&lt;0,0,Sales[[#This Row],[Number of Users]]-Sales[[#This Row],[Licenses Bought]])</f>
        <v>2</v>
      </c>
      <c r="P633" s="8">
        <f>IF(Sales[[#This Row],[Sales Month]]=MAX(Sales[Sales Month]),Sales[[#This Row],[Non-Paying Users]]*Sales[[#This Row],[Upsell $ per Non-Paying User]],0)</f>
        <v>0</v>
      </c>
      <c r="Q633" t="str" cm="1">
        <f t="array" ref="Q633">_xlfn.IFS(Sales[[#This Row],[Current Upsell $]]=0,"",Sales[[#This Row],[Current Upsell $]]&gt;=400,"High",Sales[[#This Row],[Current Upsell $]]&gt;=100,"Medium",Sales[[#This Row],[Current Upsell $]]&lt;100,"Low")</f>
        <v/>
      </c>
      <c r="R633" t="str">
        <f>IF(Sales[[#This Row],[Current Upsell $]]&gt;0,_xlfn.CONCAT(Sales[[#This Row],[Subscription Type]]," ",Sales[[#This Row],[Upsell Priority]]," ",TEXT(Sales[[#This Row],[Current Upsell $]],"$#,#")),"")</f>
        <v/>
      </c>
    </row>
    <row r="634" spans="1:18" x14ac:dyDescent="0.25">
      <c r="A634">
        <v>100053</v>
      </c>
      <c r="B634" t="s">
        <v>3</v>
      </c>
      <c r="F634">
        <v>0</v>
      </c>
      <c r="G634">
        <v>2</v>
      </c>
      <c r="H634" s="1">
        <v>43983</v>
      </c>
      <c r="I634" s="1">
        <v>44013</v>
      </c>
      <c r="J634">
        <v>1</v>
      </c>
      <c r="K634">
        <v>11</v>
      </c>
      <c r="L634" s="1">
        <v>44013</v>
      </c>
      <c r="M634">
        <v>0</v>
      </c>
      <c r="N634" s="8" cm="1">
        <f t="array" ref="N634">_xlfn.SWITCH(Sales[[#This Row],[Subscription Type]],"Basic",10,"Premium",10,"Business",25,"Enterprise",27)</f>
        <v>10</v>
      </c>
      <c r="O634">
        <f>IF(Sales[[#This Row],[Number of Users]]-Sales[[#This Row],[Licenses Bought]]&lt;0,0,Sales[[#This Row],[Number of Users]]-Sales[[#This Row],[Licenses Bought]])</f>
        <v>2</v>
      </c>
      <c r="P634" s="8">
        <f>IF(Sales[[#This Row],[Sales Month]]=MAX(Sales[Sales Month]),Sales[[#This Row],[Non-Paying Users]]*Sales[[#This Row],[Upsell $ per Non-Paying User]],0)</f>
        <v>0</v>
      </c>
      <c r="Q634" t="str" cm="1">
        <f t="array" ref="Q634">_xlfn.IFS(Sales[[#This Row],[Current Upsell $]]=0,"",Sales[[#This Row],[Current Upsell $]]&gt;=400,"High",Sales[[#This Row],[Current Upsell $]]&gt;=100,"Medium",Sales[[#This Row],[Current Upsell $]]&lt;100,"Low")</f>
        <v/>
      </c>
      <c r="R634" t="str">
        <f>IF(Sales[[#This Row],[Current Upsell $]]&gt;0,_xlfn.CONCAT(Sales[[#This Row],[Subscription Type]]," ",Sales[[#This Row],[Upsell Priority]]," ",TEXT(Sales[[#This Row],[Current Upsell $]],"$#,#")),"")</f>
        <v/>
      </c>
    </row>
    <row r="635" spans="1:18" x14ac:dyDescent="0.25">
      <c r="A635">
        <v>100054</v>
      </c>
      <c r="B635" t="s">
        <v>3</v>
      </c>
      <c r="F635">
        <v>0</v>
      </c>
      <c r="G635">
        <v>1</v>
      </c>
      <c r="H635" s="1">
        <v>43983</v>
      </c>
      <c r="I635" s="1">
        <v>44317</v>
      </c>
      <c r="J635">
        <v>11</v>
      </c>
      <c r="K635">
        <v>1</v>
      </c>
      <c r="L635" s="1">
        <v>43983</v>
      </c>
      <c r="M635">
        <v>0</v>
      </c>
      <c r="N635" s="8" cm="1">
        <f t="array" ref="N635">_xlfn.SWITCH(Sales[[#This Row],[Subscription Type]],"Basic",10,"Premium",10,"Business",25,"Enterprise",27)</f>
        <v>10</v>
      </c>
      <c r="O635">
        <f>IF(Sales[[#This Row],[Number of Users]]-Sales[[#This Row],[Licenses Bought]]&lt;0,0,Sales[[#This Row],[Number of Users]]-Sales[[#This Row],[Licenses Bought]])</f>
        <v>1</v>
      </c>
      <c r="P635" s="8">
        <f>IF(Sales[[#This Row],[Sales Month]]=MAX(Sales[Sales Month]),Sales[[#This Row],[Non-Paying Users]]*Sales[[#This Row],[Upsell $ per Non-Paying User]],0)</f>
        <v>0</v>
      </c>
      <c r="Q635" t="str" cm="1">
        <f t="array" ref="Q635">_xlfn.IFS(Sales[[#This Row],[Current Upsell $]]=0,"",Sales[[#This Row],[Current Upsell $]]&gt;=400,"High",Sales[[#This Row],[Current Upsell $]]&gt;=100,"Medium",Sales[[#This Row],[Current Upsell $]]&lt;100,"Low")</f>
        <v/>
      </c>
      <c r="R635" t="str">
        <f>IF(Sales[[#This Row],[Current Upsell $]]&gt;0,_xlfn.CONCAT(Sales[[#This Row],[Subscription Type]]," ",Sales[[#This Row],[Upsell Priority]]," ",TEXT(Sales[[#This Row],[Current Upsell $]],"$#,#")),"")</f>
        <v/>
      </c>
    </row>
    <row r="636" spans="1:18" x14ac:dyDescent="0.25">
      <c r="A636">
        <v>100054</v>
      </c>
      <c r="B636" t="s">
        <v>3</v>
      </c>
      <c r="F636">
        <v>0</v>
      </c>
      <c r="G636">
        <v>2</v>
      </c>
      <c r="H636" s="1">
        <v>43983</v>
      </c>
      <c r="I636" s="1">
        <v>44317</v>
      </c>
      <c r="J636">
        <v>11</v>
      </c>
      <c r="K636">
        <v>1</v>
      </c>
      <c r="L636" s="1">
        <v>44013</v>
      </c>
      <c r="M636">
        <v>0</v>
      </c>
      <c r="N636" s="8" cm="1">
        <f t="array" ref="N636">_xlfn.SWITCH(Sales[[#This Row],[Subscription Type]],"Basic",10,"Premium",10,"Business",25,"Enterprise",27)</f>
        <v>10</v>
      </c>
      <c r="O636">
        <f>IF(Sales[[#This Row],[Number of Users]]-Sales[[#This Row],[Licenses Bought]]&lt;0,0,Sales[[#This Row],[Number of Users]]-Sales[[#This Row],[Licenses Bought]])</f>
        <v>2</v>
      </c>
      <c r="P636" s="8">
        <f>IF(Sales[[#This Row],[Sales Month]]=MAX(Sales[Sales Month]),Sales[[#This Row],[Non-Paying Users]]*Sales[[#This Row],[Upsell $ per Non-Paying User]],0)</f>
        <v>0</v>
      </c>
      <c r="Q636" t="str" cm="1">
        <f t="array" ref="Q636">_xlfn.IFS(Sales[[#This Row],[Current Upsell $]]=0,"",Sales[[#This Row],[Current Upsell $]]&gt;=400,"High",Sales[[#This Row],[Current Upsell $]]&gt;=100,"Medium",Sales[[#This Row],[Current Upsell $]]&lt;100,"Low")</f>
        <v/>
      </c>
      <c r="R636" t="str">
        <f>IF(Sales[[#This Row],[Current Upsell $]]&gt;0,_xlfn.CONCAT(Sales[[#This Row],[Subscription Type]]," ",Sales[[#This Row],[Upsell Priority]]," ",TEXT(Sales[[#This Row],[Current Upsell $]],"$#,#")),"")</f>
        <v/>
      </c>
    </row>
    <row r="637" spans="1:18" x14ac:dyDescent="0.25">
      <c r="A637">
        <v>100054</v>
      </c>
      <c r="B637" t="s">
        <v>3</v>
      </c>
      <c r="F637">
        <v>0</v>
      </c>
      <c r="G637">
        <v>2</v>
      </c>
      <c r="H637" s="1">
        <v>43983</v>
      </c>
      <c r="I637" s="1">
        <v>44317</v>
      </c>
      <c r="J637">
        <v>11</v>
      </c>
      <c r="K637">
        <v>1</v>
      </c>
      <c r="L637" s="1">
        <v>44044</v>
      </c>
      <c r="M637">
        <v>0</v>
      </c>
      <c r="N637" s="8" cm="1">
        <f t="array" ref="N637">_xlfn.SWITCH(Sales[[#This Row],[Subscription Type]],"Basic",10,"Premium",10,"Business",25,"Enterprise",27)</f>
        <v>10</v>
      </c>
      <c r="O637">
        <f>IF(Sales[[#This Row],[Number of Users]]-Sales[[#This Row],[Licenses Bought]]&lt;0,0,Sales[[#This Row],[Number of Users]]-Sales[[#This Row],[Licenses Bought]])</f>
        <v>2</v>
      </c>
      <c r="P637" s="8">
        <f>IF(Sales[[#This Row],[Sales Month]]=MAX(Sales[Sales Month]),Sales[[#This Row],[Non-Paying Users]]*Sales[[#This Row],[Upsell $ per Non-Paying User]],0)</f>
        <v>0</v>
      </c>
      <c r="Q637" t="str" cm="1">
        <f t="array" ref="Q637">_xlfn.IFS(Sales[[#This Row],[Current Upsell $]]=0,"",Sales[[#This Row],[Current Upsell $]]&gt;=400,"High",Sales[[#This Row],[Current Upsell $]]&gt;=100,"Medium",Sales[[#This Row],[Current Upsell $]]&lt;100,"Low")</f>
        <v/>
      </c>
      <c r="R637" t="str">
        <f>IF(Sales[[#This Row],[Current Upsell $]]&gt;0,_xlfn.CONCAT(Sales[[#This Row],[Subscription Type]]," ",Sales[[#This Row],[Upsell Priority]]," ",TEXT(Sales[[#This Row],[Current Upsell $]],"$#,#")),"")</f>
        <v/>
      </c>
    </row>
    <row r="638" spans="1:18" x14ac:dyDescent="0.25">
      <c r="A638">
        <v>100054</v>
      </c>
      <c r="B638" t="s">
        <v>3</v>
      </c>
      <c r="F638">
        <v>0</v>
      </c>
      <c r="G638">
        <v>2</v>
      </c>
      <c r="H638" s="1">
        <v>43983</v>
      </c>
      <c r="I638" s="1">
        <v>44317</v>
      </c>
      <c r="J638">
        <v>11</v>
      </c>
      <c r="K638">
        <v>1</v>
      </c>
      <c r="L638" s="1">
        <v>44075</v>
      </c>
      <c r="M638">
        <v>0</v>
      </c>
      <c r="N638" s="8" cm="1">
        <f t="array" ref="N638">_xlfn.SWITCH(Sales[[#This Row],[Subscription Type]],"Basic",10,"Premium",10,"Business",25,"Enterprise",27)</f>
        <v>10</v>
      </c>
      <c r="O638">
        <f>IF(Sales[[#This Row],[Number of Users]]-Sales[[#This Row],[Licenses Bought]]&lt;0,0,Sales[[#This Row],[Number of Users]]-Sales[[#This Row],[Licenses Bought]])</f>
        <v>2</v>
      </c>
      <c r="P638" s="8">
        <f>IF(Sales[[#This Row],[Sales Month]]=MAX(Sales[Sales Month]),Sales[[#This Row],[Non-Paying Users]]*Sales[[#This Row],[Upsell $ per Non-Paying User]],0)</f>
        <v>0</v>
      </c>
      <c r="Q638" t="str" cm="1">
        <f t="array" ref="Q638">_xlfn.IFS(Sales[[#This Row],[Current Upsell $]]=0,"",Sales[[#This Row],[Current Upsell $]]&gt;=400,"High",Sales[[#This Row],[Current Upsell $]]&gt;=100,"Medium",Sales[[#This Row],[Current Upsell $]]&lt;100,"Low")</f>
        <v/>
      </c>
      <c r="R638" t="str">
        <f>IF(Sales[[#This Row],[Current Upsell $]]&gt;0,_xlfn.CONCAT(Sales[[#This Row],[Subscription Type]]," ",Sales[[#This Row],[Upsell Priority]]," ",TEXT(Sales[[#This Row],[Current Upsell $]],"$#,#")),"")</f>
        <v/>
      </c>
    </row>
    <row r="639" spans="1:18" x14ac:dyDescent="0.25">
      <c r="A639">
        <v>100054</v>
      </c>
      <c r="B639" t="s">
        <v>3</v>
      </c>
      <c r="F639">
        <v>0</v>
      </c>
      <c r="G639">
        <v>2</v>
      </c>
      <c r="H639" s="1">
        <v>43983</v>
      </c>
      <c r="I639" s="1">
        <v>44317</v>
      </c>
      <c r="J639">
        <v>11</v>
      </c>
      <c r="K639">
        <v>1</v>
      </c>
      <c r="L639" s="1">
        <v>44105</v>
      </c>
      <c r="M639">
        <v>0</v>
      </c>
      <c r="N639" s="8" cm="1">
        <f t="array" ref="N639">_xlfn.SWITCH(Sales[[#This Row],[Subscription Type]],"Basic",10,"Premium",10,"Business",25,"Enterprise",27)</f>
        <v>10</v>
      </c>
      <c r="O639">
        <f>IF(Sales[[#This Row],[Number of Users]]-Sales[[#This Row],[Licenses Bought]]&lt;0,0,Sales[[#This Row],[Number of Users]]-Sales[[#This Row],[Licenses Bought]])</f>
        <v>2</v>
      </c>
      <c r="P639" s="8">
        <f>IF(Sales[[#This Row],[Sales Month]]=MAX(Sales[Sales Month]),Sales[[#This Row],[Non-Paying Users]]*Sales[[#This Row],[Upsell $ per Non-Paying User]],0)</f>
        <v>0</v>
      </c>
      <c r="Q639" t="str" cm="1">
        <f t="array" ref="Q639">_xlfn.IFS(Sales[[#This Row],[Current Upsell $]]=0,"",Sales[[#This Row],[Current Upsell $]]&gt;=400,"High",Sales[[#This Row],[Current Upsell $]]&gt;=100,"Medium",Sales[[#This Row],[Current Upsell $]]&lt;100,"Low")</f>
        <v/>
      </c>
      <c r="R639" t="str">
        <f>IF(Sales[[#This Row],[Current Upsell $]]&gt;0,_xlfn.CONCAT(Sales[[#This Row],[Subscription Type]]," ",Sales[[#This Row],[Upsell Priority]]," ",TEXT(Sales[[#This Row],[Current Upsell $]],"$#,#")),"")</f>
        <v/>
      </c>
    </row>
    <row r="640" spans="1:18" x14ac:dyDescent="0.25">
      <c r="A640">
        <v>100054</v>
      </c>
      <c r="B640" t="s">
        <v>3</v>
      </c>
      <c r="F640">
        <v>0</v>
      </c>
      <c r="G640">
        <v>2</v>
      </c>
      <c r="H640" s="1">
        <v>43983</v>
      </c>
      <c r="I640" s="1">
        <v>44317</v>
      </c>
      <c r="J640">
        <v>11</v>
      </c>
      <c r="K640">
        <v>1</v>
      </c>
      <c r="L640" s="1">
        <v>44136</v>
      </c>
      <c r="M640">
        <v>0</v>
      </c>
      <c r="N640" s="8" cm="1">
        <f t="array" ref="N640">_xlfn.SWITCH(Sales[[#This Row],[Subscription Type]],"Basic",10,"Premium",10,"Business",25,"Enterprise",27)</f>
        <v>10</v>
      </c>
      <c r="O640">
        <f>IF(Sales[[#This Row],[Number of Users]]-Sales[[#This Row],[Licenses Bought]]&lt;0,0,Sales[[#This Row],[Number of Users]]-Sales[[#This Row],[Licenses Bought]])</f>
        <v>2</v>
      </c>
      <c r="P640" s="8">
        <f>IF(Sales[[#This Row],[Sales Month]]=MAX(Sales[Sales Month]),Sales[[#This Row],[Non-Paying Users]]*Sales[[#This Row],[Upsell $ per Non-Paying User]],0)</f>
        <v>0</v>
      </c>
      <c r="Q640" t="str" cm="1">
        <f t="array" ref="Q640">_xlfn.IFS(Sales[[#This Row],[Current Upsell $]]=0,"",Sales[[#This Row],[Current Upsell $]]&gt;=400,"High",Sales[[#This Row],[Current Upsell $]]&gt;=100,"Medium",Sales[[#This Row],[Current Upsell $]]&lt;100,"Low")</f>
        <v/>
      </c>
      <c r="R640" t="str">
        <f>IF(Sales[[#This Row],[Current Upsell $]]&gt;0,_xlfn.CONCAT(Sales[[#This Row],[Subscription Type]]," ",Sales[[#This Row],[Upsell Priority]]," ",TEXT(Sales[[#This Row],[Current Upsell $]],"$#,#")),"")</f>
        <v/>
      </c>
    </row>
    <row r="641" spans="1:18" x14ac:dyDescent="0.25">
      <c r="A641">
        <v>100054</v>
      </c>
      <c r="B641" t="s">
        <v>3</v>
      </c>
      <c r="F641">
        <v>0</v>
      </c>
      <c r="G641">
        <v>2</v>
      </c>
      <c r="H641" s="1">
        <v>43983</v>
      </c>
      <c r="I641" s="1">
        <v>44317</v>
      </c>
      <c r="J641">
        <v>11</v>
      </c>
      <c r="K641">
        <v>1</v>
      </c>
      <c r="L641" s="1">
        <v>44166</v>
      </c>
      <c r="M641">
        <v>0</v>
      </c>
      <c r="N641" s="8" cm="1">
        <f t="array" ref="N641">_xlfn.SWITCH(Sales[[#This Row],[Subscription Type]],"Basic",10,"Premium",10,"Business",25,"Enterprise",27)</f>
        <v>10</v>
      </c>
      <c r="O641">
        <f>IF(Sales[[#This Row],[Number of Users]]-Sales[[#This Row],[Licenses Bought]]&lt;0,0,Sales[[#This Row],[Number of Users]]-Sales[[#This Row],[Licenses Bought]])</f>
        <v>2</v>
      </c>
      <c r="P641" s="8">
        <f>IF(Sales[[#This Row],[Sales Month]]=MAX(Sales[Sales Month]),Sales[[#This Row],[Non-Paying Users]]*Sales[[#This Row],[Upsell $ per Non-Paying User]],0)</f>
        <v>0</v>
      </c>
      <c r="Q641" t="str" cm="1">
        <f t="array" ref="Q641">_xlfn.IFS(Sales[[#This Row],[Current Upsell $]]=0,"",Sales[[#This Row],[Current Upsell $]]&gt;=400,"High",Sales[[#This Row],[Current Upsell $]]&gt;=100,"Medium",Sales[[#This Row],[Current Upsell $]]&lt;100,"Low")</f>
        <v/>
      </c>
      <c r="R641" t="str">
        <f>IF(Sales[[#This Row],[Current Upsell $]]&gt;0,_xlfn.CONCAT(Sales[[#This Row],[Subscription Type]]," ",Sales[[#This Row],[Upsell Priority]]," ",TEXT(Sales[[#This Row],[Current Upsell $]],"$#,#")),"")</f>
        <v/>
      </c>
    </row>
    <row r="642" spans="1:18" x14ac:dyDescent="0.25">
      <c r="A642">
        <v>100054</v>
      </c>
      <c r="B642" t="s">
        <v>3</v>
      </c>
      <c r="F642">
        <v>0</v>
      </c>
      <c r="G642">
        <v>2</v>
      </c>
      <c r="H642" s="1">
        <v>43983</v>
      </c>
      <c r="I642" s="1">
        <v>44317</v>
      </c>
      <c r="J642">
        <v>11</v>
      </c>
      <c r="K642">
        <v>1</v>
      </c>
      <c r="L642" s="1">
        <v>44197</v>
      </c>
      <c r="M642">
        <v>0</v>
      </c>
      <c r="N642" s="8" cm="1">
        <f t="array" ref="N642">_xlfn.SWITCH(Sales[[#This Row],[Subscription Type]],"Basic",10,"Premium",10,"Business",25,"Enterprise",27)</f>
        <v>10</v>
      </c>
      <c r="O642">
        <f>IF(Sales[[#This Row],[Number of Users]]-Sales[[#This Row],[Licenses Bought]]&lt;0,0,Sales[[#This Row],[Number of Users]]-Sales[[#This Row],[Licenses Bought]])</f>
        <v>2</v>
      </c>
      <c r="P642" s="8">
        <f>IF(Sales[[#This Row],[Sales Month]]=MAX(Sales[Sales Month]),Sales[[#This Row],[Non-Paying Users]]*Sales[[#This Row],[Upsell $ per Non-Paying User]],0)</f>
        <v>0</v>
      </c>
      <c r="Q642" t="str" cm="1">
        <f t="array" ref="Q642">_xlfn.IFS(Sales[[#This Row],[Current Upsell $]]=0,"",Sales[[#This Row],[Current Upsell $]]&gt;=400,"High",Sales[[#This Row],[Current Upsell $]]&gt;=100,"Medium",Sales[[#This Row],[Current Upsell $]]&lt;100,"Low")</f>
        <v/>
      </c>
      <c r="R642" t="str">
        <f>IF(Sales[[#This Row],[Current Upsell $]]&gt;0,_xlfn.CONCAT(Sales[[#This Row],[Subscription Type]]," ",Sales[[#This Row],[Upsell Priority]]," ",TEXT(Sales[[#This Row],[Current Upsell $]],"$#,#")),"")</f>
        <v/>
      </c>
    </row>
    <row r="643" spans="1:18" x14ac:dyDescent="0.25">
      <c r="A643">
        <v>100054</v>
      </c>
      <c r="B643" t="s">
        <v>3</v>
      </c>
      <c r="F643">
        <v>0</v>
      </c>
      <c r="G643">
        <v>2</v>
      </c>
      <c r="H643" s="1">
        <v>43983</v>
      </c>
      <c r="I643" s="1">
        <v>44317</v>
      </c>
      <c r="J643">
        <v>11</v>
      </c>
      <c r="K643">
        <v>1</v>
      </c>
      <c r="L643" s="1">
        <v>44228</v>
      </c>
      <c r="M643">
        <v>0</v>
      </c>
      <c r="N643" s="8" cm="1">
        <f t="array" ref="N643">_xlfn.SWITCH(Sales[[#This Row],[Subscription Type]],"Basic",10,"Premium",10,"Business",25,"Enterprise",27)</f>
        <v>10</v>
      </c>
      <c r="O643">
        <f>IF(Sales[[#This Row],[Number of Users]]-Sales[[#This Row],[Licenses Bought]]&lt;0,0,Sales[[#This Row],[Number of Users]]-Sales[[#This Row],[Licenses Bought]])</f>
        <v>2</v>
      </c>
      <c r="P643" s="8">
        <f>IF(Sales[[#This Row],[Sales Month]]=MAX(Sales[Sales Month]),Sales[[#This Row],[Non-Paying Users]]*Sales[[#This Row],[Upsell $ per Non-Paying User]],0)</f>
        <v>0</v>
      </c>
      <c r="Q643" t="str" cm="1">
        <f t="array" ref="Q643">_xlfn.IFS(Sales[[#This Row],[Current Upsell $]]=0,"",Sales[[#This Row],[Current Upsell $]]&gt;=400,"High",Sales[[#This Row],[Current Upsell $]]&gt;=100,"Medium",Sales[[#This Row],[Current Upsell $]]&lt;100,"Low")</f>
        <v/>
      </c>
      <c r="R643" t="str">
        <f>IF(Sales[[#This Row],[Current Upsell $]]&gt;0,_xlfn.CONCAT(Sales[[#This Row],[Subscription Type]]," ",Sales[[#This Row],[Upsell Priority]]," ",TEXT(Sales[[#This Row],[Current Upsell $]],"$#,#")),"")</f>
        <v/>
      </c>
    </row>
    <row r="644" spans="1:18" x14ac:dyDescent="0.25">
      <c r="A644">
        <v>100054</v>
      </c>
      <c r="B644" t="s">
        <v>3</v>
      </c>
      <c r="F644">
        <v>0</v>
      </c>
      <c r="G644">
        <v>2</v>
      </c>
      <c r="H644" s="1">
        <v>43983</v>
      </c>
      <c r="I644" s="1">
        <v>44317</v>
      </c>
      <c r="J644">
        <v>11</v>
      </c>
      <c r="K644">
        <v>1</v>
      </c>
      <c r="L644" s="1">
        <v>44256</v>
      </c>
      <c r="M644">
        <v>0</v>
      </c>
      <c r="N644" s="8" cm="1">
        <f t="array" ref="N644">_xlfn.SWITCH(Sales[[#This Row],[Subscription Type]],"Basic",10,"Premium",10,"Business",25,"Enterprise",27)</f>
        <v>10</v>
      </c>
      <c r="O644">
        <f>IF(Sales[[#This Row],[Number of Users]]-Sales[[#This Row],[Licenses Bought]]&lt;0,0,Sales[[#This Row],[Number of Users]]-Sales[[#This Row],[Licenses Bought]])</f>
        <v>2</v>
      </c>
      <c r="P644" s="8">
        <f>IF(Sales[[#This Row],[Sales Month]]=MAX(Sales[Sales Month]),Sales[[#This Row],[Non-Paying Users]]*Sales[[#This Row],[Upsell $ per Non-Paying User]],0)</f>
        <v>0</v>
      </c>
      <c r="Q644" t="str" cm="1">
        <f t="array" ref="Q644">_xlfn.IFS(Sales[[#This Row],[Current Upsell $]]=0,"",Sales[[#This Row],[Current Upsell $]]&gt;=400,"High",Sales[[#This Row],[Current Upsell $]]&gt;=100,"Medium",Sales[[#This Row],[Current Upsell $]]&lt;100,"Low")</f>
        <v/>
      </c>
      <c r="R644" t="str">
        <f>IF(Sales[[#This Row],[Current Upsell $]]&gt;0,_xlfn.CONCAT(Sales[[#This Row],[Subscription Type]]," ",Sales[[#This Row],[Upsell Priority]]," ",TEXT(Sales[[#This Row],[Current Upsell $]],"$#,#")),"")</f>
        <v/>
      </c>
    </row>
    <row r="645" spans="1:18" x14ac:dyDescent="0.25">
      <c r="A645">
        <v>100054</v>
      </c>
      <c r="B645" t="s">
        <v>3</v>
      </c>
      <c r="F645">
        <v>0</v>
      </c>
      <c r="G645">
        <v>2</v>
      </c>
      <c r="H645" s="1">
        <v>43983</v>
      </c>
      <c r="I645" s="1">
        <v>44317</v>
      </c>
      <c r="J645">
        <v>11</v>
      </c>
      <c r="K645">
        <v>1</v>
      </c>
      <c r="L645" s="1">
        <v>44287</v>
      </c>
      <c r="M645">
        <v>0</v>
      </c>
      <c r="N645" s="8" cm="1">
        <f t="array" ref="N645">_xlfn.SWITCH(Sales[[#This Row],[Subscription Type]],"Basic",10,"Premium",10,"Business",25,"Enterprise",27)</f>
        <v>10</v>
      </c>
      <c r="O645">
        <f>IF(Sales[[#This Row],[Number of Users]]-Sales[[#This Row],[Licenses Bought]]&lt;0,0,Sales[[#This Row],[Number of Users]]-Sales[[#This Row],[Licenses Bought]])</f>
        <v>2</v>
      </c>
      <c r="P645" s="8">
        <f>IF(Sales[[#This Row],[Sales Month]]=MAX(Sales[Sales Month]),Sales[[#This Row],[Non-Paying Users]]*Sales[[#This Row],[Upsell $ per Non-Paying User]],0)</f>
        <v>0</v>
      </c>
      <c r="Q645" t="str" cm="1">
        <f t="array" ref="Q645">_xlfn.IFS(Sales[[#This Row],[Current Upsell $]]=0,"",Sales[[#This Row],[Current Upsell $]]&gt;=400,"High",Sales[[#This Row],[Current Upsell $]]&gt;=100,"Medium",Sales[[#This Row],[Current Upsell $]]&lt;100,"Low")</f>
        <v/>
      </c>
      <c r="R645" t="str">
        <f>IF(Sales[[#This Row],[Current Upsell $]]&gt;0,_xlfn.CONCAT(Sales[[#This Row],[Subscription Type]]," ",Sales[[#This Row],[Upsell Priority]]," ",TEXT(Sales[[#This Row],[Current Upsell $]],"$#,#")),"")</f>
        <v/>
      </c>
    </row>
    <row r="646" spans="1:18" x14ac:dyDescent="0.25">
      <c r="A646">
        <v>100054</v>
      </c>
      <c r="B646" t="s">
        <v>3</v>
      </c>
      <c r="F646">
        <v>0</v>
      </c>
      <c r="G646">
        <v>2</v>
      </c>
      <c r="H646" s="1">
        <v>43983</v>
      </c>
      <c r="I646" s="1">
        <v>44317</v>
      </c>
      <c r="J646">
        <v>11</v>
      </c>
      <c r="K646">
        <v>1</v>
      </c>
      <c r="L646" s="1">
        <v>44317</v>
      </c>
      <c r="M646">
        <v>0</v>
      </c>
      <c r="N646" s="8" cm="1">
        <f t="array" ref="N646">_xlfn.SWITCH(Sales[[#This Row],[Subscription Type]],"Basic",10,"Premium",10,"Business",25,"Enterprise",27)</f>
        <v>10</v>
      </c>
      <c r="O646">
        <f>IF(Sales[[#This Row],[Number of Users]]-Sales[[#This Row],[Licenses Bought]]&lt;0,0,Sales[[#This Row],[Number of Users]]-Sales[[#This Row],[Licenses Bought]])</f>
        <v>2</v>
      </c>
      <c r="P646" s="8">
        <f>IF(Sales[[#This Row],[Sales Month]]=MAX(Sales[Sales Month]),Sales[[#This Row],[Non-Paying Users]]*Sales[[#This Row],[Upsell $ per Non-Paying User]],0)</f>
        <v>0</v>
      </c>
      <c r="Q646" t="str" cm="1">
        <f t="array" ref="Q646">_xlfn.IFS(Sales[[#This Row],[Current Upsell $]]=0,"",Sales[[#This Row],[Current Upsell $]]&gt;=400,"High",Sales[[#This Row],[Current Upsell $]]&gt;=100,"Medium",Sales[[#This Row],[Current Upsell $]]&lt;100,"Low")</f>
        <v/>
      </c>
      <c r="R646" t="str">
        <f>IF(Sales[[#This Row],[Current Upsell $]]&gt;0,_xlfn.CONCAT(Sales[[#This Row],[Subscription Type]]," ",Sales[[#This Row],[Upsell Priority]]," ",TEXT(Sales[[#This Row],[Current Upsell $]],"$#,#")),"")</f>
        <v/>
      </c>
    </row>
    <row r="647" spans="1:18" x14ac:dyDescent="0.25">
      <c r="A647">
        <v>100055</v>
      </c>
      <c r="B647" t="s">
        <v>3</v>
      </c>
      <c r="F647">
        <v>0</v>
      </c>
      <c r="G647">
        <v>1</v>
      </c>
      <c r="H647" s="1">
        <v>43983</v>
      </c>
      <c r="I647" s="1">
        <v>44228</v>
      </c>
      <c r="J647">
        <v>8</v>
      </c>
      <c r="K647">
        <v>4</v>
      </c>
      <c r="L647" s="1">
        <v>43983</v>
      </c>
      <c r="M647">
        <v>0</v>
      </c>
      <c r="N647" s="8" cm="1">
        <f t="array" ref="N647">_xlfn.SWITCH(Sales[[#This Row],[Subscription Type]],"Basic",10,"Premium",10,"Business",25,"Enterprise",27)</f>
        <v>10</v>
      </c>
      <c r="O647">
        <f>IF(Sales[[#This Row],[Number of Users]]-Sales[[#This Row],[Licenses Bought]]&lt;0,0,Sales[[#This Row],[Number of Users]]-Sales[[#This Row],[Licenses Bought]])</f>
        <v>1</v>
      </c>
      <c r="P647" s="8">
        <f>IF(Sales[[#This Row],[Sales Month]]=MAX(Sales[Sales Month]),Sales[[#This Row],[Non-Paying Users]]*Sales[[#This Row],[Upsell $ per Non-Paying User]],0)</f>
        <v>0</v>
      </c>
      <c r="Q647" t="str" cm="1">
        <f t="array" ref="Q647">_xlfn.IFS(Sales[[#This Row],[Current Upsell $]]=0,"",Sales[[#This Row],[Current Upsell $]]&gt;=400,"High",Sales[[#This Row],[Current Upsell $]]&gt;=100,"Medium",Sales[[#This Row],[Current Upsell $]]&lt;100,"Low")</f>
        <v/>
      </c>
      <c r="R647" t="str">
        <f>IF(Sales[[#This Row],[Current Upsell $]]&gt;0,_xlfn.CONCAT(Sales[[#This Row],[Subscription Type]]," ",Sales[[#This Row],[Upsell Priority]]," ",TEXT(Sales[[#This Row],[Current Upsell $]],"$#,#")),"")</f>
        <v/>
      </c>
    </row>
    <row r="648" spans="1:18" x14ac:dyDescent="0.25">
      <c r="A648">
        <v>100055</v>
      </c>
      <c r="B648" t="s">
        <v>3</v>
      </c>
      <c r="F648">
        <v>0</v>
      </c>
      <c r="G648">
        <v>2</v>
      </c>
      <c r="H648" s="1">
        <v>43983</v>
      </c>
      <c r="I648" s="1">
        <v>44228</v>
      </c>
      <c r="J648">
        <v>8</v>
      </c>
      <c r="K648">
        <v>4</v>
      </c>
      <c r="L648" s="1">
        <v>44013</v>
      </c>
      <c r="M648">
        <v>0</v>
      </c>
      <c r="N648" s="8" cm="1">
        <f t="array" ref="N648">_xlfn.SWITCH(Sales[[#This Row],[Subscription Type]],"Basic",10,"Premium",10,"Business",25,"Enterprise",27)</f>
        <v>10</v>
      </c>
      <c r="O648">
        <f>IF(Sales[[#This Row],[Number of Users]]-Sales[[#This Row],[Licenses Bought]]&lt;0,0,Sales[[#This Row],[Number of Users]]-Sales[[#This Row],[Licenses Bought]])</f>
        <v>2</v>
      </c>
      <c r="P648" s="8">
        <f>IF(Sales[[#This Row],[Sales Month]]=MAX(Sales[Sales Month]),Sales[[#This Row],[Non-Paying Users]]*Sales[[#This Row],[Upsell $ per Non-Paying User]],0)</f>
        <v>0</v>
      </c>
      <c r="Q648" t="str" cm="1">
        <f t="array" ref="Q648">_xlfn.IFS(Sales[[#This Row],[Current Upsell $]]=0,"",Sales[[#This Row],[Current Upsell $]]&gt;=400,"High",Sales[[#This Row],[Current Upsell $]]&gt;=100,"Medium",Sales[[#This Row],[Current Upsell $]]&lt;100,"Low")</f>
        <v/>
      </c>
      <c r="R648" t="str">
        <f>IF(Sales[[#This Row],[Current Upsell $]]&gt;0,_xlfn.CONCAT(Sales[[#This Row],[Subscription Type]]," ",Sales[[#This Row],[Upsell Priority]]," ",TEXT(Sales[[#This Row],[Current Upsell $]],"$#,#")),"")</f>
        <v/>
      </c>
    </row>
    <row r="649" spans="1:18" x14ac:dyDescent="0.25">
      <c r="A649">
        <v>100055</v>
      </c>
      <c r="B649" t="s">
        <v>3</v>
      </c>
      <c r="F649">
        <v>0</v>
      </c>
      <c r="G649">
        <v>2</v>
      </c>
      <c r="H649" s="1">
        <v>43983</v>
      </c>
      <c r="I649" s="1">
        <v>44228</v>
      </c>
      <c r="J649">
        <v>8</v>
      </c>
      <c r="K649">
        <v>4</v>
      </c>
      <c r="L649" s="1">
        <v>44044</v>
      </c>
      <c r="M649">
        <v>0</v>
      </c>
      <c r="N649" s="8" cm="1">
        <f t="array" ref="N649">_xlfn.SWITCH(Sales[[#This Row],[Subscription Type]],"Basic",10,"Premium",10,"Business",25,"Enterprise",27)</f>
        <v>10</v>
      </c>
      <c r="O649">
        <f>IF(Sales[[#This Row],[Number of Users]]-Sales[[#This Row],[Licenses Bought]]&lt;0,0,Sales[[#This Row],[Number of Users]]-Sales[[#This Row],[Licenses Bought]])</f>
        <v>2</v>
      </c>
      <c r="P649" s="8">
        <f>IF(Sales[[#This Row],[Sales Month]]=MAX(Sales[Sales Month]),Sales[[#This Row],[Non-Paying Users]]*Sales[[#This Row],[Upsell $ per Non-Paying User]],0)</f>
        <v>0</v>
      </c>
      <c r="Q649" t="str" cm="1">
        <f t="array" ref="Q649">_xlfn.IFS(Sales[[#This Row],[Current Upsell $]]=0,"",Sales[[#This Row],[Current Upsell $]]&gt;=400,"High",Sales[[#This Row],[Current Upsell $]]&gt;=100,"Medium",Sales[[#This Row],[Current Upsell $]]&lt;100,"Low")</f>
        <v/>
      </c>
      <c r="R649" t="str">
        <f>IF(Sales[[#This Row],[Current Upsell $]]&gt;0,_xlfn.CONCAT(Sales[[#This Row],[Subscription Type]]," ",Sales[[#This Row],[Upsell Priority]]," ",TEXT(Sales[[#This Row],[Current Upsell $]],"$#,#")),"")</f>
        <v/>
      </c>
    </row>
    <row r="650" spans="1:18" x14ac:dyDescent="0.25">
      <c r="A650">
        <v>100055</v>
      </c>
      <c r="B650" t="s">
        <v>3</v>
      </c>
      <c r="F650">
        <v>0</v>
      </c>
      <c r="G650">
        <v>1</v>
      </c>
      <c r="H650" s="1">
        <v>43983</v>
      </c>
      <c r="I650" s="1">
        <v>44228</v>
      </c>
      <c r="J650">
        <v>8</v>
      </c>
      <c r="K650">
        <v>4</v>
      </c>
      <c r="L650" s="1">
        <v>44075</v>
      </c>
      <c r="M650">
        <v>0</v>
      </c>
      <c r="N650" s="8" cm="1">
        <f t="array" ref="N650">_xlfn.SWITCH(Sales[[#This Row],[Subscription Type]],"Basic",10,"Premium",10,"Business",25,"Enterprise",27)</f>
        <v>10</v>
      </c>
      <c r="O650">
        <f>IF(Sales[[#This Row],[Number of Users]]-Sales[[#This Row],[Licenses Bought]]&lt;0,0,Sales[[#This Row],[Number of Users]]-Sales[[#This Row],[Licenses Bought]])</f>
        <v>1</v>
      </c>
      <c r="P650" s="8">
        <f>IF(Sales[[#This Row],[Sales Month]]=MAX(Sales[Sales Month]),Sales[[#This Row],[Non-Paying Users]]*Sales[[#This Row],[Upsell $ per Non-Paying User]],0)</f>
        <v>0</v>
      </c>
      <c r="Q650" t="str" cm="1">
        <f t="array" ref="Q650">_xlfn.IFS(Sales[[#This Row],[Current Upsell $]]=0,"",Sales[[#This Row],[Current Upsell $]]&gt;=400,"High",Sales[[#This Row],[Current Upsell $]]&gt;=100,"Medium",Sales[[#This Row],[Current Upsell $]]&lt;100,"Low")</f>
        <v/>
      </c>
      <c r="R650" t="str">
        <f>IF(Sales[[#This Row],[Current Upsell $]]&gt;0,_xlfn.CONCAT(Sales[[#This Row],[Subscription Type]]," ",Sales[[#This Row],[Upsell Priority]]," ",TEXT(Sales[[#This Row],[Current Upsell $]],"$#,#")),"")</f>
        <v/>
      </c>
    </row>
    <row r="651" spans="1:18" x14ac:dyDescent="0.25">
      <c r="A651">
        <v>100055</v>
      </c>
      <c r="B651" t="s">
        <v>3</v>
      </c>
      <c r="F651">
        <v>0</v>
      </c>
      <c r="G651">
        <v>2</v>
      </c>
      <c r="H651" s="1">
        <v>43983</v>
      </c>
      <c r="I651" s="1">
        <v>44228</v>
      </c>
      <c r="J651">
        <v>8</v>
      </c>
      <c r="K651">
        <v>4</v>
      </c>
      <c r="L651" s="1">
        <v>44105</v>
      </c>
      <c r="M651">
        <v>0</v>
      </c>
      <c r="N651" s="8" cm="1">
        <f t="array" ref="N651">_xlfn.SWITCH(Sales[[#This Row],[Subscription Type]],"Basic",10,"Premium",10,"Business",25,"Enterprise",27)</f>
        <v>10</v>
      </c>
      <c r="O651">
        <f>IF(Sales[[#This Row],[Number of Users]]-Sales[[#This Row],[Licenses Bought]]&lt;0,0,Sales[[#This Row],[Number of Users]]-Sales[[#This Row],[Licenses Bought]])</f>
        <v>2</v>
      </c>
      <c r="P651" s="8">
        <f>IF(Sales[[#This Row],[Sales Month]]=MAX(Sales[Sales Month]),Sales[[#This Row],[Non-Paying Users]]*Sales[[#This Row],[Upsell $ per Non-Paying User]],0)</f>
        <v>0</v>
      </c>
      <c r="Q651" t="str" cm="1">
        <f t="array" ref="Q651">_xlfn.IFS(Sales[[#This Row],[Current Upsell $]]=0,"",Sales[[#This Row],[Current Upsell $]]&gt;=400,"High",Sales[[#This Row],[Current Upsell $]]&gt;=100,"Medium",Sales[[#This Row],[Current Upsell $]]&lt;100,"Low")</f>
        <v/>
      </c>
      <c r="R651" t="str">
        <f>IF(Sales[[#This Row],[Current Upsell $]]&gt;0,_xlfn.CONCAT(Sales[[#This Row],[Subscription Type]]," ",Sales[[#This Row],[Upsell Priority]]," ",TEXT(Sales[[#This Row],[Current Upsell $]],"$#,#")),"")</f>
        <v/>
      </c>
    </row>
    <row r="652" spans="1:18" x14ac:dyDescent="0.25">
      <c r="A652">
        <v>100055</v>
      </c>
      <c r="B652" t="s">
        <v>3</v>
      </c>
      <c r="F652">
        <v>0</v>
      </c>
      <c r="G652">
        <v>2</v>
      </c>
      <c r="H652" s="1">
        <v>43983</v>
      </c>
      <c r="I652" s="1">
        <v>44228</v>
      </c>
      <c r="J652">
        <v>8</v>
      </c>
      <c r="K652">
        <v>4</v>
      </c>
      <c r="L652" s="1">
        <v>44136</v>
      </c>
      <c r="M652">
        <v>0</v>
      </c>
      <c r="N652" s="8" cm="1">
        <f t="array" ref="N652">_xlfn.SWITCH(Sales[[#This Row],[Subscription Type]],"Basic",10,"Premium",10,"Business",25,"Enterprise",27)</f>
        <v>10</v>
      </c>
      <c r="O652">
        <f>IF(Sales[[#This Row],[Number of Users]]-Sales[[#This Row],[Licenses Bought]]&lt;0,0,Sales[[#This Row],[Number of Users]]-Sales[[#This Row],[Licenses Bought]])</f>
        <v>2</v>
      </c>
      <c r="P652" s="8">
        <f>IF(Sales[[#This Row],[Sales Month]]=MAX(Sales[Sales Month]),Sales[[#This Row],[Non-Paying Users]]*Sales[[#This Row],[Upsell $ per Non-Paying User]],0)</f>
        <v>0</v>
      </c>
      <c r="Q652" t="str" cm="1">
        <f t="array" ref="Q652">_xlfn.IFS(Sales[[#This Row],[Current Upsell $]]=0,"",Sales[[#This Row],[Current Upsell $]]&gt;=400,"High",Sales[[#This Row],[Current Upsell $]]&gt;=100,"Medium",Sales[[#This Row],[Current Upsell $]]&lt;100,"Low")</f>
        <v/>
      </c>
      <c r="R652" t="str">
        <f>IF(Sales[[#This Row],[Current Upsell $]]&gt;0,_xlfn.CONCAT(Sales[[#This Row],[Subscription Type]]," ",Sales[[#This Row],[Upsell Priority]]," ",TEXT(Sales[[#This Row],[Current Upsell $]],"$#,#")),"")</f>
        <v/>
      </c>
    </row>
    <row r="653" spans="1:18" x14ac:dyDescent="0.25">
      <c r="A653">
        <v>100055</v>
      </c>
      <c r="B653" t="s">
        <v>3</v>
      </c>
      <c r="F653">
        <v>0</v>
      </c>
      <c r="G653">
        <v>2</v>
      </c>
      <c r="H653" s="1">
        <v>43983</v>
      </c>
      <c r="I653" s="1">
        <v>44228</v>
      </c>
      <c r="J653">
        <v>8</v>
      </c>
      <c r="K653">
        <v>4</v>
      </c>
      <c r="L653" s="1">
        <v>44166</v>
      </c>
      <c r="M653">
        <v>0</v>
      </c>
      <c r="N653" s="8" cm="1">
        <f t="array" ref="N653">_xlfn.SWITCH(Sales[[#This Row],[Subscription Type]],"Basic",10,"Premium",10,"Business",25,"Enterprise",27)</f>
        <v>10</v>
      </c>
      <c r="O653">
        <f>IF(Sales[[#This Row],[Number of Users]]-Sales[[#This Row],[Licenses Bought]]&lt;0,0,Sales[[#This Row],[Number of Users]]-Sales[[#This Row],[Licenses Bought]])</f>
        <v>2</v>
      </c>
      <c r="P653" s="8">
        <f>IF(Sales[[#This Row],[Sales Month]]=MAX(Sales[Sales Month]),Sales[[#This Row],[Non-Paying Users]]*Sales[[#This Row],[Upsell $ per Non-Paying User]],0)</f>
        <v>0</v>
      </c>
      <c r="Q653" t="str" cm="1">
        <f t="array" ref="Q653">_xlfn.IFS(Sales[[#This Row],[Current Upsell $]]=0,"",Sales[[#This Row],[Current Upsell $]]&gt;=400,"High",Sales[[#This Row],[Current Upsell $]]&gt;=100,"Medium",Sales[[#This Row],[Current Upsell $]]&lt;100,"Low")</f>
        <v/>
      </c>
      <c r="R653" t="str">
        <f>IF(Sales[[#This Row],[Current Upsell $]]&gt;0,_xlfn.CONCAT(Sales[[#This Row],[Subscription Type]]," ",Sales[[#This Row],[Upsell Priority]]," ",TEXT(Sales[[#This Row],[Current Upsell $]],"$#,#")),"")</f>
        <v/>
      </c>
    </row>
    <row r="654" spans="1:18" x14ac:dyDescent="0.25">
      <c r="A654">
        <v>100055</v>
      </c>
      <c r="B654" t="s">
        <v>3</v>
      </c>
      <c r="F654">
        <v>0</v>
      </c>
      <c r="G654">
        <v>2</v>
      </c>
      <c r="H654" s="1">
        <v>43983</v>
      </c>
      <c r="I654" s="1">
        <v>44228</v>
      </c>
      <c r="J654">
        <v>8</v>
      </c>
      <c r="K654">
        <v>4</v>
      </c>
      <c r="L654" s="1">
        <v>44197</v>
      </c>
      <c r="M654">
        <v>0</v>
      </c>
      <c r="N654" s="8" cm="1">
        <f t="array" ref="N654">_xlfn.SWITCH(Sales[[#This Row],[Subscription Type]],"Basic",10,"Premium",10,"Business",25,"Enterprise",27)</f>
        <v>10</v>
      </c>
      <c r="O654">
        <f>IF(Sales[[#This Row],[Number of Users]]-Sales[[#This Row],[Licenses Bought]]&lt;0,0,Sales[[#This Row],[Number of Users]]-Sales[[#This Row],[Licenses Bought]])</f>
        <v>2</v>
      </c>
      <c r="P654" s="8">
        <f>IF(Sales[[#This Row],[Sales Month]]=MAX(Sales[Sales Month]),Sales[[#This Row],[Non-Paying Users]]*Sales[[#This Row],[Upsell $ per Non-Paying User]],0)</f>
        <v>0</v>
      </c>
      <c r="Q654" t="str" cm="1">
        <f t="array" ref="Q654">_xlfn.IFS(Sales[[#This Row],[Current Upsell $]]=0,"",Sales[[#This Row],[Current Upsell $]]&gt;=400,"High",Sales[[#This Row],[Current Upsell $]]&gt;=100,"Medium",Sales[[#This Row],[Current Upsell $]]&lt;100,"Low")</f>
        <v/>
      </c>
      <c r="R654" t="str">
        <f>IF(Sales[[#This Row],[Current Upsell $]]&gt;0,_xlfn.CONCAT(Sales[[#This Row],[Subscription Type]]," ",Sales[[#This Row],[Upsell Priority]]," ",TEXT(Sales[[#This Row],[Current Upsell $]],"$#,#")),"")</f>
        <v/>
      </c>
    </row>
    <row r="655" spans="1:18" x14ac:dyDescent="0.25">
      <c r="A655">
        <v>100055</v>
      </c>
      <c r="B655" t="s">
        <v>3</v>
      </c>
      <c r="F655">
        <v>0</v>
      </c>
      <c r="G655">
        <v>2</v>
      </c>
      <c r="H655" s="1">
        <v>43983</v>
      </c>
      <c r="I655" s="1">
        <v>44228</v>
      </c>
      <c r="J655">
        <v>8</v>
      </c>
      <c r="K655">
        <v>4</v>
      </c>
      <c r="L655" s="1">
        <v>44228</v>
      </c>
      <c r="M655">
        <v>0</v>
      </c>
      <c r="N655" s="8" cm="1">
        <f t="array" ref="N655">_xlfn.SWITCH(Sales[[#This Row],[Subscription Type]],"Basic",10,"Premium",10,"Business",25,"Enterprise",27)</f>
        <v>10</v>
      </c>
      <c r="O655">
        <f>IF(Sales[[#This Row],[Number of Users]]-Sales[[#This Row],[Licenses Bought]]&lt;0,0,Sales[[#This Row],[Number of Users]]-Sales[[#This Row],[Licenses Bought]])</f>
        <v>2</v>
      </c>
      <c r="P655" s="8">
        <f>IF(Sales[[#This Row],[Sales Month]]=MAX(Sales[Sales Month]),Sales[[#This Row],[Non-Paying Users]]*Sales[[#This Row],[Upsell $ per Non-Paying User]],0)</f>
        <v>0</v>
      </c>
      <c r="Q655" t="str" cm="1">
        <f t="array" ref="Q655">_xlfn.IFS(Sales[[#This Row],[Current Upsell $]]=0,"",Sales[[#This Row],[Current Upsell $]]&gt;=400,"High",Sales[[#This Row],[Current Upsell $]]&gt;=100,"Medium",Sales[[#This Row],[Current Upsell $]]&lt;100,"Low")</f>
        <v/>
      </c>
      <c r="R655" t="str">
        <f>IF(Sales[[#This Row],[Current Upsell $]]&gt;0,_xlfn.CONCAT(Sales[[#This Row],[Subscription Type]]," ",Sales[[#This Row],[Upsell Priority]]," ",TEXT(Sales[[#This Row],[Current Upsell $]],"$#,#")),"")</f>
        <v/>
      </c>
    </row>
    <row r="656" spans="1:18" x14ac:dyDescent="0.25">
      <c r="A656">
        <v>100056</v>
      </c>
      <c r="B656" t="s">
        <v>3</v>
      </c>
      <c r="D656" s="1"/>
      <c r="E656" s="1"/>
      <c r="F656">
        <v>0</v>
      </c>
      <c r="G656">
        <v>2</v>
      </c>
      <c r="H656" s="1">
        <v>43983</v>
      </c>
      <c r="I656" s="1">
        <v>44378</v>
      </c>
      <c r="J656">
        <v>13</v>
      </c>
      <c r="K656">
        <v>0</v>
      </c>
      <c r="L656" s="1">
        <v>43983</v>
      </c>
      <c r="M656">
        <v>0</v>
      </c>
      <c r="N656" s="8" cm="1">
        <f t="array" ref="N656">_xlfn.SWITCH(Sales[[#This Row],[Subscription Type]],"Basic",10,"Premium",10,"Business",25,"Enterprise",27)</f>
        <v>10</v>
      </c>
      <c r="O656">
        <f>IF(Sales[[#This Row],[Number of Users]]-Sales[[#This Row],[Licenses Bought]]&lt;0,0,Sales[[#This Row],[Number of Users]]-Sales[[#This Row],[Licenses Bought]])</f>
        <v>2</v>
      </c>
      <c r="P656" s="8">
        <f>IF(Sales[[#This Row],[Sales Month]]=MAX(Sales[Sales Month]),Sales[[#This Row],[Non-Paying Users]]*Sales[[#This Row],[Upsell $ per Non-Paying User]],0)</f>
        <v>0</v>
      </c>
      <c r="Q656" t="str" cm="1">
        <f t="array" ref="Q656">_xlfn.IFS(Sales[[#This Row],[Current Upsell $]]=0,"",Sales[[#This Row],[Current Upsell $]]&gt;=400,"High",Sales[[#This Row],[Current Upsell $]]&gt;=100,"Medium",Sales[[#This Row],[Current Upsell $]]&lt;100,"Low")</f>
        <v/>
      </c>
      <c r="R656" t="str">
        <f>IF(Sales[[#This Row],[Current Upsell $]]&gt;0,_xlfn.CONCAT(Sales[[#This Row],[Subscription Type]]," ",Sales[[#This Row],[Upsell Priority]]," ",TEXT(Sales[[#This Row],[Current Upsell $]],"$#,#")),"")</f>
        <v/>
      </c>
    </row>
    <row r="657" spans="1:18" x14ac:dyDescent="0.25">
      <c r="A657">
        <v>100056</v>
      </c>
      <c r="B657" t="s">
        <v>0</v>
      </c>
      <c r="D657" s="1"/>
      <c r="E657" s="1"/>
      <c r="F657">
        <v>1</v>
      </c>
      <c r="G657">
        <v>2</v>
      </c>
      <c r="H657" s="1">
        <v>43983</v>
      </c>
      <c r="I657" s="1">
        <v>44378</v>
      </c>
      <c r="J657">
        <v>13</v>
      </c>
      <c r="K657">
        <v>0</v>
      </c>
      <c r="L657" s="1">
        <v>44013</v>
      </c>
      <c r="M657">
        <v>10</v>
      </c>
      <c r="N657" s="8" cm="1">
        <f t="array" ref="N657">_xlfn.SWITCH(Sales[[#This Row],[Subscription Type]],"Basic",10,"Premium",10,"Business",25,"Enterprise",27)</f>
        <v>10</v>
      </c>
      <c r="O657">
        <f>IF(Sales[[#This Row],[Number of Users]]-Sales[[#This Row],[Licenses Bought]]&lt;0,0,Sales[[#This Row],[Number of Users]]-Sales[[#This Row],[Licenses Bought]])</f>
        <v>1</v>
      </c>
      <c r="P657" s="8">
        <f>IF(Sales[[#This Row],[Sales Month]]=MAX(Sales[Sales Month]),Sales[[#This Row],[Non-Paying Users]]*Sales[[#This Row],[Upsell $ per Non-Paying User]],0)</f>
        <v>0</v>
      </c>
      <c r="Q657" t="str" cm="1">
        <f t="array" ref="Q657">_xlfn.IFS(Sales[[#This Row],[Current Upsell $]]=0,"",Sales[[#This Row],[Current Upsell $]]&gt;=400,"High",Sales[[#This Row],[Current Upsell $]]&gt;=100,"Medium",Sales[[#This Row],[Current Upsell $]]&lt;100,"Low")</f>
        <v/>
      </c>
      <c r="R657" t="str">
        <f>IF(Sales[[#This Row],[Current Upsell $]]&gt;0,_xlfn.CONCAT(Sales[[#This Row],[Subscription Type]]," ",Sales[[#This Row],[Upsell Priority]]," ",TEXT(Sales[[#This Row],[Current Upsell $]],"$#,#")),"")</f>
        <v/>
      </c>
    </row>
    <row r="658" spans="1:18" x14ac:dyDescent="0.25">
      <c r="A658">
        <v>100056</v>
      </c>
      <c r="B658" t="s">
        <v>0</v>
      </c>
      <c r="D658" s="1"/>
      <c r="E658" s="1"/>
      <c r="F658">
        <v>1</v>
      </c>
      <c r="G658">
        <v>2</v>
      </c>
      <c r="H658" s="1">
        <v>43983</v>
      </c>
      <c r="I658" s="1">
        <v>44378</v>
      </c>
      <c r="J658">
        <v>13</v>
      </c>
      <c r="K658">
        <v>0</v>
      </c>
      <c r="L658" s="1">
        <v>44044</v>
      </c>
      <c r="M658">
        <v>10</v>
      </c>
      <c r="N658" s="8" cm="1">
        <f t="array" ref="N658">_xlfn.SWITCH(Sales[[#This Row],[Subscription Type]],"Basic",10,"Premium",10,"Business",25,"Enterprise",27)</f>
        <v>10</v>
      </c>
      <c r="O658">
        <f>IF(Sales[[#This Row],[Number of Users]]-Sales[[#This Row],[Licenses Bought]]&lt;0,0,Sales[[#This Row],[Number of Users]]-Sales[[#This Row],[Licenses Bought]])</f>
        <v>1</v>
      </c>
      <c r="P658" s="8">
        <f>IF(Sales[[#This Row],[Sales Month]]=MAX(Sales[Sales Month]),Sales[[#This Row],[Non-Paying Users]]*Sales[[#This Row],[Upsell $ per Non-Paying User]],0)</f>
        <v>0</v>
      </c>
      <c r="Q658" t="str" cm="1">
        <f t="array" ref="Q658">_xlfn.IFS(Sales[[#This Row],[Current Upsell $]]=0,"",Sales[[#This Row],[Current Upsell $]]&gt;=400,"High",Sales[[#This Row],[Current Upsell $]]&gt;=100,"Medium",Sales[[#This Row],[Current Upsell $]]&lt;100,"Low")</f>
        <v/>
      </c>
      <c r="R658" t="str">
        <f>IF(Sales[[#This Row],[Current Upsell $]]&gt;0,_xlfn.CONCAT(Sales[[#This Row],[Subscription Type]]," ",Sales[[#This Row],[Upsell Priority]]," ",TEXT(Sales[[#This Row],[Current Upsell $]],"$#,#")),"")</f>
        <v/>
      </c>
    </row>
    <row r="659" spans="1:18" x14ac:dyDescent="0.25">
      <c r="A659">
        <v>100056</v>
      </c>
      <c r="B659" t="s">
        <v>0</v>
      </c>
      <c r="D659" s="1"/>
      <c r="E659" s="1"/>
      <c r="F659">
        <v>1</v>
      </c>
      <c r="G659">
        <v>2</v>
      </c>
      <c r="H659" s="1">
        <v>43983</v>
      </c>
      <c r="I659" s="1">
        <v>44378</v>
      </c>
      <c r="J659">
        <v>13</v>
      </c>
      <c r="K659">
        <v>0</v>
      </c>
      <c r="L659" s="1">
        <v>44075</v>
      </c>
      <c r="M659">
        <v>10</v>
      </c>
      <c r="N659" s="8" cm="1">
        <f t="array" ref="N659">_xlfn.SWITCH(Sales[[#This Row],[Subscription Type]],"Basic",10,"Premium",10,"Business",25,"Enterprise",27)</f>
        <v>10</v>
      </c>
      <c r="O659">
        <f>IF(Sales[[#This Row],[Number of Users]]-Sales[[#This Row],[Licenses Bought]]&lt;0,0,Sales[[#This Row],[Number of Users]]-Sales[[#This Row],[Licenses Bought]])</f>
        <v>1</v>
      </c>
      <c r="P659" s="8">
        <f>IF(Sales[[#This Row],[Sales Month]]=MAX(Sales[Sales Month]),Sales[[#This Row],[Non-Paying Users]]*Sales[[#This Row],[Upsell $ per Non-Paying User]],0)</f>
        <v>0</v>
      </c>
      <c r="Q659" t="str" cm="1">
        <f t="array" ref="Q659">_xlfn.IFS(Sales[[#This Row],[Current Upsell $]]=0,"",Sales[[#This Row],[Current Upsell $]]&gt;=400,"High",Sales[[#This Row],[Current Upsell $]]&gt;=100,"Medium",Sales[[#This Row],[Current Upsell $]]&lt;100,"Low")</f>
        <v/>
      </c>
      <c r="R659" t="str">
        <f>IF(Sales[[#This Row],[Current Upsell $]]&gt;0,_xlfn.CONCAT(Sales[[#This Row],[Subscription Type]]," ",Sales[[#This Row],[Upsell Priority]]," ",TEXT(Sales[[#This Row],[Current Upsell $]],"$#,#")),"")</f>
        <v/>
      </c>
    </row>
    <row r="660" spans="1:18" x14ac:dyDescent="0.25">
      <c r="A660">
        <v>100056</v>
      </c>
      <c r="B660" t="s">
        <v>0</v>
      </c>
      <c r="D660" s="1"/>
      <c r="E660" s="1"/>
      <c r="F660">
        <v>1</v>
      </c>
      <c r="G660">
        <v>2</v>
      </c>
      <c r="H660" s="1">
        <v>43983</v>
      </c>
      <c r="I660" s="1">
        <v>44378</v>
      </c>
      <c r="J660">
        <v>13</v>
      </c>
      <c r="K660">
        <v>0</v>
      </c>
      <c r="L660" s="1">
        <v>44105</v>
      </c>
      <c r="M660">
        <v>10</v>
      </c>
      <c r="N660" s="8" cm="1">
        <f t="array" ref="N660">_xlfn.SWITCH(Sales[[#This Row],[Subscription Type]],"Basic",10,"Premium",10,"Business",25,"Enterprise",27)</f>
        <v>10</v>
      </c>
      <c r="O660">
        <f>IF(Sales[[#This Row],[Number of Users]]-Sales[[#This Row],[Licenses Bought]]&lt;0,0,Sales[[#This Row],[Number of Users]]-Sales[[#This Row],[Licenses Bought]])</f>
        <v>1</v>
      </c>
      <c r="P660" s="8">
        <f>IF(Sales[[#This Row],[Sales Month]]=MAX(Sales[Sales Month]),Sales[[#This Row],[Non-Paying Users]]*Sales[[#This Row],[Upsell $ per Non-Paying User]],0)</f>
        <v>0</v>
      </c>
      <c r="Q660" t="str" cm="1">
        <f t="array" ref="Q660">_xlfn.IFS(Sales[[#This Row],[Current Upsell $]]=0,"",Sales[[#This Row],[Current Upsell $]]&gt;=400,"High",Sales[[#This Row],[Current Upsell $]]&gt;=100,"Medium",Sales[[#This Row],[Current Upsell $]]&lt;100,"Low")</f>
        <v/>
      </c>
      <c r="R660" t="str">
        <f>IF(Sales[[#This Row],[Current Upsell $]]&gt;0,_xlfn.CONCAT(Sales[[#This Row],[Subscription Type]]," ",Sales[[#This Row],[Upsell Priority]]," ",TEXT(Sales[[#This Row],[Current Upsell $]],"$#,#")),"")</f>
        <v/>
      </c>
    </row>
    <row r="661" spans="1:18" x14ac:dyDescent="0.25">
      <c r="A661">
        <v>100056</v>
      </c>
      <c r="B661" t="s">
        <v>0</v>
      </c>
      <c r="D661" s="1"/>
      <c r="E661" s="1"/>
      <c r="F661">
        <v>1</v>
      </c>
      <c r="G661">
        <v>2</v>
      </c>
      <c r="H661" s="1">
        <v>43983</v>
      </c>
      <c r="I661" s="1">
        <v>44378</v>
      </c>
      <c r="J661">
        <v>13</v>
      </c>
      <c r="K661">
        <v>0</v>
      </c>
      <c r="L661" s="1">
        <v>44136</v>
      </c>
      <c r="M661">
        <v>10</v>
      </c>
      <c r="N661" s="8" cm="1">
        <f t="array" ref="N661">_xlfn.SWITCH(Sales[[#This Row],[Subscription Type]],"Basic",10,"Premium",10,"Business",25,"Enterprise",27)</f>
        <v>10</v>
      </c>
      <c r="O661">
        <f>IF(Sales[[#This Row],[Number of Users]]-Sales[[#This Row],[Licenses Bought]]&lt;0,0,Sales[[#This Row],[Number of Users]]-Sales[[#This Row],[Licenses Bought]])</f>
        <v>1</v>
      </c>
      <c r="P661" s="8">
        <f>IF(Sales[[#This Row],[Sales Month]]=MAX(Sales[Sales Month]),Sales[[#This Row],[Non-Paying Users]]*Sales[[#This Row],[Upsell $ per Non-Paying User]],0)</f>
        <v>0</v>
      </c>
      <c r="Q661" t="str" cm="1">
        <f t="array" ref="Q661">_xlfn.IFS(Sales[[#This Row],[Current Upsell $]]=0,"",Sales[[#This Row],[Current Upsell $]]&gt;=400,"High",Sales[[#This Row],[Current Upsell $]]&gt;=100,"Medium",Sales[[#This Row],[Current Upsell $]]&lt;100,"Low")</f>
        <v/>
      </c>
      <c r="R661" t="str">
        <f>IF(Sales[[#This Row],[Current Upsell $]]&gt;0,_xlfn.CONCAT(Sales[[#This Row],[Subscription Type]]," ",Sales[[#This Row],[Upsell Priority]]," ",TEXT(Sales[[#This Row],[Current Upsell $]],"$#,#")),"")</f>
        <v/>
      </c>
    </row>
    <row r="662" spans="1:18" x14ac:dyDescent="0.25">
      <c r="A662">
        <v>100056</v>
      </c>
      <c r="B662" t="s">
        <v>0</v>
      </c>
      <c r="D662" s="1"/>
      <c r="E662" s="1"/>
      <c r="F662">
        <v>1</v>
      </c>
      <c r="G662">
        <v>2</v>
      </c>
      <c r="H662" s="1">
        <v>43983</v>
      </c>
      <c r="I662" s="1">
        <v>44378</v>
      </c>
      <c r="J662">
        <v>13</v>
      </c>
      <c r="K662">
        <v>0</v>
      </c>
      <c r="L662" s="1">
        <v>44166</v>
      </c>
      <c r="M662">
        <v>10</v>
      </c>
      <c r="N662" s="8" cm="1">
        <f t="array" ref="N662">_xlfn.SWITCH(Sales[[#This Row],[Subscription Type]],"Basic",10,"Premium",10,"Business",25,"Enterprise",27)</f>
        <v>10</v>
      </c>
      <c r="O662">
        <f>IF(Sales[[#This Row],[Number of Users]]-Sales[[#This Row],[Licenses Bought]]&lt;0,0,Sales[[#This Row],[Number of Users]]-Sales[[#This Row],[Licenses Bought]])</f>
        <v>1</v>
      </c>
      <c r="P662" s="8">
        <f>IF(Sales[[#This Row],[Sales Month]]=MAX(Sales[Sales Month]),Sales[[#This Row],[Non-Paying Users]]*Sales[[#This Row],[Upsell $ per Non-Paying User]],0)</f>
        <v>0</v>
      </c>
      <c r="Q662" t="str" cm="1">
        <f t="array" ref="Q662">_xlfn.IFS(Sales[[#This Row],[Current Upsell $]]=0,"",Sales[[#This Row],[Current Upsell $]]&gt;=400,"High",Sales[[#This Row],[Current Upsell $]]&gt;=100,"Medium",Sales[[#This Row],[Current Upsell $]]&lt;100,"Low")</f>
        <v/>
      </c>
      <c r="R662" t="str">
        <f>IF(Sales[[#This Row],[Current Upsell $]]&gt;0,_xlfn.CONCAT(Sales[[#This Row],[Subscription Type]]," ",Sales[[#This Row],[Upsell Priority]]," ",TEXT(Sales[[#This Row],[Current Upsell $]],"$#,#")),"")</f>
        <v/>
      </c>
    </row>
    <row r="663" spans="1:18" x14ac:dyDescent="0.25">
      <c r="A663">
        <v>100056</v>
      </c>
      <c r="B663" t="s">
        <v>0</v>
      </c>
      <c r="D663" s="1"/>
      <c r="E663" s="1"/>
      <c r="F663">
        <v>1</v>
      </c>
      <c r="G663">
        <v>1</v>
      </c>
      <c r="H663" s="1">
        <v>43983</v>
      </c>
      <c r="I663" s="1">
        <v>44378</v>
      </c>
      <c r="J663">
        <v>13</v>
      </c>
      <c r="K663">
        <v>0</v>
      </c>
      <c r="L663" s="1">
        <v>44197</v>
      </c>
      <c r="M663">
        <v>10</v>
      </c>
      <c r="N663" s="8" cm="1">
        <f t="array" ref="N663">_xlfn.SWITCH(Sales[[#This Row],[Subscription Type]],"Basic",10,"Premium",10,"Business",25,"Enterprise",27)</f>
        <v>10</v>
      </c>
      <c r="O663">
        <f>IF(Sales[[#This Row],[Number of Users]]-Sales[[#This Row],[Licenses Bought]]&lt;0,0,Sales[[#This Row],[Number of Users]]-Sales[[#This Row],[Licenses Bought]])</f>
        <v>0</v>
      </c>
      <c r="P663" s="8">
        <f>IF(Sales[[#This Row],[Sales Month]]=MAX(Sales[Sales Month]),Sales[[#This Row],[Non-Paying Users]]*Sales[[#This Row],[Upsell $ per Non-Paying User]],0)</f>
        <v>0</v>
      </c>
      <c r="Q663" t="str" cm="1">
        <f t="array" ref="Q663">_xlfn.IFS(Sales[[#This Row],[Current Upsell $]]=0,"",Sales[[#This Row],[Current Upsell $]]&gt;=400,"High",Sales[[#This Row],[Current Upsell $]]&gt;=100,"Medium",Sales[[#This Row],[Current Upsell $]]&lt;100,"Low")</f>
        <v/>
      </c>
      <c r="R663" t="str">
        <f>IF(Sales[[#This Row],[Current Upsell $]]&gt;0,_xlfn.CONCAT(Sales[[#This Row],[Subscription Type]]," ",Sales[[#This Row],[Upsell Priority]]," ",TEXT(Sales[[#This Row],[Current Upsell $]],"$#,#")),"")</f>
        <v/>
      </c>
    </row>
    <row r="664" spans="1:18" x14ac:dyDescent="0.25">
      <c r="A664">
        <v>100056</v>
      </c>
      <c r="B664" t="s">
        <v>0</v>
      </c>
      <c r="D664" s="1"/>
      <c r="E664" s="1"/>
      <c r="F664">
        <v>1</v>
      </c>
      <c r="G664">
        <v>2</v>
      </c>
      <c r="H664" s="1">
        <v>43983</v>
      </c>
      <c r="I664" s="1">
        <v>44378</v>
      </c>
      <c r="J664">
        <v>13</v>
      </c>
      <c r="K664">
        <v>0</v>
      </c>
      <c r="L664" s="1">
        <v>44228</v>
      </c>
      <c r="M664">
        <v>10</v>
      </c>
      <c r="N664" s="8" cm="1">
        <f t="array" ref="N664">_xlfn.SWITCH(Sales[[#This Row],[Subscription Type]],"Basic",10,"Premium",10,"Business",25,"Enterprise",27)</f>
        <v>10</v>
      </c>
      <c r="O664">
        <f>IF(Sales[[#This Row],[Number of Users]]-Sales[[#This Row],[Licenses Bought]]&lt;0,0,Sales[[#This Row],[Number of Users]]-Sales[[#This Row],[Licenses Bought]])</f>
        <v>1</v>
      </c>
      <c r="P664" s="8">
        <f>IF(Sales[[#This Row],[Sales Month]]=MAX(Sales[Sales Month]),Sales[[#This Row],[Non-Paying Users]]*Sales[[#This Row],[Upsell $ per Non-Paying User]],0)</f>
        <v>0</v>
      </c>
      <c r="Q664" t="str" cm="1">
        <f t="array" ref="Q664">_xlfn.IFS(Sales[[#This Row],[Current Upsell $]]=0,"",Sales[[#This Row],[Current Upsell $]]&gt;=400,"High",Sales[[#This Row],[Current Upsell $]]&gt;=100,"Medium",Sales[[#This Row],[Current Upsell $]]&lt;100,"Low")</f>
        <v/>
      </c>
      <c r="R664" t="str">
        <f>IF(Sales[[#This Row],[Current Upsell $]]&gt;0,_xlfn.CONCAT(Sales[[#This Row],[Subscription Type]]," ",Sales[[#This Row],[Upsell Priority]]," ",TEXT(Sales[[#This Row],[Current Upsell $]],"$#,#")),"")</f>
        <v/>
      </c>
    </row>
    <row r="665" spans="1:18" x14ac:dyDescent="0.25">
      <c r="A665">
        <v>100056</v>
      </c>
      <c r="B665" t="s">
        <v>0</v>
      </c>
      <c r="D665" s="1"/>
      <c r="E665" s="1"/>
      <c r="F665">
        <v>1</v>
      </c>
      <c r="G665">
        <v>1</v>
      </c>
      <c r="H665" s="1">
        <v>43983</v>
      </c>
      <c r="I665" s="1">
        <v>44378</v>
      </c>
      <c r="J665">
        <v>13</v>
      </c>
      <c r="K665">
        <v>0</v>
      </c>
      <c r="L665" s="1">
        <v>44256</v>
      </c>
      <c r="M665">
        <v>10</v>
      </c>
      <c r="N665" s="8" cm="1">
        <f t="array" ref="N665">_xlfn.SWITCH(Sales[[#This Row],[Subscription Type]],"Basic",10,"Premium",10,"Business",25,"Enterprise",27)</f>
        <v>10</v>
      </c>
      <c r="O665">
        <f>IF(Sales[[#This Row],[Number of Users]]-Sales[[#This Row],[Licenses Bought]]&lt;0,0,Sales[[#This Row],[Number of Users]]-Sales[[#This Row],[Licenses Bought]])</f>
        <v>0</v>
      </c>
      <c r="P665" s="8">
        <f>IF(Sales[[#This Row],[Sales Month]]=MAX(Sales[Sales Month]),Sales[[#This Row],[Non-Paying Users]]*Sales[[#This Row],[Upsell $ per Non-Paying User]],0)</f>
        <v>0</v>
      </c>
      <c r="Q665" t="str" cm="1">
        <f t="array" ref="Q665">_xlfn.IFS(Sales[[#This Row],[Current Upsell $]]=0,"",Sales[[#This Row],[Current Upsell $]]&gt;=400,"High",Sales[[#This Row],[Current Upsell $]]&gt;=100,"Medium",Sales[[#This Row],[Current Upsell $]]&lt;100,"Low")</f>
        <v/>
      </c>
      <c r="R665" t="str">
        <f>IF(Sales[[#This Row],[Current Upsell $]]&gt;0,_xlfn.CONCAT(Sales[[#This Row],[Subscription Type]]," ",Sales[[#This Row],[Upsell Priority]]," ",TEXT(Sales[[#This Row],[Current Upsell $]],"$#,#")),"")</f>
        <v/>
      </c>
    </row>
    <row r="666" spans="1:18" x14ac:dyDescent="0.25">
      <c r="A666">
        <v>100056</v>
      </c>
      <c r="B666" t="s">
        <v>0</v>
      </c>
      <c r="D666" s="1"/>
      <c r="E666" s="1"/>
      <c r="F666">
        <v>1</v>
      </c>
      <c r="G666">
        <v>2</v>
      </c>
      <c r="H666" s="1">
        <v>43983</v>
      </c>
      <c r="I666" s="1">
        <v>44378</v>
      </c>
      <c r="J666">
        <v>13</v>
      </c>
      <c r="K666">
        <v>0</v>
      </c>
      <c r="L666" s="1">
        <v>44287</v>
      </c>
      <c r="M666">
        <v>10</v>
      </c>
      <c r="N666" s="8" cm="1">
        <f t="array" ref="N666">_xlfn.SWITCH(Sales[[#This Row],[Subscription Type]],"Basic",10,"Premium",10,"Business",25,"Enterprise",27)</f>
        <v>10</v>
      </c>
      <c r="O666">
        <f>IF(Sales[[#This Row],[Number of Users]]-Sales[[#This Row],[Licenses Bought]]&lt;0,0,Sales[[#This Row],[Number of Users]]-Sales[[#This Row],[Licenses Bought]])</f>
        <v>1</v>
      </c>
      <c r="P666" s="8">
        <f>IF(Sales[[#This Row],[Sales Month]]=MAX(Sales[Sales Month]),Sales[[#This Row],[Non-Paying Users]]*Sales[[#This Row],[Upsell $ per Non-Paying User]],0)</f>
        <v>0</v>
      </c>
      <c r="Q666" t="str" cm="1">
        <f t="array" ref="Q666">_xlfn.IFS(Sales[[#This Row],[Current Upsell $]]=0,"",Sales[[#This Row],[Current Upsell $]]&gt;=400,"High",Sales[[#This Row],[Current Upsell $]]&gt;=100,"Medium",Sales[[#This Row],[Current Upsell $]]&lt;100,"Low")</f>
        <v/>
      </c>
      <c r="R666" t="str">
        <f>IF(Sales[[#This Row],[Current Upsell $]]&gt;0,_xlfn.CONCAT(Sales[[#This Row],[Subscription Type]]," ",Sales[[#This Row],[Upsell Priority]]," ",TEXT(Sales[[#This Row],[Current Upsell $]],"$#,#")),"")</f>
        <v/>
      </c>
    </row>
    <row r="667" spans="1:18" x14ac:dyDescent="0.25">
      <c r="A667">
        <v>100056</v>
      </c>
      <c r="B667" t="s">
        <v>0</v>
      </c>
      <c r="D667" s="1"/>
      <c r="E667" s="1"/>
      <c r="F667">
        <v>1</v>
      </c>
      <c r="G667">
        <v>2</v>
      </c>
      <c r="H667" s="1">
        <v>43983</v>
      </c>
      <c r="I667" s="1">
        <v>44378</v>
      </c>
      <c r="J667">
        <v>13</v>
      </c>
      <c r="K667">
        <v>0</v>
      </c>
      <c r="L667" s="1">
        <v>44317</v>
      </c>
      <c r="M667">
        <v>10</v>
      </c>
      <c r="N667" s="8" cm="1">
        <f t="array" ref="N667">_xlfn.SWITCH(Sales[[#This Row],[Subscription Type]],"Basic",10,"Premium",10,"Business",25,"Enterprise",27)</f>
        <v>10</v>
      </c>
      <c r="O667">
        <f>IF(Sales[[#This Row],[Number of Users]]-Sales[[#This Row],[Licenses Bought]]&lt;0,0,Sales[[#This Row],[Number of Users]]-Sales[[#This Row],[Licenses Bought]])</f>
        <v>1</v>
      </c>
      <c r="P667" s="8">
        <f>IF(Sales[[#This Row],[Sales Month]]=MAX(Sales[Sales Month]),Sales[[#This Row],[Non-Paying Users]]*Sales[[#This Row],[Upsell $ per Non-Paying User]],0)</f>
        <v>0</v>
      </c>
      <c r="Q667" t="str" cm="1">
        <f t="array" ref="Q667">_xlfn.IFS(Sales[[#This Row],[Current Upsell $]]=0,"",Sales[[#This Row],[Current Upsell $]]&gt;=400,"High",Sales[[#This Row],[Current Upsell $]]&gt;=100,"Medium",Sales[[#This Row],[Current Upsell $]]&lt;100,"Low")</f>
        <v/>
      </c>
      <c r="R667" t="str">
        <f>IF(Sales[[#This Row],[Current Upsell $]]&gt;0,_xlfn.CONCAT(Sales[[#This Row],[Subscription Type]]," ",Sales[[#This Row],[Upsell Priority]]," ",TEXT(Sales[[#This Row],[Current Upsell $]],"$#,#")),"")</f>
        <v/>
      </c>
    </row>
    <row r="668" spans="1:18" x14ac:dyDescent="0.25">
      <c r="A668">
        <v>100056</v>
      </c>
      <c r="B668" t="s">
        <v>0</v>
      </c>
      <c r="D668" s="1"/>
      <c r="E668" s="1"/>
      <c r="F668">
        <v>1</v>
      </c>
      <c r="G668">
        <v>2</v>
      </c>
      <c r="H668" s="1">
        <v>43983</v>
      </c>
      <c r="I668" s="1">
        <v>44378</v>
      </c>
      <c r="J668">
        <v>13</v>
      </c>
      <c r="K668">
        <v>0</v>
      </c>
      <c r="L668" s="1">
        <v>44348</v>
      </c>
      <c r="M668">
        <v>10</v>
      </c>
      <c r="N668" s="8" cm="1">
        <f t="array" ref="N668">_xlfn.SWITCH(Sales[[#This Row],[Subscription Type]],"Basic",10,"Premium",10,"Business",25,"Enterprise",27)</f>
        <v>10</v>
      </c>
      <c r="O668">
        <f>IF(Sales[[#This Row],[Number of Users]]-Sales[[#This Row],[Licenses Bought]]&lt;0,0,Sales[[#This Row],[Number of Users]]-Sales[[#This Row],[Licenses Bought]])</f>
        <v>1</v>
      </c>
      <c r="P668" s="8">
        <f>IF(Sales[[#This Row],[Sales Month]]=MAX(Sales[Sales Month]),Sales[[#This Row],[Non-Paying Users]]*Sales[[#This Row],[Upsell $ per Non-Paying User]],0)</f>
        <v>10</v>
      </c>
      <c r="Q668" t="str" cm="1">
        <f t="array" ref="Q668">_xlfn.IFS(Sales[[#This Row],[Current Upsell $]]=0,"",Sales[[#This Row],[Current Upsell $]]&gt;=400,"High",Sales[[#This Row],[Current Upsell $]]&gt;=100,"Medium",Sales[[#This Row],[Current Upsell $]]&lt;100,"Low")</f>
        <v>Low</v>
      </c>
      <c r="R668" t="str">
        <f>IF(Sales[[#This Row],[Current Upsell $]]&gt;0,_xlfn.CONCAT(Sales[[#This Row],[Subscription Type]]," ",Sales[[#This Row],[Upsell Priority]]," ",TEXT(Sales[[#This Row],[Current Upsell $]],"$#,#")),"")</f>
        <v>Premium Low $10</v>
      </c>
    </row>
    <row r="669" spans="1:18" x14ac:dyDescent="0.25">
      <c r="A669">
        <v>100057</v>
      </c>
      <c r="B669" t="s">
        <v>3</v>
      </c>
      <c r="D669" s="1"/>
      <c r="E669" s="1"/>
      <c r="F669">
        <v>0</v>
      </c>
      <c r="G669">
        <v>64</v>
      </c>
      <c r="H669" s="1">
        <v>44013</v>
      </c>
      <c r="I669" s="1">
        <v>44378</v>
      </c>
      <c r="J669">
        <v>12</v>
      </c>
      <c r="K669">
        <v>0</v>
      </c>
      <c r="L669" s="1">
        <v>44013</v>
      </c>
      <c r="M669">
        <v>0</v>
      </c>
      <c r="N669" s="8" cm="1">
        <f t="array" ref="N669">_xlfn.SWITCH(Sales[[#This Row],[Subscription Type]],"Basic",10,"Premium",10,"Business",25,"Enterprise",27)</f>
        <v>10</v>
      </c>
      <c r="O669">
        <f>IF(Sales[[#This Row],[Number of Users]]-Sales[[#This Row],[Licenses Bought]]&lt;0,0,Sales[[#This Row],[Number of Users]]-Sales[[#This Row],[Licenses Bought]])</f>
        <v>64</v>
      </c>
      <c r="P669" s="8">
        <f>IF(Sales[[#This Row],[Sales Month]]=MAX(Sales[Sales Month]),Sales[[#This Row],[Non-Paying Users]]*Sales[[#This Row],[Upsell $ per Non-Paying User]],0)</f>
        <v>0</v>
      </c>
      <c r="Q669" t="str" cm="1">
        <f t="array" ref="Q669">_xlfn.IFS(Sales[[#This Row],[Current Upsell $]]=0,"",Sales[[#This Row],[Current Upsell $]]&gt;=400,"High",Sales[[#This Row],[Current Upsell $]]&gt;=100,"Medium",Sales[[#This Row],[Current Upsell $]]&lt;100,"Low")</f>
        <v/>
      </c>
      <c r="R669" t="str">
        <f>IF(Sales[[#This Row],[Current Upsell $]]&gt;0,_xlfn.CONCAT(Sales[[#This Row],[Subscription Type]]," ",Sales[[#This Row],[Upsell Priority]]," ",TEXT(Sales[[#This Row],[Current Upsell $]],"$#,#")),"")</f>
        <v/>
      </c>
    </row>
    <row r="670" spans="1:18" x14ac:dyDescent="0.25">
      <c r="A670">
        <v>100057</v>
      </c>
      <c r="B670" t="s">
        <v>0</v>
      </c>
      <c r="D670" s="1"/>
      <c r="E670" s="1"/>
      <c r="F670">
        <v>23</v>
      </c>
      <c r="G670">
        <v>65</v>
      </c>
      <c r="H670" s="1">
        <v>44013</v>
      </c>
      <c r="I670" s="1">
        <v>44378</v>
      </c>
      <c r="J670">
        <v>12</v>
      </c>
      <c r="K670">
        <v>0</v>
      </c>
      <c r="L670" s="1">
        <v>44044</v>
      </c>
      <c r="M670">
        <v>230</v>
      </c>
      <c r="N670" s="8" cm="1">
        <f t="array" ref="N670">_xlfn.SWITCH(Sales[[#This Row],[Subscription Type]],"Basic",10,"Premium",10,"Business",25,"Enterprise",27)</f>
        <v>10</v>
      </c>
      <c r="O670">
        <f>IF(Sales[[#This Row],[Number of Users]]-Sales[[#This Row],[Licenses Bought]]&lt;0,0,Sales[[#This Row],[Number of Users]]-Sales[[#This Row],[Licenses Bought]])</f>
        <v>42</v>
      </c>
      <c r="P670" s="8">
        <f>IF(Sales[[#This Row],[Sales Month]]=MAX(Sales[Sales Month]),Sales[[#This Row],[Non-Paying Users]]*Sales[[#This Row],[Upsell $ per Non-Paying User]],0)</f>
        <v>0</v>
      </c>
      <c r="Q670" t="str" cm="1">
        <f t="array" ref="Q670">_xlfn.IFS(Sales[[#This Row],[Current Upsell $]]=0,"",Sales[[#This Row],[Current Upsell $]]&gt;=400,"High",Sales[[#This Row],[Current Upsell $]]&gt;=100,"Medium",Sales[[#This Row],[Current Upsell $]]&lt;100,"Low")</f>
        <v/>
      </c>
      <c r="R670" t="str">
        <f>IF(Sales[[#This Row],[Current Upsell $]]&gt;0,_xlfn.CONCAT(Sales[[#This Row],[Subscription Type]]," ",Sales[[#This Row],[Upsell Priority]]," ",TEXT(Sales[[#This Row],[Current Upsell $]],"$#,#")),"")</f>
        <v/>
      </c>
    </row>
    <row r="671" spans="1:18" x14ac:dyDescent="0.25">
      <c r="A671">
        <v>100057</v>
      </c>
      <c r="B671" t="s">
        <v>0</v>
      </c>
      <c r="D671" s="1"/>
      <c r="E671" s="1"/>
      <c r="F671">
        <v>56</v>
      </c>
      <c r="G671">
        <v>77</v>
      </c>
      <c r="H671" s="1">
        <v>44013</v>
      </c>
      <c r="I671" s="1">
        <v>44378</v>
      </c>
      <c r="J671">
        <v>12</v>
      </c>
      <c r="K671">
        <v>0</v>
      </c>
      <c r="L671" s="1">
        <v>44075</v>
      </c>
      <c r="M671">
        <v>560</v>
      </c>
      <c r="N671" s="8" cm="1">
        <f t="array" ref="N671">_xlfn.SWITCH(Sales[[#This Row],[Subscription Type]],"Basic",10,"Premium",10,"Business",25,"Enterprise",27)</f>
        <v>10</v>
      </c>
      <c r="O671">
        <f>IF(Sales[[#This Row],[Number of Users]]-Sales[[#This Row],[Licenses Bought]]&lt;0,0,Sales[[#This Row],[Number of Users]]-Sales[[#This Row],[Licenses Bought]])</f>
        <v>21</v>
      </c>
      <c r="P671" s="8">
        <f>IF(Sales[[#This Row],[Sales Month]]=MAX(Sales[Sales Month]),Sales[[#This Row],[Non-Paying Users]]*Sales[[#This Row],[Upsell $ per Non-Paying User]],0)</f>
        <v>0</v>
      </c>
      <c r="Q671" t="str" cm="1">
        <f t="array" ref="Q671">_xlfn.IFS(Sales[[#This Row],[Current Upsell $]]=0,"",Sales[[#This Row],[Current Upsell $]]&gt;=400,"High",Sales[[#This Row],[Current Upsell $]]&gt;=100,"Medium",Sales[[#This Row],[Current Upsell $]]&lt;100,"Low")</f>
        <v/>
      </c>
      <c r="R671" t="str">
        <f>IF(Sales[[#This Row],[Current Upsell $]]&gt;0,_xlfn.CONCAT(Sales[[#This Row],[Subscription Type]]," ",Sales[[#This Row],[Upsell Priority]]," ",TEXT(Sales[[#This Row],[Current Upsell $]],"$#,#")),"")</f>
        <v/>
      </c>
    </row>
    <row r="672" spans="1:18" x14ac:dyDescent="0.25">
      <c r="A672">
        <v>100057</v>
      </c>
      <c r="B672" t="s">
        <v>0</v>
      </c>
      <c r="D672" s="1"/>
      <c r="E672" s="1"/>
      <c r="F672">
        <v>56</v>
      </c>
      <c r="G672">
        <v>52</v>
      </c>
      <c r="H672" s="1">
        <v>44013</v>
      </c>
      <c r="I672" s="1">
        <v>44378</v>
      </c>
      <c r="J672">
        <v>12</v>
      </c>
      <c r="K672">
        <v>0</v>
      </c>
      <c r="L672" s="1">
        <v>44105</v>
      </c>
      <c r="M672">
        <v>560</v>
      </c>
      <c r="N672" s="8" cm="1">
        <f t="array" ref="N672">_xlfn.SWITCH(Sales[[#This Row],[Subscription Type]],"Basic",10,"Premium",10,"Business",25,"Enterprise",27)</f>
        <v>10</v>
      </c>
      <c r="O672">
        <f>IF(Sales[[#This Row],[Number of Users]]-Sales[[#This Row],[Licenses Bought]]&lt;0,0,Sales[[#This Row],[Number of Users]]-Sales[[#This Row],[Licenses Bought]])</f>
        <v>0</v>
      </c>
      <c r="P672" s="8">
        <f>IF(Sales[[#This Row],[Sales Month]]=MAX(Sales[Sales Month]),Sales[[#This Row],[Non-Paying Users]]*Sales[[#This Row],[Upsell $ per Non-Paying User]],0)</f>
        <v>0</v>
      </c>
      <c r="Q672" t="str" cm="1">
        <f t="array" ref="Q672">_xlfn.IFS(Sales[[#This Row],[Current Upsell $]]=0,"",Sales[[#This Row],[Current Upsell $]]&gt;=400,"High",Sales[[#This Row],[Current Upsell $]]&gt;=100,"Medium",Sales[[#This Row],[Current Upsell $]]&lt;100,"Low")</f>
        <v/>
      </c>
      <c r="R672" t="str">
        <f>IF(Sales[[#This Row],[Current Upsell $]]&gt;0,_xlfn.CONCAT(Sales[[#This Row],[Subscription Type]]," ",Sales[[#This Row],[Upsell Priority]]," ",TEXT(Sales[[#This Row],[Current Upsell $]],"$#,#")),"")</f>
        <v/>
      </c>
    </row>
    <row r="673" spans="1:18" x14ac:dyDescent="0.25">
      <c r="A673">
        <v>100057</v>
      </c>
      <c r="B673" t="s">
        <v>0</v>
      </c>
      <c r="D673" s="1"/>
      <c r="E673" s="1"/>
      <c r="F673">
        <v>56</v>
      </c>
      <c r="G673">
        <v>62</v>
      </c>
      <c r="H673" s="1">
        <v>44013</v>
      </c>
      <c r="I673" s="1">
        <v>44378</v>
      </c>
      <c r="J673">
        <v>12</v>
      </c>
      <c r="K673">
        <v>0</v>
      </c>
      <c r="L673" s="1">
        <v>44136</v>
      </c>
      <c r="M673">
        <v>560</v>
      </c>
      <c r="N673" s="8" cm="1">
        <f t="array" ref="N673">_xlfn.SWITCH(Sales[[#This Row],[Subscription Type]],"Basic",10,"Premium",10,"Business",25,"Enterprise",27)</f>
        <v>10</v>
      </c>
      <c r="O673">
        <f>IF(Sales[[#This Row],[Number of Users]]-Sales[[#This Row],[Licenses Bought]]&lt;0,0,Sales[[#This Row],[Number of Users]]-Sales[[#This Row],[Licenses Bought]])</f>
        <v>6</v>
      </c>
      <c r="P673" s="8">
        <f>IF(Sales[[#This Row],[Sales Month]]=MAX(Sales[Sales Month]),Sales[[#This Row],[Non-Paying Users]]*Sales[[#This Row],[Upsell $ per Non-Paying User]],0)</f>
        <v>0</v>
      </c>
      <c r="Q673" t="str" cm="1">
        <f t="array" ref="Q673">_xlfn.IFS(Sales[[#This Row],[Current Upsell $]]=0,"",Sales[[#This Row],[Current Upsell $]]&gt;=400,"High",Sales[[#This Row],[Current Upsell $]]&gt;=100,"Medium",Sales[[#This Row],[Current Upsell $]]&lt;100,"Low")</f>
        <v/>
      </c>
      <c r="R673" t="str">
        <f>IF(Sales[[#This Row],[Current Upsell $]]&gt;0,_xlfn.CONCAT(Sales[[#This Row],[Subscription Type]]," ",Sales[[#This Row],[Upsell Priority]]," ",TEXT(Sales[[#This Row],[Current Upsell $]],"$#,#")),"")</f>
        <v/>
      </c>
    </row>
    <row r="674" spans="1:18" x14ac:dyDescent="0.25">
      <c r="A674">
        <v>100057</v>
      </c>
      <c r="B674" t="s">
        <v>0</v>
      </c>
      <c r="D674" s="1"/>
      <c r="E674" s="1"/>
      <c r="F674">
        <v>56</v>
      </c>
      <c r="G674">
        <v>75</v>
      </c>
      <c r="H674" s="1">
        <v>44013</v>
      </c>
      <c r="I674" s="1">
        <v>44378</v>
      </c>
      <c r="J674">
        <v>12</v>
      </c>
      <c r="K674">
        <v>0</v>
      </c>
      <c r="L674" s="1">
        <v>44166</v>
      </c>
      <c r="M674">
        <v>560</v>
      </c>
      <c r="N674" s="8" cm="1">
        <f t="array" ref="N674">_xlfn.SWITCH(Sales[[#This Row],[Subscription Type]],"Basic",10,"Premium",10,"Business",25,"Enterprise",27)</f>
        <v>10</v>
      </c>
      <c r="O674">
        <f>IF(Sales[[#This Row],[Number of Users]]-Sales[[#This Row],[Licenses Bought]]&lt;0,0,Sales[[#This Row],[Number of Users]]-Sales[[#This Row],[Licenses Bought]])</f>
        <v>19</v>
      </c>
      <c r="P674" s="8">
        <f>IF(Sales[[#This Row],[Sales Month]]=MAX(Sales[Sales Month]),Sales[[#This Row],[Non-Paying Users]]*Sales[[#This Row],[Upsell $ per Non-Paying User]],0)</f>
        <v>0</v>
      </c>
      <c r="Q674" t="str" cm="1">
        <f t="array" ref="Q674">_xlfn.IFS(Sales[[#This Row],[Current Upsell $]]=0,"",Sales[[#This Row],[Current Upsell $]]&gt;=400,"High",Sales[[#This Row],[Current Upsell $]]&gt;=100,"Medium",Sales[[#This Row],[Current Upsell $]]&lt;100,"Low")</f>
        <v/>
      </c>
      <c r="R674" t="str">
        <f>IF(Sales[[#This Row],[Current Upsell $]]&gt;0,_xlfn.CONCAT(Sales[[#This Row],[Subscription Type]]," ",Sales[[#This Row],[Upsell Priority]]," ",TEXT(Sales[[#This Row],[Current Upsell $]],"$#,#")),"")</f>
        <v/>
      </c>
    </row>
    <row r="675" spans="1:18" x14ac:dyDescent="0.25">
      <c r="A675">
        <v>100057</v>
      </c>
      <c r="B675" t="s">
        <v>0</v>
      </c>
      <c r="D675" s="1"/>
      <c r="E675" s="1"/>
      <c r="F675">
        <v>56</v>
      </c>
      <c r="G675">
        <v>60</v>
      </c>
      <c r="H675" s="1">
        <v>44013</v>
      </c>
      <c r="I675" s="1">
        <v>44378</v>
      </c>
      <c r="J675">
        <v>12</v>
      </c>
      <c r="K675">
        <v>0</v>
      </c>
      <c r="L675" s="1">
        <v>44197</v>
      </c>
      <c r="M675">
        <v>560</v>
      </c>
      <c r="N675" s="8" cm="1">
        <f t="array" ref="N675">_xlfn.SWITCH(Sales[[#This Row],[Subscription Type]],"Basic",10,"Premium",10,"Business",25,"Enterprise",27)</f>
        <v>10</v>
      </c>
      <c r="O675">
        <f>IF(Sales[[#This Row],[Number of Users]]-Sales[[#This Row],[Licenses Bought]]&lt;0,0,Sales[[#This Row],[Number of Users]]-Sales[[#This Row],[Licenses Bought]])</f>
        <v>4</v>
      </c>
      <c r="P675" s="8">
        <f>IF(Sales[[#This Row],[Sales Month]]=MAX(Sales[Sales Month]),Sales[[#This Row],[Non-Paying Users]]*Sales[[#This Row],[Upsell $ per Non-Paying User]],0)</f>
        <v>0</v>
      </c>
      <c r="Q675" t="str" cm="1">
        <f t="array" ref="Q675">_xlfn.IFS(Sales[[#This Row],[Current Upsell $]]=0,"",Sales[[#This Row],[Current Upsell $]]&gt;=400,"High",Sales[[#This Row],[Current Upsell $]]&gt;=100,"Medium",Sales[[#This Row],[Current Upsell $]]&lt;100,"Low")</f>
        <v/>
      </c>
      <c r="R675" t="str">
        <f>IF(Sales[[#This Row],[Current Upsell $]]&gt;0,_xlfn.CONCAT(Sales[[#This Row],[Subscription Type]]," ",Sales[[#This Row],[Upsell Priority]]," ",TEXT(Sales[[#This Row],[Current Upsell $]],"$#,#")),"")</f>
        <v/>
      </c>
    </row>
    <row r="676" spans="1:18" x14ac:dyDescent="0.25">
      <c r="A676">
        <v>100057</v>
      </c>
      <c r="B676" t="s">
        <v>0</v>
      </c>
      <c r="D676" s="1"/>
      <c r="E676" s="1"/>
      <c r="F676">
        <v>56</v>
      </c>
      <c r="G676">
        <v>73</v>
      </c>
      <c r="H676" s="1">
        <v>44013</v>
      </c>
      <c r="I676" s="1">
        <v>44378</v>
      </c>
      <c r="J676">
        <v>12</v>
      </c>
      <c r="K676">
        <v>0</v>
      </c>
      <c r="L676" s="1">
        <v>44228</v>
      </c>
      <c r="M676">
        <v>560</v>
      </c>
      <c r="N676" s="8" cm="1">
        <f t="array" ref="N676">_xlfn.SWITCH(Sales[[#This Row],[Subscription Type]],"Basic",10,"Premium",10,"Business",25,"Enterprise",27)</f>
        <v>10</v>
      </c>
      <c r="O676">
        <f>IF(Sales[[#This Row],[Number of Users]]-Sales[[#This Row],[Licenses Bought]]&lt;0,0,Sales[[#This Row],[Number of Users]]-Sales[[#This Row],[Licenses Bought]])</f>
        <v>17</v>
      </c>
      <c r="P676" s="8">
        <f>IF(Sales[[#This Row],[Sales Month]]=MAX(Sales[Sales Month]),Sales[[#This Row],[Non-Paying Users]]*Sales[[#This Row],[Upsell $ per Non-Paying User]],0)</f>
        <v>0</v>
      </c>
      <c r="Q676" t="str" cm="1">
        <f t="array" ref="Q676">_xlfn.IFS(Sales[[#This Row],[Current Upsell $]]=0,"",Sales[[#This Row],[Current Upsell $]]&gt;=400,"High",Sales[[#This Row],[Current Upsell $]]&gt;=100,"Medium",Sales[[#This Row],[Current Upsell $]]&lt;100,"Low")</f>
        <v/>
      </c>
      <c r="R676" t="str">
        <f>IF(Sales[[#This Row],[Current Upsell $]]&gt;0,_xlfn.CONCAT(Sales[[#This Row],[Subscription Type]]," ",Sales[[#This Row],[Upsell Priority]]," ",TEXT(Sales[[#This Row],[Current Upsell $]],"$#,#")),"")</f>
        <v/>
      </c>
    </row>
    <row r="677" spans="1:18" x14ac:dyDescent="0.25">
      <c r="A677">
        <v>100057</v>
      </c>
      <c r="B677" t="s">
        <v>0</v>
      </c>
      <c r="D677" s="1"/>
      <c r="E677" s="1"/>
      <c r="F677">
        <v>56</v>
      </c>
      <c r="G677">
        <v>62</v>
      </c>
      <c r="H677" s="1">
        <v>44013</v>
      </c>
      <c r="I677" s="1">
        <v>44378</v>
      </c>
      <c r="J677">
        <v>12</v>
      </c>
      <c r="K677">
        <v>0</v>
      </c>
      <c r="L677" s="1">
        <v>44256</v>
      </c>
      <c r="M677">
        <v>560</v>
      </c>
      <c r="N677" s="8" cm="1">
        <f t="array" ref="N677">_xlfn.SWITCH(Sales[[#This Row],[Subscription Type]],"Basic",10,"Premium",10,"Business",25,"Enterprise",27)</f>
        <v>10</v>
      </c>
      <c r="O677">
        <f>IF(Sales[[#This Row],[Number of Users]]-Sales[[#This Row],[Licenses Bought]]&lt;0,0,Sales[[#This Row],[Number of Users]]-Sales[[#This Row],[Licenses Bought]])</f>
        <v>6</v>
      </c>
      <c r="P677" s="8">
        <f>IF(Sales[[#This Row],[Sales Month]]=MAX(Sales[Sales Month]),Sales[[#This Row],[Non-Paying Users]]*Sales[[#This Row],[Upsell $ per Non-Paying User]],0)</f>
        <v>0</v>
      </c>
      <c r="Q677" t="str" cm="1">
        <f t="array" ref="Q677">_xlfn.IFS(Sales[[#This Row],[Current Upsell $]]=0,"",Sales[[#This Row],[Current Upsell $]]&gt;=400,"High",Sales[[#This Row],[Current Upsell $]]&gt;=100,"Medium",Sales[[#This Row],[Current Upsell $]]&lt;100,"Low")</f>
        <v/>
      </c>
      <c r="R677" t="str">
        <f>IF(Sales[[#This Row],[Current Upsell $]]&gt;0,_xlfn.CONCAT(Sales[[#This Row],[Subscription Type]]," ",Sales[[#This Row],[Upsell Priority]]," ",TEXT(Sales[[#This Row],[Current Upsell $]],"$#,#")),"")</f>
        <v/>
      </c>
    </row>
    <row r="678" spans="1:18" x14ac:dyDescent="0.25">
      <c r="A678">
        <v>100057</v>
      </c>
      <c r="B678" t="s">
        <v>0</v>
      </c>
      <c r="D678" s="1"/>
      <c r="E678" s="1"/>
      <c r="F678">
        <v>56</v>
      </c>
      <c r="G678">
        <v>59</v>
      </c>
      <c r="H678" s="1">
        <v>44013</v>
      </c>
      <c r="I678" s="1">
        <v>44378</v>
      </c>
      <c r="J678">
        <v>12</v>
      </c>
      <c r="K678">
        <v>0</v>
      </c>
      <c r="L678" s="1">
        <v>44287</v>
      </c>
      <c r="M678">
        <v>560</v>
      </c>
      <c r="N678" s="8" cm="1">
        <f t="array" ref="N678">_xlfn.SWITCH(Sales[[#This Row],[Subscription Type]],"Basic",10,"Premium",10,"Business",25,"Enterprise",27)</f>
        <v>10</v>
      </c>
      <c r="O678">
        <f>IF(Sales[[#This Row],[Number of Users]]-Sales[[#This Row],[Licenses Bought]]&lt;0,0,Sales[[#This Row],[Number of Users]]-Sales[[#This Row],[Licenses Bought]])</f>
        <v>3</v>
      </c>
      <c r="P678" s="8">
        <f>IF(Sales[[#This Row],[Sales Month]]=MAX(Sales[Sales Month]),Sales[[#This Row],[Non-Paying Users]]*Sales[[#This Row],[Upsell $ per Non-Paying User]],0)</f>
        <v>0</v>
      </c>
      <c r="Q678" t="str" cm="1">
        <f t="array" ref="Q678">_xlfn.IFS(Sales[[#This Row],[Current Upsell $]]=0,"",Sales[[#This Row],[Current Upsell $]]&gt;=400,"High",Sales[[#This Row],[Current Upsell $]]&gt;=100,"Medium",Sales[[#This Row],[Current Upsell $]]&lt;100,"Low")</f>
        <v/>
      </c>
      <c r="R678" t="str">
        <f>IF(Sales[[#This Row],[Current Upsell $]]&gt;0,_xlfn.CONCAT(Sales[[#This Row],[Subscription Type]]," ",Sales[[#This Row],[Upsell Priority]]," ",TEXT(Sales[[#This Row],[Current Upsell $]],"$#,#")),"")</f>
        <v/>
      </c>
    </row>
    <row r="679" spans="1:18" x14ac:dyDescent="0.25">
      <c r="A679">
        <v>100057</v>
      </c>
      <c r="B679" t="s">
        <v>0</v>
      </c>
      <c r="D679" s="1"/>
      <c r="E679" s="1"/>
      <c r="F679">
        <v>56</v>
      </c>
      <c r="G679">
        <v>59</v>
      </c>
      <c r="H679" s="1">
        <v>44013</v>
      </c>
      <c r="I679" s="1">
        <v>44378</v>
      </c>
      <c r="J679">
        <v>12</v>
      </c>
      <c r="K679">
        <v>0</v>
      </c>
      <c r="L679" s="1">
        <v>44317</v>
      </c>
      <c r="M679">
        <v>560</v>
      </c>
      <c r="N679" s="8" cm="1">
        <f t="array" ref="N679">_xlfn.SWITCH(Sales[[#This Row],[Subscription Type]],"Basic",10,"Premium",10,"Business",25,"Enterprise",27)</f>
        <v>10</v>
      </c>
      <c r="O679">
        <f>IF(Sales[[#This Row],[Number of Users]]-Sales[[#This Row],[Licenses Bought]]&lt;0,0,Sales[[#This Row],[Number of Users]]-Sales[[#This Row],[Licenses Bought]])</f>
        <v>3</v>
      </c>
      <c r="P679" s="8">
        <f>IF(Sales[[#This Row],[Sales Month]]=MAX(Sales[Sales Month]),Sales[[#This Row],[Non-Paying Users]]*Sales[[#This Row],[Upsell $ per Non-Paying User]],0)</f>
        <v>0</v>
      </c>
      <c r="Q679" t="str" cm="1">
        <f t="array" ref="Q679">_xlfn.IFS(Sales[[#This Row],[Current Upsell $]]=0,"",Sales[[#This Row],[Current Upsell $]]&gt;=400,"High",Sales[[#This Row],[Current Upsell $]]&gt;=100,"Medium",Sales[[#This Row],[Current Upsell $]]&lt;100,"Low")</f>
        <v/>
      </c>
      <c r="R679" t="str">
        <f>IF(Sales[[#This Row],[Current Upsell $]]&gt;0,_xlfn.CONCAT(Sales[[#This Row],[Subscription Type]]," ",Sales[[#This Row],[Upsell Priority]]," ",TEXT(Sales[[#This Row],[Current Upsell $]],"$#,#")),"")</f>
        <v/>
      </c>
    </row>
    <row r="680" spans="1:18" x14ac:dyDescent="0.25">
      <c r="A680">
        <v>100057</v>
      </c>
      <c r="B680" t="s">
        <v>0</v>
      </c>
      <c r="D680" s="1"/>
      <c r="E680" s="1"/>
      <c r="F680">
        <v>56</v>
      </c>
      <c r="G680">
        <v>76</v>
      </c>
      <c r="H680" s="1">
        <v>44013</v>
      </c>
      <c r="I680" s="1">
        <v>44378</v>
      </c>
      <c r="J680">
        <v>12</v>
      </c>
      <c r="K680">
        <v>0</v>
      </c>
      <c r="L680" s="1">
        <v>44348</v>
      </c>
      <c r="M680">
        <v>560</v>
      </c>
      <c r="N680" s="8" cm="1">
        <f t="array" ref="N680">_xlfn.SWITCH(Sales[[#This Row],[Subscription Type]],"Basic",10,"Premium",10,"Business",25,"Enterprise",27)</f>
        <v>10</v>
      </c>
      <c r="O680">
        <f>IF(Sales[[#This Row],[Number of Users]]-Sales[[#This Row],[Licenses Bought]]&lt;0,0,Sales[[#This Row],[Number of Users]]-Sales[[#This Row],[Licenses Bought]])</f>
        <v>20</v>
      </c>
      <c r="P680" s="8">
        <f>IF(Sales[[#This Row],[Sales Month]]=MAX(Sales[Sales Month]),Sales[[#This Row],[Non-Paying Users]]*Sales[[#This Row],[Upsell $ per Non-Paying User]],0)</f>
        <v>200</v>
      </c>
      <c r="Q680" t="str" cm="1">
        <f t="array" ref="Q680">_xlfn.IFS(Sales[[#This Row],[Current Upsell $]]=0,"",Sales[[#This Row],[Current Upsell $]]&gt;=400,"High",Sales[[#This Row],[Current Upsell $]]&gt;=100,"Medium",Sales[[#This Row],[Current Upsell $]]&lt;100,"Low")</f>
        <v>Medium</v>
      </c>
      <c r="R680" t="str">
        <f>IF(Sales[[#This Row],[Current Upsell $]]&gt;0,_xlfn.CONCAT(Sales[[#This Row],[Subscription Type]]," ",Sales[[#This Row],[Upsell Priority]]," ",TEXT(Sales[[#This Row],[Current Upsell $]],"$#,#")),"")</f>
        <v>Premium Medium $200</v>
      </c>
    </row>
    <row r="681" spans="1:18" x14ac:dyDescent="0.25">
      <c r="A681">
        <v>100058</v>
      </c>
      <c r="B681" t="s">
        <v>3</v>
      </c>
      <c r="D681" s="1"/>
      <c r="E681" s="1"/>
      <c r="F681">
        <v>0</v>
      </c>
      <c r="G681">
        <v>64</v>
      </c>
      <c r="H681" s="1">
        <v>44013</v>
      </c>
      <c r="I681" s="1">
        <v>44378</v>
      </c>
      <c r="J681">
        <v>12</v>
      </c>
      <c r="K681">
        <v>0</v>
      </c>
      <c r="L681" s="1">
        <v>44013</v>
      </c>
      <c r="M681">
        <v>0</v>
      </c>
      <c r="N681" s="8" cm="1">
        <f t="array" ref="N681">_xlfn.SWITCH(Sales[[#This Row],[Subscription Type]],"Basic",10,"Premium",10,"Business",25,"Enterprise",27)</f>
        <v>10</v>
      </c>
      <c r="O681">
        <f>IF(Sales[[#This Row],[Number of Users]]-Sales[[#This Row],[Licenses Bought]]&lt;0,0,Sales[[#This Row],[Number of Users]]-Sales[[#This Row],[Licenses Bought]])</f>
        <v>64</v>
      </c>
      <c r="P681" s="8">
        <f>IF(Sales[[#This Row],[Sales Month]]=MAX(Sales[Sales Month]),Sales[[#This Row],[Non-Paying Users]]*Sales[[#This Row],[Upsell $ per Non-Paying User]],0)</f>
        <v>0</v>
      </c>
      <c r="Q681" t="str" cm="1">
        <f t="array" ref="Q681">_xlfn.IFS(Sales[[#This Row],[Current Upsell $]]=0,"",Sales[[#This Row],[Current Upsell $]]&gt;=400,"High",Sales[[#This Row],[Current Upsell $]]&gt;=100,"Medium",Sales[[#This Row],[Current Upsell $]]&lt;100,"Low")</f>
        <v/>
      </c>
      <c r="R681" t="str">
        <f>IF(Sales[[#This Row],[Current Upsell $]]&gt;0,_xlfn.CONCAT(Sales[[#This Row],[Subscription Type]]," ",Sales[[#This Row],[Upsell Priority]]," ",TEXT(Sales[[#This Row],[Current Upsell $]],"$#,#")),"")</f>
        <v/>
      </c>
    </row>
    <row r="682" spans="1:18" x14ac:dyDescent="0.25">
      <c r="A682">
        <v>100058</v>
      </c>
      <c r="B682" t="s">
        <v>1</v>
      </c>
      <c r="D682" s="1"/>
      <c r="E682" s="1"/>
      <c r="F682">
        <v>23</v>
      </c>
      <c r="G682">
        <v>71</v>
      </c>
      <c r="H682" s="1">
        <v>44013</v>
      </c>
      <c r="I682" s="1">
        <v>44378</v>
      </c>
      <c r="J682">
        <v>12</v>
      </c>
      <c r="K682">
        <v>0</v>
      </c>
      <c r="L682" s="1">
        <v>44044</v>
      </c>
      <c r="M682">
        <v>575</v>
      </c>
      <c r="N682" s="8" cm="1">
        <f t="array" ref="N682">_xlfn.SWITCH(Sales[[#This Row],[Subscription Type]],"Basic",10,"Premium",10,"Business",25,"Enterprise",27)</f>
        <v>25</v>
      </c>
      <c r="O682">
        <f>IF(Sales[[#This Row],[Number of Users]]-Sales[[#This Row],[Licenses Bought]]&lt;0,0,Sales[[#This Row],[Number of Users]]-Sales[[#This Row],[Licenses Bought]])</f>
        <v>48</v>
      </c>
      <c r="P682" s="8">
        <f>IF(Sales[[#This Row],[Sales Month]]=MAX(Sales[Sales Month]),Sales[[#This Row],[Non-Paying Users]]*Sales[[#This Row],[Upsell $ per Non-Paying User]],0)</f>
        <v>0</v>
      </c>
      <c r="Q682" t="str" cm="1">
        <f t="array" ref="Q682">_xlfn.IFS(Sales[[#This Row],[Current Upsell $]]=0,"",Sales[[#This Row],[Current Upsell $]]&gt;=400,"High",Sales[[#This Row],[Current Upsell $]]&gt;=100,"Medium",Sales[[#This Row],[Current Upsell $]]&lt;100,"Low")</f>
        <v/>
      </c>
      <c r="R682" t="str">
        <f>IF(Sales[[#This Row],[Current Upsell $]]&gt;0,_xlfn.CONCAT(Sales[[#This Row],[Subscription Type]]," ",Sales[[#This Row],[Upsell Priority]]," ",TEXT(Sales[[#This Row],[Current Upsell $]],"$#,#")),"")</f>
        <v/>
      </c>
    </row>
    <row r="683" spans="1:18" x14ac:dyDescent="0.25">
      <c r="A683">
        <v>100058</v>
      </c>
      <c r="B683" t="s">
        <v>1</v>
      </c>
      <c r="D683" s="1"/>
      <c r="E683" s="1"/>
      <c r="F683">
        <v>31</v>
      </c>
      <c r="G683">
        <v>64</v>
      </c>
      <c r="H683" s="1">
        <v>44013</v>
      </c>
      <c r="I683" s="1">
        <v>44378</v>
      </c>
      <c r="J683">
        <v>12</v>
      </c>
      <c r="K683">
        <v>0</v>
      </c>
      <c r="L683" s="1">
        <v>44075</v>
      </c>
      <c r="M683">
        <v>775</v>
      </c>
      <c r="N683" s="8" cm="1">
        <f t="array" ref="N683">_xlfn.SWITCH(Sales[[#This Row],[Subscription Type]],"Basic",10,"Premium",10,"Business",25,"Enterprise",27)</f>
        <v>25</v>
      </c>
      <c r="O683">
        <f>IF(Sales[[#This Row],[Number of Users]]-Sales[[#This Row],[Licenses Bought]]&lt;0,0,Sales[[#This Row],[Number of Users]]-Sales[[#This Row],[Licenses Bought]])</f>
        <v>33</v>
      </c>
      <c r="P683" s="8">
        <f>IF(Sales[[#This Row],[Sales Month]]=MAX(Sales[Sales Month]),Sales[[#This Row],[Non-Paying Users]]*Sales[[#This Row],[Upsell $ per Non-Paying User]],0)</f>
        <v>0</v>
      </c>
      <c r="Q683" t="str" cm="1">
        <f t="array" ref="Q683">_xlfn.IFS(Sales[[#This Row],[Current Upsell $]]=0,"",Sales[[#This Row],[Current Upsell $]]&gt;=400,"High",Sales[[#This Row],[Current Upsell $]]&gt;=100,"Medium",Sales[[#This Row],[Current Upsell $]]&lt;100,"Low")</f>
        <v/>
      </c>
      <c r="R683" t="str">
        <f>IF(Sales[[#This Row],[Current Upsell $]]&gt;0,_xlfn.CONCAT(Sales[[#This Row],[Subscription Type]]," ",Sales[[#This Row],[Upsell Priority]]," ",TEXT(Sales[[#This Row],[Current Upsell $]],"$#,#")),"")</f>
        <v/>
      </c>
    </row>
    <row r="684" spans="1:18" x14ac:dyDescent="0.25">
      <c r="A684">
        <v>100058</v>
      </c>
      <c r="B684" t="s">
        <v>1</v>
      </c>
      <c r="D684" s="1"/>
      <c r="E684" s="1"/>
      <c r="F684">
        <v>55</v>
      </c>
      <c r="G684">
        <v>52</v>
      </c>
      <c r="H684" s="1">
        <v>44013</v>
      </c>
      <c r="I684" s="1">
        <v>44378</v>
      </c>
      <c r="J684">
        <v>12</v>
      </c>
      <c r="K684">
        <v>0</v>
      </c>
      <c r="L684" s="1">
        <v>44105</v>
      </c>
      <c r="M684">
        <v>1375</v>
      </c>
      <c r="N684" s="8" cm="1">
        <f t="array" ref="N684">_xlfn.SWITCH(Sales[[#This Row],[Subscription Type]],"Basic",10,"Premium",10,"Business",25,"Enterprise",27)</f>
        <v>25</v>
      </c>
      <c r="O684">
        <f>IF(Sales[[#This Row],[Number of Users]]-Sales[[#This Row],[Licenses Bought]]&lt;0,0,Sales[[#This Row],[Number of Users]]-Sales[[#This Row],[Licenses Bought]])</f>
        <v>0</v>
      </c>
      <c r="P684" s="8">
        <f>IF(Sales[[#This Row],[Sales Month]]=MAX(Sales[Sales Month]),Sales[[#This Row],[Non-Paying Users]]*Sales[[#This Row],[Upsell $ per Non-Paying User]],0)</f>
        <v>0</v>
      </c>
      <c r="Q684" t="str" cm="1">
        <f t="array" ref="Q684">_xlfn.IFS(Sales[[#This Row],[Current Upsell $]]=0,"",Sales[[#This Row],[Current Upsell $]]&gt;=400,"High",Sales[[#This Row],[Current Upsell $]]&gt;=100,"Medium",Sales[[#This Row],[Current Upsell $]]&lt;100,"Low")</f>
        <v/>
      </c>
      <c r="R684" t="str">
        <f>IF(Sales[[#This Row],[Current Upsell $]]&gt;0,_xlfn.CONCAT(Sales[[#This Row],[Subscription Type]]," ",Sales[[#This Row],[Upsell Priority]]," ",TEXT(Sales[[#This Row],[Current Upsell $]],"$#,#")),"")</f>
        <v/>
      </c>
    </row>
    <row r="685" spans="1:18" x14ac:dyDescent="0.25">
      <c r="A685">
        <v>100058</v>
      </c>
      <c r="B685" t="s">
        <v>1</v>
      </c>
      <c r="D685" s="1"/>
      <c r="E685" s="1"/>
      <c r="F685">
        <v>55</v>
      </c>
      <c r="G685">
        <v>69</v>
      </c>
      <c r="H685" s="1">
        <v>44013</v>
      </c>
      <c r="I685" s="1">
        <v>44378</v>
      </c>
      <c r="J685">
        <v>12</v>
      </c>
      <c r="K685">
        <v>0</v>
      </c>
      <c r="L685" s="1">
        <v>44136</v>
      </c>
      <c r="M685">
        <v>1375</v>
      </c>
      <c r="N685" s="8" cm="1">
        <f t="array" ref="N685">_xlfn.SWITCH(Sales[[#This Row],[Subscription Type]],"Basic",10,"Premium",10,"Business",25,"Enterprise",27)</f>
        <v>25</v>
      </c>
      <c r="O685">
        <f>IF(Sales[[#This Row],[Number of Users]]-Sales[[#This Row],[Licenses Bought]]&lt;0,0,Sales[[#This Row],[Number of Users]]-Sales[[#This Row],[Licenses Bought]])</f>
        <v>14</v>
      </c>
      <c r="P685" s="8">
        <f>IF(Sales[[#This Row],[Sales Month]]=MAX(Sales[Sales Month]),Sales[[#This Row],[Non-Paying Users]]*Sales[[#This Row],[Upsell $ per Non-Paying User]],0)</f>
        <v>0</v>
      </c>
      <c r="Q685" t="str" cm="1">
        <f t="array" ref="Q685">_xlfn.IFS(Sales[[#This Row],[Current Upsell $]]=0,"",Sales[[#This Row],[Current Upsell $]]&gt;=400,"High",Sales[[#This Row],[Current Upsell $]]&gt;=100,"Medium",Sales[[#This Row],[Current Upsell $]]&lt;100,"Low")</f>
        <v/>
      </c>
      <c r="R685" t="str">
        <f>IF(Sales[[#This Row],[Current Upsell $]]&gt;0,_xlfn.CONCAT(Sales[[#This Row],[Subscription Type]]," ",Sales[[#This Row],[Upsell Priority]]," ",TEXT(Sales[[#This Row],[Current Upsell $]],"$#,#")),"")</f>
        <v/>
      </c>
    </row>
    <row r="686" spans="1:18" x14ac:dyDescent="0.25">
      <c r="A686">
        <v>100058</v>
      </c>
      <c r="B686" t="s">
        <v>1</v>
      </c>
      <c r="D686" s="1"/>
      <c r="E686" s="1"/>
      <c r="F686">
        <v>55</v>
      </c>
      <c r="G686">
        <v>72</v>
      </c>
      <c r="H686" s="1">
        <v>44013</v>
      </c>
      <c r="I686" s="1">
        <v>44378</v>
      </c>
      <c r="J686">
        <v>12</v>
      </c>
      <c r="K686">
        <v>0</v>
      </c>
      <c r="L686" s="1">
        <v>44166</v>
      </c>
      <c r="M686">
        <v>1375</v>
      </c>
      <c r="N686" s="8" cm="1">
        <f t="array" ref="N686">_xlfn.SWITCH(Sales[[#This Row],[Subscription Type]],"Basic",10,"Premium",10,"Business",25,"Enterprise",27)</f>
        <v>25</v>
      </c>
      <c r="O686">
        <f>IF(Sales[[#This Row],[Number of Users]]-Sales[[#This Row],[Licenses Bought]]&lt;0,0,Sales[[#This Row],[Number of Users]]-Sales[[#This Row],[Licenses Bought]])</f>
        <v>17</v>
      </c>
      <c r="P686" s="8">
        <f>IF(Sales[[#This Row],[Sales Month]]=MAX(Sales[Sales Month]),Sales[[#This Row],[Non-Paying Users]]*Sales[[#This Row],[Upsell $ per Non-Paying User]],0)</f>
        <v>0</v>
      </c>
      <c r="Q686" t="str" cm="1">
        <f t="array" ref="Q686">_xlfn.IFS(Sales[[#This Row],[Current Upsell $]]=0,"",Sales[[#This Row],[Current Upsell $]]&gt;=400,"High",Sales[[#This Row],[Current Upsell $]]&gt;=100,"Medium",Sales[[#This Row],[Current Upsell $]]&lt;100,"Low")</f>
        <v/>
      </c>
      <c r="R686" t="str">
        <f>IF(Sales[[#This Row],[Current Upsell $]]&gt;0,_xlfn.CONCAT(Sales[[#This Row],[Subscription Type]]," ",Sales[[#This Row],[Upsell Priority]]," ",TEXT(Sales[[#This Row],[Current Upsell $]],"$#,#")),"")</f>
        <v/>
      </c>
    </row>
    <row r="687" spans="1:18" x14ac:dyDescent="0.25">
      <c r="A687">
        <v>100058</v>
      </c>
      <c r="B687" t="s">
        <v>1</v>
      </c>
      <c r="D687" s="1"/>
      <c r="E687" s="1"/>
      <c r="F687">
        <v>55</v>
      </c>
      <c r="G687">
        <v>69</v>
      </c>
      <c r="H687" s="1">
        <v>44013</v>
      </c>
      <c r="I687" s="1">
        <v>44378</v>
      </c>
      <c r="J687">
        <v>12</v>
      </c>
      <c r="K687">
        <v>0</v>
      </c>
      <c r="L687" s="1">
        <v>44197</v>
      </c>
      <c r="M687">
        <v>1375</v>
      </c>
      <c r="N687" s="8" cm="1">
        <f t="array" ref="N687">_xlfn.SWITCH(Sales[[#This Row],[Subscription Type]],"Basic",10,"Premium",10,"Business",25,"Enterprise",27)</f>
        <v>25</v>
      </c>
      <c r="O687">
        <f>IF(Sales[[#This Row],[Number of Users]]-Sales[[#This Row],[Licenses Bought]]&lt;0,0,Sales[[#This Row],[Number of Users]]-Sales[[#This Row],[Licenses Bought]])</f>
        <v>14</v>
      </c>
      <c r="P687" s="8">
        <f>IF(Sales[[#This Row],[Sales Month]]=MAX(Sales[Sales Month]),Sales[[#This Row],[Non-Paying Users]]*Sales[[#This Row],[Upsell $ per Non-Paying User]],0)</f>
        <v>0</v>
      </c>
      <c r="Q687" t="str" cm="1">
        <f t="array" ref="Q687">_xlfn.IFS(Sales[[#This Row],[Current Upsell $]]=0,"",Sales[[#This Row],[Current Upsell $]]&gt;=400,"High",Sales[[#This Row],[Current Upsell $]]&gt;=100,"Medium",Sales[[#This Row],[Current Upsell $]]&lt;100,"Low")</f>
        <v/>
      </c>
      <c r="R687" t="str">
        <f>IF(Sales[[#This Row],[Current Upsell $]]&gt;0,_xlfn.CONCAT(Sales[[#This Row],[Subscription Type]]," ",Sales[[#This Row],[Upsell Priority]]," ",TEXT(Sales[[#This Row],[Current Upsell $]],"$#,#")),"")</f>
        <v/>
      </c>
    </row>
    <row r="688" spans="1:18" x14ac:dyDescent="0.25">
      <c r="A688">
        <v>100058</v>
      </c>
      <c r="B688" t="s">
        <v>1</v>
      </c>
      <c r="D688" s="1"/>
      <c r="E688" s="1"/>
      <c r="F688">
        <v>55</v>
      </c>
      <c r="G688">
        <v>56</v>
      </c>
      <c r="H688" s="1">
        <v>44013</v>
      </c>
      <c r="I688" s="1">
        <v>44378</v>
      </c>
      <c r="J688">
        <v>12</v>
      </c>
      <c r="K688">
        <v>0</v>
      </c>
      <c r="L688" s="1">
        <v>44228</v>
      </c>
      <c r="M688">
        <v>1375</v>
      </c>
      <c r="N688" s="8" cm="1">
        <f t="array" ref="N688">_xlfn.SWITCH(Sales[[#This Row],[Subscription Type]],"Basic",10,"Premium",10,"Business",25,"Enterprise",27)</f>
        <v>25</v>
      </c>
      <c r="O688">
        <f>IF(Sales[[#This Row],[Number of Users]]-Sales[[#This Row],[Licenses Bought]]&lt;0,0,Sales[[#This Row],[Number of Users]]-Sales[[#This Row],[Licenses Bought]])</f>
        <v>1</v>
      </c>
      <c r="P688" s="8">
        <f>IF(Sales[[#This Row],[Sales Month]]=MAX(Sales[Sales Month]),Sales[[#This Row],[Non-Paying Users]]*Sales[[#This Row],[Upsell $ per Non-Paying User]],0)</f>
        <v>0</v>
      </c>
      <c r="Q688" t="str" cm="1">
        <f t="array" ref="Q688">_xlfn.IFS(Sales[[#This Row],[Current Upsell $]]=0,"",Sales[[#This Row],[Current Upsell $]]&gt;=400,"High",Sales[[#This Row],[Current Upsell $]]&gt;=100,"Medium",Sales[[#This Row],[Current Upsell $]]&lt;100,"Low")</f>
        <v/>
      </c>
      <c r="R688" t="str">
        <f>IF(Sales[[#This Row],[Current Upsell $]]&gt;0,_xlfn.CONCAT(Sales[[#This Row],[Subscription Type]]," ",Sales[[#This Row],[Upsell Priority]]," ",TEXT(Sales[[#This Row],[Current Upsell $]],"$#,#")),"")</f>
        <v/>
      </c>
    </row>
    <row r="689" spans="1:18" x14ac:dyDescent="0.25">
      <c r="A689">
        <v>100058</v>
      </c>
      <c r="B689" t="s">
        <v>1</v>
      </c>
      <c r="D689" s="1"/>
      <c r="E689" s="1"/>
      <c r="F689">
        <v>55</v>
      </c>
      <c r="G689">
        <v>63</v>
      </c>
      <c r="H689" s="1">
        <v>44013</v>
      </c>
      <c r="I689" s="1">
        <v>44378</v>
      </c>
      <c r="J689">
        <v>12</v>
      </c>
      <c r="K689">
        <v>0</v>
      </c>
      <c r="L689" s="1">
        <v>44256</v>
      </c>
      <c r="M689">
        <v>1375</v>
      </c>
      <c r="N689" s="8" cm="1">
        <f t="array" ref="N689">_xlfn.SWITCH(Sales[[#This Row],[Subscription Type]],"Basic",10,"Premium",10,"Business",25,"Enterprise",27)</f>
        <v>25</v>
      </c>
      <c r="O689">
        <f>IF(Sales[[#This Row],[Number of Users]]-Sales[[#This Row],[Licenses Bought]]&lt;0,0,Sales[[#This Row],[Number of Users]]-Sales[[#This Row],[Licenses Bought]])</f>
        <v>8</v>
      </c>
      <c r="P689" s="8">
        <f>IF(Sales[[#This Row],[Sales Month]]=MAX(Sales[Sales Month]),Sales[[#This Row],[Non-Paying Users]]*Sales[[#This Row],[Upsell $ per Non-Paying User]],0)</f>
        <v>0</v>
      </c>
      <c r="Q689" t="str" cm="1">
        <f t="array" ref="Q689">_xlfn.IFS(Sales[[#This Row],[Current Upsell $]]=0,"",Sales[[#This Row],[Current Upsell $]]&gt;=400,"High",Sales[[#This Row],[Current Upsell $]]&gt;=100,"Medium",Sales[[#This Row],[Current Upsell $]]&lt;100,"Low")</f>
        <v/>
      </c>
      <c r="R689" t="str">
        <f>IF(Sales[[#This Row],[Current Upsell $]]&gt;0,_xlfn.CONCAT(Sales[[#This Row],[Subscription Type]]," ",Sales[[#This Row],[Upsell Priority]]," ",TEXT(Sales[[#This Row],[Current Upsell $]],"$#,#")),"")</f>
        <v/>
      </c>
    </row>
    <row r="690" spans="1:18" x14ac:dyDescent="0.25">
      <c r="A690">
        <v>100058</v>
      </c>
      <c r="B690" t="s">
        <v>1</v>
      </c>
      <c r="D690" s="1"/>
      <c r="E690" s="1"/>
      <c r="F690">
        <v>55</v>
      </c>
      <c r="G690">
        <v>70</v>
      </c>
      <c r="H690" s="1">
        <v>44013</v>
      </c>
      <c r="I690" s="1">
        <v>44378</v>
      </c>
      <c r="J690">
        <v>12</v>
      </c>
      <c r="K690">
        <v>0</v>
      </c>
      <c r="L690" s="1">
        <v>44287</v>
      </c>
      <c r="M690">
        <v>1375</v>
      </c>
      <c r="N690" s="8" cm="1">
        <f t="array" ref="N690">_xlfn.SWITCH(Sales[[#This Row],[Subscription Type]],"Basic",10,"Premium",10,"Business",25,"Enterprise",27)</f>
        <v>25</v>
      </c>
      <c r="O690">
        <f>IF(Sales[[#This Row],[Number of Users]]-Sales[[#This Row],[Licenses Bought]]&lt;0,0,Sales[[#This Row],[Number of Users]]-Sales[[#This Row],[Licenses Bought]])</f>
        <v>15</v>
      </c>
      <c r="P690" s="8">
        <f>IF(Sales[[#This Row],[Sales Month]]=MAX(Sales[Sales Month]),Sales[[#This Row],[Non-Paying Users]]*Sales[[#This Row],[Upsell $ per Non-Paying User]],0)</f>
        <v>0</v>
      </c>
      <c r="Q690" t="str" cm="1">
        <f t="array" ref="Q690">_xlfn.IFS(Sales[[#This Row],[Current Upsell $]]=0,"",Sales[[#This Row],[Current Upsell $]]&gt;=400,"High",Sales[[#This Row],[Current Upsell $]]&gt;=100,"Medium",Sales[[#This Row],[Current Upsell $]]&lt;100,"Low")</f>
        <v/>
      </c>
      <c r="R690" t="str">
        <f>IF(Sales[[#This Row],[Current Upsell $]]&gt;0,_xlfn.CONCAT(Sales[[#This Row],[Subscription Type]]," ",Sales[[#This Row],[Upsell Priority]]," ",TEXT(Sales[[#This Row],[Current Upsell $]],"$#,#")),"")</f>
        <v/>
      </c>
    </row>
    <row r="691" spans="1:18" x14ac:dyDescent="0.25">
      <c r="A691">
        <v>100058</v>
      </c>
      <c r="B691" t="s">
        <v>1</v>
      </c>
      <c r="D691" s="1"/>
      <c r="E691" s="1"/>
      <c r="F691">
        <v>55</v>
      </c>
      <c r="G691">
        <v>62</v>
      </c>
      <c r="H691" s="1">
        <v>44013</v>
      </c>
      <c r="I691" s="1">
        <v>44378</v>
      </c>
      <c r="J691">
        <v>12</v>
      </c>
      <c r="K691">
        <v>0</v>
      </c>
      <c r="L691" s="1">
        <v>44317</v>
      </c>
      <c r="M691">
        <v>1375</v>
      </c>
      <c r="N691" s="8" cm="1">
        <f t="array" ref="N691">_xlfn.SWITCH(Sales[[#This Row],[Subscription Type]],"Basic",10,"Premium",10,"Business",25,"Enterprise",27)</f>
        <v>25</v>
      </c>
      <c r="O691">
        <f>IF(Sales[[#This Row],[Number of Users]]-Sales[[#This Row],[Licenses Bought]]&lt;0,0,Sales[[#This Row],[Number of Users]]-Sales[[#This Row],[Licenses Bought]])</f>
        <v>7</v>
      </c>
      <c r="P691" s="8">
        <f>IF(Sales[[#This Row],[Sales Month]]=MAX(Sales[Sales Month]),Sales[[#This Row],[Non-Paying Users]]*Sales[[#This Row],[Upsell $ per Non-Paying User]],0)</f>
        <v>0</v>
      </c>
      <c r="Q691" t="str" cm="1">
        <f t="array" ref="Q691">_xlfn.IFS(Sales[[#This Row],[Current Upsell $]]=0,"",Sales[[#This Row],[Current Upsell $]]&gt;=400,"High",Sales[[#This Row],[Current Upsell $]]&gt;=100,"Medium",Sales[[#This Row],[Current Upsell $]]&lt;100,"Low")</f>
        <v/>
      </c>
      <c r="R691" t="str">
        <f>IF(Sales[[#This Row],[Current Upsell $]]&gt;0,_xlfn.CONCAT(Sales[[#This Row],[Subscription Type]]," ",Sales[[#This Row],[Upsell Priority]]," ",TEXT(Sales[[#This Row],[Current Upsell $]],"$#,#")),"")</f>
        <v/>
      </c>
    </row>
    <row r="692" spans="1:18" x14ac:dyDescent="0.25">
      <c r="A692">
        <v>100058</v>
      </c>
      <c r="B692" t="s">
        <v>1</v>
      </c>
      <c r="D692" s="1"/>
      <c r="E692" s="1"/>
      <c r="F692">
        <v>55</v>
      </c>
      <c r="G692">
        <v>66</v>
      </c>
      <c r="H692" s="1">
        <v>44013</v>
      </c>
      <c r="I692" s="1">
        <v>44378</v>
      </c>
      <c r="J692">
        <v>12</v>
      </c>
      <c r="K692">
        <v>0</v>
      </c>
      <c r="L692" s="1">
        <v>44348</v>
      </c>
      <c r="M692">
        <v>1375</v>
      </c>
      <c r="N692" s="8" cm="1">
        <f t="array" ref="N692">_xlfn.SWITCH(Sales[[#This Row],[Subscription Type]],"Basic",10,"Premium",10,"Business",25,"Enterprise",27)</f>
        <v>25</v>
      </c>
      <c r="O692">
        <f>IF(Sales[[#This Row],[Number of Users]]-Sales[[#This Row],[Licenses Bought]]&lt;0,0,Sales[[#This Row],[Number of Users]]-Sales[[#This Row],[Licenses Bought]])</f>
        <v>11</v>
      </c>
      <c r="P692" s="8">
        <f>IF(Sales[[#This Row],[Sales Month]]=MAX(Sales[Sales Month]),Sales[[#This Row],[Non-Paying Users]]*Sales[[#This Row],[Upsell $ per Non-Paying User]],0)</f>
        <v>275</v>
      </c>
      <c r="Q692" t="str" cm="1">
        <f t="array" ref="Q692">_xlfn.IFS(Sales[[#This Row],[Current Upsell $]]=0,"",Sales[[#This Row],[Current Upsell $]]&gt;=400,"High",Sales[[#This Row],[Current Upsell $]]&gt;=100,"Medium",Sales[[#This Row],[Current Upsell $]]&lt;100,"Low")</f>
        <v>Medium</v>
      </c>
      <c r="R692" t="str">
        <f>IF(Sales[[#This Row],[Current Upsell $]]&gt;0,_xlfn.CONCAT(Sales[[#This Row],[Subscription Type]]," ",Sales[[#This Row],[Upsell Priority]]," ",TEXT(Sales[[#This Row],[Current Upsell $]],"$#,#")),"")</f>
        <v>Business Medium $275</v>
      </c>
    </row>
    <row r="693" spans="1:18" x14ac:dyDescent="0.25">
      <c r="A693">
        <v>100059</v>
      </c>
      <c r="B693" t="s">
        <v>3</v>
      </c>
      <c r="D693" s="1"/>
      <c r="E693" s="1"/>
      <c r="F693">
        <v>0</v>
      </c>
      <c r="G693">
        <v>40</v>
      </c>
      <c r="H693" s="1">
        <v>44013</v>
      </c>
      <c r="I693" s="1">
        <v>44378</v>
      </c>
      <c r="J693">
        <v>12</v>
      </c>
      <c r="K693">
        <v>0</v>
      </c>
      <c r="L693" s="1">
        <v>44013</v>
      </c>
      <c r="M693">
        <v>0</v>
      </c>
      <c r="N693" s="8" cm="1">
        <f t="array" ref="N693">_xlfn.SWITCH(Sales[[#This Row],[Subscription Type]],"Basic",10,"Premium",10,"Business",25,"Enterprise",27)</f>
        <v>10</v>
      </c>
      <c r="O693">
        <f>IF(Sales[[#This Row],[Number of Users]]-Sales[[#This Row],[Licenses Bought]]&lt;0,0,Sales[[#This Row],[Number of Users]]-Sales[[#This Row],[Licenses Bought]])</f>
        <v>40</v>
      </c>
      <c r="P693" s="8">
        <f>IF(Sales[[#This Row],[Sales Month]]=MAX(Sales[Sales Month]),Sales[[#This Row],[Non-Paying Users]]*Sales[[#This Row],[Upsell $ per Non-Paying User]],0)</f>
        <v>0</v>
      </c>
      <c r="Q693" t="str" cm="1">
        <f t="array" ref="Q693">_xlfn.IFS(Sales[[#This Row],[Current Upsell $]]=0,"",Sales[[#This Row],[Current Upsell $]]&gt;=400,"High",Sales[[#This Row],[Current Upsell $]]&gt;=100,"Medium",Sales[[#This Row],[Current Upsell $]]&lt;100,"Low")</f>
        <v/>
      </c>
      <c r="R693" t="str">
        <f>IF(Sales[[#This Row],[Current Upsell $]]&gt;0,_xlfn.CONCAT(Sales[[#This Row],[Subscription Type]]," ",Sales[[#This Row],[Upsell Priority]]," ",TEXT(Sales[[#This Row],[Current Upsell $]],"$#,#")),"")</f>
        <v/>
      </c>
    </row>
    <row r="694" spans="1:18" x14ac:dyDescent="0.25">
      <c r="A694">
        <v>100059</v>
      </c>
      <c r="B694" t="s">
        <v>0</v>
      </c>
      <c r="D694" s="1"/>
      <c r="E694" s="1"/>
      <c r="F694">
        <v>12</v>
      </c>
      <c r="G694">
        <v>38</v>
      </c>
      <c r="H694" s="1">
        <v>44013</v>
      </c>
      <c r="I694" s="1">
        <v>44378</v>
      </c>
      <c r="J694">
        <v>12</v>
      </c>
      <c r="K694">
        <v>0</v>
      </c>
      <c r="L694" s="1">
        <v>44044</v>
      </c>
      <c r="M694">
        <v>120</v>
      </c>
      <c r="N694" s="8" cm="1">
        <f t="array" ref="N694">_xlfn.SWITCH(Sales[[#This Row],[Subscription Type]],"Basic",10,"Premium",10,"Business",25,"Enterprise",27)</f>
        <v>10</v>
      </c>
      <c r="O694">
        <f>IF(Sales[[#This Row],[Number of Users]]-Sales[[#This Row],[Licenses Bought]]&lt;0,0,Sales[[#This Row],[Number of Users]]-Sales[[#This Row],[Licenses Bought]])</f>
        <v>26</v>
      </c>
      <c r="P694" s="8">
        <f>IF(Sales[[#This Row],[Sales Month]]=MAX(Sales[Sales Month]),Sales[[#This Row],[Non-Paying Users]]*Sales[[#This Row],[Upsell $ per Non-Paying User]],0)</f>
        <v>0</v>
      </c>
      <c r="Q694" t="str" cm="1">
        <f t="array" ref="Q694">_xlfn.IFS(Sales[[#This Row],[Current Upsell $]]=0,"",Sales[[#This Row],[Current Upsell $]]&gt;=400,"High",Sales[[#This Row],[Current Upsell $]]&gt;=100,"Medium",Sales[[#This Row],[Current Upsell $]]&lt;100,"Low")</f>
        <v/>
      </c>
      <c r="R694" t="str">
        <f>IF(Sales[[#This Row],[Current Upsell $]]&gt;0,_xlfn.CONCAT(Sales[[#This Row],[Subscription Type]]," ",Sales[[#This Row],[Upsell Priority]]," ",TEXT(Sales[[#This Row],[Current Upsell $]],"$#,#")),"")</f>
        <v/>
      </c>
    </row>
    <row r="695" spans="1:18" x14ac:dyDescent="0.25">
      <c r="A695">
        <v>100059</v>
      </c>
      <c r="B695" t="s">
        <v>0</v>
      </c>
      <c r="D695" s="1"/>
      <c r="E695" s="1"/>
      <c r="F695">
        <v>24</v>
      </c>
      <c r="G695">
        <v>34</v>
      </c>
      <c r="H695" s="1">
        <v>44013</v>
      </c>
      <c r="I695" s="1">
        <v>44378</v>
      </c>
      <c r="J695">
        <v>12</v>
      </c>
      <c r="K695">
        <v>0</v>
      </c>
      <c r="L695" s="1">
        <v>44075</v>
      </c>
      <c r="M695">
        <v>240</v>
      </c>
      <c r="N695" s="8" cm="1">
        <f t="array" ref="N695">_xlfn.SWITCH(Sales[[#This Row],[Subscription Type]],"Basic",10,"Premium",10,"Business",25,"Enterprise",27)</f>
        <v>10</v>
      </c>
      <c r="O695">
        <f>IF(Sales[[#This Row],[Number of Users]]-Sales[[#This Row],[Licenses Bought]]&lt;0,0,Sales[[#This Row],[Number of Users]]-Sales[[#This Row],[Licenses Bought]])</f>
        <v>10</v>
      </c>
      <c r="P695" s="8">
        <f>IF(Sales[[#This Row],[Sales Month]]=MAX(Sales[Sales Month]),Sales[[#This Row],[Non-Paying Users]]*Sales[[#This Row],[Upsell $ per Non-Paying User]],0)</f>
        <v>0</v>
      </c>
      <c r="Q695" t="str" cm="1">
        <f t="array" ref="Q695">_xlfn.IFS(Sales[[#This Row],[Current Upsell $]]=0,"",Sales[[#This Row],[Current Upsell $]]&gt;=400,"High",Sales[[#This Row],[Current Upsell $]]&gt;=100,"Medium",Sales[[#This Row],[Current Upsell $]]&lt;100,"Low")</f>
        <v/>
      </c>
      <c r="R695" t="str">
        <f>IF(Sales[[#This Row],[Current Upsell $]]&gt;0,_xlfn.CONCAT(Sales[[#This Row],[Subscription Type]]," ",Sales[[#This Row],[Upsell Priority]]," ",TEXT(Sales[[#This Row],[Current Upsell $]],"$#,#")),"")</f>
        <v/>
      </c>
    </row>
    <row r="696" spans="1:18" x14ac:dyDescent="0.25">
      <c r="A696">
        <v>100059</v>
      </c>
      <c r="B696" t="s">
        <v>0</v>
      </c>
      <c r="D696" s="1"/>
      <c r="E696" s="1"/>
      <c r="F696">
        <v>33</v>
      </c>
      <c r="G696">
        <v>35</v>
      </c>
      <c r="H696" s="1">
        <v>44013</v>
      </c>
      <c r="I696" s="1">
        <v>44378</v>
      </c>
      <c r="J696">
        <v>12</v>
      </c>
      <c r="K696">
        <v>0</v>
      </c>
      <c r="L696" s="1">
        <v>44105</v>
      </c>
      <c r="M696">
        <v>330</v>
      </c>
      <c r="N696" s="8" cm="1">
        <f t="array" ref="N696">_xlfn.SWITCH(Sales[[#This Row],[Subscription Type]],"Basic",10,"Premium",10,"Business",25,"Enterprise",27)</f>
        <v>10</v>
      </c>
      <c r="O696">
        <f>IF(Sales[[#This Row],[Number of Users]]-Sales[[#This Row],[Licenses Bought]]&lt;0,0,Sales[[#This Row],[Number of Users]]-Sales[[#This Row],[Licenses Bought]])</f>
        <v>2</v>
      </c>
      <c r="P696" s="8">
        <f>IF(Sales[[#This Row],[Sales Month]]=MAX(Sales[Sales Month]),Sales[[#This Row],[Non-Paying Users]]*Sales[[#This Row],[Upsell $ per Non-Paying User]],0)</f>
        <v>0</v>
      </c>
      <c r="Q696" t="str" cm="1">
        <f t="array" ref="Q696">_xlfn.IFS(Sales[[#This Row],[Current Upsell $]]=0,"",Sales[[#This Row],[Current Upsell $]]&gt;=400,"High",Sales[[#This Row],[Current Upsell $]]&gt;=100,"Medium",Sales[[#This Row],[Current Upsell $]]&lt;100,"Low")</f>
        <v/>
      </c>
      <c r="R696" t="str">
        <f>IF(Sales[[#This Row],[Current Upsell $]]&gt;0,_xlfn.CONCAT(Sales[[#This Row],[Subscription Type]]," ",Sales[[#This Row],[Upsell Priority]]," ",TEXT(Sales[[#This Row],[Current Upsell $]],"$#,#")),"")</f>
        <v/>
      </c>
    </row>
    <row r="697" spans="1:18" x14ac:dyDescent="0.25">
      <c r="A697">
        <v>100059</v>
      </c>
      <c r="B697" t="s">
        <v>0</v>
      </c>
      <c r="D697" s="1"/>
      <c r="E697" s="1"/>
      <c r="F697">
        <v>33</v>
      </c>
      <c r="G697">
        <v>43</v>
      </c>
      <c r="H697" s="1">
        <v>44013</v>
      </c>
      <c r="I697" s="1">
        <v>44378</v>
      </c>
      <c r="J697">
        <v>12</v>
      </c>
      <c r="K697">
        <v>0</v>
      </c>
      <c r="L697" s="1">
        <v>44136</v>
      </c>
      <c r="M697">
        <v>330</v>
      </c>
      <c r="N697" s="8" cm="1">
        <f t="array" ref="N697">_xlfn.SWITCH(Sales[[#This Row],[Subscription Type]],"Basic",10,"Premium",10,"Business",25,"Enterprise",27)</f>
        <v>10</v>
      </c>
      <c r="O697">
        <f>IF(Sales[[#This Row],[Number of Users]]-Sales[[#This Row],[Licenses Bought]]&lt;0,0,Sales[[#This Row],[Number of Users]]-Sales[[#This Row],[Licenses Bought]])</f>
        <v>10</v>
      </c>
      <c r="P697" s="8">
        <f>IF(Sales[[#This Row],[Sales Month]]=MAX(Sales[Sales Month]),Sales[[#This Row],[Non-Paying Users]]*Sales[[#This Row],[Upsell $ per Non-Paying User]],0)</f>
        <v>0</v>
      </c>
      <c r="Q697" t="str" cm="1">
        <f t="array" ref="Q697">_xlfn.IFS(Sales[[#This Row],[Current Upsell $]]=0,"",Sales[[#This Row],[Current Upsell $]]&gt;=400,"High",Sales[[#This Row],[Current Upsell $]]&gt;=100,"Medium",Sales[[#This Row],[Current Upsell $]]&lt;100,"Low")</f>
        <v/>
      </c>
      <c r="R697" t="str">
        <f>IF(Sales[[#This Row],[Current Upsell $]]&gt;0,_xlfn.CONCAT(Sales[[#This Row],[Subscription Type]]," ",Sales[[#This Row],[Upsell Priority]]," ",TEXT(Sales[[#This Row],[Current Upsell $]],"$#,#")),"")</f>
        <v/>
      </c>
    </row>
    <row r="698" spans="1:18" x14ac:dyDescent="0.25">
      <c r="A698">
        <v>100059</v>
      </c>
      <c r="B698" t="s">
        <v>0</v>
      </c>
      <c r="D698" s="1"/>
      <c r="E698" s="1"/>
      <c r="F698">
        <v>33</v>
      </c>
      <c r="G698">
        <v>41</v>
      </c>
      <c r="H698" s="1">
        <v>44013</v>
      </c>
      <c r="I698" s="1">
        <v>44378</v>
      </c>
      <c r="J698">
        <v>12</v>
      </c>
      <c r="K698">
        <v>0</v>
      </c>
      <c r="L698" s="1">
        <v>44166</v>
      </c>
      <c r="M698">
        <v>330</v>
      </c>
      <c r="N698" s="8" cm="1">
        <f t="array" ref="N698">_xlfn.SWITCH(Sales[[#This Row],[Subscription Type]],"Basic",10,"Premium",10,"Business",25,"Enterprise",27)</f>
        <v>10</v>
      </c>
      <c r="O698">
        <f>IF(Sales[[#This Row],[Number of Users]]-Sales[[#This Row],[Licenses Bought]]&lt;0,0,Sales[[#This Row],[Number of Users]]-Sales[[#This Row],[Licenses Bought]])</f>
        <v>8</v>
      </c>
      <c r="P698" s="8">
        <f>IF(Sales[[#This Row],[Sales Month]]=MAX(Sales[Sales Month]),Sales[[#This Row],[Non-Paying Users]]*Sales[[#This Row],[Upsell $ per Non-Paying User]],0)</f>
        <v>0</v>
      </c>
      <c r="Q698" t="str" cm="1">
        <f t="array" ref="Q698">_xlfn.IFS(Sales[[#This Row],[Current Upsell $]]=0,"",Sales[[#This Row],[Current Upsell $]]&gt;=400,"High",Sales[[#This Row],[Current Upsell $]]&gt;=100,"Medium",Sales[[#This Row],[Current Upsell $]]&lt;100,"Low")</f>
        <v/>
      </c>
      <c r="R698" t="str">
        <f>IF(Sales[[#This Row],[Current Upsell $]]&gt;0,_xlfn.CONCAT(Sales[[#This Row],[Subscription Type]]," ",Sales[[#This Row],[Upsell Priority]]," ",TEXT(Sales[[#This Row],[Current Upsell $]],"$#,#")),"")</f>
        <v/>
      </c>
    </row>
    <row r="699" spans="1:18" x14ac:dyDescent="0.25">
      <c r="A699">
        <v>100059</v>
      </c>
      <c r="B699" t="s">
        <v>0</v>
      </c>
      <c r="D699" s="1"/>
      <c r="E699" s="1"/>
      <c r="F699">
        <v>33</v>
      </c>
      <c r="G699">
        <v>40</v>
      </c>
      <c r="H699" s="1">
        <v>44013</v>
      </c>
      <c r="I699" s="1">
        <v>44378</v>
      </c>
      <c r="J699">
        <v>12</v>
      </c>
      <c r="K699">
        <v>0</v>
      </c>
      <c r="L699" s="1">
        <v>44197</v>
      </c>
      <c r="M699">
        <v>330</v>
      </c>
      <c r="N699" s="8" cm="1">
        <f t="array" ref="N699">_xlfn.SWITCH(Sales[[#This Row],[Subscription Type]],"Basic",10,"Premium",10,"Business",25,"Enterprise",27)</f>
        <v>10</v>
      </c>
      <c r="O699">
        <f>IF(Sales[[#This Row],[Number of Users]]-Sales[[#This Row],[Licenses Bought]]&lt;0,0,Sales[[#This Row],[Number of Users]]-Sales[[#This Row],[Licenses Bought]])</f>
        <v>7</v>
      </c>
      <c r="P699" s="8">
        <f>IF(Sales[[#This Row],[Sales Month]]=MAX(Sales[Sales Month]),Sales[[#This Row],[Non-Paying Users]]*Sales[[#This Row],[Upsell $ per Non-Paying User]],0)</f>
        <v>0</v>
      </c>
      <c r="Q699" t="str" cm="1">
        <f t="array" ref="Q699">_xlfn.IFS(Sales[[#This Row],[Current Upsell $]]=0,"",Sales[[#This Row],[Current Upsell $]]&gt;=400,"High",Sales[[#This Row],[Current Upsell $]]&gt;=100,"Medium",Sales[[#This Row],[Current Upsell $]]&lt;100,"Low")</f>
        <v/>
      </c>
      <c r="R699" t="str">
        <f>IF(Sales[[#This Row],[Current Upsell $]]&gt;0,_xlfn.CONCAT(Sales[[#This Row],[Subscription Type]]," ",Sales[[#This Row],[Upsell Priority]]," ",TEXT(Sales[[#This Row],[Current Upsell $]],"$#,#")),"")</f>
        <v/>
      </c>
    </row>
    <row r="700" spans="1:18" x14ac:dyDescent="0.25">
      <c r="A700">
        <v>100059</v>
      </c>
      <c r="B700" t="s">
        <v>0</v>
      </c>
      <c r="D700" s="1"/>
      <c r="E700" s="1"/>
      <c r="F700">
        <v>33</v>
      </c>
      <c r="G700">
        <v>39</v>
      </c>
      <c r="H700" s="1">
        <v>44013</v>
      </c>
      <c r="I700" s="1">
        <v>44378</v>
      </c>
      <c r="J700">
        <v>12</v>
      </c>
      <c r="K700">
        <v>0</v>
      </c>
      <c r="L700" s="1">
        <v>44228</v>
      </c>
      <c r="M700">
        <v>330</v>
      </c>
      <c r="N700" s="8" cm="1">
        <f t="array" ref="N700">_xlfn.SWITCH(Sales[[#This Row],[Subscription Type]],"Basic",10,"Premium",10,"Business",25,"Enterprise",27)</f>
        <v>10</v>
      </c>
      <c r="O700">
        <f>IF(Sales[[#This Row],[Number of Users]]-Sales[[#This Row],[Licenses Bought]]&lt;0,0,Sales[[#This Row],[Number of Users]]-Sales[[#This Row],[Licenses Bought]])</f>
        <v>6</v>
      </c>
      <c r="P700" s="8">
        <f>IF(Sales[[#This Row],[Sales Month]]=MAX(Sales[Sales Month]),Sales[[#This Row],[Non-Paying Users]]*Sales[[#This Row],[Upsell $ per Non-Paying User]],0)</f>
        <v>0</v>
      </c>
      <c r="Q700" t="str" cm="1">
        <f t="array" ref="Q700">_xlfn.IFS(Sales[[#This Row],[Current Upsell $]]=0,"",Sales[[#This Row],[Current Upsell $]]&gt;=400,"High",Sales[[#This Row],[Current Upsell $]]&gt;=100,"Medium",Sales[[#This Row],[Current Upsell $]]&lt;100,"Low")</f>
        <v/>
      </c>
      <c r="R700" t="str">
        <f>IF(Sales[[#This Row],[Current Upsell $]]&gt;0,_xlfn.CONCAT(Sales[[#This Row],[Subscription Type]]," ",Sales[[#This Row],[Upsell Priority]]," ",TEXT(Sales[[#This Row],[Current Upsell $]],"$#,#")),"")</f>
        <v/>
      </c>
    </row>
    <row r="701" spans="1:18" x14ac:dyDescent="0.25">
      <c r="A701">
        <v>100059</v>
      </c>
      <c r="B701" t="s">
        <v>0</v>
      </c>
      <c r="D701" s="1"/>
      <c r="E701" s="1"/>
      <c r="F701">
        <v>33</v>
      </c>
      <c r="G701">
        <v>39</v>
      </c>
      <c r="H701" s="1">
        <v>44013</v>
      </c>
      <c r="I701" s="1">
        <v>44378</v>
      </c>
      <c r="J701">
        <v>12</v>
      </c>
      <c r="K701">
        <v>0</v>
      </c>
      <c r="L701" s="1">
        <v>44256</v>
      </c>
      <c r="M701">
        <v>330</v>
      </c>
      <c r="N701" s="8" cm="1">
        <f t="array" ref="N701">_xlfn.SWITCH(Sales[[#This Row],[Subscription Type]],"Basic",10,"Premium",10,"Business",25,"Enterprise",27)</f>
        <v>10</v>
      </c>
      <c r="O701">
        <f>IF(Sales[[#This Row],[Number of Users]]-Sales[[#This Row],[Licenses Bought]]&lt;0,0,Sales[[#This Row],[Number of Users]]-Sales[[#This Row],[Licenses Bought]])</f>
        <v>6</v>
      </c>
      <c r="P701" s="8">
        <f>IF(Sales[[#This Row],[Sales Month]]=MAX(Sales[Sales Month]),Sales[[#This Row],[Non-Paying Users]]*Sales[[#This Row],[Upsell $ per Non-Paying User]],0)</f>
        <v>0</v>
      </c>
      <c r="Q701" t="str" cm="1">
        <f t="array" ref="Q701">_xlfn.IFS(Sales[[#This Row],[Current Upsell $]]=0,"",Sales[[#This Row],[Current Upsell $]]&gt;=400,"High",Sales[[#This Row],[Current Upsell $]]&gt;=100,"Medium",Sales[[#This Row],[Current Upsell $]]&lt;100,"Low")</f>
        <v/>
      </c>
      <c r="R701" t="str">
        <f>IF(Sales[[#This Row],[Current Upsell $]]&gt;0,_xlfn.CONCAT(Sales[[#This Row],[Subscription Type]]," ",Sales[[#This Row],[Upsell Priority]]," ",TEXT(Sales[[#This Row],[Current Upsell $]],"$#,#")),"")</f>
        <v/>
      </c>
    </row>
    <row r="702" spans="1:18" x14ac:dyDescent="0.25">
      <c r="A702">
        <v>100059</v>
      </c>
      <c r="B702" t="s">
        <v>0</v>
      </c>
      <c r="D702" s="1"/>
      <c r="E702" s="1"/>
      <c r="F702">
        <v>33</v>
      </c>
      <c r="G702">
        <v>37</v>
      </c>
      <c r="H702" s="1">
        <v>44013</v>
      </c>
      <c r="I702" s="1">
        <v>44378</v>
      </c>
      <c r="J702">
        <v>12</v>
      </c>
      <c r="K702">
        <v>0</v>
      </c>
      <c r="L702" s="1">
        <v>44287</v>
      </c>
      <c r="M702">
        <v>330</v>
      </c>
      <c r="N702" s="8" cm="1">
        <f t="array" ref="N702">_xlfn.SWITCH(Sales[[#This Row],[Subscription Type]],"Basic",10,"Premium",10,"Business",25,"Enterprise",27)</f>
        <v>10</v>
      </c>
      <c r="O702">
        <f>IF(Sales[[#This Row],[Number of Users]]-Sales[[#This Row],[Licenses Bought]]&lt;0,0,Sales[[#This Row],[Number of Users]]-Sales[[#This Row],[Licenses Bought]])</f>
        <v>4</v>
      </c>
      <c r="P702" s="8">
        <f>IF(Sales[[#This Row],[Sales Month]]=MAX(Sales[Sales Month]),Sales[[#This Row],[Non-Paying Users]]*Sales[[#This Row],[Upsell $ per Non-Paying User]],0)</f>
        <v>0</v>
      </c>
      <c r="Q702" t="str" cm="1">
        <f t="array" ref="Q702">_xlfn.IFS(Sales[[#This Row],[Current Upsell $]]=0,"",Sales[[#This Row],[Current Upsell $]]&gt;=400,"High",Sales[[#This Row],[Current Upsell $]]&gt;=100,"Medium",Sales[[#This Row],[Current Upsell $]]&lt;100,"Low")</f>
        <v/>
      </c>
      <c r="R702" t="str">
        <f>IF(Sales[[#This Row],[Current Upsell $]]&gt;0,_xlfn.CONCAT(Sales[[#This Row],[Subscription Type]]," ",Sales[[#This Row],[Upsell Priority]]," ",TEXT(Sales[[#This Row],[Current Upsell $]],"$#,#")),"")</f>
        <v/>
      </c>
    </row>
    <row r="703" spans="1:18" x14ac:dyDescent="0.25">
      <c r="A703">
        <v>100059</v>
      </c>
      <c r="B703" t="s">
        <v>0</v>
      </c>
      <c r="D703" s="1"/>
      <c r="E703" s="1"/>
      <c r="F703">
        <v>33</v>
      </c>
      <c r="G703">
        <v>37</v>
      </c>
      <c r="H703" s="1">
        <v>44013</v>
      </c>
      <c r="I703" s="1">
        <v>44378</v>
      </c>
      <c r="J703">
        <v>12</v>
      </c>
      <c r="K703">
        <v>0</v>
      </c>
      <c r="L703" s="1">
        <v>44317</v>
      </c>
      <c r="M703">
        <v>330</v>
      </c>
      <c r="N703" s="8" cm="1">
        <f t="array" ref="N703">_xlfn.SWITCH(Sales[[#This Row],[Subscription Type]],"Basic",10,"Premium",10,"Business",25,"Enterprise",27)</f>
        <v>10</v>
      </c>
      <c r="O703">
        <f>IF(Sales[[#This Row],[Number of Users]]-Sales[[#This Row],[Licenses Bought]]&lt;0,0,Sales[[#This Row],[Number of Users]]-Sales[[#This Row],[Licenses Bought]])</f>
        <v>4</v>
      </c>
      <c r="P703" s="8">
        <f>IF(Sales[[#This Row],[Sales Month]]=MAX(Sales[Sales Month]),Sales[[#This Row],[Non-Paying Users]]*Sales[[#This Row],[Upsell $ per Non-Paying User]],0)</f>
        <v>0</v>
      </c>
      <c r="Q703" t="str" cm="1">
        <f t="array" ref="Q703">_xlfn.IFS(Sales[[#This Row],[Current Upsell $]]=0,"",Sales[[#This Row],[Current Upsell $]]&gt;=400,"High",Sales[[#This Row],[Current Upsell $]]&gt;=100,"Medium",Sales[[#This Row],[Current Upsell $]]&lt;100,"Low")</f>
        <v/>
      </c>
      <c r="R703" t="str">
        <f>IF(Sales[[#This Row],[Current Upsell $]]&gt;0,_xlfn.CONCAT(Sales[[#This Row],[Subscription Type]]," ",Sales[[#This Row],[Upsell Priority]]," ",TEXT(Sales[[#This Row],[Current Upsell $]],"$#,#")),"")</f>
        <v/>
      </c>
    </row>
    <row r="704" spans="1:18" x14ac:dyDescent="0.25">
      <c r="A704">
        <v>100059</v>
      </c>
      <c r="B704" t="s">
        <v>0</v>
      </c>
      <c r="D704" s="1"/>
      <c r="E704" s="1"/>
      <c r="F704">
        <v>33</v>
      </c>
      <c r="G704">
        <v>34</v>
      </c>
      <c r="H704" s="1">
        <v>44013</v>
      </c>
      <c r="I704" s="1">
        <v>44378</v>
      </c>
      <c r="J704">
        <v>12</v>
      </c>
      <c r="K704">
        <v>0</v>
      </c>
      <c r="L704" s="1">
        <v>44348</v>
      </c>
      <c r="M704">
        <v>330</v>
      </c>
      <c r="N704" s="8" cm="1">
        <f t="array" ref="N704">_xlfn.SWITCH(Sales[[#This Row],[Subscription Type]],"Basic",10,"Premium",10,"Business",25,"Enterprise",27)</f>
        <v>10</v>
      </c>
      <c r="O704">
        <f>IF(Sales[[#This Row],[Number of Users]]-Sales[[#This Row],[Licenses Bought]]&lt;0,0,Sales[[#This Row],[Number of Users]]-Sales[[#This Row],[Licenses Bought]])</f>
        <v>1</v>
      </c>
      <c r="P704" s="8">
        <f>IF(Sales[[#This Row],[Sales Month]]=MAX(Sales[Sales Month]),Sales[[#This Row],[Non-Paying Users]]*Sales[[#This Row],[Upsell $ per Non-Paying User]],0)</f>
        <v>10</v>
      </c>
      <c r="Q704" t="str" cm="1">
        <f t="array" ref="Q704">_xlfn.IFS(Sales[[#This Row],[Current Upsell $]]=0,"",Sales[[#This Row],[Current Upsell $]]&gt;=400,"High",Sales[[#This Row],[Current Upsell $]]&gt;=100,"Medium",Sales[[#This Row],[Current Upsell $]]&lt;100,"Low")</f>
        <v>Low</v>
      </c>
      <c r="R704" t="str">
        <f>IF(Sales[[#This Row],[Current Upsell $]]&gt;0,_xlfn.CONCAT(Sales[[#This Row],[Subscription Type]]," ",Sales[[#This Row],[Upsell Priority]]," ",TEXT(Sales[[#This Row],[Current Upsell $]],"$#,#")),"")</f>
        <v>Premium Low $10</v>
      </c>
    </row>
    <row r="705" spans="1:18" x14ac:dyDescent="0.25">
      <c r="A705">
        <v>100060</v>
      </c>
      <c r="B705" t="s">
        <v>3</v>
      </c>
      <c r="D705" s="1"/>
      <c r="E705" s="1"/>
      <c r="F705">
        <v>0</v>
      </c>
      <c r="G705">
        <v>32</v>
      </c>
      <c r="H705" s="1">
        <v>44013</v>
      </c>
      <c r="I705" s="1">
        <v>44378</v>
      </c>
      <c r="J705">
        <v>12</v>
      </c>
      <c r="K705">
        <v>0</v>
      </c>
      <c r="L705" s="1">
        <v>44013</v>
      </c>
      <c r="M705">
        <v>0</v>
      </c>
      <c r="N705" s="8" cm="1">
        <f t="array" ref="N705">_xlfn.SWITCH(Sales[[#This Row],[Subscription Type]],"Basic",10,"Premium",10,"Business",25,"Enterprise",27)</f>
        <v>10</v>
      </c>
      <c r="O705">
        <f>IF(Sales[[#This Row],[Number of Users]]-Sales[[#This Row],[Licenses Bought]]&lt;0,0,Sales[[#This Row],[Number of Users]]-Sales[[#This Row],[Licenses Bought]])</f>
        <v>32</v>
      </c>
      <c r="P705" s="8">
        <f>IF(Sales[[#This Row],[Sales Month]]=MAX(Sales[Sales Month]),Sales[[#This Row],[Non-Paying Users]]*Sales[[#This Row],[Upsell $ per Non-Paying User]],0)</f>
        <v>0</v>
      </c>
      <c r="Q705" t="str" cm="1">
        <f t="array" ref="Q705">_xlfn.IFS(Sales[[#This Row],[Current Upsell $]]=0,"",Sales[[#This Row],[Current Upsell $]]&gt;=400,"High",Sales[[#This Row],[Current Upsell $]]&gt;=100,"Medium",Sales[[#This Row],[Current Upsell $]]&lt;100,"Low")</f>
        <v/>
      </c>
      <c r="R705" t="str">
        <f>IF(Sales[[#This Row],[Current Upsell $]]&gt;0,_xlfn.CONCAT(Sales[[#This Row],[Subscription Type]]," ",Sales[[#This Row],[Upsell Priority]]," ",TEXT(Sales[[#This Row],[Current Upsell $]],"$#,#")),"")</f>
        <v/>
      </c>
    </row>
    <row r="706" spans="1:18" x14ac:dyDescent="0.25">
      <c r="A706">
        <v>100060</v>
      </c>
      <c r="B706" t="s">
        <v>1</v>
      </c>
      <c r="D706" s="1"/>
      <c r="E706" s="1"/>
      <c r="F706">
        <v>15</v>
      </c>
      <c r="G706">
        <v>42</v>
      </c>
      <c r="H706" s="1">
        <v>44013</v>
      </c>
      <c r="I706" s="1">
        <v>44378</v>
      </c>
      <c r="J706">
        <v>12</v>
      </c>
      <c r="K706">
        <v>0</v>
      </c>
      <c r="L706" s="1">
        <v>44044</v>
      </c>
      <c r="M706">
        <v>375</v>
      </c>
      <c r="N706" s="8" cm="1">
        <f t="array" ref="N706">_xlfn.SWITCH(Sales[[#This Row],[Subscription Type]],"Basic",10,"Premium",10,"Business",25,"Enterprise",27)</f>
        <v>25</v>
      </c>
      <c r="O706">
        <f>IF(Sales[[#This Row],[Number of Users]]-Sales[[#This Row],[Licenses Bought]]&lt;0,0,Sales[[#This Row],[Number of Users]]-Sales[[#This Row],[Licenses Bought]])</f>
        <v>27</v>
      </c>
      <c r="P706" s="8">
        <f>IF(Sales[[#This Row],[Sales Month]]=MAX(Sales[Sales Month]),Sales[[#This Row],[Non-Paying Users]]*Sales[[#This Row],[Upsell $ per Non-Paying User]],0)</f>
        <v>0</v>
      </c>
      <c r="Q706" t="str" cm="1">
        <f t="array" ref="Q706">_xlfn.IFS(Sales[[#This Row],[Current Upsell $]]=0,"",Sales[[#This Row],[Current Upsell $]]&gt;=400,"High",Sales[[#This Row],[Current Upsell $]]&gt;=100,"Medium",Sales[[#This Row],[Current Upsell $]]&lt;100,"Low")</f>
        <v/>
      </c>
      <c r="R706" t="str">
        <f>IF(Sales[[#This Row],[Current Upsell $]]&gt;0,_xlfn.CONCAT(Sales[[#This Row],[Subscription Type]]," ",Sales[[#This Row],[Upsell Priority]]," ",TEXT(Sales[[#This Row],[Current Upsell $]],"$#,#")),"")</f>
        <v/>
      </c>
    </row>
    <row r="707" spans="1:18" x14ac:dyDescent="0.25">
      <c r="A707">
        <v>100060</v>
      </c>
      <c r="B707" t="s">
        <v>1</v>
      </c>
      <c r="D707" s="1"/>
      <c r="E707" s="1"/>
      <c r="F707">
        <v>24</v>
      </c>
      <c r="G707">
        <v>35</v>
      </c>
      <c r="H707" s="1">
        <v>44013</v>
      </c>
      <c r="I707" s="1">
        <v>44378</v>
      </c>
      <c r="J707">
        <v>12</v>
      </c>
      <c r="K707">
        <v>0</v>
      </c>
      <c r="L707" s="1">
        <v>44075</v>
      </c>
      <c r="M707">
        <v>600</v>
      </c>
      <c r="N707" s="8" cm="1">
        <f t="array" ref="N707">_xlfn.SWITCH(Sales[[#This Row],[Subscription Type]],"Basic",10,"Premium",10,"Business",25,"Enterprise",27)</f>
        <v>25</v>
      </c>
      <c r="O707">
        <f>IF(Sales[[#This Row],[Number of Users]]-Sales[[#This Row],[Licenses Bought]]&lt;0,0,Sales[[#This Row],[Number of Users]]-Sales[[#This Row],[Licenses Bought]])</f>
        <v>11</v>
      </c>
      <c r="P707" s="8">
        <f>IF(Sales[[#This Row],[Sales Month]]=MAX(Sales[Sales Month]),Sales[[#This Row],[Non-Paying Users]]*Sales[[#This Row],[Upsell $ per Non-Paying User]],0)</f>
        <v>0</v>
      </c>
      <c r="Q707" t="str" cm="1">
        <f t="array" ref="Q707">_xlfn.IFS(Sales[[#This Row],[Current Upsell $]]=0,"",Sales[[#This Row],[Current Upsell $]]&gt;=400,"High",Sales[[#This Row],[Current Upsell $]]&gt;=100,"Medium",Sales[[#This Row],[Current Upsell $]]&lt;100,"Low")</f>
        <v/>
      </c>
      <c r="R707" t="str">
        <f>IF(Sales[[#This Row],[Current Upsell $]]&gt;0,_xlfn.CONCAT(Sales[[#This Row],[Subscription Type]]," ",Sales[[#This Row],[Upsell Priority]]," ",TEXT(Sales[[#This Row],[Current Upsell $]],"$#,#")),"")</f>
        <v/>
      </c>
    </row>
    <row r="708" spans="1:18" x14ac:dyDescent="0.25">
      <c r="A708">
        <v>100060</v>
      </c>
      <c r="B708" t="s">
        <v>1</v>
      </c>
      <c r="D708" s="1"/>
      <c r="E708" s="1"/>
      <c r="F708">
        <v>31</v>
      </c>
      <c r="G708">
        <v>35</v>
      </c>
      <c r="H708" s="1">
        <v>44013</v>
      </c>
      <c r="I708" s="1">
        <v>44378</v>
      </c>
      <c r="J708">
        <v>12</v>
      </c>
      <c r="K708">
        <v>0</v>
      </c>
      <c r="L708" s="1">
        <v>44105</v>
      </c>
      <c r="M708">
        <v>775</v>
      </c>
      <c r="N708" s="8" cm="1">
        <f t="array" ref="N708">_xlfn.SWITCH(Sales[[#This Row],[Subscription Type]],"Basic",10,"Premium",10,"Business",25,"Enterprise",27)</f>
        <v>25</v>
      </c>
      <c r="O708">
        <f>IF(Sales[[#This Row],[Number of Users]]-Sales[[#This Row],[Licenses Bought]]&lt;0,0,Sales[[#This Row],[Number of Users]]-Sales[[#This Row],[Licenses Bought]])</f>
        <v>4</v>
      </c>
      <c r="P708" s="8">
        <f>IF(Sales[[#This Row],[Sales Month]]=MAX(Sales[Sales Month]),Sales[[#This Row],[Non-Paying Users]]*Sales[[#This Row],[Upsell $ per Non-Paying User]],0)</f>
        <v>0</v>
      </c>
      <c r="Q708" t="str" cm="1">
        <f t="array" ref="Q708">_xlfn.IFS(Sales[[#This Row],[Current Upsell $]]=0,"",Sales[[#This Row],[Current Upsell $]]&gt;=400,"High",Sales[[#This Row],[Current Upsell $]]&gt;=100,"Medium",Sales[[#This Row],[Current Upsell $]]&lt;100,"Low")</f>
        <v/>
      </c>
      <c r="R708" t="str">
        <f>IF(Sales[[#This Row],[Current Upsell $]]&gt;0,_xlfn.CONCAT(Sales[[#This Row],[Subscription Type]]," ",Sales[[#This Row],[Upsell Priority]]," ",TEXT(Sales[[#This Row],[Current Upsell $]],"$#,#")),"")</f>
        <v/>
      </c>
    </row>
    <row r="709" spans="1:18" x14ac:dyDescent="0.25">
      <c r="A709">
        <v>100060</v>
      </c>
      <c r="B709" t="s">
        <v>1</v>
      </c>
      <c r="D709" s="1"/>
      <c r="E709" s="1"/>
      <c r="F709">
        <v>31</v>
      </c>
      <c r="G709">
        <v>32</v>
      </c>
      <c r="H709" s="1">
        <v>44013</v>
      </c>
      <c r="I709" s="1">
        <v>44378</v>
      </c>
      <c r="J709">
        <v>12</v>
      </c>
      <c r="K709">
        <v>0</v>
      </c>
      <c r="L709" s="1">
        <v>44136</v>
      </c>
      <c r="M709">
        <v>775</v>
      </c>
      <c r="N709" s="8" cm="1">
        <f t="array" ref="N709">_xlfn.SWITCH(Sales[[#This Row],[Subscription Type]],"Basic",10,"Premium",10,"Business",25,"Enterprise",27)</f>
        <v>25</v>
      </c>
      <c r="O709">
        <f>IF(Sales[[#This Row],[Number of Users]]-Sales[[#This Row],[Licenses Bought]]&lt;0,0,Sales[[#This Row],[Number of Users]]-Sales[[#This Row],[Licenses Bought]])</f>
        <v>1</v>
      </c>
      <c r="P709" s="8">
        <f>IF(Sales[[#This Row],[Sales Month]]=MAX(Sales[Sales Month]),Sales[[#This Row],[Non-Paying Users]]*Sales[[#This Row],[Upsell $ per Non-Paying User]],0)</f>
        <v>0</v>
      </c>
      <c r="Q709" t="str" cm="1">
        <f t="array" ref="Q709">_xlfn.IFS(Sales[[#This Row],[Current Upsell $]]=0,"",Sales[[#This Row],[Current Upsell $]]&gt;=400,"High",Sales[[#This Row],[Current Upsell $]]&gt;=100,"Medium",Sales[[#This Row],[Current Upsell $]]&lt;100,"Low")</f>
        <v/>
      </c>
      <c r="R709" t="str">
        <f>IF(Sales[[#This Row],[Current Upsell $]]&gt;0,_xlfn.CONCAT(Sales[[#This Row],[Subscription Type]]," ",Sales[[#This Row],[Upsell Priority]]," ",TEXT(Sales[[#This Row],[Current Upsell $]],"$#,#")),"")</f>
        <v/>
      </c>
    </row>
    <row r="710" spans="1:18" x14ac:dyDescent="0.25">
      <c r="A710">
        <v>100060</v>
      </c>
      <c r="B710" t="s">
        <v>1</v>
      </c>
      <c r="D710" s="1"/>
      <c r="E710" s="1"/>
      <c r="F710">
        <v>31</v>
      </c>
      <c r="G710">
        <v>40</v>
      </c>
      <c r="H710" s="1">
        <v>44013</v>
      </c>
      <c r="I710" s="1">
        <v>44378</v>
      </c>
      <c r="J710">
        <v>12</v>
      </c>
      <c r="K710">
        <v>0</v>
      </c>
      <c r="L710" s="1">
        <v>44166</v>
      </c>
      <c r="M710">
        <v>775</v>
      </c>
      <c r="N710" s="8" cm="1">
        <f t="array" ref="N710">_xlfn.SWITCH(Sales[[#This Row],[Subscription Type]],"Basic",10,"Premium",10,"Business",25,"Enterprise",27)</f>
        <v>25</v>
      </c>
      <c r="O710">
        <f>IF(Sales[[#This Row],[Number of Users]]-Sales[[#This Row],[Licenses Bought]]&lt;0,0,Sales[[#This Row],[Number of Users]]-Sales[[#This Row],[Licenses Bought]])</f>
        <v>9</v>
      </c>
      <c r="P710" s="8">
        <f>IF(Sales[[#This Row],[Sales Month]]=MAX(Sales[Sales Month]),Sales[[#This Row],[Non-Paying Users]]*Sales[[#This Row],[Upsell $ per Non-Paying User]],0)</f>
        <v>0</v>
      </c>
      <c r="Q710" t="str" cm="1">
        <f t="array" ref="Q710">_xlfn.IFS(Sales[[#This Row],[Current Upsell $]]=0,"",Sales[[#This Row],[Current Upsell $]]&gt;=400,"High",Sales[[#This Row],[Current Upsell $]]&gt;=100,"Medium",Sales[[#This Row],[Current Upsell $]]&lt;100,"Low")</f>
        <v/>
      </c>
      <c r="R710" t="str">
        <f>IF(Sales[[#This Row],[Current Upsell $]]&gt;0,_xlfn.CONCAT(Sales[[#This Row],[Subscription Type]]," ",Sales[[#This Row],[Upsell Priority]]," ",TEXT(Sales[[#This Row],[Current Upsell $]],"$#,#")),"")</f>
        <v/>
      </c>
    </row>
    <row r="711" spans="1:18" x14ac:dyDescent="0.25">
      <c r="A711">
        <v>100060</v>
      </c>
      <c r="B711" t="s">
        <v>1</v>
      </c>
      <c r="D711" s="1"/>
      <c r="E711" s="1"/>
      <c r="F711">
        <v>31</v>
      </c>
      <c r="G711">
        <v>40</v>
      </c>
      <c r="H711" s="1">
        <v>44013</v>
      </c>
      <c r="I711" s="1">
        <v>44378</v>
      </c>
      <c r="J711">
        <v>12</v>
      </c>
      <c r="K711">
        <v>0</v>
      </c>
      <c r="L711" s="1">
        <v>44197</v>
      </c>
      <c r="M711">
        <v>775</v>
      </c>
      <c r="N711" s="8" cm="1">
        <f t="array" ref="N711">_xlfn.SWITCH(Sales[[#This Row],[Subscription Type]],"Basic",10,"Premium",10,"Business",25,"Enterprise",27)</f>
        <v>25</v>
      </c>
      <c r="O711">
        <f>IF(Sales[[#This Row],[Number of Users]]-Sales[[#This Row],[Licenses Bought]]&lt;0,0,Sales[[#This Row],[Number of Users]]-Sales[[#This Row],[Licenses Bought]])</f>
        <v>9</v>
      </c>
      <c r="P711" s="8">
        <f>IF(Sales[[#This Row],[Sales Month]]=MAX(Sales[Sales Month]),Sales[[#This Row],[Non-Paying Users]]*Sales[[#This Row],[Upsell $ per Non-Paying User]],0)</f>
        <v>0</v>
      </c>
      <c r="Q711" t="str" cm="1">
        <f t="array" ref="Q711">_xlfn.IFS(Sales[[#This Row],[Current Upsell $]]=0,"",Sales[[#This Row],[Current Upsell $]]&gt;=400,"High",Sales[[#This Row],[Current Upsell $]]&gt;=100,"Medium",Sales[[#This Row],[Current Upsell $]]&lt;100,"Low")</f>
        <v/>
      </c>
      <c r="R711" t="str">
        <f>IF(Sales[[#This Row],[Current Upsell $]]&gt;0,_xlfn.CONCAT(Sales[[#This Row],[Subscription Type]]," ",Sales[[#This Row],[Upsell Priority]]," ",TEXT(Sales[[#This Row],[Current Upsell $]],"$#,#")),"")</f>
        <v/>
      </c>
    </row>
    <row r="712" spans="1:18" x14ac:dyDescent="0.25">
      <c r="A712">
        <v>100060</v>
      </c>
      <c r="B712" t="s">
        <v>1</v>
      </c>
      <c r="D712" s="1"/>
      <c r="E712" s="1"/>
      <c r="F712">
        <v>31</v>
      </c>
      <c r="G712">
        <v>28</v>
      </c>
      <c r="H712" s="1">
        <v>44013</v>
      </c>
      <c r="I712" s="1">
        <v>44378</v>
      </c>
      <c r="J712">
        <v>12</v>
      </c>
      <c r="K712">
        <v>0</v>
      </c>
      <c r="L712" s="1">
        <v>44228</v>
      </c>
      <c r="M712">
        <v>775</v>
      </c>
      <c r="N712" s="8" cm="1">
        <f t="array" ref="N712">_xlfn.SWITCH(Sales[[#This Row],[Subscription Type]],"Basic",10,"Premium",10,"Business",25,"Enterprise",27)</f>
        <v>25</v>
      </c>
      <c r="O712">
        <f>IF(Sales[[#This Row],[Number of Users]]-Sales[[#This Row],[Licenses Bought]]&lt;0,0,Sales[[#This Row],[Number of Users]]-Sales[[#This Row],[Licenses Bought]])</f>
        <v>0</v>
      </c>
      <c r="P712" s="8">
        <f>IF(Sales[[#This Row],[Sales Month]]=MAX(Sales[Sales Month]),Sales[[#This Row],[Non-Paying Users]]*Sales[[#This Row],[Upsell $ per Non-Paying User]],0)</f>
        <v>0</v>
      </c>
      <c r="Q712" t="str" cm="1">
        <f t="array" ref="Q712">_xlfn.IFS(Sales[[#This Row],[Current Upsell $]]=0,"",Sales[[#This Row],[Current Upsell $]]&gt;=400,"High",Sales[[#This Row],[Current Upsell $]]&gt;=100,"Medium",Sales[[#This Row],[Current Upsell $]]&lt;100,"Low")</f>
        <v/>
      </c>
      <c r="R712" t="str">
        <f>IF(Sales[[#This Row],[Current Upsell $]]&gt;0,_xlfn.CONCAT(Sales[[#This Row],[Subscription Type]]," ",Sales[[#This Row],[Upsell Priority]]," ",TEXT(Sales[[#This Row],[Current Upsell $]],"$#,#")),"")</f>
        <v/>
      </c>
    </row>
    <row r="713" spans="1:18" x14ac:dyDescent="0.25">
      <c r="A713">
        <v>100060</v>
      </c>
      <c r="B713" t="s">
        <v>1</v>
      </c>
      <c r="D713" s="1"/>
      <c r="E713" s="1"/>
      <c r="F713">
        <v>31</v>
      </c>
      <c r="G713">
        <v>41</v>
      </c>
      <c r="H713" s="1">
        <v>44013</v>
      </c>
      <c r="I713" s="1">
        <v>44378</v>
      </c>
      <c r="J713">
        <v>12</v>
      </c>
      <c r="K713">
        <v>0</v>
      </c>
      <c r="L713" s="1">
        <v>44256</v>
      </c>
      <c r="M713">
        <v>775</v>
      </c>
      <c r="N713" s="8" cm="1">
        <f t="array" ref="N713">_xlfn.SWITCH(Sales[[#This Row],[Subscription Type]],"Basic",10,"Premium",10,"Business",25,"Enterprise",27)</f>
        <v>25</v>
      </c>
      <c r="O713">
        <f>IF(Sales[[#This Row],[Number of Users]]-Sales[[#This Row],[Licenses Bought]]&lt;0,0,Sales[[#This Row],[Number of Users]]-Sales[[#This Row],[Licenses Bought]])</f>
        <v>10</v>
      </c>
      <c r="P713" s="8">
        <f>IF(Sales[[#This Row],[Sales Month]]=MAX(Sales[Sales Month]),Sales[[#This Row],[Non-Paying Users]]*Sales[[#This Row],[Upsell $ per Non-Paying User]],0)</f>
        <v>0</v>
      </c>
      <c r="Q713" t="str" cm="1">
        <f t="array" ref="Q713">_xlfn.IFS(Sales[[#This Row],[Current Upsell $]]=0,"",Sales[[#This Row],[Current Upsell $]]&gt;=400,"High",Sales[[#This Row],[Current Upsell $]]&gt;=100,"Medium",Sales[[#This Row],[Current Upsell $]]&lt;100,"Low")</f>
        <v/>
      </c>
      <c r="R713" t="str">
        <f>IF(Sales[[#This Row],[Current Upsell $]]&gt;0,_xlfn.CONCAT(Sales[[#This Row],[Subscription Type]]," ",Sales[[#This Row],[Upsell Priority]]," ",TEXT(Sales[[#This Row],[Current Upsell $]],"$#,#")),"")</f>
        <v/>
      </c>
    </row>
    <row r="714" spans="1:18" x14ac:dyDescent="0.25">
      <c r="A714">
        <v>100060</v>
      </c>
      <c r="B714" t="s">
        <v>1</v>
      </c>
      <c r="D714" s="1"/>
      <c r="E714" s="1"/>
      <c r="F714">
        <v>31</v>
      </c>
      <c r="G714">
        <v>35</v>
      </c>
      <c r="H714" s="1">
        <v>44013</v>
      </c>
      <c r="I714" s="1">
        <v>44378</v>
      </c>
      <c r="J714">
        <v>12</v>
      </c>
      <c r="K714">
        <v>0</v>
      </c>
      <c r="L714" s="1">
        <v>44287</v>
      </c>
      <c r="M714">
        <v>775</v>
      </c>
      <c r="N714" s="8" cm="1">
        <f t="array" ref="N714">_xlfn.SWITCH(Sales[[#This Row],[Subscription Type]],"Basic",10,"Premium",10,"Business",25,"Enterprise",27)</f>
        <v>25</v>
      </c>
      <c r="O714">
        <f>IF(Sales[[#This Row],[Number of Users]]-Sales[[#This Row],[Licenses Bought]]&lt;0,0,Sales[[#This Row],[Number of Users]]-Sales[[#This Row],[Licenses Bought]])</f>
        <v>4</v>
      </c>
      <c r="P714" s="8">
        <f>IF(Sales[[#This Row],[Sales Month]]=MAX(Sales[Sales Month]),Sales[[#This Row],[Non-Paying Users]]*Sales[[#This Row],[Upsell $ per Non-Paying User]],0)</f>
        <v>0</v>
      </c>
      <c r="Q714" t="str" cm="1">
        <f t="array" ref="Q714">_xlfn.IFS(Sales[[#This Row],[Current Upsell $]]=0,"",Sales[[#This Row],[Current Upsell $]]&gt;=400,"High",Sales[[#This Row],[Current Upsell $]]&gt;=100,"Medium",Sales[[#This Row],[Current Upsell $]]&lt;100,"Low")</f>
        <v/>
      </c>
      <c r="R714" t="str">
        <f>IF(Sales[[#This Row],[Current Upsell $]]&gt;0,_xlfn.CONCAT(Sales[[#This Row],[Subscription Type]]," ",Sales[[#This Row],[Upsell Priority]]," ",TEXT(Sales[[#This Row],[Current Upsell $]],"$#,#")),"")</f>
        <v/>
      </c>
    </row>
    <row r="715" spans="1:18" x14ac:dyDescent="0.25">
      <c r="A715">
        <v>100060</v>
      </c>
      <c r="B715" t="s">
        <v>1</v>
      </c>
      <c r="D715" s="1"/>
      <c r="E715" s="1"/>
      <c r="F715">
        <v>31</v>
      </c>
      <c r="G715">
        <v>39</v>
      </c>
      <c r="H715" s="1">
        <v>44013</v>
      </c>
      <c r="I715" s="1">
        <v>44378</v>
      </c>
      <c r="J715">
        <v>12</v>
      </c>
      <c r="K715">
        <v>0</v>
      </c>
      <c r="L715" s="1">
        <v>44317</v>
      </c>
      <c r="M715">
        <v>775</v>
      </c>
      <c r="N715" s="8" cm="1">
        <f t="array" ref="N715">_xlfn.SWITCH(Sales[[#This Row],[Subscription Type]],"Basic",10,"Premium",10,"Business",25,"Enterprise",27)</f>
        <v>25</v>
      </c>
      <c r="O715">
        <f>IF(Sales[[#This Row],[Number of Users]]-Sales[[#This Row],[Licenses Bought]]&lt;0,0,Sales[[#This Row],[Number of Users]]-Sales[[#This Row],[Licenses Bought]])</f>
        <v>8</v>
      </c>
      <c r="P715" s="8">
        <f>IF(Sales[[#This Row],[Sales Month]]=MAX(Sales[Sales Month]),Sales[[#This Row],[Non-Paying Users]]*Sales[[#This Row],[Upsell $ per Non-Paying User]],0)</f>
        <v>0</v>
      </c>
      <c r="Q715" t="str" cm="1">
        <f t="array" ref="Q715">_xlfn.IFS(Sales[[#This Row],[Current Upsell $]]=0,"",Sales[[#This Row],[Current Upsell $]]&gt;=400,"High",Sales[[#This Row],[Current Upsell $]]&gt;=100,"Medium",Sales[[#This Row],[Current Upsell $]]&lt;100,"Low")</f>
        <v/>
      </c>
      <c r="R715" t="str">
        <f>IF(Sales[[#This Row],[Current Upsell $]]&gt;0,_xlfn.CONCAT(Sales[[#This Row],[Subscription Type]]," ",Sales[[#This Row],[Upsell Priority]]," ",TEXT(Sales[[#This Row],[Current Upsell $]],"$#,#")),"")</f>
        <v/>
      </c>
    </row>
    <row r="716" spans="1:18" x14ac:dyDescent="0.25">
      <c r="A716">
        <v>100060</v>
      </c>
      <c r="B716" t="s">
        <v>1</v>
      </c>
      <c r="D716" s="1"/>
      <c r="E716" s="1"/>
      <c r="F716">
        <v>31</v>
      </c>
      <c r="G716">
        <v>48</v>
      </c>
      <c r="H716" s="1">
        <v>44013</v>
      </c>
      <c r="I716" s="1">
        <v>44378</v>
      </c>
      <c r="J716">
        <v>12</v>
      </c>
      <c r="K716">
        <v>0</v>
      </c>
      <c r="L716" s="1">
        <v>44348</v>
      </c>
      <c r="M716">
        <v>775</v>
      </c>
      <c r="N716" s="8" cm="1">
        <f t="array" ref="N716">_xlfn.SWITCH(Sales[[#This Row],[Subscription Type]],"Basic",10,"Premium",10,"Business",25,"Enterprise",27)</f>
        <v>25</v>
      </c>
      <c r="O716">
        <f>IF(Sales[[#This Row],[Number of Users]]-Sales[[#This Row],[Licenses Bought]]&lt;0,0,Sales[[#This Row],[Number of Users]]-Sales[[#This Row],[Licenses Bought]])</f>
        <v>17</v>
      </c>
      <c r="P716" s="8">
        <f>IF(Sales[[#This Row],[Sales Month]]=MAX(Sales[Sales Month]),Sales[[#This Row],[Non-Paying Users]]*Sales[[#This Row],[Upsell $ per Non-Paying User]],0)</f>
        <v>425</v>
      </c>
      <c r="Q716" t="str" cm="1">
        <f t="array" ref="Q716">_xlfn.IFS(Sales[[#This Row],[Current Upsell $]]=0,"",Sales[[#This Row],[Current Upsell $]]&gt;=400,"High",Sales[[#This Row],[Current Upsell $]]&gt;=100,"Medium",Sales[[#This Row],[Current Upsell $]]&lt;100,"Low")</f>
        <v>High</v>
      </c>
      <c r="R716" t="str">
        <f>IF(Sales[[#This Row],[Current Upsell $]]&gt;0,_xlfn.CONCAT(Sales[[#This Row],[Subscription Type]]," ",Sales[[#This Row],[Upsell Priority]]," ",TEXT(Sales[[#This Row],[Current Upsell $]],"$#,#")),"")</f>
        <v>Business High $425</v>
      </c>
    </row>
    <row r="717" spans="1:18" x14ac:dyDescent="0.25">
      <c r="A717">
        <v>100061</v>
      </c>
      <c r="B717" t="s">
        <v>3</v>
      </c>
      <c r="D717" s="1"/>
      <c r="E717" s="1"/>
      <c r="F717">
        <v>0</v>
      </c>
      <c r="G717">
        <v>20</v>
      </c>
      <c r="H717" s="1">
        <v>44013</v>
      </c>
      <c r="I717" s="1">
        <v>44378</v>
      </c>
      <c r="J717">
        <v>12</v>
      </c>
      <c r="K717">
        <v>0</v>
      </c>
      <c r="L717" s="1">
        <v>44013</v>
      </c>
      <c r="M717">
        <v>0</v>
      </c>
      <c r="N717" s="8" cm="1">
        <f t="array" ref="N717">_xlfn.SWITCH(Sales[[#This Row],[Subscription Type]],"Basic",10,"Premium",10,"Business",25,"Enterprise",27)</f>
        <v>10</v>
      </c>
      <c r="O717">
        <f>IF(Sales[[#This Row],[Number of Users]]-Sales[[#This Row],[Licenses Bought]]&lt;0,0,Sales[[#This Row],[Number of Users]]-Sales[[#This Row],[Licenses Bought]])</f>
        <v>20</v>
      </c>
      <c r="P717" s="8">
        <f>IF(Sales[[#This Row],[Sales Month]]=MAX(Sales[Sales Month]),Sales[[#This Row],[Non-Paying Users]]*Sales[[#This Row],[Upsell $ per Non-Paying User]],0)</f>
        <v>0</v>
      </c>
      <c r="Q717" t="str" cm="1">
        <f t="array" ref="Q717">_xlfn.IFS(Sales[[#This Row],[Current Upsell $]]=0,"",Sales[[#This Row],[Current Upsell $]]&gt;=400,"High",Sales[[#This Row],[Current Upsell $]]&gt;=100,"Medium",Sales[[#This Row],[Current Upsell $]]&lt;100,"Low")</f>
        <v/>
      </c>
      <c r="R717" t="str">
        <f>IF(Sales[[#This Row],[Current Upsell $]]&gt;0,_xlfn.CONCAT(Sales[[#This Row],[Subscription Type]]," ",Sales[[#This Row],[Upsell Priority]]," ",TEXT(Sales[[#This Row],[Current Upsell $]],"$#,#")),"")</f>
        <v/>
      </c>
    </row>
    <row r="718" spans="1:18" x14ac:dyDescent="0.25">
      <c r="A718">
        <v>100061</v>
      </c>
      <c r="B718" t="s">
        <v>0</v>
      </c>
      <c r="D718" s="1"/>
      <c r="E718" s="1"/>
      <c r="F718">
        <v>9</v>
      </c>
      <c r="G718">
        <v>23</v>
      </c>
      <c r="H718" s="1">
        <v>44013</v>
      </c>
      <c r="I718" s="1">
        <v>44378</v>
      </c>
      <c r="J718">
        <v>12</v>
      </c>
      <c r="K718">
        <v>0</v>
      </c>
      <c r="L718" s="1">
        <v>44044</v>
      </c>
      <c r="M718">
        <v>90</v>
      </c>
      <c r="N718" s="8" cm="1">
        <f t="array" ref="N718">_xlfn.SWITCH(Sales[[#This Row],[Subscription Type]],"Basic",10,"Premium",10,"Business",25,"Enterprise",27)</f>
        <v>10</v>
      </c>
      <c r="O718">
        <f>IF(Sales[[#This Row],[Number of Users]]-Sales[[#This Row],[Licenses Bought]]&lt;0,0,Sales[[#This Row],[Number of Users]]-Sales[[#This Row],[Licenses Bought]])</f>
        <v>14</v>
      </c>
      <c r="P718" s="8">
        <f>IF(Sales[[#This Row],[Sales Month]]=MAX(Sales[Sales Month]),Sales[[#This Row],[Non-Paying Users]]*Sales[[#This Row],[Upsell $ per Non-Paying User]],0)</f>
        <v>0</v>
      </c>
      <c r="Q718" t="str" cm="1">
        <f t="array" ref="Q718">_xlfn.IFS(Sales[[#This Row],[Current Upsell $]]=0,"",Sales[[#This Row],[Current Upsell $]]&gt;=400,"High",Sales[[#This Row],[Current Upsell $]]&gt;=100,"Medium",Sales[[#This Row],[Current Upsell $]]&lt;100,"Low")</f>
        <v/>
      </c>
      <c r="R718" t="str">
        <f>IF(Sales[[#This Row],[Current Upsell $]]&gt;0,_xlfn.CONCAT(Sales[[#This Row],[Subscription Type]]," ",Sales[[#This Row],[Upsell Priority]]," ",TEXT(Sales[[#This Row],[Current Upsell $]],"$#,#")),"")</f>
        <v/>
      </c>
    </row>
    <row r="719" spans="1:18" x14ac:dyDescent="0.25">
      <c r="A719">
        <v>100061</v>
      </c>
      <c r="B719" t="s">
        <v>0</v>
      </c>
      <c r="D719" s="1"/>
      <c r="E719" s="1"/>
      <c r="F719">
        <v>16</v>
      </c>
      <c r="G719">
        <v>21</v>
      </c>
      <c r="H719" s="1">
        <v>44013</v>
      </c>
      <c r="I719" s="1">
        <v>44378</v>
      </c>
      <c r="J719">
        <v>12</v>
      </c>
      <c r="K719">
        <v>0</v>
      </c>
      <c r="L719" s="1">
        <v>44075</v>
      </c>
      <c r="M719">
        <v>160</v>
      </c>
      <c r="N719" s="8" cm="1">
        <f t="array" ref="N719">_xlfn.SWITCH(Sales[[#This Row],[Subscription Type]],"Basic",10,"Premium",10,"Business",25,"Enterprise",27)</f>
        <v>10</v>
      </c>
      <c r="O719">
        <f>IF(Sales[[#This Row],[Number of Users]]-Sales[[#This Row],[Licenses Bought]]&lt;0,0,Sales[[#This Row],[Number of Users]]-Sales[[#This Row],[Licenses Bought]])</f>
        <v>5</v>
      </c>
      <c r="P719" s="8">
        <f>IF(Sales[[#This Row],[Sales Month]]=MAX(Sales[Sales Month]),Sales[[#This Row],[Non-Paying Users]]*Sales[[#This Row],[Upsell $ per Non-Paying User]],0)</f>
        <v>0</v>
      </c>
      <c r="Q719" t="str" cm="1">
        <f t="array" ref="Q719">_xlfn.IFS(Sales[[#This Row],[Current Upsell $]]=0,"",Sales[[#This Row],[Current Upsell $]]&gt;=400,"High",Sales[[#This Row],[Current Upsell $]]&gt;=100,"Medium",Sales[[#This Row],[Current Upsell $]]&lt;100,"Low")</f>
        <v/>
      </c>
      <c r="R719" t="str">
        <f>IF(Sales[[#This Row],[Current Upsell $]]&gt;0,_xlfn.CONCAT(Sales[[#This Row],[Subscription Type]]," ",Sales[[#This Row],[Upsell Priority]]," ",TEXT(Sales[[#This Row],[Current Upsell $]],"$#,#")),"")</f>
        <v/>
      </c>
    </row>
    <row r="720" spans="1:18" x14ac:dyDescent="0.25">
      <c r="A720">
        <v>100061</v>
      </c>
      <c r="B720" t="s">
        <v>0</v>
      </c>
      <c r="D720" s="1"/>
      <c r="E720" s="1"/>
      <c r="F720">
        <v>13</v>
      </c>
      <c r="G720">
        <v>18</v>
      </c>
      <c r="H720" s="1">
        <v>44013</v>
      </c>
      <c r="I720" s="1">
        <v>44378</v>
      </c>
      <c r="J720">
        <v>12</v>
      </c>
      <c r="K720">
        <v>0</v>
      </c>
      <c r="L720" s="1">
        <v>44105</v>
      </c>
      <c r="M720">
        <v>130</v>
      </c>
      <c r="N720" s="8" cm="1">
        <f t="array" ref="N720">_xlfn.SWITCH(Sales[[#This Row],[Subscription Type]],"Basic",10,"Premium",10,"Business",25,"Enterprise",27)</f>
        <v>10</v>
      </c>
      <c r="O720">
        <f>IF(Sales[[#This Row],[Number of Users]]-Sales[[#This Row],[Licenses Bought]]&lt;0,0,Sales[[#This Row],[Number of Users]]-Sales[[#This Row],[Licenses Bought]])</f>
        <v>5</v>
      </c>
      <c r="P720" s="8">
        <f>IF(Sales[[#This Row],[Sales Month]]=MAX(Sales[Sales Month]),Sales[[#This Row],[Non-Paying Users]]*Sales[[#This Row],[Upsell $ per Non-Paying User]],0)</f>
        <v>0</v>
      </c>
      <c r="Q720" t="str" cm="1">
        <f t="array" ref="Q720">_xlfn.IFS(Sales[[#This Row],[Current Upsell $]]=0,"",Sales[[#This Row],[Current Upsell $]]&gt;=400,"High",Sales[[#This Row],[Current Upsell $]]&gt;=100,"Medium",Sales[[#This Row],[Current Upsell $]]&lt;100,"Low")</f>
        <v/>
      </c>
      <c r="R720" t="str">
        <f>IF(Sales[[#This Row],[Current Upsell $]]&gt;0,_xlfn.CONCAT(Sales[[#This Row],[Subscription Type]]," ",Sales[[#This Row],[Upsell Priority]]," ",TEXT(Sales[[#This Row],[Current Upsell $]],"$#,#")),"")</f>
        <v/>
      </c>
    </row>
    <row r="721" spans="1:18" x14ac:dyDescent="0.25">
      <c r="A721">
        <v>100061</v>
      </c>
      <c r="B721" t="s">
        <v>0</v>
      </c>
      <c r="D721" s="1"/>
      <c r="E721" s="1"/>
      <c r="F721">
        <v>16</v>
      </c>
      <c r="G721">
        <v>20</v>
      </c>
      <c r="H721" s="1">
        <v>44013</v>
      </c>
      <c r="I721" s="1">
        <v>44378</v>
      </c>
      <c r="J721">
        <v>12</v>
      </c>
      <c r="K721">
        <v>0</v>
      </c>
      <c r="L721" s="1">
        <v>44136</v>
      </c>
      <c r="M721">
        <v>160</v>
      </c>
      <c r="N721" s="8" cm="1">
        <f t="array" ref="N721">_xlfn.SWITCH(Sales[[#This Row],[Subscription Type]],"Basic",10,"Premium",10,"Business",25,"Enterprise",27)</f>
        <v>10</v>
      </c>
      <c r="O721">
        <f>IF(Sales[[#This Row],[Number of Users]]-Sales[[#This Row],[Licenses Bought]]&lt;0,0,Sales[[#This Row],[Number of Users]]-Sales[[#This Row],[Licenses Bought]])</f>
        <v>4</v>
      </c>
      <c r="P721" s="8">
        <f>IF(Sales[[#This Row],[Sales Month]]=MAX(Sales[Sales Month]),Sales[[#This Row],[Non-Paying Users]]*Sales[[#This Row],[Upsell $ per Non-Paying User]],0)</f>
        <v>0</v>
      </c>
      <c r="Q721" t="str" cm="1">
        <f t="array" ref="Q721">_xlfn.IFS(Sales[[#This Row],[Current Upsell $]]=0,"",Sales[[#This Row],[Current Upsell $]]&gt;=400,"High",Sales[[#This Row],[Current Upsell $]]&gt;=100,"Medium",Sales[[#This Row],[Current Upsell $]]&lt;100,"Low")</f>
        <v/>
      </c>
      <c r="R721" t="str">
        <f>IF(Sales[[#This Row],[Current Upsell $]]&gt;0,_xlfn.CONCAT(Sales[[#This Row],[Subscription Type]]," ",Sales[[#This Row],[Upsell Priority]]," ",TEXT(Sales[[#This Row],[Current Upsell $]],"$#,#")),"")</f>
        <v/>
      </c>
    </row>
    <row r="722" spans="1:18" x14ac:dyDescent="0.25">
      <c r="A722">
        <v>100061</v>
      </c>
      <c r="B722" t="s">
        <v>0</v>
      </c>
      <c r="D722" s="1"/>
      <c r="E722" s="1"/>
      <c r="F722">
        <v>16</v>
      </c>
      <c r="G722">
        <v>24</v>
      </c>
      <c r="H722" s="1">
        <v>44013</v>
      </c>
      <c r="I722" s="1">
        <v>44378</v>
      </c>
      <c r="J722">
        <v>12</v>
      </c>
      <c r="K722">
        <v>0</v>
      </c>
      <c r="L722" s="1">
        <v>44166</v>
      </c>
      <c r="M722">
        <v>160</v>
      </c>
      <c r="N722" s="8" cm="1">
        <f t="array" ref="N722">_xlfn.SWITCH(Sales[[#This Row],[Subscription Type]],"Basic",10,"Premium",10,"Business",25,"Enterprise",27)</f>
        <v>10</v>
      </c>
      <c r="O722">
        <f>IF(Sales[[#This Row],[Number of Users]]-Sales[[#This Row],[Licenses Bought]]&lt;0,0,Sales[[#This Row],[Number of Users]]-Sales[[#This Row],[Licenses Bought]])</f>
        <v>8</v>
      </c>
      <c r="P722" s="8">
        <f>IF(Sales[[#This Row],[Sales Month]]=MAX(Sales[Sales Month]),Sales[[#This Row],[Non-Paying Users]]*Sales[[#This Row],[Upsell $ per Non-Paying User]],0)</f>
        <v>0</v>
      </c>
      <c r="Q722" t="str" cm="1">
        <f t="array" ref="Q722">_xlfn.IFS(Sales[[#This Row],[Current Upsell $]]=0,"",Sales[[#This Row],[Current Upsell $]]&gt;=400,"High",Sales[[#This Row],[Current Upsell $]]&gt;=100,"Medium",Sales[[#This Row],[Current Upsell $]]&lt;100,"Low")</f>
        <v/>
      </c>
      <c r="R722" t="str">
        <f>IF(Sales[[#This Row],[Current Upsell $]]&gt;0,_xlfn.CONCAT(Sales[[#This Row],[Subscription Type]]," ",Sales[[#This Row],[Upsell Priority]]," ",TEXT(Sales[[#This Row],[Current Upsell $]],"$#,#")),"")</f>
        <v/>
      </c>
    </row>
    <row r="723" spans="1:18" x14ac:dyDescent="0.25">
      <c r="A723">
        <v>100061</v>
      </c>
      <c r="B723" t="s">
        <v>0</v>
      </c>
      <c r="D723" s="1"/>
      <c r="E723" s="1"/>
      <c r="F723">
        <v>16</v>
      </c>
      <c r="G723">
        <v>17</v>
      </c>
      <c r="H723" s="1">
        <v>44013</v>
      </c>
      <c r="I723" s="1">
        <v>44378</v>
      </c>
      <c r="J723">
        <v>12</v>
      </c>
      <c r="K723">
        <v>0</v>
      </c>
      <c r="L723" s="1">
        <v>44197</v>
      </c>
      <c r="M723">
        <v>160</v>
      </c>
      <c r="N723" s="8" cm="1">
        <f t="array" ref="N723">_xlfn.SWITCH(Sales[[#This Row],[Subscription Type]],"Basic",10,"Premium",10,"Business",25,"Enterprise",27)</f>
        <v>10</v>
      </c>
      <c r="O723">
        <f>IF(Sales[[#This Row],[Number of Users]]-Sales[[#This Row],[Licenses Bought]]&lt;0,0,Sales[[#This Row],[Number of Users]]-Sales[[#This Row],[Licenses Bought]])</f>
        <v>1</v>
      </c>
      <c r="P723" s="8">
        <f>IF(Sales[[#This Row],[Sales Month]]=MAX(Sales[Sales Month]),Sales[[#This Row],[Non-Paying Users]]*Sales[[#This Row],[Upsell $ per Non-Paying User]],0)</f>
        <v>0</v>
      </c>
      <c r="Q723" t="str" cm="1">
        <f t="array" ref="Q723">_xlfn.IFS(Sales[[#This Row],[Current Upsell $]]=0,"",Sales[[#This Row],[Current Upsell $]]&gt;=400,"High",Sales[[#This Row],[Current Upsell $]]&gt;=100,"Medium",Sales[[#This Row],[Current Upsell $]]&lt;100,"Low")</f>
        <v/>
      </c>
      <c r="R723" t="str">
        <f>IF(Sales[[#This Row],[Current Upsell $]]&gt;0,_xlfn.CONCAT(Sales[[#This Row],[Subscription Type]]," ",Sales[[#This Row],[Upsell Priority]]," ",TEXT(Sales[[#This Row],[Current Upsell $]],"$#,#")),"")</f>
        <v/>
      </c>
    </row>
    <row r="724" spans="1:18" x14ac:dyDescent="0.25">
      <c r="A724">
        <v>100061</v>
      </c>
      <c r="B724" t="s">
        <v>0</v>
      </c>
      <c r="D724" s="1"/>
      <c r="E724" s="1"/>
      <c r="F724">
        <v>16</v>
      </c>
      <c r="G724">
        <v>19</v>
      </c>
      <c r="H724" s="1">
        <v>44013</v>
      </c>
      <c r="I724" s="1">
        <v>44378</v>
      </c>
      <c r="J724">
        <v>12</v>
      </c>
      <c r="K724">
        <v>0</v>
      </c>
      <c r="L724" s="1">
        <v>44228</v>
      </c>
      <c r="M724">
        <v>160</v>
      </c>
      <c r="N724" s="8" cm="1">
        <f t="array" ref="N724">_xlfn.SWITCH(Sales[[#This Row],[Subscription Type]],"Basic",10,"Premium",10,"Business",25,"Enterprise",27)</f>
        <v>10</v>
      </c>
      <c r="O724">
        <f>IF(Sales[[#This Row],[Number of Users]]-Sales[[#This Row],[Licenses Bought]]&lt;0,0,Sales[[#This Row],[Number of Users]]-Sales[[#This Row],[Licenses Bought]])</f>
        <v>3</v>
      </c>
      <c r="P724" s="8">
        <f>IF(Sales[[#This Row],[Sales Month]]=MAX(Sales[Sales Month]),Sales[[#This Row],[Non-Paying Users]]*Sales[[#This Row],[Upsell $ per Non-Paying User]],0)</f>
        <v>0</v>
      </c>
      <c r="Q724" t="str" cm="1">
        <f t="array" ref="Q724">_xlfn.IFS(Sales[[#This Row],[Current Upsell $]]=0,"",Sales[[#This Row],[Current Upsell $]]&gt;=400,"High",Sales[[#This Row],[Current Upsell $]]&gt;=100,"Medium",Sales[[#This Row],[Current Upsell $]]&lt;100,"Low")</f>
        <v/>
      </c>
      <c r="R724" t="str">
        <f>IF(Sales[[#This Row],[Current Upsell $]]&gt;0,_xlfn.CONCAT(Sales[[#This Row],[Subscription Type]]," ",Sales[[#This Row],[Upsell Priority]]," ",TEXT(Sales[[#This Row],[Current Upsell $]],"$#,#")),"")</f>
        <v/>
      </c>
    </row>
    <row r="725" spans="1:18" x14ac:dyDescent="0.25">
      <c r="A725">
        <v>100061</v>
      </c>
      <c r="B725" t="s">
        <v>0</v>
      </c>
      <c r="D725" s="1"/>
      <c r="E725" s="1"/>
      <c r="F725">
        <v>16</v>
      </c>
      <c r="G725">
        <v>22</v>
      </c>
      <c r="H725" s="1">
        <v>44013</v>
      </c>
      <c r="I725" s="1">
        <v>44378</v>
      </c>
      <c r="J725">
        <v>12</v>
      </c>
      <c r="K725">
        <v>0</v>
      </c>
      <c r="L725" s="1">
        <v>44256</v>
      </c>
      <c r="M725">
        <v>160</v>
      </c>
      <c r="N725" s="8" cm="1">
        <f t="array" ref="N725">_xlfn.SWITCH(Sales[[#This Row],[Subscription Type]],"Basic",10,"Premium",10,"Business",25,"Enterprise",27)</f>
        <v>10</v>
      </c>
      <c r="O725">
        <f>IF(Sales[[#This Row],[Number of Users]]-Sales[[#This Row],[Licenses Bought]]&lt;0,0,Sales[[#This Row],[Number of Users]]-Sales[[#This Row],[Licenses Bought]])</f>
        <v>6</v>
      </c>
      <c r="P725" s="8">
        <f>IF(Sales[[#This Row],[Sales Month]]=MAX(Sales[Sales Month]),Sales[[#This Row],[Non-Paying Users]]*Sales[[#This Row],[Upsell $ per Non-Paying User]],0)</f>
        <v>0</v>
      </c>
      <c r="Q725" t="str" cm="1">
        <f t="array" ref="Q725">_xlfn.IFS(Sales[[#This Row],[Current Upsell $]]=0,"",Sales[[#This Row],[Current Upsell $]]&gt;=400,"High",Sales[[#This Row],[Current Upsell $]]&gt;=100,"Medium",Sales[[#This Row],[Current Upsell $]]&lt;100,"Low")</f>
        <v/>
      </c>
      <c r="R725" t="str">
        <f>IF(Sales[[#This Row],[Current Upsell $]]&gt;0,_xlfn.CONCAT(Sales[[#This Row],[Subscription Type]]," ",Sales[[#This Row],[Upsell Priority]]," ",TEXT(Sales[[#This Row],[Current Upsell $]],"$#,#")),"")</f>
        <v/>
      </c>
    </row>
    <row r="726" spans="1:18" x14ac:dyDescent="0.25">
      <c r="A726">
        <v>100061</v>
      </c>
      <c r="B726" t="s">
        <v>0</v>
      </c>
      <c r="D726" s="1"/>
      <c r="E726" s="1"/>
      <c r="F726">
        <v>16</v>
      </c>
      <c r="G726">
        <v>15</v>
      </c>
      <c r="H726" s="1">
        <v>44013</v>
      </c>
      <c r="I726" s="1">
        <v>44378</v>
      </c>
      <c r="J726">
        <v>12</v>
      </c>
      <c r="K726">
        <v>0</v>
      </c>
      <c r="L726" s="1">
        <v>44287</v>
      </c>
      <c r="M726">
        <v>160</v>
      </c>
      <c r="N726" s="8" cm="1">
        <f t="array" ref="N726">_xlfn.SWITCH(Sales[[#This Row],[Subscription Type]],"Basic",10,"Premium",10,"Business",25,"Enterprise",27)</f>
        <v>10</v>
      </c>
      <c r="O726">
        <f>IF(Sales[[#This Row],[Number of Users]]-Sales[[#This Row],[Licenses Bought]]&lt;0,0,Sales[[#This Row],[Number of Users]]-Sales[[#This Row],[Licenses Bought]])</f>
        <v>0</v>
      </c>
      <c r="P726" s="8">
        <f>IF(Sales[[#This Row],[Sales Month]]=MAX(Sales[Sales Month]),Sales[[#This Row],[Non-Paying Users]]*Sales[[#This Row],[Upsell $ per Non-Paying User]],0)</f>
        <v>0</v>
      </c>
      <c r="Q726" t="str" cm="1">
        <f t="array" ref="Q726">_xlfn.IFS(Sales[[#This Row],[Current Upsell $]]=0,"",Sales[[#This Row],[Current Upsell $]]&gt;=400,"High",Sales[[#This Row],[Current Upsell $]]&gt;=100,"Medium",Sales[[#This Row],[Current Upsell $]]&lt;100,"Low")</f>
        <v/>
      </c>
      <c r="R726" t="str">
        <f>IF(Sales[[#This Row],[Current Upsell $]]&gt;0,_xlfn.CONCAT(Sales[[#This Row],[Subscription Type]]," ",Sales[[#This Row],[Upsell Priority]]," ",TEXT(Sales[[#This Row],[Current Upsell $]],"$#,#")),"")</f>
        <v/>
      </c>
    </row>
    <row r="727" spans="1:18" x14ac:dyDescent="0.25">
      <c r="A727">
        <v>100061</v>
      </c>
      <c r="B727" t="s">
        <v>0</v>
      </c>
      <c r="D727" s="1"/>
      <c r="E727" s="1"/>
      <c r="F727">
        <v>16</v>
      </c>
      <c r="G727">
        <v>19</v>
      </c>
      <c r="H727" s="1">
        <v>44013</v>
      </c>
      <c r="I727" s="1">
        <v>44378</v>
      </c>
      <c r="J727">
        <v>12</v>
      </c>
      <c r="K727">
        <v>0</v>
      </c>
      <c r="L727" s="1">
        <v>44317</v>
      </c>
      <c r="M727">
        <v>160</v>
      </c>
      <c r="N727" s="8" cm="1">
        <f t="array" ref="N727">_xlfn.SWITCH(Sales[[#This Row],[Subscription Type]],"Basic",10,"Premium",10,"Business",25,"Enterprise",27)</f>
        <v>10</v>
      </c>
      <c r="O727">
        <f>IF(Sales[[#This Row],[Number of Users]]-Sales[[#This Row],[Licenses Bought]]&lt;0,0,Sales[[#This Row],[Number of Users]]-Sales[[#This Row],[Licenses Bought]])</f>
        <v>3</v>
      </c>
      <c r="P727" s="8">
        <f>IF(Sales[[#This Row],[Sales Month]]=MAX(Sales[Sales Month]),Sales[[#This Row],[Non-Paying Users]]*Sales[[#This Row],[Upsell $ per Non-Paying User]],0)</f>
        <v>0</v>
      </c>
      <c r="Q727" t="str" cm="1">
        <f t="array" ref="Q727">_xlfn.IFS(Sales[[#This Row],[Current Upsell $]]=0,"",Sales[[#This Row],[Current Upsell $]]&gt;=400,"High",Sales[[#This Row],[Current Upsell $]]&gt;=100,"Medium",Sales[[#This Row],[Current Upsell $]]&lt;100,"Low")</f>
        <v/>
      </c>
      <c r="R727" t="str">
        <f>IF(Sales[[#This Row],[Current Upsell $]]&gt;0,_xlfn.CONCAT(Sales[[#This Row],[Subscription Type]]," ",Sales[[#This Row],[Upsell Priority]]," ",TEXT(Sales[[#This Row],[Current Upsell $]],"$#,#")),"")</f>
        <v/>
      </c>
    </row>
    <row r="728" spans="1:18" x14ac:dyDescent="0.25">
      <c r="A728">
        <v>100061</v>
      </c>
      <c r="B728" t="s">
        <v>0</v>
      </c>
      <c r="D728" s="1"/>
      <c r="E728" s="1"/>
      <c r="F728">
        <v>16</v>
      </c>
      <c r="G728">
        <v>19</v>
      </c>
      <c r="H728" s="1">
        <v>44013</v>
      </c>
      <c r="I728" s="1">
        <v>44378</v>
      </c>
      <c r="J728">
        <v>12</v>
      </c>
      <c r="K728">
        <v>0</v>
      </c>
      <c r="L728" s="1">
        <v>44348</v>
      </c>
      <c r="M728">
        <v>160</v>
      </c>
      <c r="N728" s="8" cm="1">
        <f t="array" ref="N728">_xlfn.SWITCH(Sales[[#This Row],[Subscription Type]],"Basic",10,"Premium",10,"Business",25,"Enterprise",27)</f>
        <v>10</v>
      </c>
      <c r="O728">
        <f>IF(Sales[[#This Row],[Number of Users]]-Sales[[#This Row],[Licenses Bought]]&lt;0,0,Sales[[#This Row],[Number of Users]]-Sales[[#This Row],[Licenses Bought]])</f>
        <v>3</v>
      </c>
      <c r="P728" s="8">
        <f>IF(Sales[[#This Row],[Sales Month]]=MAX(Sales[Sales Month]),Sales[[#This Row],[Non-Paying Users]]*Sales[[#This Row],[Upsell $ per Non-Paying User]],0)</f>
        <v>30</v>
      </c>
      <c r="Q728" t="str" cm="1">
        <f t="array" ref="Q728">_xlfn.IFS(Sales[[#This Row],[Current Upsell $]]=0,"",Sales[[#This Row],[Current Upsell $]]&gt;=400,"High",Sales[[#This Row],[Current Upsell $]]&gt;=100,"Medium",Sales[[#This Row],[Current Upsell $]]&lt;100,"Low")</f>
        <v>Low</v>
      </c>
      <c r="R728" t="str">
        <f>IF(Sales[[#This Row],[Current Upsell $]]&gt;0,_xlfn.CONCAT(Sales[[#This Row],[Subscription Type]]," ",Sales[[#This Row],[Upsell Priority]]," ",TEXT(Sales[[#This Row],[Current Upsell $]],"$#,#")),"")</f>
        <v>Premium Low $30</v>
      </c>
    </row>
    <row r="729" spans="1:18" x14ac:dyDescent="0.25">
      <c r="A729">
        <v>100062</v>
      </c>
      <c r="B729" t="s">
        <v>3</v>
      </c>
      <c r="D729" s="1"/>
      <c r="E729" s="1"/>
      <c r="F729">
        <v>0</v>
      </c>
      <c r="G729">
        <v>17</v>
      </c>
      <c r="H729" s="1">
        <v>44013</v>
      </c>
      <c r="I729" s="1">
        <v>44378</v>
      </c>
      <c r="J729">
        <v>12</v>
      </c>
      <c r="K729">
        <v>0</v>
      </c>
      <c r="L729" s="1">
        <v>44013</v>
      </c>
      <c r="M729">
        <v>0</v>
      </c>
      <c r="N729" s="8" cm="1">
        <f t="array" ref="N729">_xlfn.SWITCH(Sales[[#This Row],[Subscription Type]],"Basic",10,"Premium",10,"Business",25,"Enterprise",27)</f>
        <v>10</v>
      </c>
      <c r="O729">
        <f>IF(Sales[[#This Row],[Number of Users]]-Sales[[#This Row],[Licenses Bought]]&lt;0,0,Sales[[#This Row],[Number of Users]]-Sales[[#This Row],[Licenses Bought]])</f>
        <v>17</v>
      </c>
      <c r="P729" s="8">
        <f>IF(Sales[[#This Row],[Sales Month]]=MAX(Sales[Sales Month]),Sales[[#This Row],[Non-Paying Users]]*Sales[[#This Row],[Upsell $ per Non-Paying User]],0)</f>
        <v>0</v>
      </c>
      <c r="Q729" t="str" cm="1">
        <f t="array" ref="Q729">_xlfn.IFS(Sales[[#This Row],[Current Upsell $]]=0,"",Sales[[#This Row],[Current Upsell $]]&gt;=400,"High",Sales[[#This Row],[Current Upsell $]]&gt;=100,"Medium",Sales[[#This Row],[Current Upsell $]]&lt;100,"Low")</f>
        <v/>
      </c>
      <c r="R729" t="str">
        <f>IF(Sales[[#This Row],[Current Upsell $]]&gt;0,_xlfn.CONCAT(Sales[[#This Row],[Subscription Type]]," ",Sales[[#This Row],[Upsell Priority]]," ",TEXT(Sales[[#This Row],[Current Upsell $]],"$#,#")),"")</f>
        <v/>
      </c>
    </row>
    <row r="730" spans="1:18" x14ac:dyDescent="0.25">
      <c r="A730">
        <v>100062</v>
      </c>
      <c r="B730" t="s">
        <v>0</v>
      </c>
      <c r="D730" s="1"/>
      <c r="E730" s="1"/>
      <c r="F730">
        <v>8</v>
      </c>
      <c r="G730">
        <v>18</v>
      </c>
      <c r="H730" s="1">
        <v>44013</v>
      </c>
      <c r="I730" s="1">
        <v>44378</v>
      </c>
      <c r="J730">
        <v>12</v>
      </c>
      <c r="K730">
        <v>0</v>
      </c>
      <c r="L730" s="1">
        <v>44044</v>
      </c>
      <c r="M730">
        <v>80</v>
      </c>
      <c r="N730" s="8" cm="1">
        <f t="array" ref="N730">_xlfn.SWITCH(Sales[[#This Row],[Subscription Type]],"Basic",10,"Premium",10,"Business",25,"Enterprise",27)</f>
        <v>10</v>
      </c>
      <c r="O730">
        <f>IF(Sales[[#This Row],[Number of Users]]-Sales[[#This Row],[Licenses Bought]]&lt;0,0,Sales[[#This Row],[Number of Users]]-Sales[[#This Row],[Licenses Bought]])</f>
        <v>10</v>
      </c>
      <c r="P730" s="8">
        <f>IF(Sales[[#This Row],[Sales Month]]=MAX(Sales[Sales Month]),Sales[[#This Row],[Non-Paying Users]]*Sales[[#This Row],[Upsell $ per Non-Paying User]],0)</f>
        <v>0</v>
      </c>
      <c r="Q730" t="str" cm="1">
        <f t="array" ref="Q730">_xlfn.IFS(Sales[[#This Row],[Current Upsell $]]=0,"",Sales[[#This Row],[Current Upsell $]]&gt;=400,"High",Sales[[#This Row],[Current Upsell $]]&gt;=100,"Medium",Sales[[#This Row],[Current Upsell $]]&lt;100,"Low")</f>
        <v/>
      </c>
      <c r="R730" t="str">
        <f>IF(Sales[[#This Row],[Current Upsell $]]&gt;0,_xlfn.CONCAT(Sales[[#This Row],[Subscription Type]]," ",Sales[[#This Row],[Upsell Priority]]," ",TEXT(Sales[[#This Row],[Current Upsell $]],"$#,#")),"")</f>
        <v/>
      </c>
    </row>
    <row r="731" spans="1:18" x14ac:dyDescent="0.25">
      <c r="A731">
        <v>100062</v>
      </c>
      <c r="B731" t="s">
        <v>0</v>
      </c>
      <c r="D731" s="1"/>
      <c r="E731" s="1"/>
      <c r="F731">
        <v>15</v>
      </c>
      <c r="G731">
        <v>19</v>
      </c>
      <c r="H731" s="1">
        <v>44013</v>
      </c>
      <c r="I731" s="1">
        <v>44378</v>
      </c>
      <c r="J731">
        <v>12</v>
      </c>
      <c r="K731">
        <v>0</v>
      </c>
      <c r="L731" s="1">
        <v>44075</v>
      </c>
      <c r="M731">
        <v>150</v>
      </c>
      <c r="N731" s="8" cm="1">
        <f t="array" ref="N731">_xlfn.SWITCH(Sales[[#This Row],[Subscription Type]],"Basic",10,"Premium",10,"Business",25,"Enterprise",27)</f>
        <v>10</v>
      </c>
      <c r="O731">
        <f>IF(Sales[[#This Row],[Number of Users]]-Sales[[#This Row],[Licenses Bought]]&lt;0,0,Sales[[#This Row],[Number of Users]]-Sales[[#This Row],[Licenses Bought]])</f>
        <v>4</v>
      </c>
      <c r="P731" s="8">
        <f>IF(Sales[[#This Row],[Sales Month]]=MAX(Sales[Sales Month]),Sales[[#This Row],[Non-Paying Users]]*Sales[[#This Row],[Upsell $ per Non-Paying User]],0)</f>
        <v>0</v>
      </c>
      <c r="Q731" t="str" cm="1">
        <f t="array" ref="Q731">_xlfn.IFS(Sales[[#This Row],[Current Upsell $]]=0,"",Sales[[#This Row],[Current Upsell $]]&gt;=400,"High",Sales[[#This Row],[Current Upsell $]]&gt;=100,"Medium",Sales[[#This Row],[Current Upsell $]]&lt;100,"Low")</f>
        <v/>
      </c>
      <c r="R731" t="str">
        <f>IF(Sales[[#This Row],[Current Upsell $]]&gt;0,_xlfn.CONCAT(Sales[[#This Row],[Subscription Type]]," ",Sales[[#This Row],[Upsell Priority]]," ",TEXT(Sales[[#This Row],[Current Upsell $]],"$#,#")),"")</f>
        <v/>
      </c>
    </row>
    <row r="732" spans="1:18" x14ac:dyDescent="0.25">
      <c r="A732">
        <v>100062</v>
      </c>
      <c r="B732" t="s">
        <v>0</v>
      </c>
      <c r="D732" s="1"/>
      <c r="E732" s="1"/>
      <c r="F732">
        <v>15</v>
      </c>
      <c r="G732">
        <v>21</v>
      </c>
      <c r="H732" s="1">
        <v>44013</v>
      </c>
      <c r="I732" s="1">
        <v>44378</v>
      </c>
      <c r="J732">
        <v>12</v>
      </c>
      <c r="K732">
        <v>0</v>
      </c>
      <c r="L732" s="1">
        <v>44105</v>
      </c>
      <c r="M732">
        <v>150</v>
      </c>
      <c r="N732" s="8" cm="1">
        <f t="array" ref="N732">_xlfn.SWITCH(Sales[[#This Row],[Subscription Type]],"Basic",10,"Premium",10,"Business",25,"Enterprise",27)</f>
        <v>10</v>
      </c>
      <c r="O732">
        <f>IF(Sales[[#This Row],[Number of Users]]-Sales[[#This Row],[Licenses Bought]]&lt;0,0,Sales[[#This Row],[Number of Users]]-Sales[[#This Row],[Licenses Bought]])</f>
        <v>6</v>
      </c>
      <c r="P732" s="8">
        <f>IF(Sales[[#This Row],[Sales Month]]=MAX(Sales[Sales Month]),Sales[[#This Row],[Non-Paying Users]]*Sales[[#This Row],[Upsell $ per Non-Paying User]],0)</f>
        <v>0</v>
      </c>
      <c r="Q732" t="str" cm="1">
        <f t="array" ref="Q732">_xlfn.IFS(Sales[[#This Row],[Current Upsell $]]=0,"",Sales[[#This Row],[Current Upsell $]]&gt;=400,"High",Sales[[#This Row],[Current Upsell $]]&gt;=100,"Medium",Sales[[#This Row],[Current Upsell $]]&lt;100,"Low")</f>
        <v/>
      </c>
      <c r="R732" t="str">
        <f>IF(Sales[[#This Row],[Current Upsell $]]&gt;0,_xlfn.CONCAT(Sales[[#This Row],[Subscription Type]]," ",Sales[[#This Row],[Upsell Priority]]," ",TEXT(Sales[[#This Row],[Current Upsell $]],"$#,#")),"")</f>
        <v/>
      </c>
    </row>
    <row r="733" spans="1:18" x14ac:dyDescent="0.25">
      <c r="A733">
        <v>100062</v>
      </c>
      <c r="B733" t="s">
        <v>0</v>
      </c>
      <c r="D733" s="1"/>
      <c r="E733" s="1"/>
      <c r="F733">
        <v>15</v>
      </c>
      <c r="G733">
        <v>15</v>
      </c>
      <c r="H733" s="1">
        <v>44013</v>
      </c>
      <c r="I733" s="1">
        <v>44378</v>
      </c>
      <c r="J733">
        <v>12</v>
      </c>
      <c r="K733">
        <v>0</v>
      </c>
      <c r="L733" s="1">
        <v>44136</v>
      </c>
      <c r="M733">
        <v>150</v>
      </c>
      <c r="N733" s="8" cm="1">
        <f t="array" ref="N733">_xlfn.SWITCH(Sales[[#This Row],[Subscription Type]],"Basic",10,"Premium",10,"Business",25,"Enterprise",27)</f>
        <v>10</v>
      </c>
      <c r="O733">
        <f>IF(Sales[[#This Row],[Number of Users]]-Sales[[#This Row],[Licenses Bought]]&lt;0,0,Sales[[#This Row],[Number of Users]]-Sales[[#This Row],[Licenses Bought]])</f>
        <v>0</v>
      </c>
      <c r="P733" s="8">
        <f>IF(Sales[[#This Row],[Sales Month]]=MAX(Sales[Sales Month]),Sales[[#This Row],[Non-Paying Users]]*Sales[[#This Row],[Upsell $ per Non-Paying User]],0)</f>
        <v>0</v>
      </c>
      <c r="Q733" t="str" cm="1">
        <f t="array" ref="Q733">_xlfn.IFS(Sales[[#This Row],[Current Upsell $]]=0,"",Sales[[#This Row],[Current Upsell $]]&gt;=400,"High",Sales[[#This Row],[Current Upsell $]]&gt;=100,"Medium",Sales[[#This Row],[Current Upsell $]]&lt;100,"Low")</f>
        <v/>
      </c>
      <c r="R733" t="str">
        <f>IF(Sales[[#This Row],[Current Upsell $]]&gt;0,_xlfn.CONCAT(Sales[[#This Row],[Subscription Type]]," ",Sales[[#This Row],[Upsell Priority]]," ",TEXT(Sales[[#This Row],[Current Upsell $]],"$#,#")),"")</f>
        <v/>
      </c>
    </row>
    <row r="734" spans="1:18" x14ac:dyDescent="0.25">
      <c r="A734">
        <v>100062</v>
      </c>
      <c r="B734" t="s">
        <v>0</v>
      </c>
      <c r="D734" s="1"/>
      <c r="E734" s="1"/>
      <c r="F734">
        <v>15</v>
      </c>
      <c r="G734">
        <v>22</v>
      </c>
      <c r="H734" s="1">
        <v>44013</v>
      </c>
      <c r="I734" s="1">
        <v>44378</v>
      </c>
      <c r="J734">
        <v>12</v>
      </c>
      <c r="K734">
        <v>0</v>
      </c>
      <c r="L734" s="1">
        <v>44166</v>
      </c>
      <c r="M734">
        <v>150</v>
      </c>
      <c r="N734" s="8" cm="1">
        <f t="array" ref="N734">_xlfn.SWITCH(Sales[[#This Row],[Subscription Type]],"Basic",10,"Premium",10,"Business",25,"Enterprise",27)</f>
        <v>10</v>
      </c>
      <c r="O734">
        <f>IF(Sales[[#This Row],[Number of Users]]-Sales[[#This Row],[Licenses Bought]]&lt;0,0,Sales[[#This Row],[Number of Users]]-Sales[[#This Row],[Licenses Bought]])</f>
        <v>7</v>
      </c>
      <c r="P734" s="8">
        <f>IF(Sales[[#This Row],[Sales Month]]=MAX(Sales[Sales Month]),Sales[[#This Row],[Non-Paying Users]]*Sales[[#This Row],[Upsell $ per Non-Paying User]],0)</f>
        <v>0</v>
      </c>
      <c r="Q734" t="str" cm="1">
        <f t="array" ref="Q734">_xlfn.IFS(Sales[[#This Row],[Current Upsell $]]=0,"",Sales[[#This Row],[Current Upsell $]]&gt;=400,"High",Sales[[#This Row],[Current Upsell $]]&gt;=100,"Medium",Sales[[#This Row],[Current Upsell $]]&lt;100,"Low")</f>
        <v/>
      </c>
      <c r="R734" t="str">
        <f>IF(Sales[[#This Row],[Current Upsell $]]&gt;0,_xlfn.CONCAT(Sales[[#This Row],[Subscription Type]]," ",Sales[[#This Row],[Upsell Priority]]," ",TEXT(Sales[[#This Row],[Current Upsell $]],"$#,#")),"")</f>
        <v/>
      </c>
    </row>
    <row r="735" spans="1:18" x14ac:dyDescent="0.25">
      <c r="A735">
        <v>100062</v>
      </c>
      <c r="B735" t="s">
        <v>0</v>
      </c>
      <c r="D735" s="1"/>
      <c r="E735" s="1"/>
      <c r="F735">
        <v>15</v>
      </c>
      <c r="G735">
        <v>18</v>
      </c>
      <c r="H735" s="1">
        <v>44013</v>
      </c>
      <c r="I735" s="1">
        <v>44378</v>
      </c>
      <c r="J735">
        <v>12</v>
      </c>
      <c r="K735">
        <v>0</v>
      </c>
      <c r="L735" s="1">
        <v>44197</v>
      </c>
      <c r="M735">
        <v>150</v>
      </c>
      <c r="N735" s="8" cm="1">
        <f t="array" ref="N735">_xlfn.SWITCH(Sales[[#This Row],[Subscription Type]],"Basic",10,"Premium",10,"Business",25,"Enterprise",27)</f>
        <v>10</v>
      </c>
      <c r="O735">
        <f>IF(Sales[[#This Row],[Number of Users]]-Sales[[#This Row],[Licenses Bought]]&lt;0,0,Sales[[#This Row],[Number of Users]]-Sales[[#This Row],[Licenses Bought]])</f>
        <v>3</v>
      </c>
      <c r="P735" s="8">
        <f>IF(Sales[[#This Row],[Sales Month]]=MAX(Sales[Sales Month]),Sales[[#This Row],[Non-Paying Users]]*Sales[[#This Row],[Upsell $ per Non-Paying User]],0)</f>
        <v>0</v>
      </c>
      <c r="Q735" t="str" cm="1">
        <f t="array" ref="Q735">_xlfn.IFS(Sales[[#This Row],[Current Upsell $]]=0,"",Sales[[#This Row],[Current Upsell $]]&gt;=400,"High",Sales[[#This Row],[Current Upsell $]]&gt;=100,"Medium",Sales[[#This Row],[Current Upsell $]]&lt;100,"Low")</f>
        <v/>
      </c>
      <c r="R735" t="str">
        <f>IF(Sales[[#This Row],[Current Upsell $]]&gt;0,_xlfn.CONCAT(Sales[[#This Row],[Subscription Type]]," ",Sales[[#This Row],[Upsell Priority]]," ",TEXT(Sales[[#This Row],[Current Upsell $]],"$#,#")),"")</f>
        <v/>
      </c>
    </row>
    <row r="736" spans="1:18" x14ac:dyDescent="0.25">
      <c r="A736">
        <v>100062</v>
      </c>
      <c r="B736" t="s">
        <v>0</v>
      </c>
      <c r="D736" s="1"/>
      <c r="E736" s="1"/>
      <c r="F736">
        <v>15</v>
      </c>
      <c r="G736">
        <v>16</v>
      </c>
      <c r="H736" s="1">
        <v>44013</v>
      </c>
      <c r="I736" s="1">
        <v>44378</v>
      </c>
      <c r="J736">
        <v>12</v>
      </c>
      <c r="K736">
        <v>0</v>
      </c>
      <c r="L736" s="1">
        <v>44228</v>
      </c>
      <c r="M736">
        <v>150</v>
      </c>
      <c r="N736" s="8" cm="1">
        <f t="array" ref="N736">_xlfn.SWITCH(Sales[[#This Row],[Subscription Type]],"Basic",10,"Premium",10,"Business",25,"Enterprise",27)</f>
        <v>10</v>
      </c>
      <c r="O736">
        <f>IF(Sales[[#This Row],[Number of Users]]-Sales[[#This Row],[Licenses Bought]]&lt;0,0,Sales[[#This Row],[Number of Users]]-Sales[[#This Row],[Licenses Bought]])</f>
        <v>1</v>
      </c>
      <c r="P736" s="8">
        <f>IF(Sales[[#This Row],[Sales Month]]=MAX(Sales[Sales Month]),Sales[[#This Row],[Non-Paying Users]]*Sales[[#This Row],[Upsell $ per Non-Paying User]],0)</f>
        <v>0</v>
      </c>
      <c r="Q736" t="str" cm="1">
        <f t="array" ref="Q736">_xlfn.IFS(Sales[[#This Row],[Current Upsell $]]=0,"",Sales[[#This Row],[Current Upsell $]]&gt;=400,"High",Sales[[#This Row],[Current Upsell $]]&gt;=100,"Medium",Sales[[#This Row],[Current Upsell $]]&lt;100,"Low")</f>
        <v/>
      </c>
      <c r="R736" t="str">
        <f>IF(Sales[[#This Row],[Current Upsell $]]&gt;0,_xlfn.CONCAT(Sales[[#This Row],[Subscription Type]]," ",Sales[[#This Row],[Upsell Priority]]," ",TEXT(Sales[[#This Row],[Current Upsell $]],"$#,#")),"")</f>
        <v/>
      </c>
    </row>
    <row r="737" spans="1:18" x14ac:dyDescent="0.25">
      <c r="A737">
        <v>100062</v>
      </c>
      <c r="B737" t="s">
        <v>0</v>
      </c>
      <c r="D737" s="1"/>
      <c r="E737" s="1"/>
      <c r="F737">
        <v>15</v>
      </c>
      <c r="G737">
        <v>22</v>
      </c>
      <c r="H737" s="1">
        <v>44013</v>
      </c>
      <c r="I737" s="1">
        <v>44378</v>
      </c>
      <c r="J737">
        <v>12</v>
      </c>
      <c r="K737">
        <v>0</v>
      </c>
      <c r="L737" s="1">
        <v>44256</v>
      </c>
      <c r="M737">
        <v>150</v>
      </c>
      <c r="N737" s="8" cm="1">
        <f t="array" ref="N737">_xlfn.SWITCH(Sales[[#This Row],[Subscription Type]],"Basic",10,"Premium",10,"Business",25,"Enterprise",27)</f>
        <v>10</v>
      </c>
      <c r="O737">
        <f>IF(Sales[[#This Row],[Number of Users]]-Sales[[#This Row],[Licenses Bought]]&lt;0,0,Sales[[#This Row],[Number of Users]]-Sales[[#This Row],[Licenses Bought]])</f>
        <v>7</v>
      </c>
      <c r="P737" s="8">
        <f>IF(Sales[[#This Row],[Sales Month]]=MAX(Sales[Sales Month]),Sales[[#This Row],[Non-Paying Users]]*Sales[[#This Row],[Upsell $ per Non-Paying User]],0)</f>
        <v>0</v>
      </c>
      <c r="Q737" t="str" cm="1">
        <f t="array" ref="Q737">_xlfn.IFS(Sales[[#This Row],[Current Upsell $]]=0,"",Sales[[#This Row],[Current Upsell $]]&gt;=400,"High",Sales[[#This Row],[Current Upsell $]]&gt;=100,"Medium",Sales[[#This Row],[Current Upsell $]]&lt;100,"Low")</f>
        <v/>
      </c>
      <c r="R737" t="str">
        <f>IF(Sales[[#This Row],[Current Upsell $]]&gt;0,_xlfn.CONCAT(Sales[[#This Row],[Subscription Type]]," ",Sales[[#This Row],[Upsell Priority]]," ",TEXT(Sales[[#This Row],[Current Upsell $]],"$#,#")),"")</f>
        <v/>
      </c>
    </row>
    <row r="738" spans="1:18" x14ac:dyDescent="0.25">
      <c r="A738">
        <v>100062</v>
      </c>
      <c r="B738" t="s">
        <v>0</v>
      </c>
      <c r="D738" s="1"/>
      <c r="E738" s="1"/>
      <c r="F738">
        <v>15</v>
      </c>
      <c r="G738">
        <v>15</v>
      </c>
      <c r="H738" s="1">
        <v>44013</v>
      </c>
      <c r="I738" s="1">
        <v>44378</v>
      </c>
      <c r="J738">
        <v>12</v>
      </c>
      <c r="K738">
        <v>0</v>
      </c>
      <c r="L738" s="1">
        <v>44287</v>
      </c>
      <c r="M738">
        <v>150</v>
      </c>
      <c r="N738" s="8" cm="1">
        <f t="array" ref="N738">_xlfn.SWITCH(Sales[[#This Row],[Subscription Type]],"Basic",10,"Premium",10,"Business",25,"Enterprise",27)</f>
        <v>10</v>
      </c>
      <c r="O738">
        <f>IF(Sales[[#This Row],[Number of Users]]-Sales[[#This Row],[Licenses Bought]]&lt;0,0,Sales[[#This Row],[Number of Users]]-Sales[[#This Row],[Licenses Bought]])</f>
        <v>0</v>
      </c>
      <c r="P738" s="8">
        <f>IF(Sales[[#This Row],[Sales Month]]=MAX(Sales[Sales Month]),Sales[[#This Row],[Non-Paying Users]]*Sales[[#This Row],[Upsell $ per Non-Paying User]],0)</f>
        <v>0</v>
      </c>
      <c r="Q738" t="str" cm="1">
        <f t="array" ref="Q738">_xlfn.IFS(Sales[[#This Row],[Current Upsell $]]=0,"",Sales[[#This Row],[Current Upsell $]]&gt;=400,"High",Sales[[#This Row],[Current Upsell $]]&gt;=100,"Medium",Sales[[#This Row],[Current Upsell $]]&lt;100,"Low")</f>
        <v/>
      </c>
      <c r="R738" t="str">
        <f>IF(Sales[[#This Row],[Current Upsell $]]&gt;0,_xlfn.CONCAT(Sales[[#This Row],[Subscription Type]]," ",Sales[[#This Row],[Upsell Priority]]," ",TEXT(Sales[[#This Row],[Current Upsell $]],"$#,#")),"")</f>
        <v/>
      </c>
    </row>
    <row r="739" spans="1:18" x14ac:dyDescent="0.25">
      <c r="A739">
        <v>100062</v>
      </c>
      <c r="B739" t="s">
        <v>0</v>
      </c>
      <c r="D739" s="1"/>
      <c r="E739" s="1"/>
      <c r="F739">
        <v>15</v>
      </c>
      <c r="G739">
        <v>20</v>
      </c>
      <c r="H739" s="1">
        <v>44013</v>
      </c>
      <c r="I739" s="1">
        <v>44378</v>
      </c>
      <c r="J739">
        <v>12</v>
      </c>
      <c r="K739">
        <v>0</v>
      </c>
      <c r="L739" s="1">
        <v>44317</v>
      </c>
      <c r="M739">
        <v>150</v>
      </c>
      <c r="N739" s="8" cm="1">
        <f t="array" ref="N739">_xlfn.SWITCH(Sales[[#This Row],[Subscription Type]],"Basic",10,"Premium",10,"Business",25,"Enterprise",27)</f>
        <v>10</v>
      </c>
      <c r="O739">
        <f>IF(Sales[[#This Row],[Number of Users]]-Sales[[#This Row],[Licenses Bought]]&lt;0,0,Sales[[#This Row],[Number of Users]]-Sales[[#This Row],[Licenses Bought]])</f>
        <v>5</v>
      </c>
      <c r="P739" s="8">
        <f>IF(Sales[[#This Row],[Sales Month]]=MAX(Sales[Sales Month]),Sales[[#This Row],[Non-Paying Users]]*Sales[[#This Row],[Upsell $ per Non-Paying User]],0)</f>
        <v>0</v>
      </c>
      <c r="Q739" t="str" cm="1">
        <f t="array" ref="Q739">_xlfn.IFS(Sales[[#This Row],[Current Upsell $]]=0,"",Sales[[#This Row],[Current Upsell $]]&gt;=400,"High",Sales[[#This Row],[Current Upsell $]]&gt;=100,"Medium",Sales[[#This Row],[Current Upsell $]]&lt;100,"Low")</f>
        <v/>
      </c>
      <c r="R739" t="str">
        <f>IF(Sales[[#This Row],[Current Upsell $]]&gt;0,_xlfn.CONCAT(Sales[[#This Row],[Subscription Type]]," ",Sales[[#This Row],[Upsell Priority]]," ",TEXT(Sales[[#This Row],[Current Upsell $]],"$#,#")),"")</f>
        <v/>
      </c>
    </row>
    <row r="740" spans="1:18" x14ac:dyDescent="0.25">
      <c r="A740">
        <v>100062</v>
      </c>
      <c r="B740" t="s">
        <v>0</v>
      </c>
      <c r="D740" s="1"/>
      <c r="E740" s="1"/>
      <c r="F740">
        <v>15</v>
      </c>
      <c r="G740">
        <v>20</v>
      </c>
      <c r="H740" s="1">
        <v>44013</v>
      </c>
      <c r="I740" s="1">
        <v>44378</v>
      </c>
      <c r="J740">
        <v>12</v>
      </c>
      <c r="K740">
        <v>0</v>
      </c>
      <c r="L740" s="1">
        <v>44348</v>
      </c>
      <c r="M740">
        <v>150</v>
      </c>
      <c r="N740" s="8" cm="1">
        <f t="array" ref="N740">_xlfn.SWITCH(Sales[[#This Row],[Subscription Type]],"Basic",10,"Premium",10,"Business",25,"Enterprise",27)</f>
        <v>10</v>
      </c>
      <c r="O740">
        <f>IF(Sales[[#This Row],[Number of Users]]-Sales[[#This Row],[Licenses Bought]]&lt;0,0,Sales[[#This Row],[Number of Users]]-Sales[[#This Row],[Licenses Bought]])</f>
        <v>5</v>
      </c>
      <c r="P740" s="8">
        <f>IF(Sales[[#This Row],[Sales Month]]=MAX(Sales[Sales Month]),Sales[[#This Row],[Non-Paying Users]]*Sales[[#This Row],[Upsell $ per Non-Paying User]],0)</f>
        <v>50</v>
      </c>
      <c r="Q740" t="str" cm="1">
        <f t="array" ref="Q740">_xlfn.IFS(Sales[[#This Row],[Current Upsell $]]=0,"",Sales[[#This Row],[Current Upsell $]]&gt;=400,"High",Sales[[#This Row],[Current Upsell $]]&gt;=100,"Medium",Sales[[#This Row],[Current Upsell $]]&lt;100,"Low")</f>
        <v>Low</v>
      </c>
      <c r="R740" t="str">
        <f>IF(Sales[[#This Row],[Current Upsell $]]&gt;0,_xlfn.CONCAT(Sales[[#This Row],[Subscription Type]]," ",Sales[[#This Row],[Upsell Priority]]," ",TEXT(Sales[[#This Row],[Current Upsell $]],"$#,#")),"")</f>
        <v>Premium Low $50</v>
      </c>
    </row>
    <row r="741" spans="1:18" x14ac:dyDescent="0.25">
      <c r="A741">
        <v>100063</v>
      </c>
      <c r="B741" t="s">
        <v>3</v>
      </c>
      <c r="F741">
        <v>0</v>
      </c>
      <c r="G741">
        <v>18</v>
      </c>
      <c r="H741" s="1">
        <v>44013</v>
      </c>
      <c r="I741" s="1">
        <v>44044</v>
      </c>
      <c r="J741">
        <v>1</v>
      </c>
      <c r="K741">
        <v>10</v>
      </c>
      <c r="L741" s="1">
        <v>44013</v>
      </c>
      <c r="M741">
        <v>0</v>
      </c>
      <c r="N741" s="8" cm="1">
        <f t="array" ref="N741">_xlfn.SWITCH(Sales[[#This Row],[Subscription Type]],"Basic",10,"Premium",10,"Business",25,"Enterprise",27)</f>
        <v>10</v>
      </c>
      <c r="O741">
        <f>IF(Sales[[#This Row],[Number of Users]]-Sales[[#This Row],[Licenses Bought]]&lt;0,0,Sales[[#This Row],[Number of Users]]-Sales[[#This Row],[Licenses Bought]])</f>
        <v>18</v>
      </c>
      <c r="P741" s="8">
        <f>IF(Sales[[#This Row],[Sales Month]]=MAX(Sales[Sales Month]),Sales[[#This Row],[Non-Paying Users]]*Sales[[#This Row],[Upsell $ per Non-Paying User]],0)</f>
        <v>0</v>
      </c>
      <c r="Q741" t="str" cm="1">
        <f t="array" ref="Q741">_xlfn.IFS(Sales[[#This Row],[Current Upsell $]]=0,"",Sales[[#This Row],[Current Upsell $]]&gt;=400,"High",Sales[[#This Row],[Current Upsell $]]&gt;=100,"Medium",Sales[[#This Row],[Current Upsell $]]&lt;100,"Low")</f>
        <v/>
      </c>
      <c r="R741" t="str">
        <f>IF(Sales[[#This Row],[Current Upsell $]]&gt;0,_xlfn.CONCAT(Sales[[#This Row],[Subscription Type]]," ",Sales[[#This Row],[Upsell Priority]]," ",TEXT(Sales[[#This Row],[Current Upsell $]],"$#,#")),"")</f>
        <v/>
      </c>
    </row>
    <row r="742" spans="1:18" x14ac:dyDescent="0.25">
      <c r="A742">
        <v>100063</v>
      </c>
      <c r="B742" t="s">
        <v>3</v>
      </c>
      <c r="F742">
        <v>0</v>
      </c>
      <c r="G742">
        <v>16</v>
      </c>
      <c r="H742" s="1">
        <v>44013</v>
      </c>
      <c r="I742" s="1">
        <v>44044</v>
      </c>
      <c r="J742">
        <v>1</v>
      </c>
      <c r="K742">
        <v>10</v>
      </c>
      <c r="L742" s="1">
        <v>44044</v>
      </c>
      <c r="M742">
        <v>0</v>
      </c>
      <c r="N742" s="8" cm="1">
        <f t="array" ref="N742">_xlfn.SWITCH(Sales[[#This Row],[Subscription Type]],"Basic",10,"Premium",10,"Business",25,"Enterprise",27)</f>
        <v>10</v>
      </c>
      <c r="O742">
        <f>IF(Sales[[#This Row],[Number of Users]]-Sales[[#This Row],[Licenses Bought]]&lt;0,0,Sales[[#This Row],[Number of Users]]-Sales[[#This Row],[Licenses Bought]])</f>
        <v>16</v>
      </c>
      <c r="P742" s="8">
        <f>IF(Sales[[#This Row],[Sales Month]]=MAX(Sales[Sales Month]),Sales[[#This Row],[Non-Paying Users]]*Sales[[#This Row],[Upsell $ per Non-Paying User]],0)</f>
        <v>0</v>
      </c>
      <c r="Q742" t="str" cm="1">
        <f t="array" ref="Q742">_xlfn.IFS(Sales[[#This Row],[Current Upsell $]]=0,"",Sales[[#This Row],[Current Upsell $]]&gt;=400,"High",Sales[[#This Row],[Current Upsell $]]&gt;=100,"Medium",Sales[[#This Row],[Current Upsell $]]&lt;100,"Low")</f>
        <v/>
      </c>
      <c r="R742" t="str">
        <f>IF(Sales[[#This Row],[Current Upsell $]]&gt;0,_xlfn.CONCAT(Sales[[#This Row],[Subscription Type]]," ",Sales[[#This Row],[Upsell Priority]]," ",TEXT(Sales[[#This Row],[Current Upsell $]],"$#,#")),"")</f>
        <v/>
      </c>
    </row>
    <row r="743" spans="1:18" x14ac:dyDescent="0.25">
      <c r="A743">
        <v>100064</v>
      </c>
      <c r="B743" t="s">
        <v>3</v>
      </c>
      <c r="F743">
        <v>0</v>
      </c>
      <c r="G743">
        <v>16</v>
      </c>
      <c r="H743" s="1">
        <v>44013</v>
      </c>
      <c r="I743" s="1">
        <v>44256</v>
      </c>
      <c r="J743">
        <v>8</v>
      </c>
      <c r="K743">
        <v>3</v>
      </c>
      <c r="L743" s="1">
        <v>44013</v>
      </c>
      <c r="M743">
        <v>0</v>
      </c>
      <c r="N743" s="8" cm="1">
        <f t="array" ref="N743">_xlfn.SWITCH(Sales[[#This Row],[Subscription Type]],"Basic",10,"Premium",10,"Business",25,"Enterprise",27)</f>
        <v>10</v>
      </c>
      <c r="O743">
        <f>IF(Sales[[#This Row],[Number of Users]]-Sales[[#This Row],[Licenses Bought]]&lt;0,0,Sales[[#This Row],[Number of Users]]-Sales[[#This Row],[Licenses Bought]])</f>
        <v>16</v>
      </c>
      <c r="P743" s="8">
        <f>IF(Sales[[#This Row],[Sales Month]]=MAX(Sales[Sales Month]),Sales[[#This Row],[Non-Paying Users]]*Sales[[#This Row],[Upsell $ per Non-Paying User]],0)</f>
        <v>0</v>
      </c>
      <c r="Q743" t="str" cm="1">
        <f t="array" ref="Q743">_xlfn.IFS(Sales[[#This Row],[Current Upsell $]]=0,"",Sales[[#This Row],[Current Upsell $]]&gt;=400,"High",Sales[[#This Row],[Current Upsell $]]&gt;=100,"Medium",Sales[[#This Row],[Current Upsell $]]&lt;100,"Low")</f>
        <v/>
      </c>
      <c r="R743" t="str">
        <f>IF(Sales[[#This Row],[Current Upsell $]]&gt;0,_xlfn.CONCAT(Sales[[#This Row],[Subscription Type]]," ",Sales[[#This Row],[Upsell Priority]]," ",TEXT(Sales[[#This Row],[Current Upsell $]],"$#,#")),"")</f>
        <v/>
      </c>
    </row>
    <row r="744" spans="1:18" x14ac:dyDescent="0.25">
      <c r="A744">
        <v>100064</v>
      </c>
      <c r="B744" t="s">
        <v>0</v>
      </c>
      <c r="F744">
        <v>8</v>
      </c>
      <c r="G744">
        <v>17</v>
      </c>
      <c r="H744" s="1">
        <v>44013</v>
      </c>
      <c r="I744" s="1">
        <v>44256</v>
      </c>
      <c r="J744">
        <v>8</v>
      </c>
      <c r="K744">
        <v>3</v>
      </c>
      <c r="L744" s="1">
        <v>44044</v>
      </c>
      <c r="M744">
        <v>80</v>
      </c>
      <c r="N744" s="8" cm="1">
        <f t="array" ref="N744">_xlfn.SWITCH(Sales[[#This Row],[Subscription Type]],"Basic",10,"Premium",10,"Business",25,"Enterprise",27)</f>
        <v>10</v>
      </c>
      <c r="O744">
        <f>IF(Sales[[#This Row],[Number of Users]]-Sales[[#This Row],[Licenses Bought]]&lt;0,0,Sales[[#This Row],[Number of Users]]-Sales[[#This Row],[Licenses Bought]])</f>
        <v>9</v>
      </c>
      <c r="P744" s="8">
        <f>IF(Sales[[#This Row],[Sales Month]]=MAX(Sales[Sales Month]),Sales[[#This Row],[Non-Paying Users]]*Sales[[#This Row],[Upsell $ per Non-Paying User]],0)</f>
        <v>0</v>
      </c>
      <c r="Q744" t="str" cm="1">
        <f t="array" ref="Q744">_xlfn.IFS(Sales[[#This Row],[Current Upsell $]]=0,"",Sales[[#This Row],[Current Upsell $]]&gt;=400,"High",Sales[[#This Row],[Current Upsell $]]&gt;=100,"Medium",Sales[[#This Row],[Current Upsell $]]&lt;100,"Low")</f>
        <v/>
      </c>
      <c r="R744" t="str">
        <f>IF(Sales[[#This Row],[Current Upsell $]]&gt;0,_xlfn.CONCAT(Sales[[#This Row],[Subscription Type]]," ",Sales[[#This Row],[Upsell Priority]]," ",TEXT(Sales[[#This Row],[Current Upsell $]],"$#,#")),"")</f>
        <v/>
      </c>
    </row>
    <row r="745" spans="1:18" x14ac:dyDescent="0.25">
      <c r="A745">
        <v>100064</v>
      </c>
      <c r="B745" t="s">
        <v>0</v>
      </c>
      <c r="F745">
        <v>7</v>
      </c>
      <c r="G745">
        <v>15</v>
      </c>
      <c r="H745" s="1">
        <v>44013</v>
      </c>
      <c r="I745" s="1">
        <v>44256</v>
      </c>
      <c r="J745">
        <v>8</v>
      </c>
      <c r="K745">
        <v>3</v>
      </c>
      <c r="L745" s="1">
        <v>44075</v>
      </c>
      <c r="M745">
        <v>70</v>
      </c>
      <c r="N745" s="8" cm="1">
        <f t="array" ref="N745">_xlfn.SWITCH(Sales[[#This Row],[Subscription Type]],"Basic",10,"Premium",10,"Business",25,"Enterprise",27)</f>
        <v>10</v>
      </c>
      <c r="O745">
        <f>IF(Sales[[#This Row],[Number of Users]]-Sales[[#This Row],[Licenses Bought]]&lt;0,0,Sales[[#This Row],[Number of Users]]-Sales[[#This Row],[Licenses Bought]])</f>
        <v>8</v>
      </c>
      <c r="P745" s="8">
        <f>IF(Sales[[#This Row],[Sales Month]]=MAX(Sales[Sales Month]),Sales[[#This Row],[Non-Paying Users]]*Sales[[#This Row],[Upsell $ per Non-Paying User]],0)</f>
        <v>0</v>
      </c>
      <c r="Q745" t="str" cm="1">
        <f t="array" ref="Q745">_xlfn.IFS(Sales[[#This Row],[Current Upsell $]]=0,"",Sales[[#This Row],[Current Upsell $]]&gt;=400,"High",Sales[[#This Row],[Current Upsell $]]&gt;=100,"Medium",Sales[[#This Row],[Current Upsell $]]&lt;100,"Low")</f>
        <v/>
      </c>
      <c r="R745" t="str">
        <f>IF(Sales[[#This Row],[Current Upsell $]]&gt;0,_xlfn.CONCAT(Sales[[#This Row],[Subscription Type]]," ",Sales[[#This Row],[Upsell Priority]]," ",TEXT(Sales[[#This Row],[Current Upsell $]],"$#,#")),"")</f>
        <v/>
      </c>
    </row>
    <row r="746" spans="1:18" x14ac:dyDescent="0.25">
      <c r="A746">
        <v>100064</v>
      </c>
      <c r="B746" t="s">
        <v>0</v>
      </c>
      <c r="F746">
        <v>10</v>
      </c>
      <c r="G746">
        <v>16</v>
      </c>
      <c r="H746" s="1">
        <v>44013</v>
      </c>
      <c r="I746" s="1">
        <v>44256</v>
      </c>
      <c r="J746">
        <v>8</v>
      </c>
      <c r="K746">
        <v>3</v>
      </c>
      <c r="L746" s="1">
        <v>44105</v>
      </c>
      <c r="M746">
        <v>100</v>
      </c>
      <c r="N746" s="8" cm="1">
        <f t="array" ref="N746">_xlfn.SWITCH(Sales[[#This Row],[Subscription Type]],"Basic",10,"Premium",10,"Business",25,"Enterprise",27)</f>
        <v>10</v>
      </c>
      <c r="O746">
        <f>IF(Sales[[#This Row],[Number of Users]]-Sales[[#This Row],[Licenses Bought]]&lt;0,0,Sales[[#This Row],[Number of Users]]-Sales[[#This Row],[Licenses Bought]])</f>
        <v>6</v>
      </c>
      <c r="P746" s="8">
        <f>IF(Sales[[#This Row],[Sales Month]]=MAX(Sales[Sales Month]),Sales[[#This Row],[Non-Paying Users]]*Sales[[#This Row],[Upsell $ per Non-Paying User]],0)</f>
        <v>0</v>
      </c>
      <c r="Q746" t="str" cm="1">
        <f t="array" ref="Q746">_xlfn.IFS(Sales[[#This Row],[Current Upsell $]]=0,"",Sales[[#This Row],[Current Upsell $]]&gt;=400,"High",Sales[[#This Row],[Current Upsell $]]&gt;=100,"Medium",Sales[[#This Row],[Current Upsell $]]&lt;100,"Low")</f>
        <v/>
      </c>
      <c r="R746" t="str">
        <f>IF(Sales[[#This Row],[Current Upsell $]]&gt;0,_xlfn.CONCAT(Sales[[#This Row],[Subscription Type]]," ",Sales[[#This Row],[Upsell Priority]]," ",TEXT(Sales[[#This Row],[Current Upsell $]],"$#,#")),"")</f>
        <v/>
      </c>
    </row>
    <row r="747" spans="1:18" x14ac:dyDescent="0.25">
      <c r="A747">
        <v>100064</v>
      </c>
      <c r="B747" t="s">
        <v>0</v>
      </c>
      <c r="F747">
        <v>12</v>
      </c>
      <c r="G747">
        <v>14</v>
      </c>
      <c r="H747" s="1">
        <v>44013</v>
      </c>
      <c r="I747" s="1">
        <v>44256</v>
      </c>
      <c r="J747">
        <v>8</v>
      </c>
      <c r="K747">
        <v>3</v>
      </c>
      <c r="L747" s="1">
        <v>44136</v>
      </c>
      <c r="M747">
        <v>120</v>
      </c>
      <c r="N747" s="8" cm="1">
        <f t="array" ref="N747">_xlfn.SWITCH(Sales[[#This Row],[Subscription Type]],"Basic",10,"Premium",10,"Business",25,"Enterprise",27)</f>
        <v>10</v>
      </c>
      <c r="O747">
        <f>IF(Sales[[#This Row],[Number of Users]]-Sales[[#This Row],[Licenses Bought]]&lt;0,0,Sales[[#This Row],[Number of Users]]-Sales[[#This Row],[Licenses Bought]])</f>
        <v>2</v>
      </c>
      <c r="P747" s="8">
        <f>IF(Sales[[#This Row],[Sales Month]]=MAX(Sales[Sales Month]),Sales[[#This Row],[Non-Paying Users]]*Sales[[#This Row],[Upsell $ per Non-Paying User]],0)</f>
        <v>0</v>
      </c>
      <c r="Q747" t="str" cm="1">
        <f t="array" ref="Q747">_xlfn.IFS(Sales[[#This Row],[Current Upsell $]]=0,"",Sales[[#This Row],[Current Upsell $]]&gt;=400,"High",Sales[[#This Row],[Current Upsell $]]&gt;=100,"Medium",Sales[[#This Row],[Current Upsell $]]&lt;100,"Low")</f>
        <v/>
      </c>
      <c r="R747" t="str">
        <f>IF(Sales[[#This Row],[Current Upsell $]]&gt;0,_xlfn.CONCAT(Sales[[#This Row],[Subscription Type]]," ",Sales[[#This Row],[Upsell Priority]]," ",TEXT(Sales[[#This Row],[Current Upsell $]],"$#,#")),"")</f>
        <v/>
      </c>
    </row>
    <row r="748" spans="1:18" x14ac:dyDescent="0.25">
      <c r="A748">
        <v>100064</v>
      </c>
      <c r="B748" t="s">
        <v>0</v>
      </c>
      <c r="F748">
        <v>12</v>
      </c>
      <c r="G748">
        <v>17</v>
      </c>
      <c r="H748" s="1">
        <v>44013</v>
      </c>
      <c r="I748" s="1">
        <v>44256</v>
      </c>
      <c r="J748">
        <v>8</v>
      </c>
      <c r="K748">
        <v>3</v>
      </c>
      <c r="L748" s="1">
        <v>44166</v>
      </c>
      <c r="M748">
        <v>120</v>
      </c>
      <c r="N748" s="8" cm="1">
        <f t="array" ref="N748">_xlfn.SWITCH(Sales[[#This Row],[Subscription Type]],"Basic",10,"Premium",10,"Business",25,"Enterprise",27)</f>
        <v>10</v>
      </c>
      <c r="O748">
        <f>IF(Sales[[#This Row],[Number of Users]]-Sales[[#This Row],[Licenses Bought]]&lt;0,0,Sales[[#This Row],[Number of Users]]-Sales[[#This Row],[Licenses Bought]])</f>
        <v>5</v>
      </c>
      <c r="P748" s="8">
        <f>IF(Sales[[#This Row],[Sales Month]]=MAX(Sales[Sales Month]),Sales[[#This Row],[Non-Paying Users]]*Sales[[#This Row],[Upsell $ per Non-Paying User]],0)</f>
        <v>0</v>
      </c>
      <c r="Q748" t="str" cm="1">
        <f t="array" ref="Q748">_xlfn.IFS(Sales[[#This Row],[Current Upsell $]]=0,"",Sales[[#This Row],[Current Upsell $]]&gt;=400,"High",Sales[[#This Row],[Current Upsell $]]&gt;=100,"Medium",Sales[[#This Row],[Current Upsell $]]&lt;100,"Low")</f>
        <v/>
      </c>
      <c r="R748" t="str">
        <f>IF(Sales[[#This Row],[Current Upsell $]]&gt;0,_xlfn.CONCAT(Sales[[#This Row],[Subscription Type]]," ",Sales[[#This Row],[Upsell Priority]]," ",TEXT(Sales[[#This Row],[Current Upsell $]],"$#,#")),"")</f>
        <v/>
      </c>
    </row>
    <row r="749" spans="1:18" x14ac:dyDescent="0.25">
      <c r="A749">
        <v>100064</v>
      </c>
      <c r="B749" t="s">
        <v>0</v>
      </c>
      <c r="F749">
        <v>12</v>
      </c>
      <c r="G749">
        <v>19</v>
      </c>
      <c r="H749" s="1">
        <v>44013</v>
      </c>
      <c r="I749" s="1">
        <v>44256</v>
      </c>
      <c r="J749">
        <v>8</v>
      </c>
      <c r="K749">
        <v>3</v>
      </c>
      <c r="L749" s="1">
        <v>44197</v>
      </c>
      <c r="M749">
        <v>120</v>
      </c>
      <c r="N749" s="8" cm="1">
        <f t="array" ref="N749">_xlfn.SWITCH(Sales[[#This Row],[Subscription Type]],"Basic",10,"Premium",10,"Business",25,"Enterprise",27)</f>
        <v>10</v>
      </c>
      <c r="O749">
        <f>IF(Sales[[#This Row],[Number of Users]]-Sales[[#This Row],[Licenses Bought]]&lt;0,0,Sales[[#This Row],[Number of Users]]-Sales[[#This Row],[Licenses Bought]])</f>
        <v>7</v>
      </c>
      <c r="P749" s="8">
        <f>IF(Sales[[#This Row],[Sales Month]]=MAX(Sales[Sales Month]),Sales[[#This Row],[Non-Paying Users]]*Sales[[#This Row],[Upsell $ per Non-Paying User]],0)</f>
        <v>0</v>
      </c>
      <c r="Q749" t="str" cm="1">
        <f t="array" ref="Q749">_xlfn.IFS(Sales[[#This Row],[Current Upsell $]]=0,"",Sales[[#This Row],[Current Upsell $]]&gt;=400,"High",Sales[[#This Row],[Current Upsell $]]&gt;=100,"Medium",Sales[[#This Row],[Current Upsell $]]&lt;100,"Low")</f>
        <v/>
      </c>
      <c r="R749" t="str">
        <f>IF(Sales[[#This Row],[Current Upsell $]]&gt;0,_xlfn.CONCAT(Sales[[#This Row],[Subscription Type]]," ",Sales[[#This Row],[Upsell Priority]]," ",TEXT(Sales[[#This Row],[Current Upsell $]],"$#,#")),"")</f>
        <v/>
      </c>
    </row>
    <row r="750" spans="1:18" x14ac:dyDescent="0.25">
      <c r="A750">
        <v>100064</v>
      </c>
      <c r="B750" t="s">
        <v>0</v>
      </c>
      <c r="F750">
        <v>12</v>
      </c>
      <c r="G750">
        <v>13</v>
      </c>
      <c r="H750" s="1">
        <v>44013</v>
      </c>
      <c r="I750" s="1">
        <v>44256</v>
      </c>
      <c r="J750">
        <v>8</v>
      </c>
      <c r="K750">
        <v>3</v>
      </c>
      <c r="L750" s="1">
        <v>44228</v>
      </c>
      <c r="M750">
        <v>120</v>
      </c>
      <c r="N750" s="8" cm="1">
        <f t="array" ref="N750">_xlfn.SWITCH(Sales[[#This Row],[Subscription Type]],"Basic",10,"Premium",10,"Business",25,"Enterprise",27)</f>
        <v>10</v>
      </c>
      <c r="O750">
        <f>IF(Sales[[#This Row],[Number of Users]]-Sales[[#This Row],[Licenses Bought]]&lt;0,0,Sales[[#This Row],[Number of Users]]-Sales[[#This Row],[Licenses Bought]])</f>
        <v>1</v>
      </c>
      <c r="P750" s="8">
        <f>IF(Sales[[#This Row],[Sales Month]]=MAX(Sales[Sales Month]),Sales[[#This Row],[Non-Paying Users]]*Sales[[#This Row],[Upsell $ per Non-Paying User]],0)</f>
        <v>0</v>
      </c>
      <c r="Q750" t="str" cm="1">
        <f t="array" ref="Q750">_xlfn.IFS(Sales[[#This Row],[Current Upsell $]]=0,"",Sales[[#This Row],[Current Upsell $]]&gt;=400,"High",Sales[[#This Row],[Current Upsell $]]&gt;=100,"Medium",Sales[[#This Row],[Current Upsell $]]&lt;100,"Low")</f>
        <v/>
      </c>
      <c r="R750" t="str">
        <f>IF(Sales[[#This Row],[Current Upsell $]]&gt;0,_xlfn.CONCAT(Sales[[#This Row],[Subscription Type]]," ",Sales[[#This Row],[Upsell Priority]]," ",TEXT(Sales[[#This Row],[Current Upsell $]],"$#,#")),"")</f>
        <v/>
      </c>
    </row>
    <row r="751" spans="1:18" x14ac:dyDescent="0.25">
      <c r="A751">
        <v>100064</v>
      </c>
      <c r="B751" t="s">
        <v>0</v>
      </c>
      <c r="F751">
        <v>12</v>
      </c>
      <c r="G751">
        <v>12</v>
      </c>
      <c r="H751" s="1">
        <v>44013</v>
      </c>
      <c r="I751" s="1">
        <v>44256</v>
      </c>
      <c r="J751">
        <v>8</v>
      </c>
      <c r="K751">
        <v>3</v>
      </c>
      <c r="L751" s="1">
        <v>44256</v>
      </c>
      <c r="M751">
        <v>120</v>
      </c>
      <c r="N751" s="8" cm="1">
        <f t="array" ref="N751">_xlfn.SWITCH(Sales[[#This Row],[Subscription Type]],"Basic",10,"Premium",10,"Business",25,"Enterprise",27)</f>
        <v>10</v>
      </c>
      <c r="O751">
        <f>IF(Sales[[#This Row],[Number of Users]]-Sales[[#This Row],[Licenses Bought]]&lt;0,0,Sales[[#This Row],[Number of Users]]-Sales[[#This Row],[Licenses Bought]])</f>
        <v>0</v>
      </c>
      <c r="P751" s="8">
        <f>IF(Sales[[#This Row],[Sales Month]]=MAX(Sales[Sales Month]),Sales[[#This Row],[Non-Paying Users]]*Sales[[#This Row],[Upsell $ per Non-Paying User]],0)</f>
        <v>0</v>
      </c>
      <c r="Q751" t="str" cm="1">
        <f t="array" ref="Q751">_xlfn.IFS(Sales[[#This Row],[Current Upsell $]]=0,"",Sales[[#This Row],[Current Upsell $]]&gt;=400,"High",Sales[[#This Row],[Current Upsell $]]&gt;=100,"Medium",Sales[[#This Row],[Current Upsell $]]&lt;100,"Low")</f>
        <v/>
      </c>
      <c r="R751" t="str">
        <f>IF(Sales[[#This Row],[Current Upsell $]]&gt;0,_xlfn.CONCAT(Sales[[#This Row],[Subscription Type]]," ",Sales[[#This Row],[Upsell Priority]]," ",TEXT(Sales[[#This Row],[Current Upsell $]],"$#,#")),"")</f>
        <v/>
      </c>
    </row>
    <row r="752" spans="1:18" x14ac:dyDescent="0.25">
      <c r="A752">
        <v>100065</v>
      </c>
      <c r="B752" t="s">
        <v>3</v>
      </c>
      <c r="F752">
        <v>0</v>
      </c>
      <c r="G752">
        <v>14</v>
      </c>
      <c r="H752" s="1">
        <v>44013</v>
      </c>
      <c r="I752" s="1">
        <v>44197</v>
      </c>
      <c r="J752">
        <v>6</v>
      </c>
      <c r="K752">
        <v>5</v>
      </c>
      <c r="L752" s="1">
        <v>44013</v>
      </c>
      <c r="M752">
        <v>0</v>
      </c>
      <c r="N752" s="8" cm="1">
        <f t="array" ref="N752">_xlfn.SWITCH(Sales[[#This Row],[Subscription Type]],"Basic",10,"Premium",10,"Business",25,"Enterprise",27)</f>
        <v>10</v>
      </c>
      <c r="O752">
        <f>IF(Sales[[#This Row],[Number of Users]]-Sales[[#This Row],[Licenses Bought]]&lt;0,0,Sales[[#This Row],[Number of Users]]-Sales[[#This Row],[Licenses Bought]])</f>
        <v>14</v>
      </c>
      <c r="P752" s="8">
        <f>IF(Sales[[#This Row],[Sales Month]]=MAX(Sales[Sales Month]),Sales[[#This Row],[Non-Paying Users]]*Sales[[#This Row],[Upsell $ per Non-Paying User]],0)</f>
        <v>0</v>
      </c>
      <c r="Q752" t="str" cm="1">
        <f t="array" ref="Q752">_xlfn.IFS(Sales[[#This Row],[Current Upsell $]]=0,"",Sales[[#This Row],[Current Upsell $]]&gt;=400,"High",Sales[[#This Row],[Current Upsell $]]&gt;=100,"Medium",Sales[[#This Row],[Current Upsell $]]&lt;100,"Low")</f>
        <v/>
      </c>
      <c r="R752" t="str">
        <f>IF(Sales[[#This Row],[Current Upsell $]]&gt;0,_xlfn.CONCAT(Sales[[#This Row],[Subscription Type]]," ",Sales[[#This Row],[Upsell Priority]]," ",TEXT(Sales[[#This Row],[Current Upsell $]],"$#,#")),"")</f>
        <v/>
      </c>
    </row>
    <row r="753" spans="1:18" x14ac:dyDescent="0.25">
      <c r="A753">
        <v>100065</v>
      </c>
      <c r="B753" t="s">
        <v>3</v>
      </c>
      <c r="F753">
        <v>0</v>
      </c>
      <c r="G753">
        <v>12</v>
      </c>
      <c r="H753" s="1">
        <v>44013</v>
      </c>
      <c r="I753" s="1">
        <v>44197</v>
      </c>
      <c r="J753">
        <v>6</v>
      </c>
      <c r="K753">
        <v>5</v>
      </c>
      <c r="L753" s="1">
        <v>44044</v>
      </c>
      <c r="M753">
        <v>0</v>
      </c>
      <c r="N753" s="8" cm="1">
        <f t="array" ref="N753">_xlfn.SWITCH(Sales[[#This Row],[Subscription Type]],"Basic",10,"Premium",10,"Business",25,"Enterprise",27)</f>
        <v>10</v>
      </c>
      <c r="O753">
        <f>IF(Sales[[#This Row],[Number of Users]]-Sales[[#This Row],[Licenses Bought]]&lt;0,0,Sales[[#This Row],[Number of Users]]-Sales[[#This Row],[Licenses Bought]])</f>
        <v>12</v>
      </c>
      <c r="P753" s="8">
        <f>IF(Sales[[#This Row],[Sales Month]]=MAX(Sales[Sales Month]),Sales[[#This Row],[Non-Paying Users]]*Sales[[#This Row],[Upsell $ per Non-Paying User]],0)</f>
        <v>0</v>
      </c>
      <c r="Q753" t="str" cm="1">
        <f t="array" ref="Q753">_xlfn.IFS(Sales[[#This Row],[Current Upsell $]]=0,"",Sales[[#This Row],[Current Upsell $]]&gt;=400,"High",Sales[[#This Row],[Current Upsell $]]&gt;=100,"Medium",Sales[[#This Row],[Current Upsell $]]&lt;100,"Low")</f>
        <v/>
      </c>
      <c r="R753" t="str">
        <f>IF(Sales[[#This Row],[Current Upsell $]]&gt;0,_xlfn.CONCAT(Sales[[#This Row],[Subscription Type]]," ",Sales[[#This Row],[Upsell Priority]]," ",TEXT(Sales[[#This Row],[Current Upsell $]],"$#,#")),"")</f>
        <v/>
      </c>
    </row>
    <row r="754" spans="1:18" x14ac:dyDescent="0.25">
      <c r="A754">
        <v>100065</v>
      </c>
      <c r="B754" t="s">
        <v>3</v>
      </c>
      <c r="F754">
        <v>0</v>
      </c>
      <c r="G754">
        <v>13</v>
      </c>
      <c r="H754" s="1">
        <v>44013</v>
      </c>
      <c r="I754" s="1">
        <v>44197</v>
      </c>
      <c r="J754">
        <v>6</v>
      </c>
      <c r="K754">
        <v>5</v>
      </c>
      <c r="L754" s="1">
        <v>44075</v>
      </c>
      <c r="M754">
        <v>0</v>
      </c>
      <c r="N754" s="8" cm="1">
        <f t="array" ref="N754">_xlfn.SWITCH(Sales[[#This Row],[Subscription Type]],"Basic",10,"Premium",10,"Business",25,"Enterprise",27)</f>
        <v>10</v>
      </c>
      <c r="O754">
        <f>IF(Sales[[#This Row],[Number of Users]]-Sales[[#This Row],[Licenses Bought]]&lt;0,0,Sales[[#This Row],[Number of Users]]-Sales[[#This Row],[Licenses Bought]])</f>
        <v>13</v>
      </c>
      <c r="P754" s="8">
        <f>IF(Sales[[#This Row],[Sales Month]]=MAX(Sales[Sales Month]),Sales[[#This Row],[Non-Paying Users]]*Sales[[#This Row],[Upsell $ per Non-Paying User]],0)</f>
        <v>0</v>
      </c>
      <c r="Q754" t="str" cm="1">
        <f t="array" ref="Q754">_xlfn.IFS(Sales[[#This Row],[Current Upsell $]]=0,"",Sales[[#This Row],[Current Upsell $]]&gt;=400,"High",Sales[[#This Row],[Current Upsell $]]&gt;=100,"Medium",Sales[[#This Row],[Current Upsell $]]&lt;100,"Low")</f>
        <v/>
      </c>
      <c r="R754" t="str">
        <f>IF(Sales[[#This Row],[Current Upsell $]]&gt;0,_xlfn.CONCAT(Sales[[#This Row],[Subscription Type]]," ",Sales[[#This Row],[Upsell Priority]]," ",TEXT(Sales[[#This Row],[Current Upsell $]],"$#,#")),"")</f>
        <v/>
      </c>
    </row>
    <row r="755" spans="1:18" x14ac:dyDescent="0.25">
      <c r="A755">
        <v>100065</v>
      </c>
      <c r="B755" t="s">
        <v>3</v>
      </c>
      <c r="F755">
        <v>0</v>
      </c>
      <c r="G755">
        <v>13</v>
      </c>
      <c r="H755" s="1">
        <v>44013</v>
      </c>
      <c r="I755" s="1">
        <v>44197</v>
      </c>
      <c r="J755">
        <v>6</v>
      </c>
      <c r="K755">
        <v>5</v>
      </c>
      <c r="L755" s="1">
        <v>44105</v>
      </c>
      <c r="M755">
        <v>0</v>
      </c>
      <c r="N755" s="8" cm="1">
        <f t="array" ref="N755">_xlfn.SWITCH(Sales[[#This Row],[Subscription Type]],"Basic",10,"Premium",10,"Business",25,"Enterprise",27)</f>
        <v>10</v>
      </c>
      <c r="O755">
        <f>IF(Sales[[#This Row],[Number of Users]]-Sales[[#This Row],[Licenses Bought]]&lt;0,0,Sales[[#This Row],[Number of Users]]-Sales[[#This Row],[Licenses Bought]])</f>
        <v>13</v>
      </c>
      <c r="P755" s="8">
        <f>IF(Sales[[#This Row],[Sales Month]]=MAX(Sales[Sales Month]),Sales[[#This Row],[Non-Paying Users]]*Sales[[#This Row],[Upsell $ per Non-Paying User]],0)</f>
        <v>0</v>
      </c>
      <c r="Q755" t="str" cm="1">
        <f t="array" ref="Q755">_xlfn.IFS(Sales[[#This Row],[Current Upsell $]]=0,"",Sales[[#This Row],[Current Upsell $]]&gt;=400,"High",Sales[[#This Row],[Current Upsell $]]&gt;=100,"Medium",Sales[[#This Row],[Current Upsell $]]&lt;100,"Low")</f>
        <v/>
      </c>
      <c r="R755" t="str">
        <f>IF(Sales[[#This Row],[Current Upsell $]]&gt;0,_xlfn.CONCAT(Sales[[#This Row],[Subscription Type]]," ",Sales[[#This Row],[Upsell Priority]]," ",TEXT(Sales[[#This Row],[Current Upsell $]],"$#,#")),"")</f>
        <v/>
      </c>
    </row>
    <row r="756" spans="1:18" x14ac:dyDescent="0.25">
      <c r="A756">
        <v>100065</v>
      </c>
      <c r="B756" t="s">
        <v>3</v>
      </c>
      <c r="F756">
        <v>0</v>
      </c>
      <c r="G756">
        <v>11</v>
      </c>
      <c r="H756" s="1">
        <v>44013</v>
      </c>
      <c r="I756" s="1">
        <v>44197</v>
      </c>
      <c r="J756">
        <v>6</v>
      </c>
      <c r="K756">
        <v>5</v>
      </c>
      <c r="L756" s="1">
        <v>44136</v>
      </c>
      <c r="M756">
        <v>0</v>
      </c>
      <c r="N756" s="8" cm="1">
        <f t="array" ref="N756">_xlfn.SWITCH(Sales[[#This Row],[Subscription Type]],"Basic",10,"Premium",10,"Business",25,"Enterprise",27)</f>
        <v>10</v>
      </c>
      <c r="O756">
        <f>IF(Sales[[#This Row],[Number of Users]]-Sales[[#This Row],[Licenses Bought]]&lt;0,0,Sales[[#This Row],[Number of Users]]-Sales[[#This Row],[Licenses Bought]])</f>
        <v>11</v>
      </c>
      <c r="P756" s="8">
        <f>IF(Sales[[#This Row],[Sales Month]]=MAX(Sales[Sales Month]),Sales[[#This Row],[Non-Paying Users]]*Sales[[#This Row],[Upsell $ per Non-Paying User]],0)</f>
        <v>0</v>
      </c>
      <c r="Q756" t="str" cm="1">
        <f t="array" ref="Q756">_xlfn.IFS(Sales[[#This Row],[Current Upsell $]]=0,"",Sales[[#This Row],[Current Upsell $]]&gt;=400,"High",Sales[[#This Row],[Current Upsell $]]&gt;=100,"Medium",Sales[[#This Row],[Current Upsell $]]&lt;100,"Low")</f>
        <v/>
      </c>
      <c r="R756" t="str">
        <f>IF(Sales[[#This Row],[Current Upsell $]]&gt;0,_xlfn.CONCAT(Sales[[#This Row],[Subscription Type]]," ",Sales[[#This Row],[Upsell Priority]]," ",TEXT(Sales[[#This Row],[Current Upsell $]],"$#,#")),"")</f>
        <v/>
      </c>
    </row>
    <row r="757" spans="1:18" x14ac:dyDescent="0.25">
      <c r="A757">
        <v>100065</v>
      </c>
      <c r="B757" t="s">
        <v>3</v>
      </c>
      <c r="F757">
        <v>0</v>
      </c>
      <c r="G757">
        <v>13</v>
      </c>
      <c r="H757" s="1">
        <v>44013</v>
      </c>
      <c r="I757" s="1">
        <v>44197</v>
      </c>
      <c r="J757">
        <v>6</v>
      </c>
      <c r="K757">
        <v>5</v>
      </c>
      <c r="L757" s="1">
        <v>44166</v>
      </c>
      <c r="M757">
        <v>0</v>
      </c>
      <c r="N757" s="8" cm="1">
        <f t="array" ref="N757">_xlfn.SWITCH(Sales[[#This Row],[Subscription Type]],"Basic",10,"Premium",10,"Business",25,"Enterprise",27)</f>
        <v>10</v>
      </c>
      <c r="O757">
        <f>IF(Sales[[#This Row],[Number of Users]]-Sales[[#This Row],[Licenses Bought]]&lt;0,0,Sales[[#This Row],[Number of Users]]-Sales[[#This Row],[Licenses Bought]])</f>
        <v>13</v>
      </c>
      <c r="P757" s="8">
        <f>IF(Sales[[#This Row],[Sales Month]]=MAX(Sales[Sales Month]),Sales[[#This Row],[Non-Paying Users]]*Sales[[#This Row],[Upsell $ per Non-Paying User]],0)</f>
        <v>0</v>
      </c>
      <c r="Q757" t="str" cm="1">
        <f t="array" ref="Q757">_xlfn.IFS(Sales[[#This Row],[Current Upsell $]]=0,"",Sales[[#This Row],[Current Upsell $]]&gt;=400,"High",Sales[[#This Row],[Current Upsell $]]&gt;=100,"Medium",Sales[[#This Row],[Current Upsell $]]&lt;100,"Low")</f>
        <v/>
      </c>
      <c r="R757" t="str">
        <f>IF(Sales[[#This Row],[Current Upsell $]]&gt;0,_xlfn.CONCAT(Sales[[#This Row],[Subscription Type]]," ",Sales[[#This Row],[Upsell Priority]]," ",TEXT(Sales[[#This Row],[Current Upsell $]],"$#,#")),"")</f>
        <v/>
      </c>
    </row>
    <row r="758" spans="1:18" x14ac:dyDescent="0.25">
      <c r="A758">
        <v>100065</v>
      </c>
      <c r="B758" t="s">
        <v>3</v>
      </c>
      <c r="F758">
        <v>0</v>
      </c>
      <c r="G758">
        <v>14</v>
      </c>
      <c r="H758" s="1">
        <v>44013</v>
      </c>
      <c r="I758" s="1">
        <v>44197</v>
      </c>
      <c r="J758">
        <v>6</v>
      </c>
      <c r="K758">
        <v>5</v>
      </c>
      <c r="L758" s="1">
        <v>44197</v>
      </c>
      <c r="M758">
        <v>0</v>
      </c>
      <c r="N758" s="8" cm="1">
        <f t="array" ref="N758">_xlfn.SWITCH(Sales[[#This Row],[Subscription Type]],"Basic",10,"Premium",10,"Business",25,"Enterprise",27)</f>
        <v>10</v>
      </c>
      <c r="O758">
        <f>IF(Sales[[#This Row],[Number of Users]]-Sales[[#This Row],[Licenses Bought]]&lt;0,0,Sales[[#This Row],[Number of Users]]-Sales[[#This Row],[Licenses Bought]])</f>
        <v>14</v>
      </c>
      <c r="P758" s="8">
        <f>IF(Sales[[#This Row],[Sales Month]]=MAX(Sales[Sales Month]),Sales[[#This Row],[Non-Paying Users]]*Sales[[#This Row],[Upsell $ per Non-Paying User]],0)</f>
        <v>0</v>
      </c>
      <c r="Q758" t="str" cm="1">
        <f t="array" ref="Q758">_xlfn.IFS(Sales[[#This Row],[Current Upsell $]]=0,"",Sales[[#This Row],[Current Upsell $]]&gt;=400,"High",Sales[[#This Row],[Current Upsell $]]&gt;=100,"Medium",Sales[[#This Row],[Current Upsell $]]&lt;100,"Low")</f>
        <v/>
      </c>
      <c r="R758" t="str">
        <f>IF(Sales[[#This Row],[Current Upsell $]]&gt;0,_xlfn.CONCAT(Sales[[#This Row],[Subscription Type]]," ",Sales[[#This Row],[Upsell Priority]]," ",TEXT(Sales[[#This Row],[Current Upsell $]],"$#,#")),"")</f>
        <v/>
      </c>
    </row>
    <row r="759" spans="1:18" x14ac:dyDescent="0.25">
      <c r="A759">
        <v>100066</v>
      </c>
      <c r="B759" t="s">
        <v>3</v>
      </c>
      <c r="F759">
        <v>0</v>
      </c>
      <c r="G759">
        <v>13</v>
      </c>
      <c r="H759" s="1">
        <v>44013</v>
      </c>
      <c r="I759" s="1">
        <v>44197</v>
      </c>
      <c r="J759">
        <v>6</v>
      </c>
      <c r="K759">
        <v>5</v>
      </c>
      <c r="L759" s="1">
        <v>44013</v>
      </c>
      <c r="M759">
        <v>0</v>
      </c>
      <c r="N759" s="8" cm="1">
        <f t="array" ref="N759">_xlfn.SWITCH(Sales[[#This Row],[Subscription Type]],"Basic",10,"Premium",10,"Business",25,"Enterprise",27)</f>
        <v>10</v>
      </c>
      <c r="O759">
        <f>IF(Sales[[#This Row],[Number of Users]]-Sales[[#This Row],[Licenses Bought]]&lt;0,0,Sales[[#This Row],[Number of Users]]-Sales[[#This Row],[Licenses Bought]])</f>
        <v>13</v>
      </c>
      <c r="P759" s="8">
        <f>IF(Sales[[#This Row],[Sales Month]]=MAX(Sales[Sales Month]),Sales[[#This Row],[Non-Paying Users]]*Sales[[#This Row],[Upsell $ per Non-Paying User]],0)</f>
        <v>0</v>
      </c>
      <c r="Q759" t="str" cm="1">
        <f t="array" ref="Q759">_xlfn.IFS(Sales[[#This Row],[Current Upsell $]]=0,"",Sales[[#This Row],[Current Upsell $]]&gt;=400,"High",Sales[[#This Row],[Current Upsell $]]&gt;=100,"Medium",Sales[[#This Row],[Current Upsell $]]&lt;100,"Low")</f>
        <v/>
      </c>
      <c r="R759" t="str">
        <f>IF(Sales[[#This Row],[Current Upsell $]]&gt;0,_xlfn.CONCAT(Sales[[#This Row],[Subscription Type]]," ",Sales[[#This Row],[Upsell Priority]]," ",TEXT(Sales[[#This Row],[Current Upsell $]],"$#,#")),"")</f>
        <v/>
      </c>
    </row>
    <row r="760" spans="1:18" x14ac:dyDescent="0.25">
      <c r="A760">
        <v>100066</v>
      </c>
      <c r="B760" t="s">
        <v>3</v>
      </c>
      <c r="F760">
        <v>0</v>
      </c>
      <c r="G760">
        <v>14</v>
      </c>
      <c r="H760" s="1">
        <v>44013</v>
      </c>
      <c r="I760" s="1">
        <v>44197</v>
      </c>
      <c r="J760">
        <v>6</v>
      </c>
      <c r="K760">
        <v>5</v>
      </c>
      <c r="L760" s="1">
        <v>44044</v>
      </c>
      <c r="M760">
        <v>0</v>
      </c>
      <c r="N760" s="8" cm="1">
        <f t="array" ref="N760">_xlfn.SWITCH(Sales[[#This Row],[Subscription Type]],"Basic",10,"Premium",10,"Business",25,"Enterprise",27)</f>
        <v>10</v>
      </c>
      <c r="O760">
        <f>IF(Sales[[#This Row],[Number of Users]]-Sales[[#This Row],[Licenses Bought]]&lt;0,0,Sales[[#This Row],[Number of Users]]-Sales[[#This Row],[Licenses Bought]])</f>
        <v>14</v>
      </c>
      <c r="P760" s="8">
        <f>IF(Sales[[#This Row],[Sales Month]]=MAX(Sales[Sales Month]),Sales[[#This Row],[Non-Paying Users]]*Sales[[#This Row],[Upsell $ per Non-Paying User]],0)</f>
        <v>0</v>
      </c>
      <c r="Q760" t="str" cm="1">
        <f t="array" ref="Q760">_xlfn.IFS(Sales[[#This Row],[Current Upsell $]]=0,"",Sales[[#This Row],[Current Upsell $]]&gt;=400,"High",Sales[[#This Row],[Current Upsell $]]&gt;=100,"Medium",Sales[[#This Row],[Current Upsell $]]&lt;100,"Low")</f>
        <v/>
      </c>
      <c r="R760" t="str">
        <f>IF(Sales[[#This Row],[Current Upsell $]]&gt;0,_xlfn.CONCAT(Sales[[#This Row],[Subscription Type]]," ",Sales[[#This Row],[Upsell Priority]]," ",TEXT(Sales[[#This Row],[Current Upsell $]],"$#,#")),"")</f>
        <v/>
      </c>
    </row>
    <row r="761" spans="1:18" x14ac:dyDescent="0.25">
      <c r="A761">
        <v>100066</v>
      </c>
      <c r="B761" t="s">
        <v>3</v>
      </c>
      <c r="F761">
        <v>0</v>
      </c>
      <c r="G761">
        <v>12</v>
      </c>
      <c r="H761" s="1">
        <v>44013</v>
      </c>
      <c r="I761" s="1">
        <v>44197</v>
      </c>
      <c r="J761">
        <v>6</v>
      </c>
      <c r="K761">
        <v>5</v>
      </c>
      <c r="L761" s="1">
        <v>44075</v>
      </c>
      <c r="M761">
        <v>0</v>
      </c>
      <c r="N761" s="8" cm="1">
        <f t="array" ref="N761">_xlfn.SWITCH(Sales[[#This Row],[Subscription Type]],"Basic",10,"Premium",10,"Business",25,"Enterprise",27)</f>
        <v>10</v>
      </c>
      <c r="O761">
        <f>IF(Sales[[#This Row],[Number of Users]]-Sales[[#This Row],[Licenses Bought]]&lt;0,0,Sales[[#This Row],[Number of Users]]-Sales[[#This Row],[Licenses Bought]])</f>
        <v>12</v>
      </c>
      <c r="P761" s="8">
        <f>IF(Sales[[#This Row],[Sales Month]]=MAX(Sales[Sales Month]),Sales[[#This Row],[Non-Paying Users]]*Sales[[#This Row],[Upsell $ per Non-Paying User]],0)</f>
        <v>0</v>
      </c>
      <c r="Q761" t="str" cm="1">
        <f t="array" ref="Q761">_xlfn.IFS(Sales[[#This Row],[Current Upsell $]]=0,"",Sales[[#This Row],[Current Upsell $]]&gt;=400,"High",Sales[[#This Row],[Current Upsell $]]&gt;=100,"Medium",Sales[[#This Row],[Current Upsell $]]&lt;100,"Low")</f>
        <v/>
      </c>
      <c r="R761" t="str">
        <f>IF(Sales[[#This Row],[Current Upsell $]]&gt;0,_xlfn.CONCAT(Sales[[#This Row],[Subscription Type]]," ",Sales[[#This Row],[Upsell Priority]]," ",TEXT(Sales[[#This Row],[Current Upsell $]],"$#,#")),"")</f>
        <v/>
      </c>
    </row>
    <row r="762" spans="1:18" x14ac:dyDescent="0.25">
      <c r="A762">
        <v>100066</v>
      </c>
      <c r="B762" t="s">
        <v>3</v>
      </c>
      <c r="F762">
        <v>0</v>
      </c>
      <c r="G762">
        <v>10</v>
      </c>
      <c r="H762" s="1">
        <v>44013</v>
      </c>
      <c r="I762" s="1">
        <v>44197</v>
      </c>
      <c r="J762">
        <v>6</v>
      </c>
      <c r="K762">
        <v>5</v>
      </c>
      <c r="L762" s="1">
        <v>44105</v>
      </c>
      <c r="M762">
        <v>0</v>
      </c>
      <c r="N762" s="8" cm="1">
        <f t="array" ref="N762">_xlfn.SWITCH(Sales[[#This Row],[Subscription Type]],"Basic",10,"Premium",10,"Business",25,"Enterprise",27)</f>
        <v>10</v>
      </c>
      <c r="O762">
        <f>IF(Sales[[#This Row],[Number of Users]]-Sales[[#This Row],[Licenses Bought]]&lt;0,0,Sales[[#This Row],[Number of Users]]-Sales[[#This Row],[Licenses Bought]])</f>
        <v>10</v>
      </c>
      <c r="P762" s="8">
        <f>IF(Sales[[#This Row],[Sales Month]]=MAX(Sales[Sales Month]),Sales[[#This Row],[Non-Paying Users]]*Sales[[#This Row],[Upsell $ per Non-Paying User]],0)</f>
        <v>0</v>
      </c>
      <c r="Q762" t="str" cm="1">
        <f t="array" ref="Q762">_xlfn.IFS(Sales[[#This Row],[Current Upsell $]]=0,"",Sales[[#This Row],[Current Upsell $]]&gt;=400,"High",Sales[[#This Row],[Current Upsell $]]&gt;=100,"Medium",Sales[[#This Row],[Current Upsell $]]&lt;100,"Low")</f>
        <v/>
      </c>
      <c r="R762" t="str">
        <f>IF(Sales[[#This Row],[Current Upsell $]]&gt;0,_xlfn.CONCAT(Sales[[#This Row],[Subscription Type]]," ",Sales[[#This Row],[Upsell Priority]]," ",TEXT(Sales[[#This Row],[Current Upsell $]],"$#,#")),"")</f>
        <v/>
      </c>
    </row>
    <row r="763" spans="1:18" x14ac:dyDescent="0.25">
      <c r="A763">
        <v>100066</v>
      </c>
      <c r="B763" t="s">
        <v>3</v>
      </c>
      <c r="F763">
        <v>0</v>
      </c>
      <c r="G763">
        <v>10</v>
      </c>
      <c r="H763" s="1">
        <v>44013</v>
      </c>
      <c r="I763" s="1">
        <v>44197</v>
      </c>
      <c r="J763">
        <v>6</v>
      </c>
      <c r="K763">
        <v>5</v>
      </c>
      <c r="L763" s="1">
        <v>44136</v>
      </c>
      <c r="M763">
        <v>0</v>
      </c>
      <c r="N763" s="8" cm="1">
        <f t="array" ref="N763">_xlfn.SWITCH(Sales[[#This Row],[Subscription Type]],"Basic",10,"Premium",10,"Business",25,"Enterprise",27)</f>
        <v>10</v>
      </c>
      <c r="O763">
        <f>IF(Sales[[#This Row],[Number of Users]]-Sales[[#This Row],[Licenses Bought]]&lt;0,0,Sales[[#This Row],[Number of Users]]-Sales[[#This Row],[Licenses Bought]])</f>
        <v>10</v>
      </c>
      <c r="P763" s="8">
        <f>IF(Sales[[#This Row],[Sales Month]]=MAX(Sales[Sales Month]),Sales[[#This Row],[Non-Paying Users]]*Sales[[#This Row],[Upsell $ per Non-Paying User]],0)</f>
        <v>0</v>
      </c>
      <c r="Q763" t="str" cm="1">
        <f t="array" ref="Q763">_xlfn.IFS(Sales[[#This Row],[Current Upsell $]]=0,"",Sales[[#This Row],[Current Upsell $]]&gt;=400,"High",Sales[[#This Row],[Current Upsell $]]&gt;=100,"Medium",Sales[[#This Row],[Current Upsell $]]&lt;100,"Low")</f>
        <v/>
      </c>
      <c r="R763" t="str">
        <f>IF(Sales[[#This Row],[Current Upsell $]]&gt;0,_xlfn.CONCAT(Sales[[#This Row],[Subscription Type]]," ",Sales[[#This Row],[Upsell Priority]]," ",TEXT(Sales[[#This Row],[Current Upsell $]],"$#,#")),"")</f>
        <v/>
      </c>
    </row>
    <row r="764" spans="1:18" x14ac:dyDescent="0.25">
      <c r="A764">
        <v>100066</v>
      </c>
      <c r="B764" t="s">
        <v>3</v>
      </c>
      <c r="F764">
        <v>0</v>
      </c>
      <c r="G764">
        <v>12</v>
      </c>
      <c r="H764" s="1">
        <v>44013</v>
      </c>
      <c r="I764" s="1">
        <v>44197</v>
      </c>
      <c r="J764">
        <v>6</v>
      </c>
      <c r="K764">
        <v>5</v>
      </c>
      <c r="L764" s="1">
        <v>44166</v>
      </c>
      <c r="M764">
        <v>0</v>
      </c>
      <c r="N764" s="8" cm="1">
        <f t="array" ref="N764">_xlfn.SWITCH(Sales[[#This Row],[Subscription Type]],"Basic",10,"Premium",10,"Business",25,"Enterprise",27)</f>
        <v>10</v>
      </c>
      <c r="O764">
        <f>IF(Sales[[#This Row],[Number of Users]]-Sales[[#This Row],[Licenses Bought]]&lt;0,0,Sales[[#This Row],[Number of Users]]-Sales[[#This Row],[Licenses Bought]])</f>
        <v>12</v>
      </c>
      <c r="P764" s="8">
        <f>IF(Sales[[#This Row],[Sales Month]]=MAX(Sales[Sales Month]),Sales[[#This Row],[Non-Paying Users]]*Sales[[#This Row],[Upsell $ per Non-Paying User]],0)</f>
        <v>0</v>
      </c>
      <c r="Q764" t="str" cm="1">
        <f t="array" ref="Q764">_xlfn.IFS(Sales[[#This Row],[Current Upsell $]]=0,"",Sales[[#This Row],[Current Upsell $]]&gt;=400,"High",Sales[[#This Row],[Current Upsell $]]&gt;=100,"Medium",Sales[[#This Row],[Current Upsell $]]&lt;100,"Low")</f>
        <v/>
      </c>
      <c r="R764" t="str">
        <f>IF(Sales[[#This Row],[Current Upsell $]]&gt;0,_xlfn.CONCAT(Sales[[#This Row],[Subscription Type]]," ",Sales[[#This Row],[Upsell Priority]]," ",TEXT(Sales[[#This Row],[Current Upsell $]],"$#,#")),"")</f>
        <v/>
      </c>
    </row>
    <row r="765" spans="1:18" x14ac:dyDescent="0.25">
      <c r="A765">
        <v>100066</v>
      </c>
      <c r="B765" t="s">
        <v>3</v>
      </c>
      <c r="F765">
        <v>0</v>
      </c>
      <c r="G765">
        <v>9</v>
      </c>
      <c r="H765" s="1">
        <v>44013</v>
      </c>
      <c r="I765" s="1">
        <v>44197</v>
      </c>
      <c r="J765">
        <v>6</v>
      </c>
      <c r="K765">
        <v>5</v>
      </c>
      <c r="L765" s="1">
        <v>44197</v>
      </c>
      <c r="M765">
        <v>0</v>
      </c>
      <c r="N765" s="8" cm="1">
        <f t="array" ref="N765">_xlfn.SWITCH(Sales[[#This Row],[Subscription Type]],"Basic",10,"Premium",10,"Business",25,"Enterprise",27)</f>
        <v>10</v>
      </c>
      <c r="O765">
        <f>IF(Sales[[#This Row],[Number of Users]]-Sales[[#This Row],[Licenses Bought]]&lt;0,0,Sales[[#This Row],[Number of Users]]-Sales[[#This Row],[Licenses Bought]])</f>
        <v>9</v>
      </c>
      <c r="P765" s="8">
        <f>IF(Sales[[#This Row],[Sales Month]]=MAX(Sales[Sales Month]),Sales[[#This Row],[Non-Paying Users]]*Sales[[#This Row],[Upsell $ per Non-Paying User]],0)</f>
        <v>0</v>
      </c>
      <c r="Q765" t="str" cm="1">
        <f t="array" ref="Q765">_xlfn.IFS(Sales[[#This Row],[Current Upsell $]]=0,"",Sales[[#This Row],[Current Upsell $]]&gt;=400,"High",Sales[[#This Row],[Current Upsell $]]&gt;=100,"Medium",Sales[[#This Row],[Current Upsell $]]&lt;100,"Low")</f>
        <v/>
      </c>
      <c r="R765" t="str">
        <f>IF(Sales[[#This Row],[Current Upsell $]]&gt;0,_xlfn.CONCAT(Sales[[#This Row],[Subscription Type]]," ",Sales[[#This Row],[Upsell Priority]]," ",TEXT(Sales[[#This Row],[Current Upsell $]],"$#,#")),"")</f>
        <v/>
      </c>
    </row>
    <row r="766" spans="1:18" x14ac:dyDescent="0.25">
      <c r="A766">
        <v>100067</v>
      </c>
      <c r="B766" t="s">
        <v>3</v>
      </c>
      <c r="F766">
        <v>0</v>
      </c>
      <c r="G766">
        <v>10</v>
      </c>
      <c r="H766" s="1">
        <v>44013</v>
      </c>
      <c r="I766" s="1">
        <v>44075</v>
      </c>
      <c r="J766">
        <v>2</v>
      </c>
      <c r="K766">
        <v>9</v>
      </c>
      <c r="L766" s="1">
        <v>44013</v>
      </c>
      <c r="M766">
        <v>0</v>
      </c>
      <c r="N766" s="8" cm="1">
        <f t="array" ref="N766">_xlfn.SWITCH(Sales[[#This Row],[Subscription Type]],"Basic",10,"Premium",10,"Business",25,"Enterprise",27)</f>
        <v>10</v>
      </c>
      <c r="O766">
        <f>IF(Sales[[#This Row],[Number of Users]]-Sales[[#This Row],[Licenses Bought]]&lt;0,0,Sales[[#This Row],[Number of Users]]-Sales[[#This Row],[Licenses Bought]])</f>
        <v>10</v>
      </c>
      <c r="P766" s="8">
        <f>IF(Sales[[#This Row],[Sales Month]]=MAX(Sales[Sales Month]),Sales[[#This Row],[Non-Paying Users]]*Sales[[#This Row],[Upsell $ per Non-Paying User]],0)</f>
        <v>0</v>
      </c>
      <c r="Q766" t="str" cm="1">
        <f t="array" ref="Q766">_xlfn.IFS(Sales[[#This Row],[Current Upsell $]]=0,"",Sales[[#This Row],[Current Upsell $]]&gt;=400,"High",Sales[[#This Row],[Current Upsell $]]&gt;=100,"Medium",Sales[[#This Row],[Current Upsell $]]&lt;100,"Low")</f>
        <v/>
      </c>
      <c r="R766" t="str">
        <f>IF(Sales[[#This Row],[Current Upsell $]]&gt;0,_xlfn.CONCAT(Sales[[#This Row],[Subscription Type]]," ",Sales[[#This Row],[Upsell Priority]]," ",TEXT(Sales[[#This Row],[Current Upsell $]],"$#,#")),"")</f>
        <v/>
      </c>
    </row>
    <row r="767" spans="1:18" x14ac:dyDescent="0.25">
      <c r="A767">
        <v>100067</v>
      </c>
      <c r="B767" t="s">
        <v>3</v>
      </c>
      <c r="F767">
        <v>0</v>
      </c>
      <c r="G767">
        <v>11</v>
      </c>
      <c r="H767" s="1">
        <v>44013</v>
      </c>
      <c r="I767" s="1">
        <v>44075</v>
      </c>
      <c r="J767">
        <v>2</v>
      </c>
      <c r="K767">
        <v>9</v>
      </c>
      <c r="L767" s="1">
        <v>44044</v>
      </c>
      <c r="M767">
        <v>0</v>
      </c>
      <c r="N767" s="8" cm="1">
        <f t="array" ref="N767">_xlfn.SWITCH(Sales[[#This Row],[Subscription Type]],"Basic",10,"Premium",10,"Business",25,"Enterprise",27)</f>
        <v>10</v>
      </c>
      <c r="O767">
        <f>IF(Sales[[#This Row],[Number of Users]]-Sales[[#This Row],[Licenses Bought]]&lt;0,0,Sales[[#This Row],[Number of Users]]-Sales[[#This Row],[Licenses Bought]])</f>
        <v>11</v>
      </c>
      <c r="P767" s="8">
        <f>IF(Sales[[#This Row],[Sales Month]]=MAX(Sales[Sales Month]),Sales[[#This Row],[Non-Paying Users]]*Sales[[#This Row],[Upsell $ per Non-Paying User]],0)</f>
        <v>0</v>
      </c>
      <c r="Q767" t="str" cm="1">
        <f t="array" ref="Q767">_xlfn.IFS(Sales[[#This Row],[Current Upsell $]]=0,"",Sales[[#This Row],[Current Upsell $]]&gt;=400,"High",Sales[[#This Row],[Current Upsell $]]&gt;=100,"Medium",Sales[[#This Row],[Current Upsell $]]&lt;100,"Low")</f>
        <v/>
      </c>
      <c r="R767" t="str">
        <f>IF(Sales[[#This Row],[Current Upsell $]]&gt;0,_xlfn.CONCAT(Sales[[#This Row],[Subscription Type]]," ",Sales[[#This Row],[Upsell Priority]]," ",TEXT(Sales[[#This Row],[Current Upsell $]],"$#,#")),"")</f>
        <v/>
      </c>
    </row>
    <row r="768" spans="1:18" x14ac:dyDescent="0.25">
      <c r="A768">
        <v>100067</v>
      </c>
      <c r="B768" t="s">
        <v>3</v>
      </c>
      <c r="F768">
        <v>0</v>
      </c>
      <c r="G768">
        <v>13</v>
      </c>
      <c r="H768" s="1">
        <v>44013</v>
      </c>
      <c r="I768" s="1">
        <v>44075</v>
      </c>
      <c r="J768">
        <v>2</v>
      </c>
      <c r="K768">
        <v>9</v>
      </c>
      <c r="L768" s="1">
        <v>44075</v>
      </c>
      <c r="M768">
        <v>0</v>
      </c>
      <c r="N768" s="8" cm="1">
        <f t="array" ref="N768">_xlfn.SWITCH(Sales[[#This Row],[Subscription Type]],"Basic",10,"Premium",10,"Business",25,"Enterprise",27)</f>
        <v>10</v>
      </c>
      <c r="O768">
        <f>IF(Sales[[#This Row],[Number of Users]]-Sales[[#This Row],[Licenses Bought]]&lt;0,0,Sales[[#This Row],[Number of Users]]-Sales[[#This Row],[Licenses Bought]])</f>
        <v>13</v>
      </c>
      <c r="P768" s="8">
        <f>IF(Sales[[#This Row],[Sales Month]]=MAX(Sales[Sales Month]),Sales[[#This Row],[Non-Paying Users]]*Sales[[#This Row],[Upsell $ per Non-Paying User]],0)</f>
        <v>0</v>
      </c>
      <c r="Q768" t="str" cm="1">
        <f t="array" ref="Q768">_xlfn.IFS(Sales[[#This Row],[Current Upsell $]]=0,"",Sales[[#This Row],[Current Upsell $]]&gt;=400,"High",Sales[[#This Row],[Current Upsell $]]&gt;=100,"Medium",Sales[[#This Row],[Current Upsell $]]&lt;100,"Low")</f>
        <v/>
      </c>
      <c r="R768" t="str">
        <f>IF(Sales[[#This Row],[Current Upsell $]]&gt;0,_xlfn.CONCAT(Sales[[#This Row],[Subscription Type]]," ",Sales[[#This Row],[Upsell Priority]]," ",TEXT(Sales[[#This Row],[Current Upsell $]],"$#,#")),"")</f>
        <v/>
      </c>
    </row>
    <row r="769" spans="1:18" x14ac:dyDescent="0.25">
      <c r="A769">
        <v>100068</v>
      </c>
      <c r="B769" t="s">
        <v>3</v>
      </c>
      <c r="F769">
        <v>0</v>
      </c>
      <c r="G769">
        <v>11</v>
      </c>
      <c r="H769" s="1">
        <v>44013</v>
      </c>
      <c r="I769" s="1">
        <v>44287</v>
      </c>
      <c r="J769">
        <v>9</v>
      </c>
      <c r="K769">
        <v>2</v>
      </c>
      <c r="L769" s="1">
        <v>44013</v>
      </c>
      <c r="M769">
        <v>0</v>
      </c>
      <c r="N769" s="8" cm="1">
        <f t="array" ref="N769">_xlfn.SWITCH(Sales[[#This Row],[Subscription Type]],"Basic",10,"Premium",10,"Business",25,"Enterprise",27)</f>
        <v>10</v>
      </c>
      <c r="O769">
        <f>IF(Sales[[#This Row],[Number of Users]]-Sales[[#This Row],[Licenses Bought]]&lt;0,0,Sales[[#This Row],[Number of Users]]-Sales[[#This Row],[Licenses Bought]])</f>
        <v>11</v>
      </c>
      <c r="P769" s="8">
        <f>IF(Sales[[#This Row],[Sales Month]]=MAX(Sales[Sales Month]),Sales[[#This Row],[Non-Paying Users]]*Sales[[#This Row],[Upsell $ per Non-Paying User]],0)</f>
        <v>0</v>
      </c>
      <c r="Q769" t="str" cm="1">
        <f t="array" ref="Q769">_xlfn.IFS(Sales[[#This Row],[Current Upsell $]]=0,"",Sales[[#This Row],[Current Upsell $]]&gt;=400,"High",Sales[[#This Row],[Current Upsell $]]&gt;=100,"Medium",Sales[[#This Row],[Current Upsell $]]&lt;100,"Low")</f>
        <v/>
      </c>
      <c r="R769" t="str">
        <f>IF(Sales[[#This Row],[Current Upsell $]]&gt;0,_xlfn.CONCAT(Sales[[#This Row],[Subscription Type]]," ",Sales[[#This Row],[Upsell Priority]]," ",TEXT(Sales[[#This Row],[Current Upsell $]],"$#,#")),"")</f>
        <v/>
      </c>
    </row>
    <row r="770" spans="1:18" x14ac:dyDescent="0.25">
      <c r="A770">
        <v>100068</v>
      </c>
      <c r="B770" t="s">
        <v>0</v>
      </c>
      <c r="F770">
        <v>3</v>
      </c>
      <c r="G770">
        <v>9</v>
      </c>
      <c r="H770" s="1">
        <v>44013</v>
      </c>
      <c r="I770" s="1">
        <v>44287</v>
      </c>
      <c r="J770">
        <v>9</v>
      </c>
      <c r="K770">
        <v>2</v>
      </c>
      <c r="L770" s="1">
        <v>44044</v>
      </c>
      <c r="M770">
        <v>30</v>
      </c>
      <c r="N770" s="8" cm="1">
        <f t="array" ref="N770">_xlfn.SWITCH(Sales[[#This Row],[Subscription Type]],"Basic",10,"Premium",10,"Business",25,"Enterprise",27)</f>
        <v>10</v>
      </c>
      <c r="O770">
        <f>IF(Sales[[#This Row],[Number of Users]]-Sales[[#This Row],[Licenses Bought]]&lt;0,0,Sales[[#This Row],[Number of Users]]-Sales[[#This Row],[Licenses Bought]])</f>
        <v>6</v>
      </c>
      <c r="P770" s="8">
        <f>IF(Sales[[#This Row],[Sales Month]]=MAX(Sales[Sales Month]),Sales[[#This Row],[Non-Paying Users]]*Sales[[#This Row],[Upsell $ per Non-Paying User]],0)</f>
        <v>0</v>
      </c>
      <c r="Q770" t="str" cm="1">
        <f t="array" ref="Q770">_xlfn.IFS(Sales[[#This Row],[Current Upsell $]]=0,"",Sales[[#This Row],[Current Upsell $]]&gt;=400,"High",Sales[[#This Row],[Current Upsell $]]&gt;=100,"Medium",Sales[[#This Row],[Current Upsell $]]&lt;100,"Low")</f>
        <v/>
      </c>
      <c r="R770" t="str">
        <f>IF(Sales[[#This Row],[Current Upsell $]]&gt;0,_xlfn.CONCAT(Sales[[#This Row],[Subscription Type]]," ",Sales[[#This Row],[Upsell Priority]]," ",TEXT(Sales[[#This Row],[Current Upsell $]],"$#,#")),"")</f>
        <v/>
      </c>
    </row>
    <row r="771" spans="1:18" x14ac:dyDescent="0.25">
      <c r="A771">
        <v>100068</v>
      </c>
      <c r="B771" t="s">
        <v>0</v>
      </c>
      <c r="F771">
        <v>6</v>
      </c>
      <c r="G771">
        <v>10</v>
      </c>
      <c r="H771" s="1">
        <v>44013</v>
      </c>
      <c r="I771" s="1">
        <v>44287</v>
      </c>
      <c r="J771">
        <v>9</v>
      </c>
      <c r="K771">
        <v>2</v>
      </c>
      <c r="L771" s="1">
        <v>44075</v>
      </c>
      <c r="M771">
        <v>60</v>
      </c>
      <c r="N771" s="8" cm="1">
        <f t="array" ref="N771">_xlfn.SWITCH(Sales[[#This Row],[Subscription Type]],"Basic",10,"Premium",10,"Business",25,"Enterprise",27)</f>
        <v>10</v>
      </c>
      <c r="O771">
        <f>IF(Sales[[#This Row],[Number of Users]]-Sales[[#This Row],[Licenses Bought]]&lt;0,0,Sales[[#This Row],[Number of Users]]-Sales[[#This Row],[Licenses Bought]])</f>
        <v>4</v>
      </c>
      <c r="P771" s="8">
        <f>IF(Sales[[#This Row],[Sales Month]]=MAX(Sales[Sales Month]),Sales[[#This Row],[Non-Paying Users]]*Sales[[#This Row],[Upsell $ per Non-Paying User]],0)</f>
        <v>0</v>
      </c>
      <c r="Q771" t="str" cm="1">
        <f t="array" ref="Q771">_xlfn.IFS(Sales[[#This Row],[Current Upsell $]]=0,"",Sales[[#This Row],[Current Upsell $]]&gt;=400,"High",Sales[[#This Row],[Current Upsell $]]&gt;=100,"Medium",Sales[[#This Row],[Current Upsell $]]&lt;100,"Low")</f>
        <v/>
      </c>
      <c r="R771" t="str">
        <f>IF(Sales[[#This Row],[Current Upsell $]]&gt;0,_xlfn.CONCAT(Sales[[#This Row],[Subscription Type]]," ",Sales[[#This Row],[Upsell Priority]]," ",TEXT(Sales[[#This Row],[Current Upsell $]],"$#,#")),"")</f>
        <v/>
      </c>
    </row>
    <row r="772" spans="1:18" x14ac:dyDescent="0.25">
      <c r="A772">
        <v>100068</v>
      </c>
      <c r="B772" t="s">
        <v>0</v>
      </c>
      <c r="F772">
        <v>8</v>
      </c>
      <c r="G772">
        <v>9</v>
      </c>
      <c r="H772" s="1">
        <v>44013</v>
      </c>
      <c r="I772" s="1">
        <v>44287</v>
      </c>
      <c r="J772">
        <v>9</v>
      </c>
      <c r="K772">
        <v>2</v>
      </c>
      <c r="L772" s="1">
        <v>44105</v>
      </c>
      <c r="M772">
        <v>80</v>
      </c>
      <c r="N772" s="8" cm="1">
        <f t="array" ref="N772">_xlfn.SWITCH(Sales[[#This Row],[Subscription Type]],"Basic",10,"Premium",10,"Business",25,"Enterprise",27)</f>
        <v>10</v>
      </c>
      <c r="O772">
        <f>IF(Sales[[#This Row],[Number of Users]]-Sales[[#This Row],[Licenses Bought]]&lt;0,0,Sales[[#This Row],[Number of Users]]-Sales[[#This Row],[Licenses Bought]])</f>
        <v>1</v>
      </c>
      <c r="P772" s="8">
        <f>IF(Sales[[#This Row],[Sales Month]]=MAX(Sales[Sales Month]),Sales[[#This Row],[Non-Paying Users]]*Sales[[#This Row],[Upsell $ per Non-Paying User]],0)</f>
        <v>0</v>
      </c>
      <c r="Q772" t="str" cm="1">
        <f t="array" ref="Q772">_xlfn.IFS(Sales[[#This Row],[Current Upsell $]]=0,"",Sales[[#This Row],[Current Upsell $]]&gt;=400,"High",Sales[[#This Row],[Current Upsell $]]&gt;=100,"Medium",Sales[[#This Row],[Current Upsell $]]&lt;100,"Low")</f>
        <v/>
      </c>
      <c r="R772" t="str">
        <f>IF(Sales[[#This Row],[Current Upsell $]]&gt;0,_xlfn.CONCAT(Sales[[#This Row],[Subscription Type]]," ",Sales[[#This Row],[Upsell Priority]]," ",TEXT(Sales[[#This Row],[Current Upsell $]],"$#,#")),"")</f>
        <v/>
      </c>
    </row>
    <row r="773" spans="1:18" x14ac:dyDescent="0.25">
      <c r="A773">
        <v>100068</v>
      </c>
      <c r="B773" t="s">
        <v>0</v>
      </c>
      <c r="F773">
        <v>8</v>
      </c>
      <c r="G773">
        <v>9</v>
      </c>
      <c r="H773" s="1">
        <v>44013</v>
      </c>
      <c r="I773" s="1">
        <v>44287</v>
      </c>
      <c r="J773">
        <v>9</v>
      </c>
      <c r="K773">
        <v>2</v>
      </c>
      <c r="L773" s="1">
        <v>44136</v>
      </c>
      <c r="M773">
        <v>80</v>
      </c>
      <c r="N773" s="8" cm="1">
        <f t="array" ref="N773">_xlfn.SWITCH(Sales[[#This Row],[Subscription Type]],"Basic",10,"Premium",10,"Business",25,"Enterprise",27)</f>
        <v>10</v>
      </c>
      <c r="O773">
        <f>IF(Sales[[#This Row],[Number of Users]]-Sales[[#This Row],[Licenses Bought]]&lt;0,0,Sales[[#This Row],[Number of Users]]-Sales[[#This Row],[Licenses Bought]])</f>
        <v>1</v>
      </c>
      <c r="P773" s="8">
        <f>IF(Sales[[#This Row],[Sales Month]]=MAX(Sales[Sales Month]),Sales[[#This Row],[Non-Paying Users]]*Sales[[#This Row],[Upsell $ per Non-Paying User]],0)</f>
        <v>0</v>
      </c>
      <c r="Q773" t="str" cm="1">
        <f t="array" ref="Q773">_xlfn.IFS(Sales[[#This Row],[Current Upsell $]]=0,"",Sales[[#This Row],[Current Upsell $]]&gt;=400,"High",Sales[[#This Row],[Current Upsell $]]&gt;=100,"Medium",Sales[[#This Row],[Current Upsell $]]&lt;100,"Low")</f>
        <v/>
      </c>
      <c r="R773" t="str">
        <f>IF(Sales[[#This Row],[Current Upsell $]]&gt;0,_xlfn.CONCAT(Sales[[#This Row],[Subscription Type]]," ",Sales[[#This Row],[Upsell Priority]]," ",TEXT(Sales[[#This Row],[Current Upsell $]],"$#,#")),"")</f>
        <v/>
      </c>
    </row>
    <row r="774" spans="1:18" x14ac:dyDescent="0.25">
      <c r="A774">
        <v>100068</v>
      </c>
      <c r="B774" t="s">
        <v>0</v>
      </c>
      <c r="F774">
        <v>8</v>
      </c>
      <c r="G774">
        <v>9</v>
      </c>
      <c r="H774" s="1">
        <v>44013</v>
      </c>
      <c r="I774" s="1">
        <v>44287</v>
      </c>
      <c r="J774">
        <v>9</v>
      </c>
      <c r="K774">
        <v>2</v>
      </c>
      <c r="L774" s="1">
        <v>44166</v>
      </c>
      <c r="M774">
        <v>80</v>
      </c>
      <c r="N774" s="8" cm="1">
        <f t="array" ref="N774">_xlfn.SWITCH(Sales[[#This Row],[Subscription Type]],"Basic",10,"Premium",10,"Business",25,"Enterprise",27)</f>
        <v>10</v>
      </c>
      <c r="O774">
        <f>IF(Sales[[#This Row],[Number of Users]]-Sales[[#This Row],[Licenses Bought]]&lt;0,0,Sales[[#This Row],[Number of Users]]-Sales[[#This Row],[Licenses Bought]])</f>
        <v>1</v>
      </c>
      <c r="P774" s="8">
        <f>IF(Sales[[#This Row],[Sales Month]]=MAX(Sales[Sales Month]),Sales[[#This Row],[Non-Paying Users]]*Sales[[#This Row],[Upsell $ per Non-Paying User]],0)</f>
        <v>0</v>
      </c>
      <c r="Q774" t="str" cm="1">
        <f t="array" ref="Q774">_xlfn.IFS(Sales[[#This Row],[Current Upsell $]]=0,"",Sales[[#This Row],[Current Upsell $]]&gt;=400,"High",Sales[[#This Row],[Current Upsell $]]&gt;=100,"Medium",Sales[[#This Row],[Current Upsell $]]&lt;100,"Low")</f>
        <v/>
      </c>
      <c r="R774" t="str">
        <f>IF(Sales[[#This Row],[Current Upsell $]]&gt;0,_xlfn.CONCAT(Sales[[#This Row],[Subscription Type]]," ",Sales[[#This Row],[Upsell Priority]]," ",TEXT(Sales[[#This Row],[Current Upsell $]],"$#,#")),"")</f>
        <v/>
      </c>
    </row>
    <row r="775" spans="1:18" x14ac:dyDescent="0.25">
      <c r="A775">
        <v>100068</v>
      </c>
      <c r="B775" t="s">
        <v>0</v>
      </c>
      <c r="F775">
        <v>8</v>
      </c>
      <c r="G775">
        <v>12</v>
      </c>
      <c r="H775" s="1">
        <v>44013</v>
      </c>
      <c r="I775" s="1">
        <v>44287</v>
      </c>
      <c r="J775">
        <v>9</v>
      </c>
      <c r="K775">
        <v>2</v>
      </c>
      <c r="L775" s="1">
        <v>44197</v>
      </c>
      <c r="M775">
        <v>80</v>
      </c>
      <c r="N775" s="8" cm="1">
        <f t="array" ref="N775">_xlfn.SWITCH(Sales[[#This Row],[Subscription Type]],"Basic",10,"Premium",10,"Business",25,"Enterprise",27)</f>
        <v>10</v>
      </c>
      <c r="O775">
        <f>IF(Sales[[#This Row],[Number of Users]]-Sales[[#This Row],[Licenses Bought]]&lt;0,0,Sales[[#This Row],[Number of Users]]-Sales[[#This Row],[Licenses Bought]])</f>
        <v>4</v>
      </c>
      <c r="P775" s="8">
        <f>IF(Sales[[#This Row],[Sales Month]]=MAX(Sales[Sales Month]),Sales[[#This Row],[Non-Paying Users]]*Sales[[#This Row],[Upsell $ per Non-Paying User]],0)</f>
        <v>0</v>
      </c>
      <c r="Q775" t="str" cm="1">
        <f t="array" ref="Q775">_xlfn.IFS(Sales[[#This Row],[Current Upsell $]]=0,"",Sales[[#This Row],[Current Upsell $]]&gt;=400,"High",Sales[[#This Row],[Current Upsell $]]&gt;=100,"Medium",Sales[[#This Row],[Current Upsell $]]&lt;100,"Low")</f>
        <v/>
      </c>
      <c r="R775" t="str">
        <f>IF(Sales[[#This Row],[Current Upsell $]]&gt;0,_xlfn.CONCAT(Sales[[#This Row],[Subscription Type]]," ",Sales[[#This Row],[Upsell Priority]]," ",TEXT(Sales[[#This Row],[Current Upsell $]],"$#,#")),"")</f>
        <v/>
      </c>
    </row>
    <row r="776" spans="1:18" x14ac:dyDescent="0.25">
      <c r="A776">
        <v>100068</v>
      </c>
      <c r="B776" t="s">
        <v>0</v>
      </c>
      <c r="F776">
        <v>8</v>
      </c>
      <c r="G776">
        <v>10</v>
      </c>
      <c r="H776" s="1">
        <v>44013</v>
      </c>
      <c r="I776" s="1">
        <v>44287</v>
      </c>
      <c r="J776">
        <v>9</v>
      </c>
      <c r="K776">
        <v>2</v>
      </c>
      <c r="L776" s="1">
        <v>44228</v>
      </c>
      <c r="M776">
        <v>80</v>
      </c>
      <c r="N776" s="8" cm="1">
        <f t="array" ref="N776">_xlfn.SWITCH(Sales[[#This Row],[Subscription Type]],"Basic",10,"Premium",10,"Business",25,"Enterprise",27)</f>
        <v>10</v>
      </c>
      <c r="O776">
        <f>IF(Sales[[#This Row],[Number of Users]]-Sales[[#This Row],[Licenses Bought]]&lt;0,0,Sales[[#This Row],[Number of Users]]-Sales[[#This Row],[Licenses Bought]])</f>
        <v>2</v>
      </c>
      <c r="P776" s="8">
        <f>IF(Sales[[#This Row],[Sales Month]]=MAX(Sales[Sales Month]),Sales[[#This Row],[Non-Paying Users]]*Sales[[#This Row],[Upsell $ per Non-Paying User]],0)</f>
        <v>0</v>
      </c>
      <c r="Q776" t="str" cm="1">
        <f t="array" ref="Q776">_xlfn.IFS(Sales[[#This Row],[Current Upsell $]]=0,"",Sales[[#This Row],[Current Upsell $]]&gt;=400,"High",Sales[[#This Row],[Current Upsell $]]&gt;=100,"Medium",Sales[[#This Row],[Current Upsell $]]&lt;100,"Low")</f>
        <v/>
      </c>
      <c r="R776" t="str">
        <f>IF(Sales[[#This Row],[Current Upsell $]]&gt;0,_xlfn.CONCAT(Sales[[#This Row],[Subscription Type]]," ",Sales[[#This Row],[Upsell Priority]]," ",TEXT(Sales[[#This Row],[Current Upsell $]],"$#,#")),"")</f>
        <v/>
      </c>
    </row>
    <row r="777" spans="1:18" x14ac:dyDescent="0.25">
      <c r="A777">
        <v>100068</v>
      </c>
      <c r="B777" t="s">
        <v>0</v>
      </c>
      <c r="F777">
        <v>8</v>
      </c>
      <c r="G777">
        <v>8</v>
      </c>
      <c r="H777" s="1">
        <v>44013</v>
      </c>
      <c r="I777" s="1">
        <v>44287</v>
      </c>
      <c r="J777">
        <v>9</v>
      </c>
      <c r="K777">
        <v>2</v>
      </c>
      <c r="L777" s="1">
        <v>44256</v>
      </c>
      <c r="M777">
        <v>80</v>
      </c>
      <c r="N777" s="8" cm="1">
        <f t="array" ref="N777">_xlfn.SWITCH(Sales[[#This Row],[Subscription Type]],"Basic",10,"Premium",10,"Business",25,"Enterprise",27)</f>
        <v>10</v>
      </c>
      <c r="O777">
        <f>IF(Sales[[#This Row],[Number of Users]]-Sales[[#This Row],[Licenses Bought]]&lt;0,0,Sales[[#This Row],[Number of Users]]-Sales[[#This Row],[Licenses Bought]])</f>
        <v>0</v>
      </c>
      <c r="P777" s="8">
        <f>IF(Sales[[#This Row],[Sales Month]]=MAX(Sales[Sales Month]),Sales[[#This Row],[Non-Paying Users]]*Sales[[#This Row],[Upsell $ per Non-Paying User]],0)</f>
        <v>0</v>
      </c>
      <c r="Q777" t="str" cm="1">
        <f t="array" ref="Q777">_xlfn.IFS(Sales[[#This Row],[Current Upsell $]]=0,"",Sales[[#This Row],[Current Upsell $]]&gt;=400,"High",Sales[[#This Row],[Current Upsell $]]&gt;=100,"Medium",Sales[[#This Row],[Current Upsell $]]&lt;100,"Low")</f>
        <v/>
      </c>
      <c r="R777" t="str">
        <f>IF(Sales[[#This Row],[Current Upsell $]]&gt;0,_xlfn.CONCAT(Sales[[#This Row],[Subscription Type]]," ",Sales[[#This Row],[Upsell Priority]]," ",TEXT(Sales[[#This Row],[Current Upsell $]],"$#,#")),"")</f>
        <v/>
      </c>
    </row>
    <row r="778" spans="1:18" x14ac:dyDescent="0.25">
      <c r="A778">
        <v>100068</v>
      </c>
      <c r="B778" t="s">
        <v>0</v>
      </c>
      <c r="F778">
        <v>8</v>
      </c>
      <c r="G778">
        <v>9</v>
      </c>
      <c r="H778" s="1">
        <v>44013</v>
      </c>
      <c r="I778" s="1">
        <v>44287</v>
      </c>
      <c r="J778">
        <v>9</v>
      </c>
      <c r="K778">
        <v>2</v>
      </c>
      <c r="L778" s="1">
        <v>44287</v>
      </c>
      <c r="M778">
        <v>80</v>
      </c>
      <c r="N778" s="8" cm="1">
        <f t="array" ref="N778">_xlfn.SWITCH(Sales[[#This Row],[Subscription Type]],"Basic",10,"Premium",10,"Business",25,"Enterprise",27)</f>
        <v>10</v>
      </c>
      <c r="O778">
        <f>IF(Sales[[#This Row],[Number of Users]]-Sales[[#This Row],[Licenses Bought]]&lt;0,0,Sales[[#This Row],[Number of Users]]-Sales[[#This Row],[Licenses Bought]])</f>
        <v>1</v>
      </c>
      <c r="P778" s="8">
        <f>IF(Sales[[#This Row],[Sales Month]]=MAX(Sales[Sales Month]),Sales[[#This Row],[Non-Paying Users]]*Sales[[#This Row],[Upsell $ per Non-Paying User]],0)</f>
        <v>0</v>
      </c>
      <c r="Q778" t="str" cm="1">
        <f t="array" ref="Q778">_xlfn.IFS(Sales[[#This Row],[Current Upsell $]]=0,"",Sales[[#This Row],[Current Upsell $]]&gt;=400,"High",Sales[[#This Row],[Current Upsell $]]&gt;=100,"Medium",Sales[[#This Row],[Current Upsell $]]&lt;100,"Low")</f>
        <v/>
      </c>
      <c r="R778" t="str">
        <f>IF(Sales[[#This Row],[Current Upsell $]]&gt;0,_xlfn.CONCAT(Sales[[#This Row],[Subscription Type]]," ",Sales[[#This Row],[Upsell Priority]]," ",TEXT(Sales[[#This Row],[Current Upsell $]],"$#,#")),"")</f>
        <v/>
      </c>
    </row>
    <row r="779" spans="1:18" x14ac:dyDescent="0.25">
      <c r="A779">
        <v>100069</v>
      </c>
      <c r="B779" t="s">
        <v>3</v>
      </c>
      <c r="F779">
        <v>0</v>
      </c>
      <c r="G779">
        <v>11</v>
      </c>
      <c r="H779" s="1">
        <v>44013</v>
      </c>
      <c r="I779" s="1">
        <v>44348</v>
      </c>
      <c r="J779">
        <v>11</v>
      </c>
      <c r="K779">
        <v>0</v>
      </c>
      <c r="L779" s="1">
        <v>44013</v>
      </c>
      <c r="M779">
        <v>0</v>
      </c>
      <c r="N779" s="8" cm="1">
        <f t="array" ref="N779">_xlfn.SWITCH(Sales[[#This Row],[Subscription Type]],"Basic",10,"Premium",10,"Business",25,"Enterprise",27)</f>
        <v>10</v>
      </c>
      <c r="O779">
        <f>IF(Sales[[#This Row],[Number of Users]]-Sales[[#This Row],[Licenses Bought]]&lt;0,0,Sales[[#This Row],[Number of Users]]-Sales[[#This Row],[Licenses Bought]])</f>
        <v>11</v>
      </c>
      <c r="P779" s="8">
        <f>IF(Sales[[#This Row],[Sales Month]]=MAX(Sales[Sales Month]),Sales[[#This Row],[Non-Paying Users]]*Sales[[#This Row],[Upsell $ per Non-Paying User]],0)</f>
        <v>0</v>
      </c>
      <c r="Q779" t="str" cm="1">
        <f t="array" ref="Q779">_xlfn.IFS(Sales[[#This Row],[Current Upsell $]]=0,"",Sales[[#This Row],[Current Upsell $]]&gt;=400,"High",Sales[[#This Row],[Current Upsell $]]&gt;=100,"Medium",Sales[[#This Row],[Current Upsell $]]&lt;100,"Low")</f>
        <v/>
      </c>
      <c r="R779" t="str">
        <f>IF(Sales[[#This Row],[Current Upsell $]]&gt;0,_xlfn.CONCAT(Sales[[#This Row],[Subscription Type]]," ",Sales[[#This Row],[Upsell Priority]]," ",TEXT(Sales[[#This Row],[Current Upsell $]],"$#,#")),"")</f>
        <v/>
      </c>
    </row>
    <row r="780" spans="1:18" x14ac:dyDescent="0.25">
      <c r="A780">
        <v>100069</v>
      </c>
      <c r="B780" t="s">
        <v>3</v>
      </c>
      <c r="F780">
        <v>0</v>
      </c>
      <c r="G780">
        <v>9</v>
      </c>
      <c r="H780" s="1">
        <v>44013</v>
      </c>
      <c r="I780" s="1">
        <v>44348</v>
      </c>
      <c r="J780">
        <v>11</v>
      </c>
      <c r="K780">
        <v>0</v>
      </c>
      <c r="L780" s="1">
        <v>44044</v>
      </c>
      <c r="M780">
        <v>0</v>
      </c>
      <c r="N780" s="8" cm="1">
        <f t="array" ref="N780">_xlfn.SWITCH(Sales[[#This Row],[Subscription Type]],"Basic",10,"Premium",10,"Business",25,"Enterprise",27)</f>
        <v>10</v>
      </c>
      <c r="O780">
        <f>IF(Sales[[#This Row],[Number of Users]]-Sales[[#This Row],[Licenses Bought]]&lt;0,0,Sales[[#This Row],[Number of Users]]-Sales[[#This Row],[Licenses Bought]])</f>
        <v>9</v>
      </c>
      <c r="P780" s="8">
        <f>IF(Sales[[#This Row],[Sales Month]]=MAX(Sales[Sales Month]),Sales[[#This Row],[Non-Paying Users]]*Sales[[#This Row],[Upsell $ per Non-Paying User]],0)</f>
        <v>0</v>
      </c>
      <c r="Q780" t="str" cm="1">
        <f t="array" ref="Q780">_xlfn.IFS(Sales[[#This Row],[Current Upsell $]]=0,"",Sales[[#This Row],[Current Upsell $]]&gt;=400,"High",Sales[[#This Row],[Current Upsell $]]&gt;=100,"Medium",Sales[[#This Row],[Current Upsell $]]&lt;100,"Low")</f>
        <v/>
      </c>
      <c r="R780" t="str">
        <f>IF(Sales[[#This Row],[Current Upsell $]]&gt;0,_xlfn.CONCAT(Sales[[#This Row],[Subscription Type]]," ",Sales[[#This Row],[Upsell Priority]]," ",TEXT(Sales[[#This Row],[Current Upsell $]],"$#,#")),"")</f>
        <v/>
      </c>
    </row>
    <row r="781" spans="1:18" x14ac:dyDescent="0.25">
      <c r="A781">
        <v>100069</v>
      </c>
      <c r="B781" t="s">
        <v>3</v>
      </c>
      <c r="F781">
        <v>0</v>
      </c>
      <c r="G781">
        <v>9</v>
      </c>
      <c r="H781" s="1">
        <v>44013</v>
      </c>
      <c r="I781" s="1">
        <v>44348</v>
      </c>
      <c r="J781">
        <v>11</v>
      </c>
      <c r="K781">
        <v>0</v>
      </c>
      <c r="L781" s="1">
        <v>44075</v>
      </c>
      <c r="M781">
        <v>0</v>
      </c>
      <c r="N781" s="8" cm="1">
        <f t="array" ref="N781">_xlfn.SWITCH(Sales[[#This Row],[Subscription Type]],"Basic",10,"Premium",10,"Business",25,"Enterprise",27)</f>
        <v>10</v>
      </c>
      <c r="O781">
        <f>IF(Sales[[#This Row],[Number of Users]]-Sales[[#This Row],[Licenses Bought]]&lt;0,0,Sales[[#This Row],[Number of Users]]-Sales[[#This Row],[Licenses Bought]])</f>
        <v>9</v>
      </c>
      <c r="P781" s="8">
        <f>IF(Sales[[#This Row],[Sales Month]]=MAX(Sales[Sales Month]),Sales[[#This Row],[Non-Paying Users]]*Sales[[#This Row],[Upsell $ per Non-Paying User]],0)</f>
        <v>0</v>
      </c>
      <c r="Q781" t="str" cm="1">
        <f t="array" ref="Q781">_xlfn.IFS(Sales[[#This Row],[Current Upsell $]]=0,"",Sales[[#This Row],[Current Upsell $]]&gt;=400,"High",Sales[[#This Row],[Current Upsell $]]&gt;=100,"Medium",Sales[[#This Row],[Current Upsell $]]&lt;100,"Low")</f>
        <v/>
      </c>
      <c r="R781" t="str">
        <f>IF(Sales[[#This Row],[Current Upsell $]]&gt;0,_xlfn.CONCAT(Sales[[#This Row],[Subscription Type]]," ",Sales[[#This Row],[Upsell Priority]]," ",TEXT(Sales[[#This Row],[Current Upsell $]],"$#,#")),"")</f>
        <v/>
      </c>
    </row>
    <row r="782" spans="1:18" x14ac:dyDescent="0.25">
      <c r="A782">
        <v>100069</v>
      </c>
      <c r="B782" t="s">
        <v>3</v>
      </c>
      <c r="F782">
        <v>0</v>
      </c>
      <c r="G782">
        <v>10</v>
      </c>
      <c r="H782" s="1">
        <v>44013</v>
      </c>
      <c r="I782" s="1">
        <v>44348</v>
      </c>
      <c r="J782">
        <v>11</v>
      </c>
      <c r="K782">
        <v>0</v>
      </c>
      <c r="L782" s="1">
        <v>44105</v>
      </c>
      <c r="M782">
        <v>0</v>
      </c>
      <c r="N782" s="8" cm="1">
        <f t="array" ref="N782">_xlfn.SWITCH(Sales[[#This Row],[Subscription Type]],"Basic",10,"Premium",10,"Business",25,"Enterprise",27)</f>
        <v>10</v>
      </c>
      <c r="O782">
        <f>IF(Sales[[#This Row],[Number of Users]]-Sales[[#This Row],[Licenses Bought]]&lt;0,0,Sales[[#This Row],[Number of Users]]-Sales[[#This Row],[Licenses Bought]])</f>
        <v>10</v>
      </c>
      <c r="P782" s="8">
        <f>IF(Sales[[#This Row],[Sales Month]]=MAX(Sales[Sales Month]),Sales[[#This Row],[Non-Paying Users]]*Sales[[#This Row],[Upsell $ per Non-Paying User]],0)</f>
        <v>0</v>
      </c>
      <c r="Q782" t="str" cm="1">
        <f t="array" ref="Q782">_xlfn.IFS(Sales[[#This Row],[Current Upsell $]]=0,"",Sales[[#This Row],[Current Upsell $]]&gt;=400,"High",Sales[[#This Row],[Current Upsell $]]&gt;=100,"Medium",Sales[[#This Row],[Current Upsell $]]&lt;100,"Low")</f>
        <v/>
      </c>
      <c r="R782" t="str">
        <f>IF(Sales[[#This Row],[Current Upsell $]]&gt;0,_xlfn.CONCAT(Sales[[#This Row],[Subscription Type]]," ",Sales[[#This Row],[Upsell Priority]]," ",TEXT(Sales[[#This Row],[Current Upsell $]],"$#,#")),"")</f>
        <v/>
      </c>
    </row>
    <row r="783" spans="1:18" x14ac:dyDescent="0.25">
      <c r="A783">
        <v>100069</v>
      </c>
      <c r="B783" t="s">
        <v>3</v>
      </c>
      <c r="F783">
        <v>0</v>
      </c>
      <c r="G783">
        <v>9</v>
      </c>
      <c r="H783" s="1">
        <v>44013</v>
      </c>
      <c r="I783" s="1">
        <v>44348</v>
      </c>
      <c r="J783">
        <v>11</v>
      </c>
      <c r="K783">
        <v>0</v>
      </c>
      <c r="L783" s="1">
        <v>44136</v>
      </c>
      <c r="M783">
        <v>0</v>
      </c>
      <c r="N783" s="8" cm="1">
        <f t="array" ref="N783">_xlfn.SWITCH(Sales[[#This Row],[Subscription Type]],"Basic",10,"Premium",10,"Business",25,"Enterprise",27)</f>
        <v>10</v>
      </c>
      <c r="O783">
        <f>IF(Sales[[#This Row],[Number of Users]]-Sales[[#This Row],[Licenses Bought]]&lt;0,0,Sales[[#This Row],[Number of Users]]-Sales[[#This Row],[Licenses Bought]])</f>
        <v>9</v>
      </c>
      <c r="P783" s="8">
        <f>IF(Sales[[#This Row],[Sales Month]]=MAX(Sales[Sales Month]),Sales[[#This Row],[Non-Paying Users]]*Sales[[#This Row],[Upsell $ per Non-Paying User]],0)</f>
        <v>0</v>
      </c>
      <c r="Q783" t="str" cm="1">
        <f t="array" ref="Q783">_xlfn.IFS(Sales[[#This Row],[Current Upsell $]]=0,"",Sales[[#This Row],[Current Upsell $]]&gt;=400,"High",Sales[[#This Row],[Current Upsell $]]&gt;=100,"Medium",Sales[[#This Row],[Current Upsell $]]&lt;100,"Low")</f>
        <v/>
      </c>
      <c r="R783" t="str">
        <f>IF(Sales[[#This Row],[Current Upsell $]]&gt;0,_xlfn.CONCAT(Sales[[#This Row],[Subscription Type]]," ",Sales[[#This Row],[Upsell Priority]]," ",TEXT(Sales[[#This Row],[Current Upsell $]],"$#,#")),"")</f>
        <v/>
      </c>
    </row>
    <row r="784" spans="1:18" x14ac:dyDescent="0.25">
      <c r="A784">
        <v>100069</v>
      </c>
      <c r="B784" t="s">
        <v>3</v>
      </c>
      <c r="F784">
        <v>0</v>
      </c>
      <c r="G784">
        <v>9</v>
      </c>
      <c r="H784" s="1">
        <v>44013</v>
      </c>
      <c r="I784" s="1">
        <v>44348</v>
      </c>
      <c r="J784">
        <v>11</v>
      </c>
      <c r="K784">
        <v>0</v>
      </c>
      <c r="L784" s="1">
        <v>44166</v>
      </c>
      <c r="M784">
        <v>0</v>
      </c>
      <c r="N784" s="8" cm="1">
        <f t="array" ref="N784">_xlfn.SWITCH(Sales[[#This Row],[Subscription Type]],"Basic",10,"Premium",10,"Business",25,"Enterprise",27)</f>
        <v>10</v>
      </c>
      <c r="O784">
        <f>IF(Sales[[#This Row],[Number of Users]]-Sales[[#This Row],[Licenses Bought]]&lt;0,0,Sales[[#This Row],[Number of Users]]-Sales[[#This Row],[Licenses Bought]])</f>
        <v>9</v>
      </c>
      <c r="P784" s="8">
        <f>IF(Sales[[#This Row],[Sales Month]]=MAX(Sales[Sales Month]),Sales[[#This Row],[Non-Paying Users]]*Sales[[#This Row],[Upsell $ per Non-Paying User]],0)</f>
        <v>0</v>
      </c>
      <c r="Q784" t="str" cm="1">
        <f t="array" ref="Q784">_xlfn.IFS(Sales[[#This Row],[Current Upsell $]]=0,"",Sales[[#This Row],[Current Upsell $]]&gt;=400,"High",Sales[[#This Row],[Current Upsell $]]&gt;=100,"Medium",Sales[[#This Row],[Current Upsell $]]&lt;100,"Low")</f>
        <v/>
      </c>
      <c r="R784" t="str">
        <f>IF(Sales[[#This Row],[Current Upsell $]]&gt;0,_xlfn.CONCAT(Sales[[#This Row],[Subscription Type]]," ",Sales[[#This Row],[Upsell Priority]]," ",TEXT(Sales[[#This Row],[Current Upsell $]],"$#,#")),"")</f>
        <v/>
      </c>
    </row>
    <row r="785" spans="1:18" x14ac:dyDescent="0.25">
      <c r="A785">
        <v>100069</v>
      </c>
      <c r="B785" t="s">
        <v>3</v>
      </c>
      <c r="F785">
        <v>0</v>
      </c>
      <c r="G785">
        <v>10</v>
      </c>
      <c r="H785" s="1">
        <v>44013</v>
      </c>
      <c r="I785" s="1">
        <v>44348</v>
      </c>
      <c r="J785">
        <v>11</v>
      </c>
      <c r="K785">
        <v>0</v>
      </c>
      <c r="L785" s="1">
        <v>44197</v>
      </c>
      <c r="M785">
        <v>0</v>
      </c>
      <c r="N785" s="8" cm="1">
        <f t="array" ref="N785">_xlfn.SWITCH(Sales[[#This Row],[Subscription Type]],"Basic",10,"Premium",10,"Business",25,"Enterprise",27)</f>
        <v>10</v>
      </c>
      <c r="O785">
        <f>IF(Sales[[#This Row],[Number of Users]]-Sales[[#This Row],[Licenses Bought]]&lt;0,0,Sales[[#This Row],[Number of Users]]-Sales[[#This Row],[Licenses Bought]])</f>
        <v>10</v>
      </c>
      <c r="P785" s="8">
        <f>IF(Sales[[#This Row],[Sales Month]]=MAX(Sales[Sales Month]),Sales[[#This Row],[Non-Paying Users]]*Sales[[#This Row],[Upsell $ per Non-Paying User]],0)</f>
        <v>0</v>
      </c>
      <c r="Q785" t="str" cm="1">
        <f t="array" ref="Q785">_xlfn.IFS(Sales[[#This Row],[Current Upsell $]]=0,"",Sales[[#This Row],[Current Upsell $]]&gt;=400,"High",Sales[[#This Row],[Current Upsell $]]&gt;=100,"Medium",Sales[[#This Row],[Current Upsell $]]&lt;100,"Low")</f>
        <v/>
      </c>
      <c r="R785" t="str">
        <f>IF(Sales[[#This Row],[Current Upsell $]]&gt;0,_xlfn.CONCAT(Sales[[#This Row],[Subscription Type]]," ",Sales[[#This Row],[Upsell Priority]]," ",TEXT(Sales[[#This Row],[Current Upsell $]],"$#,#")),"")</f>
        <v/>
      </c>
    </row>
    <row r="786" spans="1:18" x14ac:dyDescent="0.25">
      <c r="A786">
        <v>100069</v>
      </c>
      <c r="B786" t="s">
        <v>3</v>
      </c>
      <c r="F786">
        <v>0</v>
      </c>
      <c r="G786">
        <v>9</v>
      </c>
      <c r="H786" s="1">
        <v>44013</v>
      </c>
      <c r="I786" s="1">
        <v>44348</v>
      </c>
      <c r="J786">
        <v>11</v>
      </c>
      <c r="K786">
        <v>0</v>
      </c>
      <c r="L786" s="1">
        <v>44228</v>
      </c>
      <c r="M786">
        <v>0</v>
      </c>
      <c r="N786" s="8" cm="1">
        <f t="array" ref="N786">_xlfn.SWITCH(Sales[[#This Row],[Subscription Type]],"Basic",10,"Premium",10,"Business",25,"Enterprise",27)</f>
        <v>10</v>
      </c>
      <c r="O786">
        <f>IF(Sales[[#This Row],[Number of Users]]-Sales[[#This Row],[Licenses Bought]]&lt;0,0,Sales[[#This Row],[Number of Users]]-Sales[[#This Row],[Licenses Bought]])</f>
        <v>9</v>
      </c>
      <c r="P786" s="8">
        <f>IF(Sales[[#This Row],[Sales Month]]=MAX(Sales[Sales Month]),Sales[[#This Row],[Non-Paying Users]]*Sales[[#This Row],[Upsell $ per Non-Paying User]],0)</f>
        <v>0</v>
      </c>
      <c r="Q786" t="str" cm="1">
        <f t="array" ref="Q786">_xlfn.IFS(Sales[[#This Row],[Current Upsell $]]=0,"",Sales[[#This Row],[Current Upsell $]]&gt;=400,"High",Sales[[#This Row],[Current Upsell $]]&gt;=100,"Medium",Sales[[#This Row],[Current Upsell $]]&lt;100,"Low")</f>
        <v/>
      </c>
      <c r="R786" t="str">
        <f>IF(Sales[[#This Row],[Current Upsell $]]&gt;0,_xlfn.CONCAT(Sales[[#This Row],[Subscription Type]]," ",Sales[[#This Row],[Upsell Priority]]," ",TEXT(Sales[[#This Row],[Current Upsell $]],"$#,#")),"")</f>
        <v/>
      </c>
    </row>
    <row r="787" spans="1:18" x14ac:dyDescent="0.25">
      <c r="A787">
        <v>100069</v>
      </c>
      <c r="B787" t="s">
        <v>3</v>
      </c>
      <c r="F787">
        <v>0</v>
      </c>
      <c r="G787">
        <v>10</v>
      </c>
      <c r="H787" s="1">
        <v>44013</v>
      </c>
      <c r="I787" s="1">
        <v>44348</v>
      </c>
      <c r="J787">
        <v>11</v>
      </c>
      <c r="K787">
        <v>0</v>
      </c>
      <c r="L787" s="1">
        <v>44256</v>
      </c>
      <c r="M787">
        <v>0</v>
      </c>
      <c r="N787" s="8" cm="1">
        <f t="array" ref="N787">_xlfn.SWITCH(Sales[[#This Row],[Subscription Type]],"Basic",10,"Premium",10,"Business",25,"Enterprise",27)</f>
        <v>10</v>
      </c>
      <c r="O787">
        <f>IF(Sales[[#This Row],[Number of Users]]-Sales[[#This Row],[Licenses Bought]]&lt;0,0,Sales[[#This Row],[Number of Users]]-Sales[[#This Row],[Licenses Bought]])</f>
        <v>10</v>
      </c>
      <c r="P787" s="8">
        <f>IF(Sales[[#This Row],[Sales Month]]=MAX(Sales[Sales Month]),Sales[[#This Row],[Non-Paying Users]]*Sales[[#This Row],[Upsell $ per Non-Paying User]],0)</f>
        <v>0</v>
      </c>
      <c r="Q787" t="str" cm="1">
        <f t="array" ref="Q787">_xlfn.IFS(Sales[[#This Row],[Current Upsell $]]=0,"",Sales[[#This Row],[Current Upsell $]]&gt;=400,"High",Sales[[#This Row],[Current Upsell $]]&gt;=100,"Medium",Sales[[#This Row],[Current Upsell $]]&lt;100,"Low")</f>
        <v/>
      </c>
      <c r="R787" t="str">
        <f>IF(Sales[[#This Row],[Current Upsell $]]&gt;0,_xlfn.CONCAT(Sales[[#This Row],[Subscription Type]]," ",Sales[[#This Row],[Upsell Priority]]," ",TEXT(Sales[[#This Row],[Current Upsell $]],"$#,#")),"")</f>
        <v/>
      </c>
    </row>
    <row r="788" spans="1:18" x14ac:dyDescent="0.25">
      <c r="A788">
        <v>100069</v>
      </c>
      <c r="B788" t="s">
        <v>3</v>
      </c>
      <c r="F788">
        <v>0</v>
      </c>
      <c r="G788">
        <v>8</v>
      </c>
      <c r="H788" s="1">
        <v>44013</v>
      </c>
      <c r="I788" s="1">
        <v>44348</v>
      </c>
      <c r="J788">
        <v>11</v>
      </c>
      <c r="K788">
        <v>0</v>
      </c>
      <c r="L788" s="1">
        <v>44287</v>
      </c>
      <c r="M788">
        <v>0</v>
      </c>
      <c r="N788" s="8" cm="1">
        <f t="array" ref="N788">_xlfn.SWITCH(Sales[[#This Row],[Subscription Type]],"Basic",10,"Premium",10,"Business",25,"Enterprise",27)</f>
        <v>10</v>
      </c>
      <c r="O788">
        <f>IF(Sales[[#This Row],[Number of Users]]-Sales[[#This Row],[Licenses Bought]]&lt;0,0,Sales[[#This Row],[Number of Users]]-Sales[[#This Row],[Licenses Bought]])</f>
        <v>8</v>
      </c>
      <c r="P788" s="8">
        <f>IF(Sales[[#This Row],[Sales Month]]=MAX(Sales[Sales Month]),Sales[[#This Row],[Non-Paying Users]]*Sales[[#This Row],[Upsell $ per Non-Paying User]],0)</f>
        <v>0</v>
      </c>
      <c r="Q788" t="str" cm="1">
        <f t="array" ref="Q788">_xlfn.IFS(Sales[[#This Row],[Current Upsell $]]=0,"",Sales[[#This Row],[Current Upsell $]]&gt;=400,"High",Sales[[#This Row],[Current Upsell $]]&gt;=100,"Medium",Sales[[#This Row],[Current Upsell $]]&lt;100,"Low")</f>
        <v/>
      </c>
      <c r="R788" t="str">
        <f>IF(Sales[[#This Row],[Current Upsell $]]&gt;0,_xlfn.CONCAT(Sales[[#This Row],[Subscription Type]]," ",Sales[[#This Row],[Upsell Priority]]," ",TEXT(Sales[[#This Row],[Current Upsell $]],"$#,#")),"")</f>
        <v/>
      </c>
    </row>
    <row r="789" spans="1:18" x14ac:dyDescent="0.25">
      <c r="A789">
        <v>100069</v>
      </c>
      <c r="B789" t="s">
        <v>3</v>
      </c>
      <c r="F789">
        <v>0</v>
      </c>
      <c r="G789">
        <v>8</v>
      </c>
      <c r="H789" s="1">
        <v>44013</v>
      </c>
      <c r="I789" s="1">
        <v>44348</v>
      </c>
      <c r="J789">
        <v>11</v>
      </c>
      <c r="K789">
        <v>0</v>
      </c>
      <c r="L789" s="1">
        <v>44317</v>
      </c>
      <c r="M789">
        <v>0</v>
      </c>
      <c r="N789" s="8" cm="1">
        <f t="array" ref="N789">_xlfn.SWITCH(Sales[[#This Row],[Subscription Type]],"Basic",10,"Premium",10,"Business",25,"Enterprise",27)</f>
        <v>10</v>
      </c>
      <c r="O789">
        <f>IF(Sales[[#This Row],[Number of Users]]-Sales[[#This Row],[Licenses Bought]]&lt;0,0,Sales[[#This Row],[Number of Users]]-Sales[[#This Row],[Licenses Bought]])</f>
        <v>8</v>
      </c>
      <c r="P789" s="8">
        <f>IF(Sales[[#This Row],[Sales Month]]=MAX(Sales[Sales Month]),Sales[[#This Row],[Non-Paying Users]]*Sales[[#This Row],[Upsell $ per Non-Paying User]],0)</f>
        <v>0</v>
      </c>
      <c r="Q789" t="str" cm="1">
        <f t="array" ref="Q789">_xlfn.IFS(Sales[[#This Row],[Current Upsell $]]=0,"",Sales[[#This Row],[Current Upsell $]]&gt;=400,"High",Sales[[#This Row],[Current Upsell $]]&gt;=100,"Medium",Sales[[#This Row],[Current Upsell $]]&lt;100,"Low")</f>
        <v/>
      </c>
      <c r="R789" t="str">
        <f>IF(Sales[[#This Row],[Current Upsell $]]&gt;0,_xlfn.CONCAT(Sales[[#This Row],[Subscription Type]]," ",Sales[[#This Row],[Upsell Priority]]," ",TEXT(Sales[[#This Row],[Current Upsell $]],"$#,#")),"")</f>
        <v/>
      </c>
    </row>
    <row r="790" spans="1:18" x14ac:dyDescent="0.25">
      <c r="A790">
        <v>100069</v>
      </c>
      <c r="B790" t="s">
        <v>3</v>
      </c>
      <c r="F790">
        <v>0</v>
      </c>
      <c r="G790">
        <v>9</v>
      </c>
      <c r="H790" s="1">
        <v>44013</v>
      </c>
      <c r="I790" s="1">
        <v>44348</v>
      </c>
      <c r="J790">
        <v>11</v>
      </c>
      <c r="K790">
        <v>0</v>
      </c>
      <c r="L790" s="1">
        <v>44348</v>
      </c>
      <c r="M790">
        <v>0</v>
      </c>
      <c r="N790" s="8" cm="1">
        <f t="array" ref="N790">_xlfn.SWITCH(Sales[[#This Row],[Subscription Type]],"Basic",10,"Premium",10,"Business",25,"Enterprise",27)</f>
        <v>10</v>
      </c>
      <c r="O790">
        <f>IF(Sales[[#This Row],[Number of Users]]-Sales[[#This Row],[Licenses Bought]]&lt;0,0,Sales[[#This Row],[Number of Users]]-Sales[[#This Row],[Licenses Bought]])</f>
        <v>9</v>
      </c>
      <c r="P790" s="8">
        <f>IF(Sales[[#This Row],[Sales Month]]=MAX(Sales[Sales Month]),Sales[[#This Row],[Non-Paying Users]]*Sales[[#This Row],[Upsell $ per Non-Paying User]],0)</f>
        <v>90</v>
      </c>
      <c r="Q790" t="str" cm="1">
        <f t="array" ref="Q790">_xlfn.IFS(Sales[[#This Row],[Current Upsell $]]=0,"",Sales[[#This Row],[Current Upsell $]]&gt;=400,"High",Sales[[#This Row],[Current Upsell $]]&gt;=100,"Medium",Sales[[#This Row],[Current Upsell $]]&lt;100,"Low")</f>
        <v>Low</v>
      </c>
      <c r="R790" t="str">
        <f>IF(Sales[[#This Row],[Current Upsell $]]&gt;0,_xlfn.CONCAT(Sales[[#This Row],[Subscription Type]]," ",Sales[[#This Row],[Upsell Priority]]," ",TEXT(Sales[[#This Row],[Current Upsell $]],"$#,#")),"")</f>
        <v>Basic Low $90</v>
      </c>
    </row>
    <row r="791" spans="1:18" x14ac:dyDescent="0.25">
      <c r="A791">
        <v>100070</v>
      </c>
      <c r="B791" t="s">
        <v>3</v>
      </c>
      <c r="F791">
        <v>0</v>
      </c>
      <c r="G791">
        <v>8</v>
      </c>
      <c r="H791" s="1">
        <v>44013</v>
      </c>
      <c r="I791" s="1">
        <v>44348</v>
      </c>
      <c r="J791">
        <v>11</v>
      </c>
      <c r="K791">
        <v>0</v>
      </c>
      <c r="L791" s="1">
        <v>44013</v>
      </c>
      <c r="M791">
        <v>0</v>
      </c>
      <c r="N791" s="8" cm="1">
        <f t="array" ref="N791">_xlfn.SWITCH(Sales[[#This Row],[Subscription Type]],"Basic",10,"Premium",10,"Business",25,"Enterprise",27)</f>
        <v>10</v>
      </c>
      <c r="O791">
        <f>IF(Sales[[#This Row],[Number of Users]]-Sales[[#This Row],[Licenses Bought]]&lt;0,0,Sales[[#This Row],[Number of Users]]-Sales[[#This Row],[Licenses Bought]])</f>
        <v>8</v>
      </c>
      <c r="P791" s="8">
        <f>IF(Sales[[#This Row],[Sales Month]]=MAX(Sales[Sales Month]),Sales[[#This Row],[Non-Paying Users]]*Sales[[#This Row],[Upsell $ per Non-Paying User]],0)</f>
        <v>0</v>
      </c>
      <c r="Q791" t="str" cm="1">
        <f t="array" ref="Q791">_xlfn.IFS(Sales[[#This Row],[Current Upsell $]]=0,"",Sales[[#This Row],[Current Upsell $]]&gt;=400,"High",Sales[[#This Row],[Current Upsell $]]&gt;=100,"Medium",Sales[[#This Row],[Current Upsell $]]&lt;100,"Low")</f>
        <v/>
      </c>
      <c r="R791" t="str">
        <f>IF(Sales[[#This Row],[Current Upsell $]]&gt;0,_xlfn.CONCAT(Sales[[#This Row],[Subscription Type]]," ",Sales[[#This Row],[Upsell Priority]]," ",TEXT(Sales[[#This Row],[Current Upsell $]],"$#,#")),"")</f>
        <v/>
      </c>
    </row>
    <row r="792" spans="1:18" x14ac:dyDescent="0.25">
      <c r="A792">
        <v>100070</v>
      </c>
      <c r="B792" t="s">
        <v>3</v>
      </c>
      <c r="F792">
        <v>0</v>
      </c>
      <c r="G792">
        <v>8</v>
      </c>
      <c r="H792" s="1">
        <v>44013</v>
      </c>
      <c r="I792" s="1">
        <v>44348</v>
      </c>
      <c r="J792">
        <v>11</v>
      </c>
      <c r="K792">
        <v>0</v>
      </c>
      <c r="L792" s="1">
        <v>44044</v>
      </c>
      <c r="M792">
        <v>0</v>
      </c>
      <c r="N792" s="8" cm="1">
        <f t="array" ref="N792">_xlfn.SWITCH(Sales[[#This Row],[Subscription Type]],"Basic",10,"Premium",10,"Business",25,"Enterprise",27)</f>
        <v>10</v>
      </c>
      <c r="O792">
        <f>IF(Sales[[#This Row],[Number of Users]]-Sales[[#This Row],[Licenses Bought]]&lt;0,0,Sales[[#This Row],[Number of Users]]-Sales[[#This Row],[Licenses Bought]])</f>
        <v>8</v>
      </c>
      <c r="P792" s="8">
        <f>IF(Sales[[#This Row],[Sales Month]]=MAX(Sales[Sales Month]),Sales[[#This Row],[Non-Paying Users]]*Sales[[#This Row],[Upsell $ per Non-Paying User]],0)</f>
        <v>0</v>
      </c>
      <c r="Q792" t="str" cm="1">
        <f t="array" ref="Q792">_xlfn.IFS(Sales[[#This Row],[Current Upsell $]]=0,"",Sales[[#This Row],[Current Upsell $]]&gt;=400,"High",Sales[[#This Row],[Current Upsell $]]&gt;=100,"Medium",Sales[[#This Row],[Current Upsell $]]&lt;100,"Low")</f>
        <v/>
      </c>
      <c r="R792" t="str">
        <f>IF(Sales[[#This Row],[Current Upsell $]]&gt;0,_xlfn.CONCAT(Sales[[#This Row],[Subscription Type]]," ",Sales[[#This Row],[Upsell Priority]]," ",TEXT(Sales[[#This Row],[Current Upsell $]],"$#,#")),"")</f>
        <v/>
      </c>
    </row>
    <row r="793" spans="1:18" x14ac:dyDescent="0.25">
      <c r="A793">
        <v>100070</v>
      </c>
      <c r="B793" t="s">
        <v>3</v>
      </c>
      <c r="F793">
        <v>0</v>
      </c>
      <c r="G793">
        <v>8</v>
      </c>
      <c r="H793" s="1">
        <v>44013</v>
      </c>
      <c r="I793" s="1">
        <v>44348</v>
      </c>
      <c r="J793">
        <v>11</v>
      </c>
      <c r="K793">
        <v>0</v>
      </c>
      <c r="L793" s="1">
        <v>44075</v>
      </c>
      <c r="M793">
        <v>0</v>
      </c>
      <c r="N793" s="8" cm="1">
        <f t="array" ref="N793">_xlfn.SWITCH(Sales[[#This Row],[Subscription Type]],"Basic",10,"Premium",10,"Business",25,"Enterprise",27)</f>
        <v>10</v>
      </c>
      <c r="O793">
        <f>IF(Sales[[#This Row],[Number of Users]]-Sales[[#This Row],[Licenses Bought]]&lt;0,0,Sales[[#This Row],[Number of Users]]-Sales[[#This Row],[Licenses Bought]])</f>
        <v>8</v>
      </c>
      <c r="P793" s="8">
        <f>IF(Sales[[#This Row],[Sales Month]]=MAX(Sales[Sales Month]),Sales[[#This Row],[Non-Paying Users]]*Sales[[#This Row],[Upsell $ per Non-Paying User]],0)</f>
        <v>0</v>
      </c>
      <c r="Q793" t="str" cm="1">
        <f t="array" ref="Q793">_xlfn.IFS(Sales[[#This Row],[Current Upsell $]]=0,"",Sales[[#This Row],[Current Upsell $]]&gt;=400,"High",Sales[[#This Row],[Current Upsell $]]&gt;=100,"Medium",Sales[[#This Row],[Current Upsell $]]&lt;100,"Low")</f>
        <v/>
      </c>
      <c r="R793" t="str">
        <f>IF(Sales[[#This Row],[Current Upsell $]]&gt;0,_xlfn.CONCAT(Sales[[#This Row],[Subscription Type]]," ",Sales[[#This Row],[Upsell Priority]]," ",TEXT(Sales[[#This Row],[Current Upsell $]],"$#,#")),"")</f>
        <v/>
      </c>
    </row>
    <row r="794" spans="1:18" x14ac:dyDescent="0.25">
      <c r="A794">
        <v>100070</v>
      </c>
      <c r="B794" t="s">
        <v>3</v>
      </c>
      <c r="F794">
        <v>0</v>
      </c>
      <c r="G794">
        <v>8</v>
      </c>
      <c r="H794" s="1">
        <v>44013</v>
      </c>
      <c r="I794" s="1">
        <v>44348</v>
      </c>
      <c r="J794">
        <v>11</v>
      </c>
      <c r="K794">
        <v>0</v>
      </c>
      <c r="L794" s="1">
        <v>44105</v>
      </c>
      <c r="M794">
        <v>0</v>
      </c>
      <c r="N794" s="8" cm="1">
        <f t="array" ref="N794">_xlfn.SWITCH(Sales[[#This Row],[Subscription Type]],"Basic",10,"Premium",10,"Business",25,"Enterprise",27)</f>
        <v>10</v>
      </c>
      <c r="O794">
        <f>IF(Sales[[#This Row],[Number of Users]]-Sales[[#This Row],[Licenses Bought]]&lt;0,0,Sales[[#This Row],[Number of Users]]-Sales[[#This Row],[Licenses Bought]])</f>
        <v>8</v>
      </c>
      <c r="P794" s="8">
        <f>IF(Sales[[#This Row],[Sales Month]]=MAX(Sales[Sales Month]),Sales[[#This Row],[Non-Paying Users]]*Sales[[#This Row],[Upsell $ per Non-Paying User]],0)</f>
        <v>0</v>
      </c>
      <c r="Q794" t="str" cm="1">
        <f t="array" ref="Q794">_xlfn.IFS(Sales[[#This Row],[Current Upsell $]]=0,"",Sales[[#This Row],[Current Upsell $]]&gt;=400,"High",Sales[[#This Row],[Current Upsell $]]&gt;=100,"Medium",Sales[[#This Row],[Current Upsell $]]&lt;100,"Low")</f>
        <v/>
      </c>
      <c r="R794" t="str">
        <f>IF(Sales[[#This Row],[Current Upsell $]]&gt;0,_xlfn.CONCAT(Sales[[#This Row],[Subscription Type]]," ",Sales[[#This Row],[Upsell Priority]]," ",TEXT(Sales[[#This Row],[Current Upsell $]],"$#,#")),"")</f>
        <v/>
      </c>
    </row>
    <row r="795" spans="1:18" x14ac:dyDescent="0.25">
      <c r="A795">
        <v>100070</v>
      </c>
      <c r="B795" t="s">
        <v>3</v>
      </c>
      <c r="F795">
        <v>0</v>
      </c>
      <c r="G795">
        <v>9</v>
      </c>
      <c r="H795" s="1">
        <v>44013</v>
      </c>
      <c r="I795" s="1">
        <v>44348</v>
      </c>
      <c r="J795">
        <v>11</v>
      </c>
      <c r="K795">
        <v>0</v>
      </c>
      <c r="L795" s="1">
        <v>44136</v>
      </c>
      <c r="M795">
        <v>0</v>
      </c>
      <c r="N795" s="8" cm="1">
        <f t="array" ref="N795">_xlfn.SWITCH(Sales[[#This Row],[Subscription Type]],"Basic",10,"Premium",10,"Business",25,"Enterprise",27)</f>
        <v>10</v>
      </c>
      <c r="O795">
        <f>IF(Sales[[#This Row],[Number of Users]]-Sales[[#This Row],[Licenses Bought]]&lt;0,0,Sales[[#This Row],[Number of Users]]-Sales[[#This Row],[Licenses Bought]])</f>
        <v>9</v>
      </c>
      <c r="P795" s="8">
        <f>IF(Sales[[#This Row],[Sales Month]]=MAX(Sales[Sales Month]),Sales[[#This Row],[Non-Paying Users]]*Sales[[#This Row],[Upsell $ per Non-Paying User]],0)</f>
        <v>0</v>
      </c>
      <c r="Q795" t="str" cm="1">
        <f t="array" ref="Q795">_xlfn.IFS(Sales[[#This Row],[Current Upsell $]]=0,"",Sales[[#This Row],[Current Upsell $]]&gt;=400,"High",Sales[[#This Row],[Current Upsell $]]&gt;=100,"Medium",Sales[[#This Row],[Current Upsell $]]&lt;100,"Low")</f>
        <v/>
      </c>
      <c r="R795" t="str">
        <f>IF(Sales[[#This Row],[Current Upsell $]]&gt;0,_xlfn.CONCAT(Sales[[#This Row],[Subscription Type]]," ",Sales[[#This Row],[Upsell Priority]]," ",TEXT(Sales[[#This Row],[Current Upsell $]],"$#,#")),"")</f>
        <v/>
      </c>
    </row>
    <row r="796" spans="1:18" x14ac:dyDescent="0.25">
      <c r="A796">
        <v>100070</v>
      </c>
      <c r="B796" t="s">
        <v>3</v>
      </c>
      <c r="F796">
        <v>0</v>
      </c>
      <c r="G796">
        <v>7</v>
      </c>
      <c r="H796" s="1">
        <v>44013</v>
      </c>
      <c r="I796" s="1">
        <v>44348</v>
      </c>
      <c r="J796">
        <v>11</v>
      </c>
      <c r="K796">
        <v>0</v>
      </c>
      <c r="L796" s="1">
        <v>44166</v>
      </c>
      <c r="M796">
        <v>0</v>
      </c>
      <c r="N796" s="8" cm="1">
        <f t="array" ref="N796">_xlfn.SWITCH(Sales[[#This Row],[Subscription Type]],"Basic",10,"Premium",10,"Business",25,"Enterprise",27)</f>
        <v>10</v>
      </c>
      <c r="O796">
        <f>IF(Sales[[#This Row],[Number of Users]]-Sales[[#This Row],[Licenses Bought]]&lt;0,0,Sales[[#This Row],[Number of Users]]-Sales[[#This Row],[Licenses Bought]])</f>
        <v>7</v>
      </c>
      <c r="P796" s="8">
        <f>IF(Sales[[#This Row],[Sales Month]]=MAX(Sales[Sales Month]),Sales[[#This Row],[Non-Paying Users]]*Sales[[#This Row],[Upsell $ per Non-Paying User]],0)</f>
        <v>0</v>
      </c>
      <c r="Q796" t="str" cm="1">
        <f t="array" ref="Q796">_xlfn.IFS(Sales[[#This Row],[Current Upsell $]]=0,"",Sales[[#This Row],[Current Upsell $]]&gt;=400,"High",Sales[[#This Row],[Current Upsell $]]&gt;=100,"Medium",Sales[[#This Row],[Current Upsell $]]&lt;100,"Low")</f>
        <v/>
      </c>
      <c r="R796" t="str">
        <f>IF(Sales[[#This Row],[Current Upsell $]]&gt;0,_xlfn.CONCAT(Sales[[#This Row],[Subscription Type]]," ",Sales[[#This Row],[Upsell Priority]]," ",TEXT(Sales[[#This Row],[Current Upsell $]],"$#,#")),"")</f>
        <v/>
      </c>
    </row>
    <row r="797" spans="1:18" x14ac:dyDescent="0.25">
      <c r="A797">
        <v>100070</v>
      </c>
      <c r="B797" t="s">
        <v>3</v>
      </c>
      <c r="F797">
        <v>0</v>
      </c>
      <c r="G797">
        <v>7</v>
      </c>
      <c r="H797" s="1">
        <v>44013</v>
      </c>
      <c r="I797" s="1">
        <v>44348</v>
      </c>
      <c r="J797">
        <v>11</v>
      </c>
      <c r="K797">
        <v>0</v>
      </c>
      <c r="L797" s="1">
        <v>44197</v>
      </c>
      <c r="M797">
        <v>0</v>
      </c>
      <c r="N797" s="8" cm="1">
        <f t="array" ref="N797">_xlfn.SWITCH(Sales[[#This Row],[Subscription Type]],"Basic",10,"Premium",10,"Business",25,"Enterprise",27)</f>
        <v>10</v>
      </c>
      <c r="O797">
        <f>IF(Sales[[#This Row],[Number of Users]]-Sales[[#This Row],[Licenses Bought]]&lt;0,0,Sales[[#This Row],[Number of Users]]-Sales[[#This Row],[Licenses Bought]])</f>
        <v>7</v>
      </c>
      <c r="P797" s="8">
        <f>IF(Sales[[#This Row],[Sales Month]]=MAX(Sales[Sales Month]),Sales[[#This Row],[Non-Paying Users]]*Sales[[#This Row],[Upsell $ per Non-Paying User]],0)</f>
        <v>0</v>
      </c>
      <c r="Q797" t="str" cm="1">
        <f t="array" ref="Q797">_xlfn.IFS(Sales[[#This Row],[Current Upsell $]]=0,"",Sales[[#This Row],[Current Upsell $]]&gt;=400,"High",Sales[[#This Row],[Current Upsell $]]&gt;=100,"Medium",Sales[[#This Row],[Current Upsell $]]&lt;100,"Low")</f>
        <v/>
      </c>
      <c r="R797" t="str">
        <f>IF(Sales[[#This Row],[Current Upsell $]]&gt;0,_xlfn.CONCAT(Sales[[#This Row],[Subscription Type]]," ",Sales[[#This Row],[Upsell Priority]]," ",TEXT(Sales[[#This Row],[Current Upsell $]],"$#,#")),"")</f>
        <v/>
      </c>
    </row>
    <row r="798" spans="1:18" x14ac:dyDescent="0.25">
      <c r="A798">
        <v>100070</v>
      </c>
      <c r="B798" t="s">
        <v>3</v>
      </c>
      <c r="F798">
        <v>0</v>
      </c>
      <c r="G798">
        <v>7</v>
      </c>
      <c r="H798" s="1">
        <v>44013</v>
      </c>
      <c r="I798" s="1">
        <v>44348</v>
      </c>
      <c r="J798">
        <v>11</v>
      </c>
      <c r="K798">
        <v>0</v>
      </c>
      <c r="L798" s="1">
        <v>44228</v>
      </c>
      <c r="M798">
        <v>0</v>
      </c>
      <c r="N798" s="8" cm="1">
        <f t="array" ref="N798">_xlfn.SWITCH(Sales[[#This Row],[Subscription Type]],"Basic",10,"Premium",10,"Business",25,"Enterprise",27)</f>
        <v>10</v>
      </c>
      <c r="O798">
        <f>IF(Sales[[#This Row],[Number of Users]]-Sales[[#This Row],[Licenses Bought]]&lt;0,0,Sales[[#This Row],[Number of Users]]-Sales[[#This Row],[Licenses Bought]])</f>
        <v>7</v>
      </c>
      <c r="P798" s="8">
        <f>IF(Sales[[#This Row],[Sales Month]]=MAX(Sales[Sales Month]),Sales[[#This Row],[Non-Paying Users]]*Sales[[#This Row],[Upsell $ per Non-Paying User]],0)</f>
        <v>0</v>
      </c>
      <c r="Q798" t="str" cm="1">
        <f t="array" ref="Q798">_xlfn.IFS(Sales[[#This Row],[Current Upsell $]]=0,"",Sales[[#This Row],[Current Upsell $]]&gt;=400,"High",Sales[[#This Row],[Current Upsell $]]&gt;=100,"Medium",Sales[[#This Row],[Current Upsell $]]&lt;100,"Low")</f>
        <v/>
      </c>
      <c r="R798" t="str">
        <f>IF(Sales[[#This Row],[Current Upsell $]]&gt;0,_xlfn.CONCAT(Sales[[#This Row],[Subscription Type]]," ",Sales[[#This Row],[Upsell Priority]]," ",TEXT(Sales[[#This Row],[Current Upsell $]],"$#,#")),"")</f>
        <v/>
      </c>
    </row>
    <row r="799" spans="1:18" x14ac:dyDescent="0.25">
      <c r="A799">
        <v>100070</v>
      </c>
      <c r="B799" t="s">
        <v>3</v>
      </c>
      <c r="F799">
        <v>0</v>
      </c>
      <c r="G799">
        <v>8</v>
      </c>
      <c r="H799" s="1">
        <v>44013</v>
      </c>
      <c r="I799" s="1">
        <v>44348</v>
      </c>
      <c r="J799">
        <v>11</v>
      </c>
      <c r="K799">
        <v>0</v>
      </c>
      <c r="L799" s="1">
        <v>44256</v>
      </c>
      <c r="M799">
        <v>0</v>
      </c>
      <c r="N799" s="8" cm="1">
        <f t="array" ref="N799">_xlfn.SWITCH(Sales[[#This Row],[Subscription Type]],"Basic",10,"Premium",10,"Business",25,"Enterprise",27)</f>
        <v>10</v>
      </c>
      <c r="O799">
        <f>IF(Sales[[#This Row],[Number of Users]]-Sales[[#This Row],[Licenses Bought]]&lt;0,0,Sales[[#This Row],[Number of Users]]-Sales[[#This Row],[Licenses Bought]])</f>
        <v>8</v>
      </c>
      <c r="P799" s="8">
        <f>IF(Sales[[#This Row],[Sales Month]]=MAX(Sales[Sales Month]),Sales[[#This Row],[Non-Paying Users]]*Sales[[#This Row],[Upsell $ per Non-Paying User]],0)</f>
        <v>0</v>
      </c>
      <c r="Q799" t="str" cm="1">
        <f t="array" ref="Q799">_xlfn.IFS(Sales[[#This Row],[Current Upsell $]]=0,"",Sales[[#This Row],[Current Upsell $]]&gt;=400,"High",Sales[[#This Row],[Current Upsell $]]&gt;=100,"Medium",Sales[[#This Row],[Current Upsell $]]&lt;100,"Low")</f>
        <v/>
      </c>
      <c r="R799" t="str">
        <f>IF(Sales[[#This Row],[Current Upsell $]]&gt;0,_xlfn.CONCAT(Sales[[#This Row],[Subscription Type]]," ",Sales[[#This Row],[Upsell Priority]]," ",TEXT(Sales[[#This Row],[Current Upsell $]],"$#,#")),"")</f>
        <v/>
      </c>
    </row>
    <row r="800" spans="1:18" x14ac:dyDescent="0.25">
      <c r="A800">
        <v>100070</v>
      </c>
      <c r="B800" t="s">
        <v>3</v>
      </c>
      <c r="F800">
        <v>0</v>
      </c>
      <c r="G800">
        <v>7</v>
      </c>
      <c r="H800" s="1">
        <v>44013</v>
      </c>
      <c r="I800" s="1">
        <v>44348</v>
      </c>
      <c r="J800">
        <v>11</v>
      </c>
      <c r="K800">
        <v>0</v>
      </c>
      <c r="L800" s="1">
        <v>44287</v>
      </c>
      <c r="M800">
        <v>0</v>
      </c>
      <c r="N800" s="8" cm="1">
        <f t="array" ref="N800">_xlfn.SWITCH(Sales[[#This Row],[Subscription Type]],"Basic",10,"Premium",10,"Business",25,"Enterprise",27)</f>
        <v>10</v>
      </c>
      <c r="O800">
        <f>IF(Sales[[#This Row],[Number of Users]]-Sales[[#This Row],[Licenses Bought]]&lt;0,0,Sales[[#This Row],[Number of Users]]-Sales[[#This Row],[Licenses Bought]])</f>
        <v>7</v>
      </c>
      <c r="P800" s="8">
        <f>IF(Sales[[#This Row],[Sales Month]]=MAX(Sales[Sales Month]),Sales[[#This Row],[Non-Paying Users]]*Sales[[#This Row],[Upsell $ per Non-Paying User]],0)</f>
        <v>0</v>
      </c>
      <c r="Q800" t="str" cm="1">
        <f t="array" ref="Q800">_xlfn.IFS(Sales[[#This Row],[Current Upsell $]]=0,"",Sales[[#This Row],[Current Upsell $]]&gt;=400,"High",Sales[[#This Row],[Current Upsell $]]&gt;=100,"Medium",Sales[[#This Row],[Current Upsell $]]&lt;100,"Low")</f>
        <v/>
      </c>
      <c r="R800" t="str">
        <f>IF(Sales[[#This Row],[Current Upsell $]]&gt;0,_xlfn.CONCAT(Sales[[#This Row],[Subscription Type]]," ",Sales[[#This Row],[Upsell Priority]]," ",TEXT(Sales[[#This Row],[Current Upsell $]],"$#,#")),"")</f>
        <v/>
      </c>
    </row>
    <row r="801" spans="1:18" x14ac:dyDescent="0.25">
      <c r="A801">
        <v>100070</v>
      </c>
      <c r="B801" t="s">
        <v>3</v>
      </c>
      <c r="F801">
        <v>0</v>
      </c>
      <c r="G801">
        <v>8</v>
      </c>
      <c r="H801" s="1">
        <v>44013</v>
      </c>
      <c r="I801" s="1">
        <v>44348</v>
      </c>
      <c r="J801">
        <v>11</v>
      </c>
      <c r="K801">
        <v>0</v>
      </c>
      <c r="L801" s="1">
        <v>44317</v>
      </c>
      <c r="M801">
        <v>0</v>
      </c>
      <c r="N801" s="8" cm="1">
        <f t="array" ref="N801">_xlfn.SWITCH(Sales[[#This Row],[Subscription Type]],"Basic",10,"Premium",10,"Business",25,"Enterprise",27)</f>
        <v>10</v>
      </c>
      <c r="O801">
        <f>IF(Sales[[#This Row],[Number of Users]]-Sales[[#This Row],[Licenses Bought]]&lt;0,0,Sales[[#This Row],[Number of Users]]-Sales[[#This Row],[Licenses Bought]])</f>
        <v>8</v>
      </c>
      <c r="P801" s="8">
        <f>IF(Sales[[#This Row],[Sales Month]]=MAX(Sales[Sales Month]),Sales[[#This Row],[Non-Paying Users]]*Sales[[#This Row],[Upsell $ per Non-Paying User]],0)</f>
        <v>0</v>
      </c>
      <c r="Q801" t="str" cm="1">
        <f t="array" ref="Q801">_xlfn.IFS(Sales[[#This Row],[Current Upsell $]]=0,"",Sales[[#This Row],[Current Upsell $]]&gt;=400,"High",Sales[[#This Row],[Current Upsell $]]&gt;=100,"Medium",Sales[[#This Row],[Current Upsell $]]&lt;100,"Low")</f>
        <v/>
      </c>
      <c r="R801" t="str">
        <f>IF(Sales[[#This Row],[Current Upsell $]]&gt;0,_xlfn.CONCAT(Sales[[#This Row],[Subscription Type]]," ",Sales[[#This Row],[Upsell Priority]]," ",TEXT(Sales[[#This Row],[Current Upsell $]],"$#,#")),"")</f>
        <v/>
      </c>
    </row>
    <row r="802" spans="1:18" x14ac:dyDescent="0.25">
      <c r="A802">
        <v>100070</v>
      </c>
      <c r="B802" t="s">
        <v>3</v>
      </c>
      <c r="F802">
        <v>0</v>
      </c>
      <c r="G802">
        <v>8</v>
      </c>
      <c r="H802" s="1">
        <v>44013</v>
      </c>
      <c r="I802" s="1">
        <v>44348</v>
      </c>
      <c r="J802">
        <v>11</v>
      </c>
      <c r="K802">
        <v>0</v>
      </c>
      <c r="L802" s="1">
        <v>44348</v>
      </c>
      <c r="M802">
        <v>0</v>
      </c>
      <c r="N802" s="8" cm="1">
        <f t="array" ref="N802">_xlfn.SWITCH(Sales[[#This Row],[Subscription Type]],"Basic",10,"Premium",10,"Business",25,"Enterprise",27)</f>
        <v>10</v>
      </c>
      <c r="O802">
        <f>IF(Sales[[#This Row],[Number of Users]]-Sales[[#This Row],[Licenses Bought]]&lt;0,0,Sales[[#This Row],[Number of Users]]-Sales[[#This Row],[Licenses Bought]])</f>
        <v>8</v>
      </c>
      <c r="P802" s="8">
        <f>IF(Sales[[#This Row],[Sales Month]]=MAX(Sales[Sales Month]),Sales[[#This Row],[Non-Paying Users]]*Sales[[#This Row],[Upsell $ per Non-Paying User]],0)</f>
        <v>80</v>
      </c>
      <c r="Q802" t="str" cm="1">
        <f t="array" ref="Q802">_xlfn.IFS(Sales[[#This Row],[Current Upsell $]]=0,"",Sales[[#This Row],[Current Upsell $]]&gt;=400,"High",Sales[[#This Row],[Current Upsell $]]&gt;=100,"Medium",Sales[[#This Row],[Current Upsell $]]&lt;100,"Low")</f>
        <v>Low</v>
      </c>
      <c r="R802" t="str">
        <f>IF(Sales[[#This Row],[Current Upsell $]]&gt;0,_xlfn.CONCAT(Sales[[#This Row],[Subscription Type]]," ",Sales[[#This Row],[Upsell Priority]]," ",TEXT(Sales[[#This Row],[Current Upsell $]],"$#,#")),"")</f>
        <v>Basic Low $80</v>
      </c>
    </row>
    <row r="803" spans="1:18" x14ac:dyDescent="0.25">
      <c r="A803">
        <v>100071</v>
      </c>
      <c r="B803" t="s">
        <v>3</v>
      </c>
      <c r="F803">
        <v>0</v>
      </c>
      <c r="G803">
        <v>7</v>
      </c>
      <c r="H803" s="1">
        <v>44013</v>
      </c>
      <c r="I803" s="1">
        <v>44348</v>
      </c>
      <c r="J803">
        <v>11</v>
      </c>
      <c r="K803">
        <v>0</v>
      </c>
      <c r="L803" s="1">
        <v>44013</v>
      </c>
      <c r="M803">
        <v>0</v>
      </c>
      <c r="N803" s="8" cm="1">
        <f t="array" ref="N803">_xlfn.SWITCH(Sales[[#This Row],[Subscription Type]],"Basic",10,"Premium",10,"Business",25,"Enterprise",27)</f>
        <v>10</v>
      </c>
      <c r="O803">
        <f>IF(Sales[[#This Row],[Number of Users]]-Sales[[#This Row],[Licenses Bought]]&lt;0,0,Sales[[#This Row],[Number of Users]]-Sales[[#This Row],[Licenses Bought]])</f>
        <v>7</v>
      </c>
      <c r="P803" s="8">
        <f>IF(Sales[[#This Row],[Sales Month]]=MAX(Sales[Sales Month]),Sales[[#This Row],[Non-Paying Users]]*Sales[[#This Row],[Upsell $ per Non-Paying User]],0)</f>
        <v>0</v>
      </c>
      <c r="Q803" t="str" cm="1">
        <f t="array" ref="Q803">_xlfn.IFS(Sales[[#This Row],[Current Upsell $]]=0,"",Sales[[#This Row],[Current Upsell $]]&gt;=400,"High",Sales[[#This Row],[Current Upsell $]]&gt;=100,"Medium",Sales[[#This Row],[Current Upsell $]]&lt;100,"Low")</f>
        <v/>
      </c>
      <c r="R803" t="str">
        <f>IF(Sales[[#This Row],[Current Upsell $]]&gt;0,_xlfn.CONCAT(Sales[[#This Row],[Subscription Type]]," ",Sales[[#This Row],[Upsell Priority]]," ",TEXT(Sales[[#This Row],[Current Upsell $]],"$#,#")),"")</f>
        <v/>
      </c>
    </row>
    <row r="804" spans="1:18" x14ac:dyDescent="0.25">
      <c r="A804">
        <v>100071</v>
      </c>
      <c r="B804" t="s">
        <v>3</v>
      </c>
      <c r="F804">
        <v>0</v>
      </c>
      <c r="G804">
        <v>8</v>
      </c>
      <c r="H804" s="1">
        <v>44013</v>
      </c>
      <c r="I804" s="1">
        <v>44348</v>
      </c>
      <c r="J804">
        <v>11</v>
      </c>
      <c r="K804">
        <v>0</v>
      </c>
      <c r="L804" s="1">
        <v>44044</v>
      </c>
      <c r="M804">
        <v>0</v>
      </c>
      <c r="N804" s="8" cm="1">
        <f t="array" ref="N804">_xlfn.SWITCH(Sales[[#This Row],[Subscription Type]],"Basic",10,"Premium",10,"Business",25,"Enterprise",27)</f>
        <v>10</v>
      </c>
      <c r="O804">
        <f>IF(Sales[[#This Row],[Number of Users]]-Sales[[#This Row],[Licenses Bought]]&lt;0,0,Sales[[#This Row],[Number of Users]]-Sales[[#This Row],[Licenses Bought]])</f>
        <v>8</v>
      </c>
      <c r="P804" s="8">
        <f>IF(Sales[[#This Row],[Sales Month]]=MAX(Sales[Sales Month]),Sales[[#This Row],[Non-Paying Users]]*Sales[[#This Row],[Upsell $ per Non-Paying User]],0)</f>
        <v>0</v>
      </c>
      <c r="Q804" t="str" cm="1">
        <f t="array" ref="Q804">_xlfn.IFS(Sales[[#This Row],[Current Upsell $]]=0,"",Sales[[#This Row],[Current Upsell $]]&gt;=400,"High",Sales[[#This Row],[Current Upsell $]]&gt;=100,"Medium",Sales[[#This Row],[Current Upsell $]]&lt;100,"Low")</f>
        <v/>
      </c>
      <c r="R804" t="str">
        <f>IF(Sales[[#This Row],[Current Upsell $]]&gt;0,_xlfn.CONCAT(Sales[[#This Row],[Subscription Type]]," ",Sales[[#This Row],[Upsell Priority]]," ",TEXT(Sales[[#This Row],[Current Upsell $]],"$#,#")),"")</f>
        <v/>
      </c>
    </row>
    <row r="805" spans="1:18" x14ac:dyDescent="0.25">
      <c r="A805">
        <v>100071</v>
      </c>
      <c r="B805" t="s">
        <v>3</v>
      </c>
      <c r="F805">
        <v>0</v>
      </c>
      <c r="G805">
        <v>8</v>
      </c>
      <c r="H805" s="1">
        <v>44013</v>
      </c>
      <c r="I805" s="1">
        <v>44348</v>
      </c>
      <c r="J805">
        <v>11</v>
      </c>
      <c r="K805">
        <v>0</v>
      </c>
      <c r="L805" s="1">
        <v>44075</v>
      </c>
      <c r="M805">
        <v>0</v>
      </c>
      <c r="N805" s="8" cm="1">
        <f t="array" ref="N805">_xlfn.SWITCH(Sales[[#This Row],[Subscription Type]],"Basic",10,"Premium",10,"Business",25,"Enterprise",27)</f>
        <v>10</v>
      </c>
      <c r="O805">
        <f>IF(Sales[[#This Row],[Number of Users]]-Sales[[#This Row],[Licenses Bought]]&lt;0,0,Sales[[#This Row],[Number of Users]]-Sales[[#This Row],[Licenses Bought]])</f>
        <v>8</v>
      </c>
      <c r="P805" s="8">
        <f>IF(Sales[[#This Row],[Sales Month]]=MAX(Sales[Sales Month]),Sales[[#This Row],[Non-Paying Users]]*Sales[[#This Row],[Upsell $ per Non-Paying User]],0)</f>
        <v>0</v>
      </c>
      <c r="Q805" t="str" cm="1">
        <f t="array" ref="Q805">_xlfn.IFS(Sales[[#This Row],[Current Upsell $]]=0,"",Sales[[#This Row],[Current Upsell $]]&gt;=400,"High",Sales[[#This Row],[Current Upsell $]]&gt;=100,"Medium",Sales[[#This Row],[Current Upsell $]]&lt;100,"Low")</f>
        <v/>
      </c>
      <c r="R805" t="str">
        <f>IF(Sales[[#This Row],[Current Upsell $]]&gt;0,_xlfn.CONCAT(Sales[[#This Row],[Subscription Type]]," ",Sales[[#This Row],[Upsell Priority]]," ",TEXT(Sales[[#This Row],[Current Upsell $]],"$#,#")),"")</f>
        <v/>
      </c>
    </row>
    <row r="806" spans="1:18" x14ac:dyDescent="0.25">
      <c r="A806">
        <v>100071</v>
      </c>
      <c r="B806" t="s">
        <v>3</v>
      </c>
      <c r="F806">
        <v>0</v>
      </c>
      <c r="G806">
        <v>7</v>
      </c>
      <c r="H806" s="1">
        <v>44013</v>
      </c>
      <c r="I806" s="1">
        <v>44348</v>
      </c>
      <c r="J806">
        <v>11</v>
      </c>
      <c r="K806">
        <v>0</v>
      </c>
      <c r="L806" s="1">
        <v>44105</v>
      </c>
      <c r="M806">
        <v>0</v>
      </c>
      <c r="N806" s="8" cm="1">
        <f t="array" ref="N806">_xlfn.SWITCH(Sales[[#This Row],[Subscription Type]],"Basic",10,"Premium",10,"Business",25,"Enterprise",27)</f>
        <v>10</v>
      </c>
      <c r="O806">
        <f>IF(Sales[[#This Row],[Number of Users]]-Sales[[#This Row],[Licenses Bought]]&lt;0,0,Sales[[#This Row],[Number of Users]]-Sales[[#This Row],[Licenses Bought]])</f>
        <v>7</v>
      </c>
      <c r="P806" s="8">
        <f>IF(Sales[[#This Row],[Sales Month]]=MAX(Sales[Sales Month]),Sales[[#This Row],[Non-Paying Users]]*Sales[[#This Row],[Upsell $ per Non-Paying User]],0)</f>
        <v>0</v>
      </c>
      <c r="Q806" t="str" cm="1">
        <f t="array" ref="Q806">_xlfn.IFS(Sales[[#This Row],[Current Upsell $]]=0,"",Sales[[#This Row],[Current Upsell $]]&gt;=400,"High",Sales[[#This Row],[Current Upsell $]]&gt;=100,"Medium",Sales[[#This Row],[Current Upsell $]]&lt;100,"Low")</f>
        <v/>
      </c>
      <c r="R806" t="str">
        <f>IF(Sales[[#This Row],[Current Upsell $]]&gt;0,_xlfn.CONCAT(Sales[[#This Row],[Subscription Type]]," ",Sales[[#This Row],[Upsell Priority]]," ",TEXT(Sales[[#This Row],[Current Upsell $]],"$#,#")),"")</f>
        <v/>
      </c>
    </row>
    <row r="807" spans="1:18" x14ac:dyDescent="0.25">
      <c r="A807">
        <v>100071</v>
      </c>
      <c r="B807" t="s">
        <v>3</v>
      </c>
      <c r="F807">
        <v>0</v>
      </c>
      <c r="G807">
        <v>8</v>
      </c>
      <c r="H807" s="1">
        <v>44013</v>
      </c>
      <c r="I807" s="1">
        <v>44348</v>
      </c>
      <c r="J807">
        <v>11</v>
      </c>
      <c r="K807">
        <v>0</v>
      </c>
      <c r="L807" s="1">
        <v>44136</v>
      </c>
      <c r="M807">
        <v>0</v>
      </c>
      <c r="N807" s="8" cm="1">
        <f t="array" ref="N807">_xlfn.SWITCH(Sales[[#This Row],[Subscription Type]],"Basic",10,"Premium",10,"Business",25,"Enterprise",27)</f>
        <v>10</v>
      </c>
      <c r="O807">
        <f>IF(Sales[[#This Row],[Number of Users]]-Sales[[#This Row],[Licenses Bought]]&lt;0,0,Sales[[#This Row],[Number of Users]]-Sales[[#This Row],[Licenses Bought]])</f>
        <v>8</v>
      </c>
      <c r="P807" s="8">
        <f>IF(Sales[[#This Row],[Sales Month]]=MAX(Sales[Sales Month]),Sales[[#This Row],[Non-Paying Users]]*Sales[[#This Row],[Upsell $ per Non-Paying User]],0)</f>
        <v>0</v>
      </c>
      <c r="Q807" t="str" cm="1">
        <f t="array" ref="Q807">_xlfn.IFS(Sales[[#This Row],[Current Upsell $]]=0,"",Sales[[#This Row],[Current Upsell $]]&gt;=400,"High",Sales[[#This Row],[Current Upsell $]]&gt;=100,"Medium",Sales[[#This Row],[Current Upsell $]]&lt;100,"Low")</f>
        <v/>
      </c>
      <c r="R807" t="str">
        <f>IF(Sales[[#This Row],[Current Upsell $]]&gt;0,_xlfn.CONCAT(Sales[[#This Row],[Subscription Type]]," ",Sales[[#This Row],[Upsell Priority]]," ",TEXT(Sales[[#This Row],[Current Upsell $]],"$#,#")),"")</f>
        <v/>
      </c>
    </row>
    <row r="808" spans="1:18" x14ac:dyDescent="0.25">
      <c r="A808">
        <v>100071</v>
      </c>
      <c r="B808" t="s">
        <v>3</v>
      </c>
      <c r="F808">
        <v>0</v>
      </c>
      <c r="G808">
        <v>8</v>
      </c>
      <c r="H808" s="1">
        <v>44013</v>
      </c>
      <c r="I808" s="1">
        <v>44348</v>
      </c>
      <c r="J808">
        <v>11</v>
      </c>
      <c r="K808">
        <v>0</v>
      </c>
      <c r="L808" s="1">
        <v>44166</v>
      </c>
      <c r="M808">
        <v>0</v>
      </c>
      <c r="N808" s="8" cm="1">
        <f t="array" ref="N808">_xlfn.SWITCH(Sales[[#This Row],[Subscription Type]],"Basic",10,"Premium",10,"Business",25,"Enterprise",27)</f>
        <v>10</v>
      </c>
      <c r="O808">
        <f>IF(Sales[[#This Row],[Number of Users]]-Sales[[#This Row],[Licenses Bought]]&lt;0,0,Sales[[#This Row],[Number of Users]]-Sales[[#This Row],[Licenses Bought]])</f>
        <v>8</v>
      </c>
      <c r="P808" s="8">
        <f>IF(Sales[[#This Row],[Sales Month]]=MAX(Sales[Sales Month]),Sales[[#This Row],[Non-Paying Users]]*Sales[[#This Row],[Upsell $ per Non-Paying User]],0)</f>
        <v>0</v>
      </c>
      <c r="Q808" t="str" cm="1">
        <f t="array" ref="Q808">_xlfn.IFS(Sales[[#This Row],[Current Upsell $]]=0,"",Sales[[#This Row],[Current Upsell $]]&gt;=400,"High",Sales[[#This Row],[Current Upsell $]]&gt;=100,"Medium",Sales[[#This Row],[Current Upsell $]]&lt;100,"Low")</f>
        <v/>
      </c>
      <c r="R808" t="str">
        <f>IF(Sales[[#This Row],[Current Upsell $]]&gt;0,_xlfn.CONCAT(Sales[[#This Row],[Subscription Type]]," ",Sales[[#This Row],[Upsell Priority]]," ",TEXT(Sales[[#This Row],[Current Upsell $]],"$#,#")),"")</f>
        <v/>
      </c>
    </row>
    <row r="809" spans="1:18" x14ac:dyDescent="0.25">
      <c r="A809">
        <v>100071</v>
      </c>
      <c r="B809" t="s">
        <v>3</v>
      </c>
      <c r="F809">
        <v>0</v>
      </c>
      <c r="G809">
        <v>8</v>
      </c>
      <c r="H809" s="1">
        <v>44013</v>
      </c>
      <c r="I809" s="1">
        <v>44348</v>
      </c>
      <c r="J809">
        <v>11</v>
      </c>
      <c r="K809">
        <v>0</v>
      </c>
      <c r="L809" s="1">
        <v>44197</v>
      </c>
      <c r="M809">
        <v>0</v>
      </c>
      <c r="N809" s="8" cm="1">
        <f t="array" ref="N809">_xlfn.SWITCH(Sales[[#This Row],[Subscription Type]],"Basic",10,"Premium",10,"Business",25,"Enterprise",27)</f>
        <v>10</v>
      </c>
      <c r="O809">
        <f>IF(Sales[[#This Row],[Number of Users]]-Sales[[#This Row],[Licenses Bought]]&lt;0,0,Sales[[#This Row],[Number of Users]]-Sales[[#This Row],[Licenses Bought]])</f>
        <v>8</v>
      </c>
      <c r="P809" s="8">
        <f>IF(Sales[[#This Row],[Sales Month]]=MAX(Sales[Sales Month]),Sales[[#This Row],[Non-Paying Users]]*Sales[[#This Row],[Upsell $ per Non-Paying User]],0)</f>
        <v>0</v>
      </c>
      <c r="Q809" t="str" cm="1">
        <f t="array" ref="Q809">_xlfn.IFS(Sales[[#This Row],[Current Upsell $]]=0,"",Sales[[#This Row],[Current Upsell $]]&gt;=400,"High",Sales[[#This Row],[Current Upsell $]]&gt;=100,"Medium",Sales[[#This Row],[Current Upsell $]]&lt;100,"Low")</f>
        <v/>
      </c>
      <c r="R809" t="str">
        <f>IF(Sales[[#This Row],[Current Upsell $]]&gt;0,_xlfn.CONCAT(Sales[[#This Row],[Subscription Type]]," ",Sales[[#This Row],[Upsell Priority]]," ",TEXT(Sales[[#This Row],[Current Upsell $]],"$#,#")),"")</f>
        <v/>
      </c>
    </row>
    <row r="810" spans="1:18" x14ac:dyDescent="0.25">
      <c r="A810">
        <v>100071</v>
      </c>
      <c r="B810" t="s">
        <v>3</v>
      </c>
      <c r="F810">
        <v>0</v>
      </c>
      <c r="G810">
        <v>10</v>
      </c>
      <c r="H810" s="1">
        <v>44013</v>
      </c>
      <c r="I810" s="1">
        <v>44348</v>
      </c>
      <c r="J810">
        <v>11</v>
      </c>
      <c r="K810">
        <v>0</v>
      </c>
      <c r="L810" s="1">
        <v>44228</v>
      </c>
      <c r="M810">
        <v>0</v>
      </c>
      <c r="N810" s="8" cm="1">
        <f t="array" ref="N810">_xlfn.SWITCH(Sales[[#This Row],[Subscription Type]],"Basic",10,"Premium",10,"Business",25,"Enterprise",27)</f>
        <v>10</v>
      </c>
      <c r="O810">
        <f>IF(Sales[[#This Row],[Number of Users]]-Sales[[#This Row],[Licenses Bought]]&lt;0,0,Sales[[#This Row],[Number of Users]]-Sales[[#This Row],[Licenses Bought]])</f>
        <v>10</v>
      </c>
      <c r="P810" s="8">
        <f>IF(Sales[[#This Row],[Sales Month]]=MAX(Sales[Sales Month]),Sales[[#This Row],[Non-Paying Users]]*Sales[[#This Row],[Upsell $ per Non-Paying User]],0)</f>
        <v>0</v>
      </c>
      <c r="Q810" t="str" cm="1">
        <f t="array" ref="Q810">_xlfn.IFS(Sales[[#This Row],[Current Upsell $]]=0,"",Sales[[#This Row],[Current Upsell $]]&gt;=400,"High",Sales[[#This Row],[Current Upsell $]]&gt;=100,"Medium",Sales[[#This Row],[Current Upsell $]]&lt;100,"Low")</f>
        <v/>
      </c>
      <c r="R810" t="str">
        <f>IF(Sales[[#This Row],[Current Upsell $]]&gt;0,_xlfn.CONCAT(Sales[[#This Row],[Subscription Type]]," ",Sales[[#This Row],[Upsell Priority]]," ",TEXT(Sales[[#This Row],[Current Upsell $]],"$#,#")),"")</f>
        <v/>
      </c>
    </row>
    <row r="811" spans="1:18" x14ac:dyDescent="0.25">
      <c r="A811">
        <v>100071</v>
      </c>
      <c r="B811" t="s">
        <v>3</v>
      </c>
      <c r="F811">
        <v>0</v>
      </c>
      <c r="G811">
        <v>7</v>
      </c>
      <c r="H811" s="1">
        <v>44013</v>
      </c>
      <c r="I811" s="1">
        <v>44348</v>
      </c>
      <c r="J811">
        <v>11</v>
      </c>
      <c r="K811">
        <v>0</v>
      </c>
      <c r="L811" s="1">
        <v>44256</v>
      </c>
      <c r="M811">
        <v>0</v>
      </c>
      <c r="N811" s="8" cm="1">
        <f t="array" ref="N811">_xlfn.SWITCH(Sales[[#This Row],[Subscription Type]],"Basic",10,"Premium",10,"Business",25,"Enterprise",27)</f>
        <v>10</v>
      </c>
      <c r="O811">
        <f>IF(Sales[[#This Row],[Number of Users]]-Sales[[#This Row],[Licenses Bought]]&lt;0,0,Sales[[#This Row],[Number of Users]]-Sales[[#This Row],[Licenses Bought]])</f>
        <v>7</v>
      </c>
      <c r="P811" s="8">
        <f>IF(Sales[[#This Row],[Sales Month]]=MAX(Sales[Sales Month]),Sales[[#This Row],[Non-Paying Users]]*Sales[[#This Row],[Upsell $ per Non-Paying User]],0)</f>
        <v>0</v>
      </c>
      <c r="Q811" t="str" cm="1">
        <f t="array" ref="Q811">_xlfn.IFS(Sales[[#This Row],[Current Upsell $]]=0,"",Sales[[#This Row],[Current Upsell $]]&gt;=400,"High",Sales[[#This Row],[Current Upsell $]]&gt;=100,"Medium",Sales[[#This Row],[Current Upsell $]]&lt;100,"Low")</f>
        <v/>
      </c>
      <c r="R811" t="str">
        <f>IF(Sales[[#This Row],[Current Upsell $]]&gt;0,_xlfn.CONCAT(Sales[[#This Row],[Subscription Type]]," ",Sales[[#This Row],[Upsell Priority]]," ",TEXT(Sales[[#This Row],[Current Upsell $]],"$#,#")),"")</f>
        <v/>
      </c>
    </row>
    <row r="812" spans="1:18" x14ac:dyDescent="0.25">
      <c r="A812">
        <v>100071</v>
      </c>
      <c r="B812" t="s">
        <v>3</v>
      </c>
      <c r="F812">
        <v>0</v>
      </c>
      <c r="G812">
        <v>7</v>
      </c>
      <c r="H812" s="1">
        <v>44013</v>
      </c>
      <c r="I812" s="1">
        <v>44348</v>
      </c>
      <c r="J812">
        <v>11</v>
      </c>
      <c r="K812">
        <v>0</v>
      </c>
      <c r="L812" s="1">
        <v>44287</v>
      </c>
      <c r="M812">
        <v>0</v>
      </c>
      <c r="N812" s="8" cm="1">
        <f t="array" ref="N812">_xlfn.SWITCH(Sales[[#This Row],[Subscription Type]],"Basic",10,"Premium",10,"Business",25,"Enterprise",27)</f>
        <v>10</v>
      </c>
      <c r="O812">
        <f>IF(Sales[[#This Row],[Number of Users]]-Sales[[#This Row],[Licenses Bought]]&lt;0,0,Sales[[#This Row],[Number of Users]]-Sales[[#This Row],[Licenses Bought]])</f>
        <v>7</v>
      </c>
      <c r="P812" s="8">
        <f>IF(Sales[[#This Row],[Sales Month]]=MAX(Sales[Sales Month]),Sales[[#This Row],[Non-Paying Users]]*Sales[[#This Row],[Upsell $ per Non-Paying User]],0)</f>
        <v>0</v>
      </c>
      <c r="Q812" t="str" cm="1">
        <f t="array" ref="Q812">_xlfn.IFS(Sales[[#This Row],[Current Upsell $]]=0,"",Sales[[#This Row],[Current Upsell $]]&gt;=400,"High",Sales[[#This Row],[Current Upsell $]]&gt;=100,"Medium",Sales[[#This Row],[Current Upsell $]]&lt;100,"Low")</f>
        <v/>
      </c>
      <c r="R812" t="str">
        <f>IF(Sales[[#This Row],[Current Upsell $]]&gt;0,_xlfn.CONCAT(Sales[[#This Row],[Subscription Type]]," ",Sales[[#This Row],[Upsell Priority]]," ",TEXT(Sales[[#This Row],[Current Upsell $]],"$#,#")),"")</f>
        <v/>
      </c>
    </row>
    <row r="813" spans="1:18" x14ac:dyDescent="0.25">
      <c r="A813">
        <v>100071</v>
      </c>
      <c r="B813" t="s">
        <v>3</v>
      </c>
      <c r="F813">
        <v>0</v>
      </c>
      <c r="G813">
        <v>8</v>
      </c>
      <c r="H813" s="1">
        <v>44013</v>
      </c>
      <c r="I813" s="1">
        <v>44348</v>
      </c>
      <c r="J813">
        <v>11</v>
      </c>
      <c r="K813">
        <v>0</v>
      </c>
      <c r="L813" s="1">
        <v>44317</v>
      </c>
      <c r="M813">
        <v>0</v>
      </c>
      <c r="N813" s="8" cm="1">
        <f t="array" ref="N813">_xlfn.SWITCH(Sales[[#This Row],[Subscription Type]],"Basic",10,"Premium",10,"Business",25,"Enterprise",27)</f>
        <v>10</v>
      </c>
      <c r="O813">
        <f>IF(Sales[[#This Row],[Number of Users]]-Sales[[#This Row],[Licenses Bought]]&lt;0,0,Sales[[#This Row],[Number of Users]]-Sales[[#This Row],[Licenses Bought]])</f>
        <v>8</v>
      </c>
      <c r="P813" s="8">
        <f>IF(Sales[[#This Row],[Sales Month]]=MAX(Sales[Sales Month]),Sales[[#This Row],[Non-Paying Users]]*Sales[[#This Row],[Upsell $ per Non-Paying User]],0)</f>
        <v>0</v>
      </c>
      <c r="Q813" t="str" cm="1">
        <f t="array" ref="Q813">_xlfn.IFS(Sales[[#This Row],[Current Upsell $]]=0,"",Sales[[#This Row],[Current Upsell $]]&gt;=400,"High",Sales[[#This Row],[Current Upsell $]]&gt;=100,"Medium",Sales[[#This Row],[Current Upsell $]]&lt;100,"Low")</f>
        <v/>
      </c>
      <c r="R813" t="str">
        <f>IF(Sales[[#This Row],[Current Upsell $]]&gt;0,_xlfn.CONCAT(Sales[[#This Row],[Subscription Type]]," ",Sales[[#This Row],[Upsell Priority]]," ",TEXT(Sales[[#This Row],[Current Upsell $]],"$#,#")),"")</f>
        <v/>
      </c>
    </row>
    <row r="814" spans="1:18" x14ac:dyDescent="0.25">
      <c r="A814">
        <v>100071</v>
      </c>
      <c r="B814" t="s">
        <v>3</v>
      </c>
      <c r="F814">
        <v>0</v>
      </c>
      <c r="G814">
        <v>9</v>
      </c>
      <c r="H814" s="1">
        <v>44013</v>
      </c>
      <c r="I814" s="1">
        <v>44348</v>
      </c>
      <c r="J814">
        <v>11</v>
      </c>
      <c r="K814">
        <v>0</v>
      </c>
      <c r="L814" s="1">
        <v>44348</v>
      </c>
      <c r="M814">
        <v>0</v>
      </c>
      <c r="N814" s="8" cm="1">
        <f t="array" ref="N814">_xlfn.SWITCH(Sales[[#This Row],[Subscription Type]],"Basic",10,"Premium",10,"Business",25,"Enterprise",27)</f>
        <v>10</v>
      </c>
      <c r="O814">
        <f>IF(Sales[[#This Row],[Number of Users]]-Sales[[#This Row],[Licenses Bought]]&lt;0,0,Sales[[#This Row],[Number of Users]]-Sales[[#This Row],[Licenses Bought]])</f>
        <v>9</v>
      </c>
      <c r="P814" s="8">
        <f>IF(Sales[[#This Row],[Sales Month]]=MAX(Sales[Sales Month]),Sales[[#This Row],[Non-Paying Users]]*Sales[[#This Row],[Upsell $ per Non-Paying User]],0)</f>
        <v>90</v>
      </c>
      <c r="Q814" t="str" cm="1">
        <f t="array" ref="Q814">_xlfn.IFS(Sales[[#This Row],[Current Upsell $]]=0,"",Sales[[#This Row],[Current Upsell $]]&gt;=400,"High",Sales[[#This Row],[Current Upsell $]]&gt;=100,"Medium",Sales[[#This Row],[Current Upsell $]]&lt;100,"Low")</f>
        <v>Low</v>
      </c>
      <c r="R814" t="str">
        <f>IF(Sales[[#This Row],[Current Upsell $]]&gt;0,_xlfn.CONCAT(Sales[[#This Row],[Subscription Type]]," ",Sales[[#This Row],[Upsell Priority]]," ",TEXT(Sales[[#This Row],[Current Upsell $]],"$#,#")),"")</f>
        <v>Basic Low $90</v>
      </c>
    </row>
    <row r="815" spans="1:18" x14ac:dyDescent="0.25">
      <c r="A815">
        <v>100072</v>
      </c>
      <c r="B815" t="s">
        <v>3</v>
      </c>
      <c r="F815">
        <v>0</v>
      </c>
      <c r="G815">
        <v>3</v>
      </c>
      <c r="H815" s="1">
        <v>44013</v>
      </c>
      <c r="I815" s="1">
        <v>44256</v>
      </c>
      <c r="J815">
        <v>8</v>
      </c>
      <c r="K815">
        <v>3</v>
      </c>
      <c r="L815" s="1">
        <v>44013</v>
      </c>
      <c r="M815">
        <v>0</v>
      </c>
      <c r="N815" s="8" cm="1">
        <f t="array" ref="N815">_xlfn.SWITCH(Sales[[#This Row],[Subscription Type]],"Basic",10,"Premium",10,"Business",25,"Enterprise",27)</f>
        <v>10</v>
      </c>
      <c r="O815">
        <f>IF(Sales[[#This Row],[Number of Users]]-Sales[[#This Row],[Licenses Bought]]&lt;0,0,Sales[[#This Row],[Number of Users]]-Sales[[#This Row],[Licenses Bought]])</f>
        <v>3</v>
      </c>
      <c r="P815" s="8">
        <f>IF(Sales[[#This Row],[Sales Month]]=MAX(Sales[Sales Month]),Sales[[#This Row],[Non-Paying Users]]*Sales[[#This Row],[Upsell $ per Non-Paying User]],0)</f>
        <v>0</v>
      </c>
      <c r="Q815" t="str" cm="1">
        <f t="array" ref="Q815">_xlfn.IFS(Sales[[#This Row],[Current Upsell $]]=0,"",Sales[[#This Row],[Current Upsell $]]&gt;=400,"High",Sales[[#This Row],[Current Upsell $]]&gt;=100,"Medium",Sales[[#This Row],[Current Upsell $]]&lt;100,"Low")</f>
        <v/>
      </c>
      <c r="R815" t="str">
        <f>IF(Sales[[#This Row],[Current Upsell $]]&gt;0,_xlfn.CONCAT(Sales[[#This Row],[Subscription Type]]," ",Sales[[#This Row],[Upsell Priority]]," ",TEXT(Sales[[#This Row],[Current Upsell $]],"$#,#")),"")</f>
        <v/>
      </c>
    </row>
    <row r="816" spans="1:18" x14ac:dyDescent="0.25">
      <c r="A816">
        <v>100072</v>
      </c>
      <c r="B816" t="s">
        <v>3</v>
      </c>
      <c r="F816">
        <v>0</v>
      </c>
      <c r="G816">
        <v>3</v>
      </c>
      <c r="H816" s="1">
        <v>44013</v>
      </c>
      <c r="I816" s="1">
        <v>44256</v>
      </c>
      <c r="J816">
        <v>8</v>
      </c>
      <c r="K816">
        <v>3</v>
      </c>
      <c r="L816" s="1">
        <v>44044</v>
      </c>
      <c r="M816">
        <v>0</v>
      </c>
      <c r="N816" s="8" cm="1">
        <f t="array" ref="N816">_xlfn.SWITCH(Sales[[#This Row],[Subscription Type]],"Basic",10,"Premium",10,"Business",25,"Enterprise",27)</f>
        <v>10</v>
      </c>
      <c r="O816">
        <f>IF(Sales[[#This Row],[Number of Users]]-Sales[[#This Row],[Licenses Bought]]&lt;0,0,Sales[[#This Row],[Number of Users]]-Sales[[#This Row],[Licenses Bought]])</f>
        <v>3</v>
      </c>
      <c r="P816" s="8">
        <f>IF(Sales[[#This Row],[Sales Month]]=MAX(Sales[Sales Month]),Sales[[#This Row],[Non-Paying Users]]*Sales[[#This Row],[Upsell $ per Non-Paying User]],0)</f>
        <v>0</v>
      </c>
      <c r="Q816" t="str" cm="1">
        <f t="array" ref="Q816">_xlfn.IFS(Sales[[#This Row],[Current Upsell $]]=0,"",Sales[[#This Row],[Current Upsell $]]&gt;=400,"High",Sales[[#This Row],[Current Upsell $]]&gt;=100,"Medium",Sales[[#This Row],[Current Upsell $]]&lt;100,"Low")</f>
        <v/>
      </c>
      <c r="R816" t="str">
        <f>IF(Sales[[#This Row],[Current Upsell $]]&gt;0,_xlfn.CONCAT(Sales[[#This Row],[Subscription Type]]," ",Sales[[#This Row],[Upsell Priority]]," ",TEXT(Sales[[#This Row],[Current Upsell $]],"$#,#")),"")</f>
        <v/>
      </c>
    </row>
    <row r="817" spans="1:18" x14ac:dyDescent="0.25">
      <c r="A817">
        <v>100072</v>
      </c>
      <c r="B817" t="s">
        <v>3</v>
      </c>
      <c r="F817">
        <v>0</v>
      </c>
      <c r="G817">
        <v>3</v>
      </c>
      <c r="H817" s="1">
        <v>44013</v>
      </c>
      <c r="I817" s="1">
        <v>44256</v>
      </c>
      <c r="J817">
        <v>8</v>
      </c>
      <c r="K817">
        <v>3</v>
      </c>
      <c r="L817" s="1">
        <v>44075</v>
      </c>
      <c r="M817">
        <v>0</v>
      </c>
      <c r="N817" s="8" cm="1">
        <f t="array" ref="N817">_xlfn.SWITCH(Sales[[#This Row],[Subscription Type]],"Basic",10,"Premium",10,"Business",25,"Enterprise",27)</f>
        <v>10</v>
      </c>
      <c r="O817">
        <f>IF(Sales[[#This Row],[Number of Users]]-Sales[[#This Row],[Licenses Bought]]&lt;0,0,Sales[[#This Row],[Number of Users]]-Sales[[#This Row],[Licenses Bought]])</f>
        <v>3</v>
      </c>
      <c r="P817" s="8">
        <f>IF(Sales[[#This Row],[Sales Month]]=MAX(Sales[Sales Month]),Sales[[#This Row],[Non-Paying Users]]*Sales[[#This Row],[Upsell $ per Non-Paying User]],0)</f>
        <v>0</v>
      </c>
      <c r="Q817" t="str" cm="1">
        <f t="array" ref="Q817">_xlfn.IFS(Sales[[#This Row],[Current Upsell $]]=0,"",Sales[[#This Row],[Current Upsell $]]&gt;=400,"High",Sales[[#This Row],[Current Upsell $]]&gt;=100,"Medium",Sales[[#This Row],[Current Upsell $]]&lt;100,"Low")</f>
        <v/>
      </c>
      <c r="R817" t="str">
        <f>IF(Sales[[#This Row],[Current Upsell $]]&gt;0,_xlfn.CONCAT(Sales[[#This Row],[Subscription Type]]," ",Sales[[#This Row],[Upsell Priority]]," ",TEXT(Sales[[#This Row],[Current Upsell $]],"$#,#")),"")</f>
        <v/>
      </c>
    </row>
    <row r="818" spans="1:18" x14ac:dyDescent="0.25">
      <c r="A818">
        <v>100072</v>
      </c>
      <c r="B818" t="s">
        <v>3</v>
      </c>
      <c r="F818">
        <v>0</v>
      </c>
      <c r="G818">
        <v>3</v>
      </c>
      <c r="H818" s="1">
        <v>44013</v>
      </c>
      <c r="I818" s="1">
        <v>44256</v>
      </c>
      <c r="J818">
        <v>8</v>
      </c>
      <c r="K818">
        <v>3</v>
      </c>
      <c r="L818" s="1">
        <v>44105</v>
      </c>
      <c r="M818">
        <v>0</v>
      </c>
      <c r="N818" s="8" cm="1">
        <f t="array" ref="N818">_xlfn.SWITCH(Sales[[#This Row],[Subscription Type]],"Basic",10,"Premium",10,"Business",25,"Enterprise",27)</f>
        <v>10</v>
      </c>
      <c r="O818">
        <f>IF(Sales[[#This Row],[Number of Users]]-Sales[[#This Row],[Licenses Bought]]&lt;0,0,Sales[[#This Row],[Number of Users]]-Sales[[#This Row],[Licenses Bought]])</f>
        <v>3</v>
      </c>
      <c r="P818" s="8">
        <f>IF(Sales[[#This Row],[Sales Month]]=MAX(Sales[Sales Month]),Sales[[#This Row],[Non-Paying Users]]*Sales[[#This Row],[Upsell $ per Non-Paying User]],0)</f>
        <v>0</v>
      </c>
      <c r="Q818" t="str" cm="1">
        <f t="array" ref="Q818">_xlfn.IFS(Sales[[#This Row],[Current Upsell $]]=0,"",Sales[[#This Row],[Current Upsell $]]&gt;=400,"High",Sales[[#This Row],[Current Upsell $]]&gt;=100,"Medium",Sales[[#This Row],[Current Upsell $]]&lt;100,"Low")</f>
        <v/>
      </c>
      <c r="R818" t="str">
        <f>IF(Sales[[#This Row],[Current Upsell $]]&gt;0,_xlfn.CONCAT(Sales[[#This Row],[Subscription Type]]," ",Sales[[#This Row],[Upsell Priority]]," ",TEXT(Sales[[#This Row],[Current Upsell $]],"$#,#")),"")</f>
        <v/>
      </c>
    </row>
    <row r="819" spans="1:18" x14ac:dyDescent="0.25">
      <c r="A819">
        <v>100072</v>
      </c>
      <c r="B819" t="s">
        <v>3</v>
      </c>
      <c r="F819">
        <v>0</v>
      </c>
      <c r="G819">
        <v>3</v>
      </c>
      <c r="H819" s="1">
        <v>44013</v>
      </c>
      <c r="I819" s="1">
        <v>44256</v>
      </c>
      <c r="J819">
        <v>8</v>
      </c>
      <c r="K819">
        <v>3</v>
      </c>
      <c r="L819" s="1">
        <v>44136</v>
      </c>
      <c r="M819">
        <v>0</v>
      </c>
      <c r="N819" s="8" cm="1">
        <f t="array" ref="N819">_xlfn.SWITCH(Sales[[#This Row],[Subscription Type]],"Basic",10,"Premium",10,"Business",25,"Enterprise",27)</f>
        <v>10</v>
      </c>
      <c r="O819">
        <f>IF(Sales[[#This Row],[Number of Users]]-Sales[[#This Row],[Licenses Bought]]&lt;0,0,Sales[[#This Row],[Number of Users]]-Sales[[#This Row],[Licenses Bought]])</f>
        <v>3</v>
      </c>
      <c r="P819" s="8">
        <f>IF(Sales[[#This Row],[Sales Month]]=MAX(Sales[Sales Month]),Sales[[#This Row],[Non-Paying Users]]*Sales[[#This Row],[Upsell $ per Non-Paying User]],0)</f>
        <v>0</v>
      </c>
      <c r="Q819" t="str" cm="1">
        <f t="array" ref="Q819">_xlfn.IFS(Sales[[#This Row],[Current Upsell $]]=0,"",Sales[[#This Row],[Current Upsell $]]&gt;=400,"High",Sales[[#This Row],[Current Upsell $]]&gt;=100,"Medium",Sales[[#This Row],[Current Upsell $]]&lt;100,"Low")</f>
        <v/>
      </c>
      <c r="R819" t="str">
        <f>IF(Sales[[#This Row],[Current Upsell $]]&gt;0,_xlfn.CONCAT(Sales[[#This Row],[Subscription Type]]," ",Sales[[#This Row],[Upsell Priority]]," ",TEXT(Sales[[#This Row],[Current Upsell $]],"$#,#")),"")</f>
        <v/>
      </c>
    </row>
    <row r="820" spans="1:18" x14ac:dyDescent="0.25">
      <c r="A820">
        <v>100072</v>
      </c>
      <c r="B820" t="s">
        <v>3</v>
      </c>
      <c r="F820">
        <v>0</v>
      </c>
      <c r="G820">
        <v>3</v>
      </c>
      <c r="H820" s="1">
        <v>44013</v>
      </c>
      <c r="I820" s="1">
        <v>44256</v>
      </c>
      <c r="J820">
        <v>8</v>
      </c>
      <c r="K820">
        <v>3</v>
      </c>
      <c r="L820" s="1">
        <v>44166</v>
      </c>
      <c r="M820">
        <v>0</v>
      </c>
      <c r="N820" s="8" cm="1">
        <f t="array" ref="N820">_xlfn.SWITCH(Sales[[#This Row],[Subscription Type]],"Basic",10,"Premium",10,"Business",25,"Enterprise",27)</f>
        <v>10</v>
      </c>
      <c r="O820">
        <f>IF(Sales[[#This Row],[Number of Users]]-Sales[[#This Row],[Licenses Bought]]&lt;0,0,Sales[[#This Row],[Number of Users]]-Sales[[#This Row],[Licenses Bought]])</f>
        <v>3</v>
      </c>
      <c r="P820" s="8">
        <f>IF(Sales[[#This Row],[Sales Month]]=MAX(Sales[Sales Month]),Sales[[#This Row],[Non-Paying Users]]*Sales[[#This Row],[Upsell $ per Non-Paying User]],0)</f>
        <v>0</v>
      </c>
      <c r="Q820" t="str" cm="1">
        <f t="array" ref="Q820">_xlfn.IFS(Sales[[#This Row],[Current Upsell $]]=0,"",Sales[[#This Row],[Current Upsell $]]&gt;=400,"High",Sales[[#This Row],[Current Upsell $]]&gt;=100,"Medium",Sales[[#This Row],[Current Upsell $]]&lt;100,"Low")</f>
        <v/>
      </c>
      <c r="R820" t="str">
        <f>IF(Sales[[#This Row],[Current Upsell $]]&gt;0,_xlfn.CONCAT(Sales[[#This Row],[Subscription Type]]," ",Sales[[#This Row],[Upsell Priority]]," ",TEXT(Sales[[#This Row],[Current Upsell $]],"$#,#")),"")</f>
        <v/>
      </c>
    </row>
    <row r="821" spans="1:18" x14ac:dyDescent="0.25">
      <c r="A821">
        <v>100072</v>
      </c>
      <c r="B821" t="s">
        <v>3</v>
      </c>
      <c r="F821">
        <v>0</v>
      </c>
      <c r="G821">
        <v>3</v>
      </c>
      <c r="H821" s="1">
        <v>44013</v>
      </c>
      <c r="I821" s="1">
        <v>44256</v>
      </c>
      <c r="J821">
        <v>8</v>
      </c>
      <c r="K821">
        <v>3</v>
      </c>
      <c r="L821" s="1">
        <v>44197</v>
      </c>
      <c r="M821">
        <v>0</v>
      </c>
      <c r="N821" s="8" cm="1">
        <f t="array" ref="N821">_xlfn.SWITCH(Sales[[#This Row],[Subscription Type]],"Basic",10,"Premium",10,"Business",25,"Enterprise",27)</f>
        <v>10</v>
      </c>
      <c r="O821">
        <f>IF(Sales[[#This Row],[Number of Users]]-Sales[[#This Row],[Licenses Bought]]&lt;0,0,Sales[[#This Row],[Number of Users]]-Sales[[#This Row],[Licenses Bought]])</f>
        <v>3</v>
      </c>
      <c r="P821" s="8">
        <f>IF(Sales[[#This Row],[Sales Month]]=MAX(Sales[Sales Month]),Sales[[#This Row],[Non-Paying Users]]*Sales[[#This Row],[Upsell $ per Non-Paying User]],0)</f>
        <v>0</v>
      </c>
      <c r="Q821" t="str" cm="1">
        <f t="array" ref="Q821">_xlfn.IFS(Sales[[#This Row],[Current Upsell $]]=0,"",Sales[[#This Row],[Current Upsell $]]&gt;=400,"High",Sales[[#This Row],[Current Upsell $]]&gt;=100,"Medium",Sales[[#This Row],[Current Upsell $]]&lt;100,"Low")</f>
        <v/>
      </c>
      <c r="R821" t="str">
        <f>IF(Sales[[#This Row],[Current Upsell $]]&gt;0,_xlfn.CONCAT(Sales[[#This Row],[Subscription Type]]," ",Sales[[#This Row],[Upsell Priority]]," ",TEXT(Sales[[#This Row],[Current Upsell $]],"$#,#")),"")</f>
        <v/>
      </c>
    </row>
    <row r="822" spans="1:18" x14ac:dyDescent="0.25">
      <c r="A822">
        <v>100072</v>
      </c>
      <c r="B822" t="s">
        <v>3</v>
      </c>
      <c r="F822">
        <v>0</v>
      </c>
      <c r="G822">
        <v>3</v>
      </c>
      <c r="H822" s="1">
        <v>44013</v>
      </c>
      <c r="I822" s="1">
        <v>44256</v>
      </c>
      <c r="J822">
        <v>8</v>
      </c>
      <c r="K822">
        <v>3</v>
      </c>
      <c r="L822" s="1">
        <v>44228</v>
      </c>
      <c r="M822">
        <v>0</v>
      </c>
      <c r="N822" s="8" cm="1">
        <f t="array" ref="N822">_xlfn.SWITCH(Sales[[#This Row],[Subscription Type]],"Basic",10,"Premium",10,"Business",25,"Enterprise",27)</f>
        <v>10</v>
      </c>
      <c r="O822">
        <f>IF(Sales[[#This Row],[Number of Users]]-Sales[[#This Row],[Licenses Bought]]&lt;0,0,Sales[[#This Row],[Number of Users]]-Sales[[#This Row],[Licenses Bought]])</f>
        <v>3</v>
      </c>
      <c r="P822" s="8">
        <f>IF(Sales[[#This Row],[Sales Month]]=MAX(Sales[Sales Month]),Sales[[#This Row],[Non-Paying Users]]*Sales[[#This Row],[Upsell $ per Non-Paying User]],0)</f>
        <v>0</v>
      </c>
      <c r="Q822" t="str" cm="1">
        <f t="array" ref="Q822">_xlfn.IFS(Sales[[#This Row],[Current Upsell $]]=0,"",Sales[[#This Row],[Current Upsell $]]&gt;=400,"High",Sales[[#This Row],[Current Upsell $]]&gt;=100,"Medium",Sales[[#This Row],[Current Upsell $]]&lt;100,"Low")</f>
        <v/>
      </c>
      <c r="R822" t="str">
        <f>IF(Sales[[#This Row],[Current Upsell $]]&gt;0,_xlfn.CONCAT(Sales[[#This Row],[Subscription Type]]," ",Sales[[#This Row],[Upsell Priority]]," ",TEXT(Sales[[#This Row],[Current Upsell $]],"$#,#")),"")</f>
        <v/>
      </c>
    </row>
    <row r="823" spans="1:18" x14ac:dyDescent="0.25">
      <c r="A823">
        <v>100072</v>
      </c>
      <c r="B823" t="s">
        <v>3</v>
      </c>
      <c r="F823">
        <v>0</v>
      </c>
      <c r="G823">
        <v>3</v>
      </c>
      <c r="H823" s="1">
        <v>44013</v>
      </c>
      <c r="I823" s="1">
        <v>44256</v>
      </c>
      <c r="J823">
        <v>8</v>
      </c>
      <c r="K823">
        <v>3</v>
      </c>
      <c r="L823" s="1">
        <v>44256</v>
      </c>
      <c r="M823">
        <v>0</v>
      </c>
      <c r="N823" s="8" cm="1">
        <f t="array" ref="N823">_xlfn.SWITCH(Sales[[#This Row],[Subscription Type]],"Basic",10,"Premium",10,"Business",25,"Enterprise",27)</f>
        <v>10</v>
      </c>
      <c r="O823">
        <f>IF(Sales[[#This Row],[Number of Users]]-Sales[[#This Row],[Licenses Bought]]&lt;0,0,Sales[[#This Row],[Number of Users]]-Sales[[#This Row],[Licenses Bought]])</f>
        <v>3</v>
      </c>
      <c r="P823" s="8">
        <f>IF(Sales[[#This Row],[Sales Month]]=MAX(Sales[Sales Month]),Sales[[#This Row],[Non-Paying Users]]*Sales[[#This Row],[Upsell $ per Non-Paying User]],0)</f>
        <v>0</v>
      </c>
      <c r="Q823" t="str" cm="1">
        <f t="array" ref="Q823">_xlfn.IFS(Sales[[#This Row],[Current Upsell $]]=0,"",Sales[[#This Row],[Current Upsell $]]&gt;=400,"High",Sales[[#This Row],[Current Upsell $]]&gt;=100,"Medium",Sales[[#This Row],[Current Upsell $]]&lt;100,"Low")</f>
        <v/>
      </c>
      <c r="R823" t="str">
        <f>IF(Sales[[#This Row],[Current Upsell $]]&gt;0,_xlfn.CONCAT(Sales[[#This Row],[Subscription Type]]," ",Sales[[#This Row],[Upsell Priority]]," ",TEXT(Sales[[#This Row],[Current Upsell $]],"$#,#")),"")</f>
        <v/>
      </c>
    </row>
    <row r="824" spans="1:18" x14ac:dyDescent="0.25">
      <c r="A824">
        <v>100073</v>
      </c>
      <c r="B824" t="s">
        <v>3</v>
      </c>
      <c r="F824">
        <v>0</v>
      </c>
      <c r="G824">
        <v>3</v>
      </c>
      <c r="H824" s="1">
        <v>44013</v>
      </c>
      <c r="I824" s="1">
        <v>44378</v>
      </c>
      <c r="J824">
        <v>12</v>
      </c>
      <c r="K824">
        <v>0</v>
      </c>
      <c r="L824" s="1">
        <v>44013</v>
      </c>
      <c r="M824">
        <v>0</v>
      </c>
      <c r="N824" s="8" cm="1">
        <f t="array" ref="N824">_xlfn.SWITCH(Sales[[#This Row],[Subscription Type]],"Basic",10,"Premium",10,"Business",25,"Enterprise",27)</f>
        <v>10</v>
      </c>
      <c r="O824">
        <f>IF(Sales[[#This Row],[Number of Users]]-Sales[[#This Row],[Licenses Bought]]&lt;0,0,Sales[[#This Row],[Number of Users]]-Sales[[#This Row],[Licenses Bought]])</f>
        <v>3</v>
      </c>
      <c r="P824" s="8">
        <f>IF(Sales[[#This Row],[Sales Month]]=MAX(Sales[Sales Month]),Sales[[#This Row],[Non-Paying Users]]*Sales[[#This Row],[Upsell $ per Non-Paying User]],0)</f>
        <v>0</v>
      </c>
      <c r="Q824" t="str" cm="1">
        <f t="array" ref="Q824">_xlfn.IFS(Sales[[#This Row],[Current Upsell $]]=0,"",Sales[[#This Row],[Current Upsell $]]&gt;=400,"High",Sales[[#This Row],[Current Upsell $]]&gt;=100,"Medium",Sales[[#This Row],[Current Upsell $]]&lt;100,"Low")</f>
        <v/>
      </c>
      <c r="R824" t="str">
        <f>IF(Sales[[#This Row],[Current Upsell $]]&gt;0,_xlfn.CONCAT(Sales[[#This Row],[Subscription Type]]," ",Sales[[#This Row],[Upsell Priority]]," ",TEXT(Sales[[#This Row],[Current Upsell $]],"$#,#")),"")</f>
        <v/>
      </c>
    </row>
    <row r="825" spans="1:18" x14ac:dyDescent="0.25">
      <c r="A825">
        <v>100073</v>
      </c>
      <c r="B825" t="s">
        <v>3</v>
      </c>
      <c r="F825">
        <v>0</v>
      </c>
      <c r="G825">
        <v>3</v>
      </c>
      <c r="H825" s="1">
        <v>44013</v>
      </c>
      <c r="I825" s="1">
        <v>44378</v>
      </c>
      <c r="J825">
        <v>12</v>
      </c>
      <c r="K825">
        <v>0</v>
      </c>
      <c r="L825" s="1">
        <v>44044</v>
      </c>
      <c r="M825">
        <v>0</v>
      </c>
      <c r="N825" s="8" cm="1">
        <f t="array" ref="N825">_xlfn.SWITCH(Sales[[#This Row],[Subscription Type]],"Basic",10,"Premium",10,"Business",25,"Enterprise",27)</f>
        <v>10</v>
      </c>
      <c r="O825">
        <f>IF(Sales[[#This Row],[Number of Users]]-Sales[[#This Row],[Licenses Bought]]&lt;0,0,Sales[[#This Row],[Number of Users]]-Sales[[#This Row],[Licenses Bought]])</f>
        <v>3</v>
      </c>
      <c r="P825" s="8">
        <f>IF(Sales[[#This Row],[Sales Month]]=MAX(Sales[Sales Month]),Sales[[#This Row],[Non-Paying Users]]*Sales[[#This Row],[Upsell $ per Non-Paying User]],0)</f>
        <v>0</v>
      </c>
      <c r="Q825" t="str" cm="1">
        <f t="array" ref="Q825">_xlfn.IFS(Sales[[#This Row],[Current Upsell $]]=0,"",Sales[[#This Row],[Current Upsell $]]&gt;=400,"High",Sales[[#This Row],[Current Upsell $]]&gt;=100,"Medium",Sales[[#This Row],[Current Upsell $]]&lt;100,"Low")</f>
        <v/>
      </c>
      <c r="R825" t="str">
        <f>IF(Sales[[#This Row],[Current Upsell $]]&gt;0,_xlfn.CONCAT(Sales[[#This Row],[Subscription Type]]," ",Sales[[#This Row],[Upsell Priority]]," ",TEXT(Sales[[#This Row],[Current Upsell $]],"$#,#")),"")</f>
        <v/>
      </c>
    </row>
    <row r="826" spans="1:18" x14ac:dyDescent="0.25">
      <c r="A826">
        <v>100073</v>
      </c>
      <c r="B826" t="s">
        <v>3</v>
      </c>
      <c r="F826">
        <v>0</v>
      </c>
      <c r="G826">
        <v>3</v>
      </c>
      <c r="H826" s="1">
        <v>44013</v>
      </c>
      <c r="I826" s="1">
        <v>44378</v>
      </c>
      <c r="J826">
        <v>12</v>
      </c>
      <c r="K826">
        <v>0</v>
      </c>
      <c r="L826" s="1">
        <v>44075</v>
      </c>
      <c r="M826">
        <v>0</v>
      </c>
      <c r="N826" s="8" cm="1">
        <f t="array" ref="N826">_xlfn.SWITCH(Sales[[#This Row],[Subscription Type]],"Basic",10,"Premium",10,"Business",25,"Enterprise",27)</f>
        <v>10</v>
      </c>
      <c r="O826">
        <f>IF(Sales[[#This Row],[Number of Users]]-Sales[[#This Row],[Licenses Bought]]&lt;0,0,Sales[[#This Row],[Number of Users]]-Sales[[#This Row],[Licenses Bought]])</f>
        <v>3</v>
      </c>
      <c r="P826" s="8">
        <f>IF(Sales[[#This Row],[Sales Month]]=MAX(Sales[Sales Month]),Sales[[#This Row],[Non-Paying Users]]*Sales[[#This Row],[Upsell $ per Non-Paying User]],0)</f>
        <v>0</v>
      </c>
      <c r="Q826" t="str" cm="1">
        <f t="array" ref="Q826">_xlfn.IFS(Sales[[#This Row],[Current Upsell $]]=0,"",Sales[[#This Row],[Current Upsell $]]&gt;=400,"High",Sales[[#This Row],[Current Upsell $]]&gt;=100,"Medium",Sales[[#This Row],[Current Upsell $]]&lt;100,"Low")</f>
        <v/>
      </c>
      <c r="R826" t="str">
        <f>IF(Sales[[#This Row],[Current Upsell $]]&gt;0,_xlfn.CONCAT(Sales[[#This Row],[Subscription Type]]," ",Sales[[#This Row],[Upsell Priority]]," ",TEXT(Sales[[#This Row],[Current Upsell $]],"$#,#")),"")</f>
        <v/>
      </c>
    </row>
    <row r="827" spans="1:18" x14ac:dyDescent="0.25">
      <c r="A827">
        <v>100073</v>
      </c>
      <c r="B827" t="s">
        <v>3</v>
      </c>
      <c r="F827">
        <v>0</v>
      </c>
      <c r="G827">
        <v>3</v>
      </c>
      <c r="H827" s="1">
        <v>44013</v>
      </c>
      <c r="I827" s="1">
        <v>44378</v>
      </c>
      <c r="J827">
        <v>12</v>
      </c>
      <c r="K827">
        <v>0</v>
      </c>
      <c r="L827" s="1">
        <v>44105</v>
      </c>
      <c r="M827">
        <v>0</v>
      </c>
      <c r="N827" s="8" cm="1">
        <f t="array" ref="N827">_xlfn.SWITCH(Sales[[#This Row],[Subscription Type]],"Basic",10,"Premium",10,"Business",25,"Enterprise",27)</f>
        <v>10</v>
      </c>
      <c r="O827">
        <f>IF(Sales[[#This Row],[Number of Users]]-Sales[[#This Row],[Licenses Bought]]&lt;0,0,Sales[[#This Row],[Number of Users]]-Sales[[#This Row],[Licenses Bought]])</f>
        <v>3</v>
      </c>
      <c r="P827" s="8">
        <f>IF(Sales[[#This Row],[Sales Month]]=MAX(Sales[Sales Month]),Sales[[#This Row],[Non-Paying Users]]*Sales[[#This Row],[Upsell $ per Non-Paying User]],0)</f>
        <v>0</v>
      </c>
      <c r="Q827" t="str" cm="1">
        <f t="array" ref="Q827">_xlfn.IFS(Sales[[#This Row],[Current Upsell $]]=0,"",Sales[[#This Row],[Current Upsell $]]&gt;=400,"High",Sales[[#This Row],[Current Upsell $]]&gt;=100,"Medium",Sales[[#This Row],[Current Upsell $]]&lt;100,"Low")</f>
        <v/>
      </c>
      <c r="R827" t="str">
        <f>IF(Sales[[#This Row],[Current Upsell $]]&gt;0,_xlfn.CONCAT(Sales[[#This Row],[Subscription Type]]," ",Sales[[#This Row],[Upsell Priority]]," ",TEXT(Sales[[#This Row],[Current Upsell $]],"$#,#")),"")</f>
        <v/>
      </c>
    </row>
    <row r="828" spans="1:18" x14ac:dyDescent="0.25">
      <c r="A828">
        <v>100073</v>
      </c>
      <c r="B828" t="s">
        <v>3</v>
      </c>
      <c r="F828">
        <v>0</v>
      </c>
      <c r="G828">
        <v>3</v>
      </c>
      <c r="H828" s="1">
        <v>44013</v>
      </c>
      <c r="I828" s="1">
        <v>44378</v>
      </c>
      <c r="J828">
        <v>12</v>
      </c>
      <c r="K828">
        <v>0</v>
      </c>
      <c r="L828" s="1">
        <v>44136</v>
      </c>
      <c r="M828">
        <v>0</v>
      </c>
      <c r="N828" s="8" cm="1">
        <f t="array" ref="N828">_xlfn.SWITCH(Sales[[#This Row],[Subscription Type]],"Basic",10,"Premium",10,"Business",25,"Enterprise",27)</f>
        <v>10</v>
      </c>
      <c r="O828">
        <f>IF(Sales[[#This Row],[Number of Users]]-Sales[[#This Row],[Licenses Bought]]&lt;0,0,Sales[[#This Row],[Number of Users]]-Sales[[#This Row],[Licenses Bought]])</f>
        <v>3</v>
      </c>
      <c r="P828" s="8">
        <f>IF(Sales[[#This Row],[Sales Month]]=MAX(Sales[Sales Month]),Sales[[#This Row],[Non-Paying Users]]*Sales[[#This Row],[Upsell $ per Non-Paying User]],0)</f>
        <v>0</v>
      </c>
      <c r="Q828" t="str" cm="1">
        <f t="array" ref="Q828">_xlfn.IFS(Sales[[#This Row],[Current Upsell $]]=0,"",Sales[[#This Row],[Current Upsell $]]&gt;=400,"High",Sales[[#This Row],[Current Upsell $]]&gt;=100,"Medium",Sales[[#This Row],[Current Upsell $]]&lt;100,"Low")</f>
        <v/>
      </c>
      <c r="R828" t="str">
        <f>IF(Sales[[#This Row],[Current Upsell $]]&gt;0,_xlfn.CONCAT(Sales[[#This Row],[Subscription Type]]," ",Sales[[#This Row],[Upsell Priority]]," ",TEXT(Sales[[#This Row],[Current Upsell $]],"$#,#")),"")</f>
        <v/>
      </c>
    </row>
    <row r="829" spans="1:18" x14ac:dyDescent="0.25">
      <c r="A829">
        <v>100073</v>
      </c>
      <c r="B829" t="s">
        <v>3</v>
      </c>
      <c r="F829">
        <v>0</v>
      </c>
      <c r="G829">
        <v>3</v>
      </c>
      <c r="H829" s="1">
        <v>44013</v>
      </c>
      <c r="I829" s="1">
        <v>44378</v>
      </c>
      <c r="J829">
        <v>12</v>
      </c>
      <c r="K829">
        <v>0</v>
      </c>
      <c r="L829" s="1">
        <v>44166</v>
      </c>
      <c r="M829">
        <v>0</v>
      </c>
      <c r="N829" s="8" cm="1">
        <f t="array" ref="N829">_xlfn.SWITCH(Sales[[#This Row],[Subscription Type]],"Basic",10,"Premium",10,"Business",25,"Enterprise",27)</f>
        <v>10</v>
      </c>
      <c r="O829">
        <f>IF(Sales[[#This Row],[Number of Users]]-Sales[[#This Row],[Licenses Bought]]&lt;0,0,Sales[[#This Row],[Number of Users]]-Sales[[#This Row],[Licenses Bought]])</f>
        <v>3</v>
      </c>
      <c r="P829" s="8">
        <f>IF(Sales[[#This Row],[Sales Month]]=MAX(Sales[Sales Month]),Sales[[#This Row],[Non-Paying Users]]*Sales[[#This Row],[Upsell $ per Non-Paying User]],0)</f>
        <v>0</v>
      </c>
      <c r="Q829" t="str" cm="1">
        <f t="array" ref="Q829">_xlfn.IFS(Sales[[#This Row],[Current Upsell $]]=0,"",Sales[[#This Row],[Current Upsell $]]&gt;=400,"High",Sales[[#This Row],[Current Upsell $]]&gt;=100,"Medium",Sales[[#This Row],[Current Upsell $]]&lt;100,"Low")</f>
        <v/>
      </c>
      <c r="R829" t="str">
        <f>IF(Sales[[#This Row],[Current Upsell $]]&gt;0,_xlfn.CONCAT(Sales[[#This Row],[Subscription Type]]," ",Sales[[#This Row],[Upsell Priority]]," ",TEXT(Sales[[#This Row],[Current Upsell $]],"$#,#")),"")</f>
        <v/>
      </c>
    </row>
    <row r="830" spans="1:18" x14ac:dyDescent="0.25">
      <c r="A830">
        <v>100073</v>
      </c>
      <c r="B830" t="s">
        <v>3</v>
      </c>
      <c r="F830">
        <v>0</v>
      </c>
      <c r="G830">
        <v>3</v>
      </c>
      <c r="H830" s="1">
        <v>44013</v>
      </c>
      <c r="I830" s="1">
        <v>44378</v>
      </c>
      <c r="J830">
        <v>12</v>
      </c>
      <c r="K830">
        <v>0</v>
      </c>
      <c r="L830" s="1">
        <v>44197</v>
      </c>
      <c r="M830">
        <v>0</v>
      </c>
      <c r="N830" s="8" cm="1">
        <f t="array" ref="N830">_xlfn.SWITCH(Sales[[#This Row],[Subscription Type]],"Basic",10,"Premium",10,"Business",25,"Enterprise",27)</f>
        <v>10</v>
      </c>
      <c r="O830">
        <f>IF(Sales[[#This Row],[Number of Users]]-Sales[[#This Row],[Licenses Bought]]&lt;0,0,Sales[[#This Row],[Number of Users]]-Sales[[#This Row],[Licenses Bought]])</f>
        <v>3</v>
      </c>
      <c r="P830" s="8">
        <f>IF(Sales[[#This Row],[Sales Month]]=MAX(Sales[Sales Month]),Sales[[#This Row],[Non-Paying Users]]*Sales[[#This Row],[Upsell $ per Non-Paying User]],0)</f>
        <v>0</v>
      </c>
      <c r="Q830" t="str" cm="1">
        <f t="array" ref="Q830">_xlfn.IFS(Sales[[#This Row],[Current Upsell $]]=0,"",Sales[[#This Row],[Current Upsell $]]&gt;=400,"High",Sales[[#This Row],[Current Upsell $]]&gt;=100,"Medium",Sales[[#This Row],[Current Upsell $]]&lt;100,"Low")</f>
        <v/>
      </c>
      <c r="R830" t="str">
        <f>IF(Sales[[#This Row],[Current Upsell $]]&gt;0,_xlfn.CONCAT(Sales[[#This Row],[Subscription Type]]," ",Sales[[#This Row],[Upsell Priority]]," ",TEXT(Sales[[#This Row],[Current Upsell $]],"$#,#")),"")</f>
        <v/>
      </c>
    </row>
    <row r="831" spans="1:18" x14ac:dyDescent="0.25">
      <c r="A831">
        <v>100073</v>
      </c>
      <c r="B831" t="s">
        <v>3</v>
      </c>
      <c r="F831">
        <v>0</v>
      </c>
      <c r="G831">
        <v>3</v>
      </c>
      <c r="H831" s="1">
        <v>44013</v>
      </c>
      <c r="I831" s="1">
        <v>44378</v>
      </c>
      <c r="J831">
        <v>12</v>
      </c>
      <c r="K831">
        <v>0</v>
      </c>
      <c r="L831" s="1">
        <v>44228</v>
      </c>
      <c r="M831">
        <v>0</v>
      </c>
      <c r="N831" s="8" cm="1">
        <f t="array" ref="N831">_xlfn.SWITCH(Sales[[#This Row],[Subscription Type]],"Basic",10,"Premium",10,"Business",25,"Enterprise",27)</f>
        <v>10</v>
      </c>
      <c r="O831">
        <f>IF(Sales[[#This Row],[Number of Users]]-Sales[[#This Row],[Licenses Bought]]&lt;0,0,Sales[[#This Row],[Number of Users]]-Sales[[#This Row],[Licenses Bought]])</f>
        <v>3</v>
      </c>
      <c r="P831" s="8">
        <f>IF(Sales[[#This Row],[Sales Month]]=MAX(Sales[Sales Month]),Sales[[#This Row],[Non-Paying Users]]*Sales[[#This Row],[Upsell $ per Non-Paying User]],0)</f>
        <v>0</v>
      </c>
      <c r="Q831" t="str" cm="1">
        <f t="array" ref="Q831">_xlfn.IFS(Sales[[#This Row],[Current Upsell $]]=0,"",Sales[[#This Row],[Current Upsell $]]&gt;=400,"High",Sales[[#This Row],[Current Upsell $]]&gt;=100,"Medium",Sales[[#This Row],[Current Upsell $]]&lt;100,"Low")</f>
        <v/>
      </c>
      <c r="R831" t="str">
        <f>IF(Sales[[#This Row],[Current Upsell $]]&gt;0,_xlfn.CONCAT(Sales[[#This Row],[Subscription Type]]," ",Sales[[#This Row],[Upsell Priority]]," ",TEXT(Sales[[#This Row],[Current Upsell $]],"$#,#")),"")</f>
        <v/>
      </c>
    </row>
    <row r="832" spans="1:18" x14ac:dyDescent="0.25">
      <c r="A832">
        <v>100073</v>
      </c>
      <c r="B832" t="s">
        <v>3</v>
      </c>
      <c r="F832">
        <v>0</v>
      </c>
      <c r="G832">
        <v>3</v>
      </c>
      <c r="H832" s="1">
        <v>44013</v>
      </c>
      <c r="I832" s="1">
        <v>44378</v>
      </c>
      <c r="J832">
        <v>12</v>
      </c>
      <c r="K832">
        <v>0</v>
      </c>
      <c r="L832" s="1">
        <v>44256</v>
      </c>
      <c r="M832">
        <v>0</v>
      </c>
      <c r="N832" s="8" cm="1">
        <f t="array" ref="N832">_xlfn.SWITCH(Sales[[#This Row],[Subscription Type]],"Basic",10,"Premium",10,"Business",25,"Enterprise",27)</f>
        <v>10</v>
      </c>
      <c r="O832">
        <f>IF(Sales[[#This Row],[Number of Users]]-Sales[[#This Row],[Licenses Bought]]&lt;0,0,Sales[[#This Row],[Number of Users]]-Sales[[#This Row],[Licenses Bought]])</f>
        <v>3</v>
      </c>
      <c r="P832" s="8">
        <f>IF(Sales[[#This Row],[Sales Month]]=MAX(Sales[Sales Month]),Sales[[#This Row],[Non-Paying Users]]*Sales[[#This Row],[Upsell $ per Non-Paying User]],0)</f>
        <v>0</v>
      </c>
      <c r="Q832" t="str" cm="1">
        <f t="array" ref="Q832">_xlfn.IFS(Sales[[#This Row],[Current Upsell $]]=0,"",Sales[[#This Row],[Current Upsell $]]&gt;=400,"High",Sales[[#This Row],[Current Upsell $]]&gt;=100,"Medium",Sales[[#This Row],[Current Upsell $]]&lt;100,"Low")</f>
        <v/>
      </c>
      <c r="R832" t="str">
        <f>IF(Sales[[#This Row],[Current Upsell $]]&gt;0,_xlfn.CONCAT(Sales[[#This Row],[Subscription Type]]," ",Sales[[#This Row],[Upsell Priority]]," ",TEXT(Sales[[#This Row],[Current Upsell $]],"$#,#")),"")</f>
        <v/>
      </c>
    </row>
    <row r="833" spans="1:18" x14ac:dyDescent="0.25">
      <c r="A833">
        <v>100073</v>
      </c>
      <c r="B833" t="s">
        <v>3</v>
      </c>
      <c r="F833">
        <v>0</v>
      </c>
      <c r="G833">
        <v>3</v>
      </c>
      <c r="H833" s="1">
        <v>44013</v>
      </c>
      <c r="I833" s="1">
        <v>44378</v>
      </c>
      <c r="J833">
        <v>12</v>
      </c>
      <c r="K833">
        <v>0</v>
      </c>
      <c r="L833" s="1">
        <v>44287</v>
      </c>
      <c r="M833">
        <v>0</v>
      </c>
      <c r="N833" s="8" cm="1">
        <f t="array" ref="N833">_xlfn.SWITCH(Sales[[#This Row],[Subscription Type]],"Basic",10,"Premium",10,"Business",25,"Enterprise",27)</f>
        <v>10</v>
      </c>
      <c r="O833">
        <f>IF(Sales[[#This Row],[Number of Users]]-Sales[[#This Row],[Licenses Bought]]&lt;0,0,Sales[[#This Row],[Number of Users]]-Sales[[#This Row],[Licenses Bought]])</f>
        <v>3</v>
      </c>
      <c r="P833" s="8">
        <f>IF(Sales[[#This Row],[Sales Month]]=MAX(Sales[Sales Month]),Sales[[#This Row],[Non-Paying Users]]*Sales[[#This Row],[Upsell $ per Non-Paying User]],0)</f>
        <v>0</v>
      </c>
      <c r="Q833" t="str" cm="1">
        <f t="array" ref="Q833">_xlfn.IFS(Sales[[#This Row],[Current Upsell $]]=0,"",Sales[[#This Row],[Current Upsell $]]&gt;=400,"High",Sales[[#This Row],[Current Upsell $]]&gt;=100,"Medium",Sales[[#This Row],[Current Upsell $]]&lt;100,"Low")</f>
        <v/>
      </c>
      <c r="R833" t="str">
        <f>IF(Sales[[#This Row],[Current Upsell $]]&gt;0,_xlfn.CONCAT(Sales[[#This Row],[Subscription Type]]," ",Sales[[#This Row],[Upsell Priority]]," ",TEXT(Sales[[#This Row],[Current Upsell $]],"$#,#")),"")</f>
        <v/>
      </c>
    </row>
    <row r="834" spans="1:18" x14ac:dyDescent="0.25">
      <c r="A834">
        <v>100073</v>
      </c>
      <c r="B834" t="s">
        <v>3</v>
      </c>
      <c r="F834">
        <v>0</v>
      </c>
      <c r="G834">
        <v>3</v>
      </c>
      <c r="H834" s="1">
        <v>44013</v>
      </c>
      <c r="I834" s="1">
        <v>44378</v>
      </c>
      <c r="J834">
        <v>12</v>
      </c>
      <c r="K834">
        <v>0</v>
      </c>
      <c r="L834" s="1">
        <v>44317</v>
      </c>
      <c r="M834">
        <v>0</v>
      </c>
      <c r="N834" s="8" cm="1">
        <f t="array" ref="N834">_xlfn.SWITCH(Sales[[#This Row],[Subscription Type]],"Basic",10,"Premium",10,"Business",25,"Enterprise",27)</f>
        <v>10</v>
      </c>
      <c r="O834">
        <f>IF(Sales[[#This Row],[Number of Users]]-Sales[[#This Row],[Licenses Bought]]&lt;0,0,Sales[[#This Row],[Number of Users]]-Sales[[#This Row],[Licenses Bought]])</f>
        <v>3</v>
      </c>
      <c r="P834" s="8">
        <f>IF(Sales[[#This Row],[Sales Month]]=MAX(Sales[Sales Month]),Sales[[#This Row],[Non-Paying Users]]*Sales[[#This Row],[Upsell $ per Non-Paying User]],0)</f>
        <v>0</v>
      </c>
      <c r="Q834" t="str" cm="1">
        <f t="array" ref="Q834">_xlfn.IFS(Sales[[#This Row],[Current Upsell $]]=0,"",Sales[[#This Row],[Current Upsell $]]&gt;=400,"High",Sales[[#This Row],[Current Upsell $]]&gt;=100,"Medium",Sales[[#This Row],[Current Upsell $]]&lt;100,"Low")</f>
        <v/>
      </c>
      <c r="R834" t="str">
        <f>IF(Sales[[#This Row],[Current Upsell $]]&gt;0,_xlfn.CONCAT(Sales[[#This Row],[Subscription Type]]," ",Sales[[#This Row],[Upsell Priority]]," ",TEXT(Sales[[#This Row],[Current Upsell $]],"$#,#")),"")</f>
        <v/>
      </c>
    </row>
    <row r="835" spans="1:18" x14ac:dyDescent="0.25">
      <c r="A835">
        <v>100073</v>
      </c>
      <c r="B835" t="s">
        <v>3</v>
      </c>
      <c r="F835">
        <v>0</v>
      </c>
      <c r="G835">
        <v>3</v>
      </c>
      <c r="H835" s="1">
        <v>44013</v>
      </c>
      <c r="I835" s="1">
        <v>44378</v>
      </c>
      <c r="J835">
        <v>12</v>
      </c>
      <c r="K835">
        <v>0</v>
      </c>
      <c r="L835" s="1">
        <v>44348</v>
      </c>
      <c r="M835">
        <v>0</v>
      </c>
      <c r="N835" s="8" cm="1">
        <f t="array" ref="N835">_xlfn.SWITCH(Sales[[#This Row],[Subscription Type]],"Basic",10,"Premium",10,"Business",25,"Enterprise",27)</f>
        <v>10</v>
      </c>
      <c r="O835">
        <f>IF(Sales[[#This Row],[Number of Users]]-Sales[[#This Row],[Licenses Bought]]&lt;0,0,Sales[[#This Row],[Number of Users]]-Sales[[#This Row],[Licenses Bought]])</f>
        <v>3</v>
      </c>
      <c r="P835" s="8">
        <f>IF(Sales[[#This Row],[Sales Month]]=MAX(Sales[Sales Month]),Sales[[#This Row],[Non-Paying Users]]*Sales[[#This Row],[Upsell $ per Non-Paying User]],0)</f>
        <v>30</v>
      </c>
      <c r="Q835" t="str" cm="1">
        <f t="array" ref="Q835">_xlfn.IFS(Sales[[#This Row],[Current Upsell $]]=0,"",Sales[[#This Row],[Current Upsell $]]&gt;=400,"High",Sales[[#This Row],[Current Upsell $]]&gt;=100,"Medium",Sales[[#This Row],[Current Upsell $]]&lt;100,"Low")</f>
        <v>Low</v>
      </c>
      <c r="R835" t="str">
        <f>IF(Sales[[#This Row],[Current Upsell $]]&gt;0,_xlfn.CONCAT(Sales[[#This Row],[Subscription Type]]," ",Sales[[#This Row],[Upsell Priority]]," ",TEXT(Sales[[#This Row],[Current Upsell $]],"$#,#")),"")</f>
        <v>Basic Low $30</v>
      </c>
    </row>
    <row r="836" spans="1:18" x14ac:dyDescent="0.25">
      <c r="A836">
        <v>100074</v>
      </c>
      <c r="B836" t="s">
        <v>3</v>
      </c>
      <c r="D836" s="1"/>
      <c r="E836" s="1"/>
      <c r="F836">
        <v>0</v>
      </c>
      <c r="G836">
        <v>3</v>
      </c>
      <c r="H836" s="1">
        <v>44013</v>
      </c>
      <c r="I836" s="1">
        <v>44378</v>
      </c>
      <c r="J836">
        <v>12</v>
      </c>
      <c r="K836">
        <v>0</v>
      </c>
      <c r="L836" s="1">
        <v>44013</v>
      </c>
      <c r="M836">
        <v>0</v>
      </c>
      <c r="N836" s="8" cm="1">
        <f t="array" ref="N836">_xlfn.SWITCH(Sales[[#This Row],[Subscription Type]],"Basic",10,"Premium",10,"Business",25,"Enterprise",27)</f>
        <v>10</v>
      </c>
      <c r="O836">
        <f>IF(Sales[[#This Row],[Number of Users]]-Sales[[#This Row],[Licenses Bought]]&lt;0,0,Sales[[#This Row],[Number of Users]]-Sales[[#This Row],[Licenses Bought]])</f>
        <v>3</v>
      </c>
      <c r="P836" s="8">
        <f>IF(Sales[[#This Row],[Sales Month]]=MAX(Sales[Sales Month]),Sales[[#This Row],[Non-Paying Users]]*Sales[[#This Row],[Upsell $ per Non-Paying User]],0)</f>
        <v>0</v>
      </c>
      <c r="Q836" t="str" cm="1">
        <f t="array" ref="Q836">_xlfn.IFS(Sales[[#This Row],[Current Upsell $]]=0,"",Sales[[#This Row],[Current Upsell $]]&gt;=400,"High",Sales[[#This Row],[Current Upsell $]]&gt;=100,"Medium",Sales[[#This Row],[Current Upsell $]]&lt;100,"Low")</f>
        <v/>
      </c>
      <c r="R836" t="str">
        <f>IF(Sales[[#This Row],[Current Upsell $]]&gt;0,_xlfn.CONCAT(Sales[[#This Row],[Subscription Type]]," ",Sales[[#This Row],[Upsell Priority]]," ",TEXT(Sales[[#This Row],[Current Upsell $]],"$#,#")),"")</f>
        <v/>
      </c>
    </row>
    <row r="837" spans="1:18" x14ac:dyDescent="0.25">
      <c r="A837">
        <v>100074</v>
      </c>
      <c r="B837" t="s">
        <v>0</v>
      </c>
      <c r="D837" s="1"/>
      <c r="E837" s="1"/>
      <c r="F837">
        <v>2</v>
      </c>
      <c r="G837">
        <v>3</v>
      </c>
      <c r="H837" s="1">
        <v>44013</v>
      </c>
      <c r="I837" s="1">
        <v>44378</v>
      </c>
      <c r="J837">
        <v>12</v>
      </c>
      <c r="K837">
        <v>0</v>
      </c>
      <c r="L837" s="1">
        <v>44044</v>
      </c>
      <c r="M837">
        <v>20</v>
      </c>
      <c r="N837" s="8" cm="1">
        <f t="array" ref="N837">_xlfn.SWITCH(Sales[[#This Row],[Subscription Type]],"Basic",10,"Premium",10,"Business",25,"Enterprise",27)</f>
        <v>10</v>
      </c>
      <c r="O837">
        <f>IF(Sales[[#This Row],[Number of Users]]-Sales[[#This Row],[Licenses Bought]]&lt;0,0,Sales[[#This Row],[Number of Users]]-Sales[[#This Row],[Licenses Bought]])</f>
        <v>1</v>
      </c>
      <c r="P837" s="8">
        <f>IF(Sales[[#This Row],[Sales Month]]=MAX(Sales[Sales Month]),Sales[[#This Row],[Non-Paying Users]]*Sales[[#This Row],[Upsell $ per Non-Paying User]],0)</f>
        <v>0</v>
      </c>
      <c r="Q837" t="str" cm="1">
        <f t="array" ref="Q837">_xlfn.IFS(Sales[[#This Row],[Current Upsell $]]=0,"",Sales[[#This Row],[Current Upsell $]]&gt;=400,"High",Sales[[#This Row],[Current Upsell $]]&gt;=100,"Medium",Sales[[#This Row],[Current Upsell $]]&lt;100,"Low")</f>
        <v/>
      </c>
      <c r="R837" t="str">
        <f>IF(Sales[[#This Row],[Current Upsell $]]&gt;0,_xlfn.CONCAT(Sales[[#This Row],[Subscription Type]]," ",Sales[[#This Row],[Upsell Priority]]," ",TEXT(Sales[[#This Row],[Current Upsell $]],"$#,#")),"")</f>
        <v/>
      </c>
    </row>
    <row r="838" spans="1:18" x14ac:dyDescent="0.25">
      <c r="A838">
        <v>100074</v>
      </c>
      <c r="B838" t="s">
        <v>0</v>
      </c>
      <c r="D838" s="1"/>
      <c r="E838" s="1"/>
      <c r="F838">
        <v>2</v>
      </c>
      <c r="G838">
        <v>3</v>
      </c>
      <c r="H838" s="1">
        <v>44013</v>
      </c>
      <c r="I838" s="1">
        <v>44378</v>
      </c>
      <c r="J838">
        <v>12</v>
      </c>
      <c r="K838">
        <v>0</v>
      </c>
      <c r="L838" s="1">
        <v>44075</v>
      </c>
      <c r="M838">
        <v>20</v>
      </c>
      <c r="N838" s="8" cm="1">
        <f t="array" ref="N838">_xlfn.SWITCH(Sales[[#This Row],[Subscription Type]],"Basic",10,"Premium",10,"Business",25,"Enterprise",27)</f>
        <v>10</v>
      </c>
      <c r="O838">
        <f>IF(Sales[[#This Row],[Number of Users]]-Sales[[#This Row],[Licenses Bought]]&lt;0,0,Sales[[#This Row],[Number of Users]]-Sales[[#This Row],[Licenses Bought]])</f>
        <v>1</v>
      </c>
      <c r="P838" s="8">
        <f>IF(Sales[[#This Row],[Sales Month]]=MAX(Sales[Sales Month]),Sales[[#This Row],[Non-Paying Users]]*Sales[[#This Row],[Upsell $ per Non-Paying User]],0)</f>
        <v>0</v>
      </c>
      <c r="Q838" t="str" cm="1">
        <f t="array" ref="Q838">_xlfn.IFS(Sales[[#This Row],[Current Upsell $]]=0,"",Sales[[#This Row],[Current Upsell $]]&gt;=400,"High",Sales[[#This Row],[Current Upsell $]]&gt;=100,"Medium",Sales[[#This Row],[Current Upsell $]]&lt;100,"Low")</f>
        <v/>
      </c>
      <c r="R838" t="str">
        <f>IF(Sales[[#This Row],[Current Upsell $]]&gt;0,_xlfn.CONCAT(Sales[[#This Row],[Subscription Type]]," ",Sales[[#This Row],[Upsell Priority]]," ",TEXT(Sales[[#This Row],[Current Upsell $]],"$#,#")),"")</f>
        <v/>
      </c>
    </row>
    <row r="839" spans="1:18" x14ac:dyDescent="0.25">
      <c r="A839">
        <v>100074</v>
      </c>
      <c r="B839" t="s">
        <v>0</v>
      </c>
      <c r="D839" s="1"/>
      <c r="E839" s="1"/>
      <c r="F839">
        <v>2</v>
      </c>
      <c r="G839">
        <v>2</v>
      </c>
      <c r="H839" s="1">
        <v>44013</v>
      </c>
      <c r="I839" s="1">
        <v>44378</v>
      </c>
      <c r="J839">
        <v>12</v>
      </c>
      <c r="K839">
        <v>0</v>
      </c>
      <c r="L839" s="1">
        <v>44105</v>
      </c>
      <c r="M839">
        <v>20</v>
      </c>
      <c r="N839" s="8" cm="1">
        <f t="array" ref="N839">_xlfn.SWITCH(Sales[[#This Row],[Subscription Type]],"Basic",10,"Premium",10,"Business",25,"Enterprise",27)</f>
        <v>10</v>
      </c>
      <c r="O839">
        <f>IF(Sales[[#This Row],[Number of Users]]-Sales[[#This Row],[Licenses Bought]]&lt;0,0,Sales[[#This Row],[Number of Users]]-Sales[[#This Row],[Licenses Bought]])</f>
        <v>0</v>
      </c>
      <c r="P839" s="8">
        <f>IF(Sales[[#This Row],[Sales Month]]=MAX(Sales[Sales Month]),Sales[[#This Row],[Non-Paying Users]]*Sales[[#This Row],[Upsell $ per Non-Paying User]],0)</f>
        <v>0</v>
      </c>
      <c r="Q839" t="str" cm="1">
        <f t="array" ref="Q839">_xlfn.IFS(Sales[[#This Row],[Current Upsell $]]=0,"",Sales[[#This Row],[Current Upsell $]]&gt;=400,"High",Sales[[#This Row],[Current Upsell $]]&gt;=100,"Medium",Sales[[#This Row],[Current Upsell $]]&lt;100,"Low")</f>
        <v/>
      </c>
      <c r="R839" t="str">
        <f>IF(Sales[[#This Row],[Current Upsell $]]&gt;0,_xlfn.CONCAT(Sales[[#This Row],[Subscription Type]]," ",Sales[[#This Row],[Upsell Priority]]," ",TEXT(Sales[[#This Row],[Current Upsell $]],"$#,#")),"")</f>
        <v/>
      </c>
    </row>
    <row r="840" spans="1:18" x14ac:dyDescent="0.25">
      <c r="A840">
        <v>100074</v>
      </c>
      <c r="B840" t="s">
        <v>0</v>
      </c>
      <c r="D840" s="1"/>
      <c r="E840" s="1"/>
      <c r="F840">
        <v>2</v>
      </c>
      <c r="G840">
        <v>3</v>
      </c>
      <c r="H840" s="1">
        <v>44013</v>
      </c>
      <c r="I840" s="1">
        <v>44378</v>
      </c>
      <c r="J840">
        <v>12</v>
      </c>
      <c r="K840">
        <v>0</v>
      </c>
      <c r="L840" s="1">
        <v>44136</v>
      </c>
      <c r="M840">
        <v>20</v>
      </c>
      <c r="N840" s="8" cm="1">
        <f t="array" ref="N840">_xlfn.SWITCH(Sales[[#This Row],[Subscription Type]],"Basic",10,"Premium",10,"Business",25,"Enterprise",27)</f>
        <v>10</v>
      </c>
      <c r="O840">
        <f>IF(Sales[[#This Row],[Number of Users]]-Sales[[#This Row],[Licenses Bought]]&lt;0,0,Sales[[#This Row],[Number of Users]]-Sales[[#This Row],[Licenses Bought]])</f>
        <v>1</v>
      </c>
      <c r="P840" s="8">
        <f>IF(Sales[[#This Row],[Sales Month]]=MAX(Sales[Sales Month]),Sales[[#This Row],[Non-Paying Users]]*Sales[[#This Row],[Upsell $ per Non-Paying User]],0)</f>
        <v>0</v>
      </c>
      <c r="Q840" t="str" cm="1">
        <f t="array" ref="Q840">_xlfn.IFS(Sales[[#This Row],[Current Upsell $]]=0,"",Sales[[#This Row],[Current Upsell $]]&gt;=400,"High",Sales[[#This Row],[Current Upsell $]]&gt;=100,"Medium",Sales[[#This Row],[Current Upsell $]]&lt;100,"Low")</f>
        <v/>
      </c>
      <c r="R840" t="str">
        <f>IF(Sales[[#This Row],[Current Upsell $]]&gt;0,_xlfn.CONCAT(Sales[[#This Row],[Subscription Type]]," ",Sales[[#This Row],[Upsell Priority]]," ",TEXT(Sales[[#This Row],[Current Upsell $]],"$#,#")),"")</f>
        <v/>
      </c>
    </row>
    <row r="841" spans="1:18" x14ac:dyDescent="0.25">
      <c r="A841">
        <v>100074</v>
      </c>
      <c r="B841" t="s">
        <v>0</v>
      </c>
      <c r="D841" s="1"/>
      <c r="E841" s="1"/>
      <c r="F841">
        <v>2</v>
      </c>
      <c r="G841">
        <v>3</v>
      </c>
      <c r="H841" s="1">
        <v>44013</v>
      </c>
      <c r="I841" s="1">
        <v>44378</v>
      </c>
      <c r="J841">
        <v>12</v>
      </c>
      <c r="K841">
        <v>0</v>
      </c>
      <c r="L841" s="1">
        <v>44166</v>
      </c>
      <c r="M841">
        <v>20</v>
      </c>
      <c r="N841" s="8" cm="1">
        <f t="array" ref="N841">_xlfn.SWITCH(Sales[[#This Row],[Subscription Type]],"Basic",10,"Premium",10,"Business",25,"Enterprise",27)</f>
        <v>10</v>
      </c>
      <c r="O841">
        <f>IF(Sales[[#This Row],[Number of Users]]-Sales[[#This Row],[Licenses Bought]]&lt;0,0,Sales[[#This Row],[Number of Users]]-Sales[[#This Row],[Licenses Bought]])</f>
        <v>1</v>
      </c>
      <c r="P841" s="8">
        <f>IF(Sales[[#This Row],[Sales Month]]=MAX(Sales[Sales Month]),Sales[[#This Row],[Non-Paying Users]]*Sales[[#This Row],[Upsell $ per Non-Paying User]],0)</f>
        <v>0</v>
      </c>
      <c r="Q841" t="str" cm="1">
        <f t="array" ref="Q841">_xlfn.IFS(Sales[[#This Row],[Current Upsell $]]=0,"",Sales[[#This Row],[Current Upsell $]]&gt;=400,"High",Sales[[#This Row],[Current Upsell $]]&gt;=100,"Medium",Sales[[#This Row],[Current Upsell $]]&lt;100,"Low")</f>
        <v/>
      </c>
      <c r="R841" t="str">
        <f>IF(Sales[[#This Row],[Current Upsell $]]&gt;0,_xlfn.CONCAT(Sales[[#This Row],[Subscription Type]]," ",Sales[[#This Row],[Upsell Priority]]," ",TEXT(Sales[[#This Row],[Current Upsell $]],"$#,#")),"")</f>
        <v/>
      </c>
    </row>
    <row r="842" spans="1:18" x14ac:dyDescent="0.25">
      <c r="A842">
        <v>100074</v>
      </c>
      <c r="B842" t="s">
        <v>0</v>
      </c>
      <c r="D842" s="1"/>
      <c r="E842" s="1"/>
      <c r="F842">
        <v>2</v>
      </c>
      <c r="G842">
        <v>3</v>
      </c>
      <c r="H842" s="1">
        <v>44013</v>
      </c>
      <c r="I842" s="1">
        <v>44378</v>
      </c>
      <c r="J842">
        <v>12</v>
      </c>
      <c r="K842">
        <v>0</v>
      </c>
      <c r="L842" s="1">
        <v>44197</v>
      </c>
      <c r="M842">
        <v>20</v>
      </c>
      <c r="N842" s="8" cm="1">
        <f t="array" ref="N842">_xlfn.SWITCH(Sales[[#This Row],[Subscription Type]],"Basic",10,"Premium",10,"Business",25,"Enterprise",27)</f>
        <v>10</v>
      </c>
      <c r="O842">
        <f>IF(Sales[[#This Row],[Number of Users]]-Sales[[#This Row],[Licenses Bought]]&lt;0,0,Sales[[#This Row],[Number of Users]]-Sales[[#This Row],[Licenses Bought]])</f>
        <v>1</v>
      </c>
      <c r="P842" s="8">
        <f>IF(Sales[[#This Row],[Sales Month]]=MAX(Sales[Sales Month]),Sales[[#This Row],[Non-Paying Users]]*Sales[[#This Row],[Upsell $ per Non-Paying User]],0)</f>
        <v>0</v>
      </c>
      <c r="Q842" t="str" cm="1">
        <f t="array" ref="Q842">_xlfn.IFS(Sales[[#This Row],[Current Upsell $]]=0,"",Sales[[#This Row],[Current Upsell $]]&gt;=400,"High",Sales[[#This Row],[Current Upsell $]]&gt;=100,"Medium",Sales[[#This Row],[Current Upsell $]]&lt;100,"Low")</f>
        <v/>
      </c>
      <c r="R842" t="str">
        <f>IF(Sales[[#This Row],[Current Upsell $]]&gt;0,_xlfn.CONCAT(Sales[[#This Row],[Subscription Type]]," ",Sales[[#This Row],[Upsell Priority]]," ",TEXT(Sales[[#This Row],[Current Upsell $]],"$#,#")),"")</f>
        <v/>
      </c>
    </row>
    <row r="843" spans="1:18" x14ac:dyDescent="0.25">
      <c r="A843">
        <v>100074</v>
      </c>
      <c r="B843" t="s">
        <v>0</v>
      </c>
      <c r="D843" s="1"/>
      <c r="E843" s="1"/>
      <c r="F843">
        <v>2</v>
      </c>
      <c r="G843">
        <v>3</v>
      </c>
      <c r="H843" s="1">
        <v>44013</v>
      </c>
      <c r="I843" s="1">
        <v>44378</v>
      </c>
      <c r="J843">
        <v>12</v>
      </c>
      <c r="K843">
        <v>0</v>
      </c>
      <c r="L843" s="1">
        <v>44228</v>
      </c>
      <c r="M843">
        <v>20</v>
      </c>
      <c r="N843" s="8" cm="1">
        <f t="array" ref="N843">_xlfn.SWITCH(Sales[[#This Row],[Subscription Type]],"Basic",10,"Premium",10,"Business",25,"Enterprise",27)</f>
        <v>10</v>
      </c>
      <c r="O843">
        <f>IF(Sales[[#This Row],[Number of Users]]-Sales[[#This Row],[Licenses Bought]]&lt;0,0,Sales[[#This Row],[Number of Users]]-Sales[[#This Row],[Licenses Bought]])</f>
        <v>1</v>
      </c>
      <c r="P843" s="8">
        <f>IF(Sales[[#This Row],[Sales Month]]=MAX(Sales[Sales Month]),Sales[[#This Row],[Non-Paying Users]]*Sales[[#This Row],[Upsell $ per Non-Paying User]],0)</f>
        <v>0</v>
      </c>
      <c r="Q843" t="str" cm="1">
        <f t="array" ref="Q843">_xlfn.IFS(Sales[[#This Row],[Current Upsell $]]=0,"",Sales[[#This Row],[Current Upsell $]]&gt;=400,"High",Sales[[#This Row],[Current Upsell $]]&gt;=100,"Medium",Sales[[#This Row],[Current Upsell $]]&lt;100,"Low")</f>
        <v/>
      </c>
      <c r="R843" t="str">
        <f>IF(Sales[[#This Row],[Current Upsell $]]&gt;0,_xlfn.CONCAT(Sales[[#This Row],[Subscription Type]]," ",Sales[[#This Row],[Upsell Priority]]," ",TEXT(Sales[[#This Row],[Current Upsell $]],"$#,#")),"")</f>
        <v/>
      </c>
    </row>
    <row r="844" spans="1:18" x14ac:dyDescent="0.25">
      <c r="A844">
        <v>100074</v>
      </c>
      <c r="B844" t="s">
        <v>0</v>
      </c>
      <c r="D844" s="1"/>
      <c r="E844" s="1"/>
      <c r="F844">
        <v>2</v>
      </c>
      <c r="G844">
        <v>3</v>
      </c>
      <c r="H844" s="1">
        <v>44013</v>
      </c>
      <c r="I844" s="1">
        <v>44378</v>
      </c>
      <c r="J844">
        <v>12</v>
      </c>
      <c r="K844">
        <v>0</v>
      </c>
      <c r="L844" s="1">
        <v>44256</v>
      </c>
      <c r="M844">
        <v>20</v>
      </c>
      <c r="N844" s="8" cm="1">
        <f t="array" ref="N844">_xlfn.SWITCH(Sales[[#This Row],[Subscription Type]],"Basic",10,"Premium",10,"Business",25,"Enterprise",27)</f>
        <v>10</v>
      </c>
      <c r="O844">
        <f>IF(Sales[[#This Row],[Number of Users]]-Sales[[#This Row],[Licenses Bought]]&lt;0,0,Sales[[#This Row],[Number of Users]]-Sales[[#This Row],[Licenses Bought]])</f>
        <v>1</v>
      </c>
      <c r="P844" s="8">
        <f>IF(Sales[[#This Row],[Sales Month]]=MAX(Sales[Sales Month]),Sales[[#This Row],[Non-Paying Users]]*Sales[[#This Row],[Upsell $ per Non-Paying User]],0)</f>
        <v>0</v>
      </c>
      <c r="Q844" t="str" cm="1">
        <f t="array" ref="Q844">_xlfn.IFS(Sales[[#This Row],[Current Upsell $]]=0,"",Sales[[#This Row],[Current Upsell $]]&gt;=400,"High",Sales[[#This Row],[Current Upsell $]]&gt;=100,"Medium",Sales[[#This Row],[Current Upsell $]]&lt;100,"Low")</f>
        <v/>
      </c>
      <c r="R844" t="str">
        <f>IF(Sales[[#This Row],[Current Upsell $]]&gt;0,_xlfn.CONCAT(Sales[[#This Row],[Subscription Type]]," ",Sales[[#This Row],[Upsell Priority]]," ",TEXT(Sales[[#This Row],[Current Upsell $]],"$#,#")),"")</f>
        <v/>
      </c>
    </row>
    <row r="845" spans="1:18" x14ac:dyDescent="0.25">
      <c r="A845">
        <v>100074</v>
      </c>
      <c r="B845" t="s">
        <v>0</v>
      </c>
      <c r="D845" s="1"/>
      <c r="E845" s="1"/>
      <c r="F845">
        <v>2</v>
      </c>
      <c r="G845">
        <v>3</v>
      </c>
      <c r="H845" s="1">
        <v>44013</v>
      </c>
      <c r="I845" s="1">
        <v>44378</v>
      </c>
      <c r="J845">
        <v>12</v>
      </c>
      <c r="K845">
        <v>0</v>
      </c>
      <c r="L845" s="1">
        <v>44287</v>
      </c>
      <c r="M845">
        <v>20</v>
      </c>
      <c r="N845" s="8" cm="1">
        <f t="array" ref="N845">_xlfn.SWITCH(Sales[[#This Row],[Subscription Type]],"Basic",10,"Premium",10,"Business",25,"Enterprise",27)</f>
        <v>10</v>
      </c>
      <c r="O845">
        <f>IF(Sales[[#This Row],[Number of Users]]-Sales[[#This Row],[Licenses Bought]]&lt;0,0,Sales[[#This Row],[Number of Users]]-Sales[[#This Row],[Licenses Bought]])</f>
        <v>1</v>
      </c>
      <c r="P845" s="8">
        <f>IF(Sales[[#This Row],[Sales Month]]=MAX(Sales[Sales Month]),Sales[[#This Row],[Non-Paying Users]]*Sales[[#This Row],[Upsell $ per Non-Paying User]],0)</f>
        <v>0</v>
      </c>
      <c r="Q845" t="str" cm="1">
        <f t="array" ref="Q845">_xlfn.IFS(Sales[[#This Row],[Current Upsell $]]=0,"",Sales[[#This Row],[Current Upsell $]]&gt;=400,"High",Sales[[#This Row],[Current Upsell $]]&gt;=100,"Medium",Sales[[#This Row],[Current Upsell $]]&lt;100,"Low")</f>
        <v/>
      </c>
      <c r="R845" t="str">
        <f>IF(Sales[[#This Row],[Current Upsell $]]&gt;0,_xlfn.CONCAT(Sales[[#This Row],[Subscription Type]]," ",Sales[[#This Row],[Upsell Priority]]," ",TEXT(Sales[[#This Row],[Current Upsell $]],"$#,#")),"")</f>
        <v/>
      </c>
    </row>
    <row r="846" spans="1:18" x14ac:dyDescent="0.25">
      <c r="A846">
        <v>100074</v>
      </c>
      <c r="B846" t="s">
        <v>0</v>
      </c>
      <c r="D846" s="1"/>
      <c r="E846" s="1"/>
      <c r="F846">
        <v>2</v>
      </c>
      <c r="G846">
        <v>3</v>
      </c>
      <c r="H846" s="1">
        <v>44013</v>
      </c>
      <c r="I846" s="1">
        <v>44378</v>
      </c>
      <c r="J846">
        <v>12</v>
      </c>
      <c r="K846">
        <v>0</v>
      </c>
      <c r="L846" s="1">
        <v>44317</v>
      </c>
      <c r="M846">
        <v>20</v>
      </c>
      <c r="N846" s="8" cm="1">
        <f t="array" ref="N846">_xlfn.SWITCH(Sales[[#This Row],[Subscription Type]],"Basic",10,"Premium",10,"Business",25,"Enterprise",27)</f>
        <v>10</v>
      </c>
      <c r="O846">
        <f>IF(Sales[[#This Row],[Number of Users]]-Sales[[#This Row],[Licenses Bought]]&lt;0,0,Sales[[#This Row],[Number of Users]]-Sales[[#This Row],[Licenses Bought]])</f>
        <v>1</v>
      </c>
      <c r="P846" s="8">
        <f>IF(Sales[[#This Row],[Sales Month]]=MAX(Sales[Sales Month]),Sales[[#This Row],[Non-Paying Users]]*Sales[[#This Row],[Upsell $ per Non-Paying User]],0)</f>
        <v>0</v>
      </c>
      <c r="Q846" t="str" cm="1">
        <f t="array" ref="Q846">_xlfn.IFS(Sales[[#This Row],[Current Upsell $]]=0,"",Sales[[#This Row],[Current Upsell $]]&gt;=400,"High",Sales[[#This Row],[Current Upsell $]]&gt;=100,"Medium",Sales[[#This Row],[Current Upsell $]]&lt;100,"Low")</f>
        <v/>
      </c>
      <c r="R846" t="str">
        <f>IF(Sales[[#This Row],[Current Upsell $]]&gt;0,_xlfn.CONCAT(Sales[[#This Row],[Subscription Type]]," ",Sales[[#This Row],[Upsell Priority]]," ",TEXT(Sales[[#This Row],[Current Upsell $]],"$#,#")),"")</f>
        <v/>
      </c>
    </row>
    <row r="847" spans="1:18" x14ac:dyDescent="0.25">
      <c r="A847">
        <v>100074</v>
      </c>
      <c r="B847" t="s">
        <v>0</v>
      </c>
      <c r="D847" s="1"/>
      <c r="E847" s="1"/>
      <c r="F847">
        <v>2</v>
      </c>
      <c r="G847">
        <v>3</v>
      </c>
      <c r="H847" s="1">
        <v>44013</v>
      </c>
      <c r="I847" s="1">
        <v>44378</v>
      </c>
      <c r="J847">
        <v>12</v>
      </c>
      <c r="K847">
        <v>0</v>
      </c>
      <c r="L847" s="1">
        <v>44348</v>
      </c>
      <c r="M847">
        <v>20</v>
      </c>
      <c r="N847" s="8" cm="1">
        <f t="array" ref="N847">_xlfn.SWITCH(Sales[[#This Row],[Subscription Type]],"Basic",10,"Premium",10,"Business",25,"Enterprise",27)</f>
        <v>10</v>
      </c>
      <c r="O847">
        <f>IF(Sales[[#This Row],[Number of Users]]-Sales[[#This Row],[Licenses Bought]]&lt;0,0,Sales[[#This Row],[Number of Users]]-Sales[[#This Row],[Licenses Bought]])</f>
        <v>1</v>
      </c>
      <c r="P847" s="8">
        <f>IF(Sales[[#This Row],[Sales Month]]=MAX(Sales[Sales Month]),Sales[[#This Row],[Non-Paying Users]]*Sales[[#This Row],[Upsell $ per Non-Paying User]],0)</f>
        <v>10</v>
      </c>
      <c r="Q847" t="str" cm="1">
        <f t="array" ref="Q847">_xlfn.IFS(Sales[[#This Row],[Current Upsell $]]=0,"",Sales[[#This Row],[Current Upsell $]]&gt;=400,"High",Sales[[#This Row],[Current Upsell $]]&gt;=100,"Medium",Sales[[#This Row],[Current Upsell $]]&lt;100,"Low")</f>
        <v>Low</v>
      </c>
      <c r="R847" t="str">
        <f>IF(Sales[[#This Row],[Current Upsell $]]&gt;0,_xlfn.CONCAT(Sales[[#This Row],[Subscription Type]]," ",Sales[[#This Row],[Upsell Priority]]," ",TEXT(Sales[[#This Row],[Current Upsell $]],"$#,#")),"")</f>
        <v>Premium Low $10</v>
      </c>
    </row>
    <row r="848" spans="1:18" x14ac:dyDescent="0.25">
      <c r="A848">
        <v>100075</v>
      </c>
      <c r="B848" t="s">
        <v>3</v>
      </c>
      <c r="F848">
        <v>0</v>
      </c>
      <c r="G848">
        <v>2</v>
      </c>
      <c r="H848" s="1">
        <v>44013</v>
      </c>
      <c r="I848" s="1">
        <v>44105</v>
      </c>
      <c r="J848">
        <v>3</v>
      </c>
      <c r="K848">
        <v>8</v>
      </c>
      <c r="L848" s="1">
        <v>44013</v>
      </c>
      <c r="M848">
        <v>0</v>
      </c>
      <c r="N848" s="8" cm="1">
        <f t="array" ref="N848">_xlfn.SWITCH(Sales[[#This Row],[Subscription Type]],"Basic",10,"Premium",10,"Business",25,"Enterprise",27)</f>
        <v>10</v>
      </c>
      <c r="O848">
        <f>IF(Sales[[#This Row],[Number of Users]]-Sales[[#This Row],[Licenses Bought]]&lt;0,0,Sales[[#This Row],[Number of Users]]-Sales[[#This Row],[Licenses Bought]])</f>
        <v>2</v>
      </c>
      <c r="P848" s="8">
        <f>IF(Sales[[#This Row],[Sales Month]]=MAX(Sales[Sales Month]),Sales[[#This Row],[Non-Paying Users]]*Sales[[#This Row],[Upsell $ per Non-Paying User]],0)</f>
        <v>0</v>
      </c>
      <c r="Q848" t="str" cm="1">
        <f t="array" ref="Q848">_xlfn.IFS(Sales[[#This Row],[Current Upsell $]]=0,"",Sales[[#This Row],[Current Upsell $]]&gt;=400,"High",Sales[[#This Row],[Current Upsell $]]&gt;=100,"Medium",Sales[[#This Row],[Current Upsell $]]&lt;100,"Low")</f>
        <v/>
      </c>
      <c r="R848" t="str">
        <f>IF(Sales[[#This Row],[Current Upsell $]]&gt;0,_xlfn.CONCAT(Sales[[#This Row],[Subscription Type]]," ",Sales[[#This Row],[Upsell Priority]]," ",TEXT(Sales[[#This Row],[Current Upsell $]],"$#,#")),"")</f>
        <v/>
      </c>
    </row>
    <row r="849" spans="1:18" x14ac:dyDescent="0.25">
      <c r="A849">
        <v>100075</v>
      </c>
      <c r="B849" t="s">
        <v>0</v>
      </c>
      <c r="F849">
        <v>1</v>
      </c>
      <c r="G849">
        <v>2</v>
      </c>
      <c r="H849" s="1">
        <v>44013</v>
      </c>
      <c r="I849" s="1">
        <v>44105</v>
      </c>
      <c r="J849">
        <v>3</v>
      </c>
      <c r="K849">
        <v>8</v>
      </c>
      <c r="L849" s="1">
        <v>44044</v>
      </c>
      <c r="M849">
        <v>10</v>
      </c>
      <c r="N849" s="8" cm="1">
        <f t="array" ref="N849">_xlfn.SWITCH(Sales[[#This Row],[Subscription Type]],"Basic",10,"Premium",10,"Business",25,"Enterprise",27)</f>
        <v>10</v>
      </c>
      <c r="O849">
        <f>IF(Sales[[#This Row],[Number of Users]]-Sales[[#This Row],[Licenses Bought]]&lt;0,0,Sales[[#This Row],[Number of Users]]-Sales[[#This Row],[Licenses Bought]])</f>
        <v>1</v>
      </c>
      <c r="P849" s="8">
        <f>IF(Sales[[#This Row],[Sales Month]]=MAX(Sales[Sales Month]),Sales[[#This Row],[Non-Paying Users]]*Sales[[#This Row],[Upsell $ per Non-Paying User]],0)</f>
        <v>0</v>
      </c>
      <c r="Q849" t="str" cm="1">
        <f t="array" ref="Q849">_xlfn.IFS(Sales[[#This Row],[Current Upsell $]]=0,"",Sales[[#This Row],[Current Upsell $]]&gt;=400,"High",Sales[[#This Row],[Current Upsell $]]&gt;=100,"Medium",Sales[[#This Row],[Current Upsell $]]&lt;100,"Low")</f>
        <v/>
      </c>
      <c r="R849" t="str">
        <f>IF(Sales[[#This Row],[Current Upsell $]]&gt;0,_xlfn.CONCAT(Sales[[#This Row],[Subscription Type]]," ",Sales[[#This Row],[Upsell Priority]]," ",TEXT(Sales[[#This Row],[Current Upsell $]],"$#,#")),"")</f>
        <v/>
      </c>
    </row>
    <row r="850" spans="1:18" x14ac:dyDescent="0.25">
      <c r="A850">
        <v>100075</v>
      </c>
      <c r="B850" t="s">
        <v>0</v>
      </c>
      <c r="F850">
        <v>1</v>
      </c>
      <c r="G850">
        <v>2</v>
      </c>
      <c r="H850" s="1">
        <v>44013</v>
      </c>
      <c r="I850" s="1">
        <v>44105</v>
      </c>
      <c r="J850">
        <v>3</v>
      </c>
      <c r="K850">
        <v>8</v>
      </c>
      <c r="L850" s="1">
        <v>44075</v>
      </c>
      <c r="M850">
        <v>10</v>
      </c>
      <c r="N850" s="8" cm="1">
        <f t="array" ref="N850">_xlfn.SWITCH(Sales[[#This Row],[Subscription Type]],"Basic",10,"Premium",10,"Business",25,"Enterprise",27)</f>
        <v>10</v>
      </c>
      <c r="O850">
        <f>IF(Sales[[#This Row],[Number of Users]]-Sales[[#This Row],[Licenses Bought]]&lt;0,0,Sales[[#This Row],[Number of Users]]-Sales[[#This Row],[Licenses Bought]])</f>
        <v>1</v>
      </c>
      <c r="P850" s="8">
        <f>IF(Sales[[#This Row],[Sales Month]]=MAX(Sales[Sales Month]),Sales[[#This Row],[Non-Paying Users]]*Sales[[#This Row],[Upsell $ per Non-Paying User]],0)</f>
        <v>0</v>
      </c>
      <c r="Q850" t="str" cm="1">
        <f t="array" ref="Q850">_xlfn.IFS(Sales[[#This Row],[Current Upsell $]]=0,"",Sales[[#This Row],[Current Upsell $]]&gt;=400,"High",Sales[[#This Row],[Current Upsell $]]&gt;=100,"Medium",Sales[[#This Row],[Current Upsell $]]&lt;100,"Low")</f>
        <v/>
      </c>
      <c r="R850" t="str">
        <f>IF(Sales[[#This Row],[Current Upsell $]]&gt;0,_xlfn.CONCAT(Sales[[#This Row],[Subscription Type]]," ",Sales[[#This Row],[Upsell Priority]]," ",TEXT(Sales[[#This Row],[Current Upsell $]],"$#,#")),"")</f>
        <v/>
      </c>
    </row>
    <row r="851" spans="1:18" x14ac:dyDescent="0.25">
      <c r="A851">
        <v>100075</v>
      </c>
      <c r="B851" t="s">
        <v>0</v>
      </c>
      <c r="F851">
        <v>1</v>
      </c>
      <c r="G851">
        <v>1</v>
      </c>
      <c r="H851" s="1">
        <v>44013</v>
      </c>
      <c r="I851" s="1">
        <v>44105</v>
      </c>
      <c r="J851">
        <v>3</v>
      </c>
      <c r="K851">
        <v>8</v>
      </c>
      <c r="L851" s="1">
        <v>44105</v>
      </c>
      <c r="M851">
        <v>10</v>
      </c>
      <c r="N851" s="8" cm="1">
        <f t="array" ref="N851">_xlfn.SWITCH(Sales[[#This Row],[Subscription Type]],"Basic",10,"Premium",10,"Business",25,"Enterprise",27)</f>
        <v>10</v>
      </c>
      <c r="O851">
        <f>IF(Sales[[#This Row],[Number of Users]]-Sales[[#This Row],[Licenses Bought]]&lt;0,0,Sales[[#This Row],[Number of Users]]-Sales[[#This Row],[Licenses Bought]])</f>
        <v>0</v>
      </c>
      <c r="P851" s="8">
        <f>IF(Sales[[#This Row],[Sales Month]]=MAX(Sales[Sales Month]),Sales[[#This Row],[Non-Paying Users]]*Sales[[#This Row],[Upsell $ per Non-Paying User]],0)</f>
        <v>0</v>
      </c>
      <c r="Q851" t="str" cm="1">
        <f t="array" ref="Q851">_xlfn.IFS(Sales[[#This Row],[Current Upsell $]]=0,"",Sales[[#This Row],[Current Upsell $]]&gt;=400,"High",Sales[[#This Row],[Current Upsell $]]&gt;=100,"Medium",Sales[[#This Row],[Current Upsell $]]&lt;100,"Low")</f>
        <v/>
      </c>
      <c r="R851" t="str">
        <f>IF(Sales[[#This Row],[Current Upsell $]]&gt;0,_xlfn.CONCAT(Sales[[#This Row],[Subscription Type]]," ",Sales[[#This Row],[Upsell Priority]]," ",TEXT(Sales[[#This Row],[Current Upsell $]],"$#,#")),"")</f>
        <v/>
      </c>
    </row>
    <row r="852" spans="1:18" x14ac:dyDescent="0.25">
      <c r="A852">
        <v>100076</v>
      </c>
      <c r="B852" t="s">
        <v>3</v>
      </c>
      <c r="F852">
        <v>0</v>
      </c>
      <c r="G852">
        <v>2</v>
      </c>
      <c r="H852" s="1">
        <v>44013</v>
      </c>
      <c r="I852" s="1">
        <v>44317</v>
      </c>
      <c r="J852">
        <v>10</v>
      </c>
      <c r="K852">
        <v>1</v>
      </c>
      <c r="L852" s="1">
        <v>44013</v>
      </c>
      <c r="M852">
        <v>0</v>
      </c>
      <c r="N852" s="8" cm="1">
        <f t="array" ref="N852">_xlfn.SWITCH(Sales[[#This Row],[Subscription Type]],"Basic",10,"Premium",10,"Business",25,"Enterprise",27)</f>
        <v>10</v>
      </c>
      <c r="O852">
        <f>IF(Sales[[#This Row],[Number of Users]]-Sales[[#This Row],[Licenses Bought]]&lt;0,0,Sales[[#This Row],[Number of Users]]-Sales[[#This Row],[Licenses Bought]])</f>
        <v>2</v>
      </c>
      <c r="P852" s="8">
        <f>IF(Sales[[#This Row],[Sales Month]]=MAX(Sales[Sales Month]),Sales[[#This Row],[Non-Paying Users]]*Sales[[#This Row],[Upsell $ per Non-Paying User]],0)</f>
        <v>0</v>
      </c>
      <c r="Q852" t="str" cm="1">
        <f t="array" ref="Q852">_xlfn.IFS(Sales[[#This Row],[Current Upsell $]]=0,"",Sales[[#This Row],[Current Upsell $]]&gt;=400,"High",Sales[[#This Row],[Current Upsell $]]&gt;=100,"Medium",Sales[[#This Row],[Current Upsell $]]&lt;100,"Low")</f>
        <v/>
      </c>
      <c r="R852" t="str">
        <f>IF(Sales[[#This Row],[Current Upsell $]]&gt;0,_xlfn.CONCAT(Sales[[#This Row],[Subscription Type]]," ",Sales[[#This Row],[Upsell Priority]]," ",TEXT(Sales[[#This Row],[Current Upsell $]],"$#,#")),"")</f>
        <v/>
      </c>
    </row>
    <row r="853" spans="1:18" x14ac:dyDescent="0.25">
      <c r="A853">
        <v>100076</v>
      </c>
      <c r="B853" t="s">
        <v>3</v>
      </c>
      <c r="F853">
        <v>0</v>
      </c>
      <c r="G853">
        <v>2</v>
      </c>
      <c r="H853" s="1">
        <v>44013</v>
      </c>
      <c r="I853" s="1">
        <v>44317</v>
      </c>
      <c r="J853">
        <v>10</v>
      </c>
      <c r="K853">
        <v>1</v>
      </c>
      <c r="L853" s="1">
        <v>44044</v>
      </c>
      <c r="M853">
        <v>0</v>
      </c>
      <c r="N853" s="8" cm="1">
        <f t="array" ref="N853">_xlfn.SWITCH(Sales[[#This Row],[Subscription Type]],"Basic",10,"Premium",10,"Business",25,"Enterprise",27)</f>
        <v>10</v>
      </c>
      <c r="O853">
        <f>IF(Sales[[#This Row],[Number of Users]]-Sales[[#This Row],[Licenses Bought]]&lt;0,0,Sales[[#This Row],[Number of Users]]-Sales[[#This Row],[Licenses Bought]])</f>
        <v>2</v>
      </c>
      <c r="P853" s="8">
        <f>IF(Sales[[#This Row],[Sales Month]]=MAX(Sales[Sales Month]),Sales[[#This Row],[Non-Paying Users]]*Sales[[#This Row],[Upsell $ per Non-Paying User]],0)</f>
        <v>0</v>
      </c>
      <c r="Q853" t="str" cm="1">
        <f t="array" ref="Q853">_xlfn.IFS(Sales[[#This Row],[Current Upsell $]]=0,"",Sales[[#This Row],[Current Upsell $]]&gt;=400,"High",Sales[[#This Row],[Current Upsell $]]&gt;=100,"Medium",Sales[[#This Row],[Current Upsell $]]&lt;100,"Low")</f>
        <v/>
      </c>
      <c r="R853" t="str">
        <f>IF(Sales[[#This Row],[Current Upsell $]]&gt;0,_xlfn.CONCAT(Sales[[#This Row],[Subscription Type]]," ",Sales[[#This Row],[Upsell Priority]]," ",TEXT(Sales[[#This Row],[Current Upsell $]],"$#,#")),"")</f>
        <v/>
      </c>
    </row>
    <row r="854" spans="1:18" x14ac:dyDescent="0.25">
      <c r="A854">
        <v>100076</v>
      </c>
      <c r="B854" t="s">
        <v>3</v>
      </c>
      <c r="F854">
        <v>0</v>
      </c>
      <c r="G854">
        <v>2</v>
      </c>
      <c r="H854" s="1">
        <v>44013</v>
      </c>
      <c r="I854" s="1">
        <v>44317</v>
      </c>
      <c r="J854">
        <v>10</v>
      </c>
      <c r="K854">
        <v>1</v>
      </c>
      <c r="L854" s="1">
        <v>44075</v>
      </c>
      <c r="M854">
        <v>0</v>
      </c>
      <c r="N854" s="8" cm="1">
        <f t="array" ref="N854">_xlfn.SWITCH(Sales[[#This Row],[Subscription Type]],"Basic",10,"Premium",10,"Business",25,"Enterprise",27)</f>
        <v>10</v>
      </c>
      <c r="O854">
        <f>IF(Sales[[#This Row],[Number of Users]]-Sales[[#This Row],[Licenses Bought]]&lt;0,0,Sales[[#This Row],[Number of Users]]-Sales[[#This Row],[Licenses Bought]])</f>
        <v>2</v>
      </c>
      <c r="P854" s="8">
        <f>IF(Sales[[#This Row],[Sales Month]]=MAX(Sales[Sales Month]),Sales[[#This Row],[Non-Paying Users]]*Sales[[#This Row],[Upsell $ per Non-Paying User]],0)</f>
        <v>0</v>
      </c>
      <c r="Q854" t="str" cm="1">
        <f t="array" ref="Q854">_xlfn.IFS(Sales[[#This Row],[Current Upsell $]]=0,"",Sales[[#This Row],[Current Upsell $]]&gt;=400,"High",Sales[[#This Row],[Current Upsell $]]&gt;=100,"Medium",Sales[[#This Row],[Current Upsell $]]&lt;100,"Low")</f>
        <v/>
      </c>
      <c r="R854" t="str">
        <f>IF(Sales[[#This Row],[Current Upsell $]]&gt;0,_xlfn.CONCAT(Sales[[#This Row],[Subscription Type]]," ",Sales[[#This Row],[Upsell Priority]]," ",TEXT(Sales[[#This Row],[Current Upsell $]],"$#,#")),"")</f>
        <v/>
      </c>
    </row>
    <row r="855" spans="1:18" x14ac:dyDescent="0.25">
      <c r="A855">
        <v>100076</v>
      </c>
      <c r="B855" t="s">
        <v>3</v>
      </c>
      <c r="F855">
        <v>0</v>
      </c>
      <c r="G855">
        <v>2</v>
      </c>
      <c r="H855" s="1">
        <v>44013</v>
      </c>
      <c r="I855" s="1">
        <v>44317</v>
      </c>
      <c r="J855">
        <v>10</v>
      </c>
      <c r="K855">
        <v>1</v>
      </c>
      <c r="L855" s="1">
        <v>44105</v>
      </c>
      <c r="M855">
        <v>0</v>
      </c>
      <c r="N855" s="8" cm="1">
        <f t="array" ref="N855">_xlfn.SWITCH(Sales[[#This Row],[Subscription Type]],"Basic",10,"Premium",10,"Business",25,"Enterprise",27)</f>
        <v>10</v>
      </c>
      <c r="O855">
        <f>IF(Sales[[#This Row],[Number of Users]]-Sales[[#This Row],[Licenses Bought]]&lt;0,0,Sales[[#This Row],[Number of Users]]-Sales[[#This Row],[Licenses Bought]])</f>
        <v>2</v>
      </c>
      <c r="P855" s="8">
        <f>IF(Sales[[#This Row],[Sales Month]]=MAX(Sales[Sales Month]),Sales[[#This Row],[Non-Paying Users]]*Sales[[#This Row],[Upsell $ per Non-Paying User]],0)</f>
        <v>0</v>
      </c>
      <c r="Q855" t="str" cm="1">
        <f t="array" ref="Q855">_xlfn.IFS(Sales[[#This Row],[Current Upsell $]]=0,"",Sales[[#This Row],[Current Upsell $]]&gt;=400,"High",Sales[[#This Row],[Current Upsell $]]&gt;=100,"Medium",Sales[[#This Row],[Current Upsell $]]&lt;100,"Low")</f>
        <v/>
      </c>
      <c r="R855" t="str">
        <f>IF(Sales[[#This Row],[Current Upsell $]]&gt;0,_xlfn.CONCAT(Sales[[#This Row],[Subscription Type]]," ",Sales[[#This Row],[Upsell Priority]]," ",TEXT(Sales[[#This Row],[Current Upsell $]],"$#,#")),"")</f>
        <v/>
      </c>
    </row>
    <row r="856" spans="1:18" x14ac:dyDescent="0.25">
      <c r="A856">
        <v>100076</v>
      </c>
      <c r="B856" t="s">
        <v>3</v>
      </c>
      <c r="F856">
        <v>0</v>
      </c>
      <c r="G856">
        <v>1</v>
      </c>
      <c r="H856" s="1">
        <v>44013</v>
      </c>
      <c r="I856" s="1">
        <v>44317</v>
      </c>
      <c r="J856">
        <v>10</v>
      </c>
      <c r="K856">
        <v>1</v>
      </c>
      <c r="L856" s="1">
        <v>44136</v>
      </c>
      <c r="M856">
        <v>0</v>
      </c>
      <c r="N856" s="8" cm="1">
        <f t="array" ref="N856">_xlfn.SWITCH(Sales[[#This Row],[Subscription Type]],"Basic",10,"Premium",10,"Business",25,"Enterprise",27)</f>
        <v>10</v>
      </c>
      <c r="O856">
        <f>IF(Sales[[#This Row],[Number of Users]]-Sales[[#This Row],[Licenses Bought]]&lt;0,0,Sales[[#This Row],[Number of Users]]-Sales[[#This Row],[Licenses Bought]])</f>
        <v>1</v>
      </c>
      <c r="P856" s="8">
        <f>IF(Sales[[#This Row],[Sales Month]]=MAX(Sales[Sales Month]),Sales[[#This Row],[Non-Paying Users]]*Sales[[#This Row],[Upsell $ per Non-Paying User]],0)</f>
        <v>0</v>
      </c>
      <c r="Q856" t="str" cm="1">
        <f t="array" ref="Q856">_xlfn.IFS(Sales[[#This Row],[Current Upsell $]]=0,"",Sales[[#This Row],[Current Upsell $]]&gt;=400,"High",Sales[[#This Row],[Current Upsell $]]&gt;=100,"Medium",Sales[[#This Row],[Current Upsell $]]&lt;100,"Low")</f>
        <v/>
      </c>
      <c r="R856" t="str">
        <f>IF(Sales[[#This Row],[Current Upsell $]]&gt;0,_xlfn.CONCAT(Sales[[#This Row],[Subscription Type]]," ",Sales[[#This Row],[Upsell Priority]]," ",TEXT(Sales[[#This Row],[Current Upsell $]],"$#,#")),"")</f>
        <v/>
      </c>
    </row>
    <row r="857" spans="1:18" x14ac:dyDescent="0.25">
      <c r="A857">
        <v>100076</v>
      </c>
      <c r="B857" t="s">
        <v>3</v>
      </c>
      <c r="F857">
        <v>0</v>
      </c>
      <c r="G857">
        <v>2</v>
      </c>
      <c r="H857" s="1">
        <v>44013</v>
      </c>
      <c r="I857" s="1">
        <v>44317</v>
      </c>
      <c r="J857">
        <v>10</v>
      </c>
      <c r="K857">
        <v>1</v>
      </c>
      <c r="L857" s="1">
        <v>44166</v>
      </c>
      <c r="M857">
        <v>0</v>
      </c>
      <c r="N857" s="8" cm="1">
        <f t="array" ref="N857">_xlfn.SWITCH(Sales[[#This Row],[Subscription Type]],"Basic",10,"Premium",10,"Business",25,"Enterprise",27)</f>
        <v>10</v>
      </c>
      <c r="O857">
        <f>IF(Sales[[#This Row],[Number of Users]]-Sales[[#This Row],[Licenses Bought]]&lt;0,0,Sales[[#This Row],[Number of Users]]-Sales[[#This Row],[Licenses Bought]])</f>
        <v>2</v>
      </c>
      <c r="P857" s="8">
        <f>IF(Sales[[#This Row],[Sales Month]]=MAX(Sales[Sales Month]),Sales[[#This Row],[Non-Paying Users]]*Sales[[#This Row],[Upsell $ per Non-Paying User]],0)</f>
        <v>0</v>
      </c>
      <c r="Q857" t="str" cm="1">
        <f t="array" ref="Q857">_xlfn.IFS(Sales[[#This Row],[Current Upsell $]]=0,"",Sales[[#This Row],[Current Upsell $]]&gt;=400,"High",Sales[[#This Row],[Current Upsell $]]&gt;=100,"Medium",Sales[[#This Row],[Current Upsell $]]&lt;100,"Low")</f>
        <v/>
      </c>
      <c r="R857" t="str">
        <f>IF(Sales[[#This Row],[Current Upsell $]]&gt;0,_xlfn.CONCAT(Sales[[#This Row],[Subscription Type]]," ",Sales[[#This Row],[Upsell Priority]]," ",TEXT(Sales[[#This Row],[Current Upsell $]],"$#,#")),"")</f>
        <v/>
      </c>
    </row>
    <row r="858" spans="1:18" x14ac:dyDescent="0.25">
      <c r="A858">
        <v>100076</v>
      </c>
      <c r="B858" t="s">
        <v>3</v>
      </c>
      <c r="F858">
        <v>0</v>
      </c>
      <c r="G858">
        <v>2</v>
      </c>
      <c r="H858" s="1">
        <v>44013</v>
      </c>
      <c r="I858" s="1">
        <v>44317</v>
      </c>
      <c r="J858">
        <v>10</v>
      </c>
      <c r="K858">
        <v>1</v>
      </c>
      <c r="L858" s="1">
        <v>44197</v>
      </c>
      <c r="M858">
        <v>0</v>
      </c>
      <c r="N858" s="8" cm="1">
        <f t="array" ref="N858">_xlfn.SWITCH(Sales[[#This Row],[Subscription Type]],"Basic",10,"Premium",10,"Business",25,"Enterprise",27)</f>
        <v>10</v>
      </c>
      <c r="O858">
        <f>IF(Sales[[#This Row],[Number of Users]]-Sales[[#This Row],[Licenses Bought]]&lt;0,0,Sales[[#This Row],[Number of Users]]-Sales[[#This Row],[Licenses Bought]])</f>
        <v>2</v>
      </c>
      <c r="P858" s="8">
        <f>IF(Sales[[#This Row],[Sales Month]]=MAX(Sales[Sales Month]),Sales[[#This Row],[Non-Paying Users]]*Sales[[#This Row],[Upsell $ per Non-Paying User]],0)</f>
        <v>0</v>
      </c>
      <c r="Q858" t="str" cm="1">
        <f t="array" ref="Q858">_xlfn.IFS(Sales[[#This Row],[Current Upsell $]]=0,"",Sales[[#This Row],[Current Upsell $]]&gt;=400,"High",Sales[[#This Row],[Current Upsell $]]&gt;=100,"Medium",Sales[[#This Row],[Current Upsell $]]&lt;100,"Low")</f>
        <v/>
      </c>
      <c r="R858" t="str">
        <f>IF(Sales[[#This Row],[Current Upsell $]]&gt;0,_xlfn.CONCAT(Sales[[#This Row],[Subscription Type]]," ",Sales[[#This Row],[Upsell Priority]]," ",TEXT(Sales[[#This Row],[Current Upsell $]],"$#,#")),"")</f>
        <v/>
      </c>
    </row>
    <row r="859" spans="1:18" x14ac:dyDescent="0.25">
      <c r="A859">
        <v>100076</v>
      </c>
      <c r="B859" t="s">
        <v>3</v>
      </c>
      <c r="F859">
        <v>0</v>
      </c>
      <c r="G859">
        <v>2</v>
      </c>
      <c r="H859" s="1">
        <v>44013</v>
      </c>
      <c r="I859" s="1">
        <v>44317</v>
      </c>
      <c r="J859">
        <v>10</v>
      </c>
      <c r="K859">
        <v>1</v>
      </c>
      <c r="L859" s="1">
        <v>44228</v>
      </c>
      <c r="M859">
        <v>0</v>
      </c>
      <c r="N859" s="8" cm="1">
        <f t="array" ref="N859">_xlfn.SWITCH(Sales[[#This Row],[Subscription Type]],"Basic",10,"Premium",10,"Business",25,"Enterprise",27)</f>
        <v>10</v>
      </c>
      <c r="O859">
        <f>IF(Sales[[#This Row],[Number of Users]]-Sales[[#This Row],[Licenses Bought]]&lt;0,0,Sales[[#This Row],[Number of Users]]-Sales[[#This Row],[Licenses Bought]])</f>
        <v>2</v>
      </c>
      <c r="P859" s="8">
        <f>IF(Sales[[#This Row],[Sales Month]]=MAX(Sales[Sales Month]),Sales[[#This Row],[Non-Paying Users]]*Sales[[#This Row],[Upsell $ per Non-Paying User]],0)</f>
        <v>0</v>
      </c>
      <c r="Q859" t="str" cm="1">
        <f t="array" ref="Q859">_xlfn.IFS(Sales[[#This Row],[Current Upsell $]]=0,"",Sales[[#This Row],[Current Upsell $]]&gt;=400,"High",Sales[[#This Row],[Current Upsell $]]&gt;=100,"Medium",Sales[[#This Row],[Current Upsell $]]&lt;100,"Low")</f>
        <v/>
      </c>
      <c r="R859" t="str">
        <f>IF(Sales[[#This Row],[Current Upsell $]]&gt;0,_xlfn.CONCAT(Sales[[#This Row],[Subscription Type]]," ",Sales[[#This Row],[Upsell Priority]]," ",TEXT(Sales[[#This Row],[Current Upsell $]],"$#,#")),"")</f>
        <v/>
      </c>
    </row>
    <row r="860" spans="1:18" x14ac:dyDescent="0.25">
      <c r="A860">
        <v>100076</v>
      </c>
      <c r="B860" t="s">
        <v>3</v>
      </c>
      <c r="F860">
        <v>0</v>
      </c>
      <c r="G860">
        <v>2</v>
      </c>
      <c r="H860" s="1">
        <v>44013</v>
      </c>
      <c r="I860" s="1">
        <v>44317</v>
      </c>
      <c r="J860">
        <v>10</v>
      </c>
      <c r="K860">
        <v>1</v>
      </c>
      <c r="L860" s="1">
        <v>44256</v>
      </c>
      <c r="M860">
        <v>0</v>
      </c>
      <c r="N860" s="8" cm="1">
        <f t="array" ref="N860">_xlfn.SWITCH(Sales[[#This Row],[Subscription Type]],"Basic",10,"Premium",10,"Business",25,"Enterprise",27)</f>
        <v>10</v>
      </c>
      <c r="O860">
        <f>IF(Sales[[#This Row],[Number of Users]]-Sales[[#This Row],[Licenses Bought]]&lt;0,0,Sales[[#This Row],[Number of Users]]-Sales[[#This Row],[Licenses Bought]])</f>
        <v>2</v>
      </c>
      <c r="P860" s="8">
        <f>IF(Sales[[#This Row],[Sales Month]]=MAX(Sales[Sales Month]),Sales[[#This Row],[Non-Paying Users]]*Sales[[#This Row],[Upsell $ per Non-Paying User]],0)</f>
        <v>0</v>
      </c>
      <c r="Q860" t="str" cm="1">
        <f t="array" ref="Q860">_xlfn.IFS(Sales[[#This Row],[Current Upsell $]]=0,"",Sales[[#This Row],[Current Upsell $]]&gt;=400,"High",Sales[[#This Row],[Current Upsell $]]&gt;=100,"Medium",Sales[[#This Row],[Current Upsell $]]&lt;100,"Low")</f>
        <v/>
      </c>
      <c r="R860" t="str">
        <f>IF(Sales[[#This Row],[Current Upsell $]]&gt;0,_xlfn.CONCAT(Sales[[#This Row],[Subscription Type]]," ",Sales[[#This Row],[Upsell Priority]]," ",TEXT(Sales[[#This Row],[Current Upsell $]],"$#,#")),"")</f>
        <v/>
      </c>
    </row>
    <row r="861" spans="1:18" x14ac:dyDescent="0.25">
      <c r="A861">
        <v>100076</v>
      </c>
      <c r="B861" t="s">
        <v>3</v>
      </c>
      <c r="F861">
        <v>0</v>
      </c>
      <c r="G861">
        <v>2</v>
      </c>
      <c r="H861" s="1">
        <v>44013</v>
      </c>
      <c r="I861" s="1">
        <v>44317</v>
      </c>
      <c r="J861">
        <v>10</v>
      </c>
      <c r="K861">
        <v>1</v>
      </c>
      <c r="L861" s="1">
        <v>44287</v>
      </c>
      <c r="M861">
        <v>0</v>
      </c>
      <c r="N861" s="8" cm="1">
        <f t="array" ref="N861">_xlfn.SWITCH(Sales[[#This Row],[Subscription Type]],"Basic",10,"Premium",10,"Business",25,"Enterprise",27)</f>
        <v>10</v>
      </c>
      <c r="O861">
        <f>IF(Sales[[#This Row],[Number of Users]]-Sales[[#This Row],[Licenses Bought]]&lt;0,0,Sales[[#This Row],[Number of Users]]-Sales[[#This Row],[Licenses Bought]])</f>
        <v>2</v>
      </c>
      <c r="P861" s="8">
        <f>IF(Sales[[#This Row],[Sales Month]]=MAX(Sales[Sales Month]),Sales[[#This Row],[Non-Paying Users]]*Sales[[#This Row],[Upsell $ per Non-Paying User]],0)</f>
        <v>0</v>
      </c>
      <c r="Q861" t="str" cm="1">
        <f t="array" ref="Q861">_xlfn.IFS(Sales[[#This Row],[Current Upsell $]]=0,"",Sales[[#This Row],[Current Upsell $]]&gt;=400,"High",Sales[[#This Row],[Current Upsell $]]&gt;=100,"Medium",Sales[[#This Row],[Current Upsell $]]&lt;100,"Low")</f>
        <v/>
      </c>
      <c r="R861" t="str">
        <f>IF(Sales[[#This Row],[Current Upsell $]]&gt;0,_xlfn.CONCAT(Sales[[#This Row],[Subscription Type]]," ",Sales[[#This Row],[Upsell Priority]]," ",TEXT(Sales[[#This Row],[Current Upsell $]],"$#,#")),"")</f>
        <v/>
      </c>
    </row>
    <row r="862" spans="1:18" x14ac:dyDescent="0.25">
      <c r="A862">
        <v>100076</v>
      </c>
      <c r="B862" t="s">
        <v>3</v>
      </c>
      <c r="F862">
        <v>0</v>
      </c>
      <c r="G862">
        <v>2</v>
      </c>
      <c r="H862" s="1">
        <v>44013</v>
      </c>
      <c r="I862" s="1">
        <v>44317</v>
      </c>
      <c r="J862">
        <v>10</v>
      </c>
      <c r="K862">
        <v>1</v>
      </c>
      <c r="L862" s="1">
        <v>44317</v>
      </c>
      <c r="M862">
        <v>0</v>
      </c>
      <c r="N862" s="8" cm="1">
        <f t="array" ref="N862">_xlfn.SWITCH(Sales[[#This Row],[Subscription Type]],"Basic",10,"Premium",10,"Business",25,"Enterprise",27)</f>
        <v>10</v>
      </c>
      <c r="O862">
        <f>IF(Sales[[#This Row],[Number of Users]]-Sales[[#This Row],[Licenses Bought]]&lt;0,0,Sales[[#This Row],[Number of Users]]-Sales[[#This Row],[Licenses Bought]])</f>
        <v>2</v>
      </c>
      <c r="P862" s="8">
        <f>IF(Sales[[#This Row],[Sales Month]]=MAX(Sales[Sales Month]),Sales[[#This Row],[Non-Paying Users]]*Sales[[#This Row],[Upsell $ per Non-Paying User]],0)</f>
        <v>0</v>
      </c>
      <c r="Q862" t="str" cm="1">
        <f t="array" ref="Q862">_xlfn.IFS(Sales[[#This Row],[Current Upsell $]]=0,"",Sales[[#This Row],[Current Upsell $]]&gt;=400,"High",Sales[[#This Row],[Current Upsell $]]&gt;=100,"Medium",Sales[[#This Row],[Current Upsell $]]&lt;100,"Low")</f>
        <v/>
      </c>
      <c r="R862" t="str">
        <f>IF(Sales[[#This Row],[Current Upsell $]]&gt;0,_xlfn.CONCAT(Sales[[#This Row],[Subscription Type]]," ",Sales[[#This Row],[Upsell Priority]]," ",TEXT(Sales[[#This Row],[Current Upsell $]],"$#,#")),"")</f>
        <v/>
      </c>
    </row>
    <row r="863" spans="1:18" x14ac:dyDescent="0.25">
      <c r="A863">
        <v>100077</v>
      </c>
      <c r="B863" t="s">
        <v>3</v>
      </c>
      <c r="F863">
        <v>0</v>
      </c>
      <c r="G863">
        <v>2</v>
      </c>
      <c r="H863" s="1">
        <v>44013</v>
      </c>
      <c r="I863" s="1">
        <v>44317</v>
      </c>
      <c r="J863">
        <v>10</v>
      </c>
      <c r="K863">
        <v>1</v>
      </c>
      <c r="L863" s="1">
        <v>44013</v>
      </c>
      <c r="M863">
        <v>0</v>
      </c>
      <c r="N863" s="8" cm="1">
        <f t="array" ref="N863">_xlfn.SWITCH(Sales[[#This Row],[Subscription Type]],"Basic",10,"Premium",10,"Business",25,"Enterprise",27)</f>
        <v>10</v>
      </c>
      <c r="O863">
        <f>IF(Sales[[#This Row],[Number of Users]]-Sales[[#This Row],[Licenses Bought]]&lt;0,0,Sales[[#This Row],[Number of Users]]-Sales[[#This Row],[Licenses Bought]])</f>
        <v>2</v>
      </c>
      <c r="P863" s="8">
        <f>IF(Sales[[#This Row],[Sales Month]]=MAX(Sales[Sales Month]),Sales[[#This Row],[Non-Paying Users]]*Sales[[#This Row],[Upsell $ per Non-Paying User]],0)</f>
        <v>0</v>
      </c>
      <c r="Q863" t="str" cm="1">
        <f t="array" ref="Q863">_xlfn.IFS(Sales[[#This Row],[Current Upsell $]]=0,"",Sales[[#This Row],[Current Upsell $]]&gt;=400,"High",Sales[[#This Row],[Current Upsell $]]&gt;=100,"Medium",Sales[[#This Row],[Current Upsell $]]&lt;100,"Low")</f>
        <v/>
      </c>
      <c r="R863" t="str">
        <f>IF(Sales[[#This Row],[Current Upsell $]]&gt;0,_xlfn.CONCAT(Sales[[#This Row],[Subscription Type]]," ",Sales[[#This Row],[Upsell Priority]]," ",TEXT(Sales[[#This Row],[Current Upsell $]],"$#,#")),"")</f>
        <v/>
      </c>
    </row>
    <row r="864" spans="1:18" x14ac:dyDescent="0.25">
      <c r="A864">
        <v>100077</v>
      </c>
      <c r="B864" t="s">
        <v>3</v>
      </c>
      <c r="F864">
        <v>0</v>
      </c>
      <c r="G864">
        <v>2</v>
      </c>
      <c r="H864" s="1">
        <v>44013</v>
      </c>
      <c r="I864" s="1">
        <v>44317</v>
      </c>
      <c r="J864">
        <v>10</v>
      </c>
      <c r="K864">
        <v>1</v>
      </c>
      <c r="L864" s="1">
        <v>44044</v>
      </c>
      <c r="M864">
        <v>0</v>
      </c>
      <c r="N864" s="8" cm="1">
        <f t="array" ref="N864">_xlfn.SWITCH(Sales[[#This Row],[Subscription Type]],"Basic",10,"Premium",10,"Business",25,"Enterprise",27)</f>
        <v>10</v>
      </c>
      <c r="O864">
        <f>IF(Sales[[#This Row],[Number of Users]]-Sales[[#This Row],[Licenses Bought]]&lt;0,0,Sales[[#This Row],[Number of Users]]-Sales[[#This Row],[Licenses Bought]])</f>
        <v>2</v>
      </c>
      <c r="P864" s="8">
        <f>IF(Sales[[#This Row],[Sales Month]]=MAX(Sales[Sales Month]),Sales[[#This Row],[Non-Paying Users]]*Sales[[#This Row],[Upsell $ per Non-Paying User]],0)</f>
        <v>0</v>
      </c>
      <c r="Q864" t="str" cm="1">
        <f t="array" ref="Q864">_xlfn.IFS(Sales[[#This Row],[Current Upsell $]]=0,"",Sales[[#This Row],[Current Upsell $]]&gt;=400,"High",Sales[[#This Row],[Current Upsell $]]&gt;=100,"Medium",Sales[[#This Row],[Current Upsell $]]&lt;100,"Low")</f>
        <v/>
      </c>
      <c r="R864" t="str">
        <f>IF(Sales[[#This Row],[Current Upsell $]]&gt;0,_xlfn.CONCAT(Sales[[#This Row],[Subscription Type]]," ",Sales[[#This Row],[Upsell Priority]]," ",TEXT(Sales[[#This Row],[Current Upsell $]],"$#,#")),"")</f>
        <v/>
      </c>
    </row>
    <row r="865" spans="1:18" x14ac:dyDescent="0.25">
      <c r="A865">
        <v>100077</v>
      </c>
      <c r="B865" t="s">
        <v>3</v>
      </c>
      <c r="F865">
        <v>0</v>
      </c>
      <c r="G865">
        <v>2</v>
      </c>
      <c r="H865" s="1">
        <v>44013</v>
      </c>
      <c r="I865" s="1">
        <v>44317</v>
      </c>
      <c r="J865">
        <v>10</v>
      </c>
      <c r="K865">
        <v>1</v>
      </c>
      <c r="L865" s="1">
        <v>44075</v>
      </c>
      <c r="M865">
        <v>0</v>
      </c>
      <c r="N865" s="8" cm="1">
        <f t="array" ref="N865">_xlfn.SWITCH(Sales[[#This Row],[Subscription Type]],"Basic",10,"Premium",10,"Business",25,"Enterprise",27)</f>
        <v>10</v>
      </c>
      <c r="O865">
        <f>IF(Sales[[#This Row],[Number of Users]]-Sales[[#This Row],[Licenses Bought]]&lt;0,0,Sales[[#This Row],[Number of Users]]-Sales[[#This Row],[Licenses Bought]])</f>
        <v>2</v>
      </c>
      <c r="P865" s="8">
        <f>IF(Sales[[#This Row],[Sales Month]]=MAX(Sales[Sales Month]),Sales[[#This Row],[Non-Paying Users]]*Sales[[#This Row],[Upsell $ per Non-Paying User]],0)</f>
        <v>0</v>
      </c>
      <c r="Q865" t="str" cm="1">
        <f t="array" ref="Q865">_xlfn.IFS(Sales[[#This Row],[Current Upsell $]]=0,"",Sales[[#This Row],[Current Upsell $]]&gt;=400,"High",Sales[[#This Row],[Current Upsell $]]&gt;=100,"Medium",Sales[[#This Row],[Current Upsell $]]&lt;100,"Low")</f>
        <v/>
      </c>
      <c r="R865" t="str">
        <f>IF(Sales[[#This Row],[Current Upsell $]]&gt;0,_xlfn.CONCAT(Sales[[#This Row],[Subscription Type]]," ",Sales[[#This Row],[Upsell Priority]]," ",TEXT(Sales[[#This Row],[Current Upsell $]],"$#,#")),"")</f>
        <v/>
      </c>
    </row>
    <row r="866" spans="1:18" x14ac:dyDescent="0.25">
      <c r="A866">
        <v>100077</v>
      </c>
      <c r="B866" t="s">
        <v>3</v>
      </c>
      <c r="F866">
        <v>0</v>
      </c>
      <c r="G866">
        <v>2</v>
      </c>
      <c r="H866" s="1">
        <v>44013</v>
      </c>
      <c r="I866" s="1">
        <v>44317</v>
      </c>
      <c r="J866">
        <v>10</v>
      </c>
      <c r="K866">
        <v>1</v>
      </c>
      <c r="L866" s="1">
        <v>44105</v>
      </c>
      <c r="M866">
        <v>0</v>
      </c>
      <c r="N866" s="8" cm="1">
        <f t="array" ref="N866">_xlfn.SWITCH(Sales[[#This Row],[Subscription Type]],"Basic",10,"Premium",10,"Business",25,"Enterprise",27)</f>
        <v>10</v>
      </c>
      <c r="O866">
        <f>IF(Sales[[#This Row],[Number of Users]]-Sales[[#This Row],[Licenses Bought]]&lt;0,0,Sales[[#This Row],[Number of Users]]-Sales[[#This Row],[Licenses Bought]])</f>
        <v>2</v>
      </c>
      <c r="P866" s="8">
        <f>IF(Sales[[#This Row],[Sales Month]]=MAX(Sales[Sales Month]),Sales[[#This Row],[Non-Paying Users]]*Sales[[#This Row],[Upsell $ per Non-Paying User]],0)</f>
        <v>0</v>
      </c>
      <c r="Q866" t="str" cm="1">
        <f t="array" ref="Q866">_xlfn.IFS(Sales[[#This Row],[Current Upsell $]]=0,"",Sales[[#This Row],[Current Upsell $]]&gt;=400,"High",Sales[[#This Row],[Current Upsell $]]&gt;=100,"Medium",Sales[[#This Row],[Current Upsell $]]&lt;100,"Low")</f>
        <v/>
      </c>
      <c r="R866" t="str">
        <f>IF(Sales[[#This Row],[Current Upsell $]]&gt;0,_xlfn.CONCAT(Sales[[#This Row],[Subscription Type]]," ",Sales[[#This Row],[Upsell Priority]]," ",TEXT(Sales[[#This Row],[Current Upsell $]],"$#,#")),"")</f>
        <v/>
      </c>
    </row>
    <row r="867" spans="1:18" x14ac:dyDescent="0.25">
      <c r="A867">
        <v>100077</v>
      </c>
      <c r="B867" t="s">
        <v>3</v>
      </c>
      <c r="F867">
        <v>0</v>
      </c>
      <c r="G867">
        <v>2</v>
      </c>
      <c r="H867" s="1">
        <v>44013</v>
      </c>
      <c r="I867" s="1">
        <v>44317</v>
      </c>
      <c r="J867">
        <v>10</v>
      </c>
      <c r="K867">
        <v>1</v>
      </c>
      <c r="L867" s="1">
        <v>44136</v>
      </c>
      <c r="M867">
        <v>0</v>
      </c>
      <c r="N867" s="8" cm="1">
        <f t="array" ref="N867">_xlfn.SWITCH(Sales[[#This Row],[Subscription Type]],"Basic",10,"Premium",10,"Business",25,"Enterprise",27)</f>
        <v>10</v>
      </c>
      <c r="O867">
        <f>IF(Sales[[#This Row],[Number of Users]]-Sales[[#This Row],[Licenses Bought]]&lt;0,0,Sales[[#This Row],[Number of Users]]-Sales[[#This Row],[Licenses Bought]])</f>
        <v>2</v>
      </c>
      <c r="P867" s="8">
        <f>IF(Sales[[#This Row],[Sales Month]]=MAX(Sales[Sales Month]),Sales[[#This Row],[Non-Paying Users]]*Sales[[#This Row],[Upsell $ per Non-Paying User]],0)</f>
        <v>0</v>
      </c>
      <c r="Q867" t="str" cm="1">
        <f t="array" ref="Q867">_xlfn.IFS(Sales[[#This Row],[Current Upsell $]]=0,"",Sales[[#This Row],[Current Upsell $]]&gt;=400,"High",Sales[[#This Row],[Current Upsell $]]&gt;=100,"Medium",Sales[[#This Row],[Current Upsell $]]&lt;100,"Low")</f>
        <v/>
      </c>
      <c r="R867" t="str">
        <f>IF(Sales[[#This Row],[Current Upsell $]]&gt;0,_xlfn.CONCAT(Sales[[#This Row],[Subscription Type]]," ",Sales[[#This Row],[Upsell Priority]]," ",TEXT(Sales[[#This Row],[Current Upsell $]],"$#,#")),"")</f>
        <v/>
      </c>
    </row>
    <row r="868" spans="1:18" x14ac:dyDescent="0.25">
      <c r="A868">
        <v>100077</v>
      </c>
      <c r="B868" t="s">
        <v>3</v>
      </c>
      <c r="F868">
        <v>0</v>
      </c>
      <c r="G868">
        <v>2</v>
      </c>
      <c r="H868" s="1">
        <v>44013</v>
      </c>
      <c r="I868" s="1">
        <v>44317</v>
      </c>
      <c r="J868">
        <v>10</v>
      </c>
      <c r="K868">
        <v>1</v>
      </c>
      <c r="L868" s="1">
        <v>44166</v>
      </c>
      <c r="M868">
        <v>0</v>
      </c>
      <c r="N868" s="8" cm="1">
        <f t="array" ref="N868">_xlfn.SWITCH(Sales[[#This Row],[Subscription Type]],"Basic",10,"Premium",10,"Business",25,"Enterprise",27)</f>
        <v>10</v>
      </c>
      <c r="O868">
        <f>IF(Sales[[#This Row],[Number of Users]]-Sales[[#This Row],[Licenses Bought]]&lt;0,0,Sales[[#This Row],[Number of Users]]-Sales[[#This Row],[Licenses Bought]])</f>
        <v>2</v>
      </c>
      <c r="P868" s="8">
        <f>IF(Sales[[#This Row],[Sales Month]]=MAX(Sales[Sales Month]),Sales[[#This Row],[Non-Paying Users]]*Sales[[#This Row],[Upsell $ per Non-Paying User]],0)</f>
        <v>0</v>
      </c>
      <c r="Q868" t="str" cm="1">
        <f t="array" ref="Q868">_xlfn.IFS(Sales[[#This Row],[Current Upsell $]]=0,"",Sales[[#This Row],[Current Upsell $]]&gt;=400,"High",Sales[[#This Row],[Current Upsell $]]&gt;=100,"Medium",Sales[[#This Row],[Current Upsell $]]&lt;100,"Low")</f>
        <v/>
      </c>
      <c r="R868" t="str">
        <f>IF(Sales[[#This Row],[Current Upsell $]]&gt;0,_xlfn.CONCAT(Sales[[#This Row],[Subscription Type]]," ",Sales[[#This Row],[Upsell Priority]]," ",TEXT(Sales[[#This Row],[Current Upsell $]],"$#,#")),"")</f>
        <v/>
      </c>
    </row>
    <row r="869" spans="1:18" x14ac:dyDescent="0.25">
      <c r="A869">
        <v>100077</v>
      </c>
      <c r="B869" t="s">
        <v>3</v>
      </c>
      <c r="F869">
        <v>0</v>
      </c>
      <c r="G869">
        <v>2</v>
      </c>
      <c r="H869" s="1">
        <v>44013</v>
      </c>
      <c r="I869" s="1">
        <v>44317</v>
      </c>
      <c r="J869">
        <v>10</v>
      </c>
      <c r="K869">
        <v>1</v>
      </c>
      <c r="L869" s="1">
        <v>44197</v>
      </c>
      <c r="M869">
        <v>0</v>
      </c>
      <c r="N869" s="8" cm="1">
        <f t="array" ref="N869">_xlfn.SWITCH(Sales[[#This Row],[Subscription Type]],"Basic",10,"Premium",10,"Business",25,"Enterprise",27)</f>
        <v>10</v>
      </c>
      <c r="O869">
        <f>IF(Sales[[#This Row],[Number of Users]]-Sales[[#This Row],[Licenses Bought]]&lt;0,0,Sales[[#This Row],[Number of Users]]-Sales[[#This Row],[Licenses Bought]])</f>
        <v>2</v>
      </c>
      <c r="P869" s="8">
        <f>IF(Sales[[#This Row],[Sales Month]]=MAX(Sales[Sales Month]),Sales[[#This Row],[Non-Paying Users]]*Sales[[#This Row],[Upsell $ per Non-Paying User]],0)</f>
        <v>0</v>
      </c>
      <c r="Q869" t="str" cm="1">
        <f t="array" ref="Q869">_xlfn.IFS(Sales[[#This Row],[Current Upsell $]]=0,"",Sales[[#This Row],[Current Upsell $]]&gt;=400,"High",Sales[[#This Row],[Current Upsell $]]&gt;=100,"Medium",Sales[[#This Row],[Current Upsell $]]&lt;100,"Low")</f>
        <v/>
      </c>
      <c r="R869" t="str">
        <f>IF(Sales[[#This Row],[Current Upsell $]]&gt;0,_xlfn.CONCAT(Sales[[#This Row],[Subscription Type]]," ",Sales[[#This Row],[Upsell Priority]]," ",TEXT(Sales[[#This Row],[Current Upsell $]],"$#,#")),"")</f>
        <v/>
      </c>
    </row>
    <row r="870" spans="1:18" x14ac:dyDescent="0.25">
      <c r="A870">
        <v>100077</v>
      </c>
      <c r="B870" t="s">
        <v>3</v>
      </c>
      <c r="F870">
        <v>0</v>
      </c>
      <c r="G870">
        <v>2</v>
      </c>
      <c r="H870" s="1">
        <v>44013</v>
      </c>
      <c r="I870" s="1">
        <v>44317</v>
      </c>
      <c r="J870">
        <v>10</v>
      </c>
      <c r="K870">
        <v>1</v>
      </c>
      <c r="L870" s="1">
        <v>44228</v>
      </c>
      <c r="M870">
        <v>0</v>
      </c>
      <c r="N870" s="8" cm="1">
        <f t="array" ref="N870">_xlfn.SWITCH(Sales[[#This Row],[Subscription Type]],"Basic",10,"Premium",10,"Business",25,"Enterprise",27)</f>
        <v>10</v>
      </c>
      <c r="O870">
        <f>IF(Sales[[#This Row],[Number of Users]]-Sales[[#This Row],[Licenses Bought]]&lt;0,0,Sales[[#This Row],[Number of Users]]-Sales[[#This Row],[Licenses Bought]])</f>
        <v>2</v>
      </c>
      <c r="P870" s="8">
        <f>IF(Sales[[#This Row],[Sales Month]]=MAX(Sales[Sales Month]),Sales[[#This Row],[Non-Paying Users]]*Sales[[#This Row],[Upsell $ per Non-Paying User]],0)</f>
        <v>0</v>
      </c>
      <c r="Q870" t="str" cm="1">
        <f t="array" ref="Q870">_xlfn.IFS(Sales[[#This Row],[Current Upsell $]]=0,"",Sales[[#This Row],[Current Upsell $]]&gt;=400,"High",Sales[[#This Row],[Current Upsell $]]&gt;=100,"Medium",Sales[[#This Row],[Current Upsell $]]&lt;100,"Low")</f>
        <v/>
      </c>
      <c r="R870" t="str">
        <f>IF(Sales[[#This Row],[Current Upsell $]]&gt;0,_xlfn.CONCAT(Sales[[#This Row],[Subscription Type]]," ",Sales[[#This Row],[Upsell Priority]]," ",TEXT(Sales[[#This Row],[Current Upsell $]],"$#,#")),"")</f>
        <v/>
      </c>
    </row>
    <row r="871" spans="1:18" x14ac:dyDescent="0.25">
      <c r="A871">
        <v>100077</v>
      </c>
      <c r="B871" t="s">
        <v>3</v>
      </c>
      <c r="F871">
        <v>0</v>
      </c>
      <c r="G871">
        <v>2</v>
      </c>
      <c r="H871" s="1">
        <v>44013</v>
      </c>
      <c r="I871" s="1">
        <v>44317</v>
      </c>
      <c r="J871">
        <v>10</v>
      </c>
      <c r="K871">
        <v>1</v>
      </c>
      <c r="L871" s="1">
        <v>44256</v>
      </c>
      <c r="M871">
        <v>0</v>
      </c>
      <c r="N871" s="8" cm="1">
        <f t="array" ref="N871">_xlfn.SWITCH(Sales[[#This Row],[Subscription Type]],"Basic",10,"Premium",10,"Business",25,"Enterprise",27)</f>
        <v>10</v>
      </c>
      <c r="O871">
        <f>IF(Sales[[#This Row],[Number of Users]]-Sales[[#This Row],[Licenses Bought]]&lt;0,0,Sales[[#This Row],[Number of Users]]-Sales[[#This Row],[Licenses Bought]])</f>
        <v>2</v>
      </c>
      <c r="P871" s="8">
        <f>IF(Sales[[#This Row],[Sales Month]]=MAX(Sales[Sales Month]),Sales[[#This Row],[Non-Paying Users]]*Sales[[#This Row],[Upsell $ per Non-Paying User]],0)</f>
        <v>0</v>
      </c>
      <c r="Q871" t="str" cm="1">
        <f t="array" ref="Q871">_xlfn.IFS(Sales[[#This Row],[Current Upsell $]]=0,"",Sales[[#This Row],[Current Upsell $]]&gt;=400,"High",Sales[[#This Row],[Current Upsell $]]&gt;=100,"Medium",Sales[[#This Row],[Current Upsell $]]&lt;100,"Low")</f>
        <v/>
      </c>
      <c r="R871" t="str">
        <f>IF(Sales[[#This Row],[Current Upsell $]]&gt;0,_xlfn.CONCAT(Sales[[#This Row],[Subscription Type]]," ",Sales[[#This Row],[Upsell Priority]]," ",TEXT(Sales[[#This Row],[Current Upsell $]],"$#,#")),"")</f>
        <v/>
      </c>
    </row>
    <row r="872" spans="1:18" x14ac:dyDescent="0.25">
      <c r="A872">
        <v>100077</v>
      </c>
      <c r="B872" t="s">
        <v>3</v>
      </c>
      <c r="F872">
        <v>0</v>
      </c>
      <c r="G872">
        <v>1</v>
      </c>
      <c r="H872" s="1">
        <v>44013</v>
      </c>
      <c r="I872" s="1">
        <v>44317</v>
      </c>
      <c r="J872">
        <v>10</v>
      </c>
      <c r="K872">
        <v>1</v>
      </c>
      <c r="L872" s="1">
        <v>44287</v>
      </c>
      <c r="M872">
        <v>0</v>
      </c>
      <c r="N872" s="8" cm="1">
        <f t="array" ref="N872">_xlfn.SWITCH(Sales[[#This Row],[Subscription Type]],"Basic",10,"Premium",10,"Business",25,"Enterprise",27)</f>
        <v>10</v>
      </c>
      <c r="O872">
        <f>IF(Sales[[#This Row],[Number of Users]]-Sales[[#This Row],[Licenses Bought]]&lt;0,0,Sales[[#This Row],[Number of Users]]-Sales[[#This Row],[Licenses Bought]])</f>
        <v>1</v>
      </c>
      <c r="P872" s="8">
        <f>IF(Sales[[#This Row],[Sales Month]]=MAX(Sales[Sales Month]),Sales[[#This Row],[Non-Paying Users]]*Sales[[#This Row],[Upsell $ per Non-Paying User]],0)</f>
        <v>0</v>
      </c>
      <c r="Q872" t="str" cm="1">
        <f t="array" ref="Q872">_xlfn.IFS(Sales[[#This Row],[Current Upsell $]]=0,"",Sales[[#This Row],[Current Upsell $]]&gt;=400,"High",Sales[[#This Row],[Current Upsell $]]&gt;=100,"Medium",Sales[[#This Row],[Current Upsell $]]&lt;100,"Low")</f>
        <v/>
      </c>
      <c r="R872" t="str">
        <f>IF(Sales[[#This Row],[Current Upsell $]]&gt;0,_xlfn.CONCAT(Sales[[#This Row],[Subscription Type]]," ",Sales[[#This Row],[Upsell Priority]]," ",TEXT(Sales[[#This Row],[Current Upsell $]],"$#,#")),"")</f>
        <v/>
      </c>
    </row>
    <row r="873" spans="1:18" x14ac:dyDescent="0.25">
      <c r="A873">
        <v>100077</v>
      </c>
      <c r="B873" t="s">
        <v>3</v>
      </c>
      <c r="F873">
        <v>0</v>
      </c>
      <c r="G873">
        <v>1</v>
      </c>
      <c r="H873" s="1">
        <v>44013</v>
      </c>
      <c r="I873" s="1">
        <v>44317</v>
      </c>
      <c r="J873">
        <v>10</v>
      </c>
      <c r="K873">
        <v>1</v>
      </c>
      <c r="L873" s="1">
        <v>44317</v>
      </c>
      <c r="M873">
        <v>0</v>
      </c>
      <c r="N873" s="8" cm="1">
        <f t="array" ref="N873">_xlfn.SWITCH(Sales[[#This Row],[Subscription Type]],"Basic",10,"Premium",10,"Business",25,"Enterprise",27)</f>
        <v>10</v>
      </c>
      <c r="O873">
        <f>IF(Sales[[#This Row],[Number of Users]]-Sales[[#This Row],[Licenses Bought]]&lt;0,0,Sales[[#This Row],[Number of Users]]-Sales[[#This Row],[Licenses Bought]])</f>
        <v>1</v>
      </c>
      <c r="P873" s="8">
        <f>IF(Sales[[#This Row],[Sales Month]]=MAX(Sales[Sales Month]),Sales[[#This Row],[Non-Paying Users]]*Sales[[#This Row],[Upsell $ per Non-Paying User]],0)</f>
        <v>0</v>
      </c>
      <c r="Q873" t="str" cm="1">
        <f t="array" ref="Q873">_xlfn.IFS(Sales[[#This Row],[Current Upsell $]]=0,"",Sales[[#This Row],[Current Upsell $]]&gt;=400,"High",Sales[[#This Row],[Current Upsell $]]&gt;=100,"Medium",Sales[[#This Row],[Current Upsell $]]&lt;100,"Low")</f>
        <v/>
      </c>
      <c r="R873" t="str">
        <f>IF(Sales[[#This Row],[Current Upsell $]]&gt;0,_xlfn.CONCAT(Sales[[#This Row],[Subscription Type]]," ",Sales[[#This Row],[Upsell Priority]]," ",TEXT(Sales[[#This Row],[Current Upsell $]],"$#,#")),"")</f>
        <v/>
      </c>
    </row>
    <row r="874" spans="1:18" x14ac:dyDescent="0.25">
      <c r="A874">
        <v>100078</v>
      </c>
      <c r="B874" t="s">
        <v>3</v>
      </c>
      <c r="F874">
        <v>0</v>
      </c>
      <c r="G874">
        <v>2</v>
      </c>
      <c r="H874" s="1">
        <v>44013</v>
      </c>
      <c r="I874" s="1">
        <v>44075</v>
      </c>
      <c r="J874">
        <v>2</v>
      </c>
      <c r="K874">
        <v>9</v>
      </c>
      <c r="L874" s="1">
        <v>44013</v>
      </c>
      <c r="M874">
        <v>0</v>
      </c>
      <c r="N874" s="8" cm="1">
        <f t="array" ref="N874">_xlfn.SWITCH(Sales[[#This Row],[Subscription Type]],"Basic",10,"Premium",10,"Business",25,"Enterprise",27)</f>
        <v>10</v>
      </c>
      <c r="O874">
        <f>IF(Sales[[#This Row],[Number of Users]]-Sales[[#This Row],[Licenses Bought]]&lt;0,0,Sales[[#This Row],[Number of Users]]-Sales[[#This Row],[Licenses Bought]])</f>
        <v>2</v>
      </c>
      <c r="P874" s="8">
        <f>IF(Sales[[#This Row],[Sales Month]]=MAX(Sales[Sales Month]),Sales[[#This Row],[Non-Paying Users]]*Sales[[#This Row],[Upsell $ per Non-Paying User]],0)</f>
        <v>0</v>
      </c>
      <c r="Q874" t="str" cm="1">
        <f t="array" ref="Q874">_xlfn.IFS(Sales[[#This Row],[Current Upsell $]]=0,"",Sales[[#This Row],[Current Upsell $]]&gt;=400,"High",Sales[[#This Row],[Current Upsell $]]&gt;=100,"Medium",Sales[[#This Row],[Current Upsell $]]&lt;100,"Low")</f>
        <v/>
      </c>
      <c r="R874" t="str">
        <f>IF(Sales[[#This Row],[Current Upsell $]]&gt;0,_xlfn.CONCAT(Sales[[#This Row],[Subscription Type]]," ",Sales[[#This Row],[Upsell Priority]]," ",TEXT(Sales[[#This Row],[Current Upsell $]],"$#,#")),"")</f>
        <v/>
      </c>
    </row>
    <row r="875" spans="1:18" x14ac:dyDescent="0.25">
      <c r="A875">
        <v>100078</v>
      </c>
      <c r="B875" t="s">
        <v>3</v>
      </c>
      <c r="F875">
        <v>0</v>
      </c>
      <c r="G875">
        <v>2</v>
      </c>
      <c r="H875" s="1">
        <v>44013</v>
      </c>
      <c r="I875" s="1">
        <v>44075</v>
      </c>
      <c r="J875">
        <v>2</v>
      </c>
      <c r="K875">
        <v>9</v>
      </c>
      <c r="L875" s="1">
        <v>44044</v>
      </c>
      <c r="M875">
        <v>0</v>
      </c>
      <c r="N875" s="8" cm="1">
        <f t="array" ref="N875">_xlfn.SWITCH(Sales[[#This Row],[Subscription Type]],"Basic",10,"Premium",10,"Business",25,"Enterprise",27)</f>
        <v>10</v>
      </c>
      <c r="O875">
        <f>IF(Sales[[#This Row],[Number of Users]]-Sales[[#This Row],[Licenses Bought]]&lt;0,0,Sales[[#This Row],[Number of Users]]-Sales[[#This Row],[Licenses Bought]])</f>
        <v>2</v>
      </c>
      <c r="P875" s="8">
        <f>IF(Sales[[#This Row],[Sales Month]]=MAX(Sales[Sales Month]),Sales[[#This Row],[Non-Paying Users]]*Sales[[#This Row],[Upsell $ per Non-Paying User]],0)</f>
        <v>0</v>
      </c>
      <c r="Q875" t="str" cm="1">
        <f t="array" ref="Q875">_xlfn.IFS(Sales[[#This Row],[Current Upsell $]]=0,"",Sales[[#This Row],[Current Upsell $]]&gt;=400,"High",Sales[[#This Row],[Current Upsell $]]&gt;=100,"Medium",Sales[[#This Row],[Current Upsell $]]&lt;100,"Low")</f>
        <v/>
      </c>
      <c r="R875" t="str">
        <f>IF(Sales[[#This Row],[Current Upsell $]]&gt;0,_xlfn.CONCAT(Sales[[#This Row],[Subscription Type]]," ",Sales[[#This Row],[Upsell Priority]]," ",TEXT(Sales[[#This Row],[Current Upsell $]],"$#,#")),"")</f>
        <v/>
      </c>
    </row>
    <row r="876" spans="1:18" x14ac:dyDescent="0.25">
      <c r="A876">
        <v>100078</v>
      </c>
      <c r="B876" t="s">
        <v>3</v>
      </c>
      <c r="F876">
        <v>0</v>
      </c>
      <c r="G876">
        <v>2</v>
      </c>
      <c r="H876" s="1">
        <v>44013</v>
      </c>
      <c r="I876" s="1">
        <v>44075</v>
      </c>
      <c r="J876">
        <v>2</v>
      </c>
      <c r="K876">
        <v>9</v>
      </c>
      <c r="L876" s="1">
        <v>44075</v>
      </c>
      <c r="M876">
        <v>0</v>
      </c>
      <c r="N876" s="8" cm="1">
        <f t="array" ref="N876">_xlfn.SWITCH(Sales[[#This Row],[Subscription Type]],"Basic",10,"Premium",10,"Business",25,"Enterprise",27)</f>
        <v>10</v>
      </c>
      <c r="O876">
        <f>IF(Sales[[#This Row],[Number of Users]]-Sales[[#This Row],[Licenses Bought]]&lt;0,0,Sales[[#This Row],[Number of Users]]-Sales[[#This Row],[Licenses Bought]])</f>
        <v>2</v>
      </c>
      <c r="P876" s="8">
        <f>IF(Sales[[#This Row],[Sales Month]]=MAX(Sales[Sales Month]),Sales[[#This Row],[Non-Paying Users]]*Sales[[#This Row],[Upsell $ per Non-Paying User]],0)</f>
        <v>0</v>
      </c>
      <c r="Q876" t="str" cm="1">
        <f t="array" ref="Q876">_xlfn.IFS(Sales[[#This Row],[Current Upsell $]]=0,"",Sales[[#This Row],[Current Upsell $]]&gt;=400,"High",Sales[[#This Row],[Current Upsell $]]&gt;=100,"Medium",Sales[[#This Row],[Current Upsell $]]&lt;100,"Low")</f>
        <v/>
      </c>
      <c r="R876" t="str">
        <f>IF(Sales[[#This Row],[Current Upsell $]]&gt;0,_xlfn.CONCAT(Sales[[#This Row],[Subscription Type]]," ",Sales[[#This Row],[Upsell Priority]]," ",TEXT(Sales[[#This Row],[Current Upsell $]],"$#,#")),"")</f>
        <v/>
      </c>
    </row>
    <row r="877" spans="1:18" x14ac:dyDescent="0.25">
      <c r="A877">
        <v>100079</v>
      </c>
      <c r="B877" t="s">
        <v>3</v>
      </c>
      <c r="D877" s="1"/>
      <c r="E877" s="1"/>
      <c r="F877">
        <v>0</v>
      </c>
      <c r="G877">
        <v>2</v>
      </c>
      <c r="H877" s="1">
        <v>44013</v>
      </c>
      <c r="I877" s="1">
        <v>44378</v>
      </c>
      <c r="J877">
        <v>12</v>
      </c>
      <c r="K877">
        <v>0</v>
      </c>
      <c r="L877" s="1">
        <v>44013</v>
      </c>
      <c r="M877">
        <v>0</v>
      </c>
      <c r="N877" s="8" cm="1">
        <f t="array" ref="N877">_xlfn.SWITCH(Sales[[#This Row],[Subscription Type]],"Basic",10,"Premium",10,"Business",25,"Enterprise",27)</f>
        <v>10</v>
      </c>
      <c r="O877">
        <f>IF(Sales[[#This Row],[Number of Users]]-Sales[[#This Row],[Licenses Bought]]&lt;0,0,Sales[[#This Row],[Number of Users]]-Sales[[#This Row],[Licenses Bought]])</f>
        <v>2</v>
      </c>
      <c r="P877" s="8">
        <f>IF(Sales[[#This Row],[Sales Month]]=MAX(Sales[Sales Month]),Sales[[#This Row],[Non-Paying Users]]*Sales[[#This Row],[Upsell $ per Non-Paying User]],0)</f>
        <v>0</v>
      </c>
      <c r="Q877" t="str" cm="1">
        <f t="array" ref="Q877">_xlfn.IFS(Sales[[#This Row],[Current Upsell $]]=0,"",Sales[[#This Row],[Current Upsell $]]&gt;=400,"High",Sales[[#This Row],[Current Upsell $]]&gt;=100,"Medium",Sales[[#This Row],[Current Upsell $]]&lt;100,"Low")</f>
        <v/>
      </c>
      <c r="R877" t="str">
        <f>IF(Sales[[#This Row],[Current Upsell $]]&gt;0,_xlfn.CONCAT(Sales[[#This Row],[Subscription Type]]," ",Sales[[#This Row],[Upsell Priority]]," ",TEXT(Sales[[#This Row],[Current Upsell $]],"$#,#")),"")</f>
        <v/>
      </c>
    </row>
    <row r="878" spans="1:18" x14ac:dyDescent="0.25">
      <c r="A878">
        <v>100079</v>
      </c>
      <c r="B878" t="s">
        <v>0</v>
      </c>
      <c r="D878" s="1"/>
      <c r="E878" s="1"/>
      <c r="F878">
        <v>1</v>
      </c>
      <c r="G878">
        <v>2</v>
      </c>
      <c r="H878" s="1">
        <v>44013</v>
      </c>
      <c r="I878" s="1">
        <v>44378</v>
      </c>
      <c r="J878">
        <v>12</v>
      </c>
      <c r="K878">
        <v>0</v>
      </c>
      <c r="L878" s="1">
        <v>44044</v>
      </c>
      <c r="M878">
        <v>10</v>
      </c>
      <c r="N878" s="8" cm="1">
        <f t="array" ref="N878">_xlfn.SWITCH(Sales[[#This Row],[Subscription Type]],"Basic",10,"Premium",10,"Business",25,"Enterprise",27)</f>
        <v>10</v>
      </c>
      <c r="O878">
        <f>IF(Sales[[#This Row],[Number of Users]]-Sales[[#This Row],[Licenses Bought]]&lt;0,0,Sales[[#This Row],[Number of Users]]-Sales[[#This Row],[Licenses Bought]])</f>
        <v>1</v>
      </c>
      <c r="P878" s="8">
        <f>IF(Sales[[#This Row],[Sales Month]]=MAX(Sales[Sales Month]),Sales[[#This Row],[Non-Paying Users]]*Sales[[#This Row],[Upsell $ per Non-Paying User]],0)</f>
        <v>0</v>
      </c>
      <c r="Q878" t="str" cm="1">
        <f t="array" ref="Q878">_xlfn.IFS(Sales[[#This Row],[Current Upsell $]]=0,"",Sales[[#This Row],[Current Upsell $]]&gt;=400,"High",Sales[[#This Row],[Current Upsell $]]&gt;=100,"Medium",Sales[[#This Row],[Current Upsell $]]&lt;100,"Low")</f>
        <v/>
      </c>
      <c r="R878" t="str">
        <f>IF(Sales[[#This Row],[Current Upsell $]]&gt;0,_xlfn.CONCAT(Sales[[#This Row],[Subscription Type]]," ",Sales[[#This Row],[Upsell Priority]]," ",TEXT(Sales[[#This Row],[Current Upsell $]],"$#,#")),"")</f>
        <v/>
      </c>
    </row>
    <row r="879" spans="1:18" x14ac:dyDescent="0.25">
      <c r="A879">
        <v>100079</v>
      </c>
      <c r="B879" t="s">
        <v>0</v>
      </c>
      <c r="D879" s="1"/>
      <c r="E879" s="1"/>
      <c r="F879">
        <v>1</v>
      </c>
      <c r="G879">
        <v>2</v>
      </c>
      <c r="H879" s="1">
        <v>44013</v>
      </c>
      <c r="I879" s="1">
        <v>44378</v>
      </c>
      <c r="J879">
        <v>12</v>
      </c>
      <c r="K879">
        <v>0</v>
      </c>
      <c r="L879" s="1">
        <v>44075</v>
      </c>
      <c r="M879">
        <v>10</v>
      </c>
      <c r="N879" s="8" cm="1">
        <f t="array" ref="N879">_xlfn.SWITCH(Sales[[#This Row],[Subscription Type]],"Basic",10,"Premium",10,"Business",25,"Enterprise",27)</f>
        <v>10</v>
      </c>
      <c r="O879">
        <f>IF(Sales[[#This Row],[Number of Users]]-Sales[[#This Row],[Licenses Bought]]&lt;0,0,Sales[[#This Row],[Number of Users]]-Sales[[#This Row],[Licenses Bought]])</f>
        <v>1</v>
      </c>
      <c r="P879" s="8">
        <f>IF(Sales[[#This Row],[Sales Month]]=MAX(Sales[Sales Month]),Sales[[#This Row],[Non-Paying Users]]*Sales[[#This Row],[Upsell $ per Non-Paying User]],0)</f>
        <v>0</v>
      </c>
      <c r="Q879" t="str" cm="1">
        <f t="array" ref="Q879">_xlfn.IFS(Sales[[#This Row],[Current Upsell $]]=0,"",Sales[[#This Row],[Current Upsell $]]&gt;=400,"High",Sales[[#This Row],[Current Upsell $]]&gt;=100,"Medium",Sales[[#This Row],[Current Upsell $]]&lt;100,"Low")</f>
        <v/>
      </c>
      <c r="R879" t="str">
        <f>IF(Sales[[#This Row],[Current Upsell $]]&gt;0,_xlfn.CONCAT(Sales[[#This Row],[Subscription Type]]," ",Sales[[#This Row],[Upsell Priority]]," ",TEXT(Sales[[#This Row],[Current Upsell $]],"$#,#")),"")</f>
        <v/>
      </c>
    </row>
    <row r="880" spans="1:18" x14ac:dyDescent="0.25">
      <c r="A880">
        <v>100079</v>
      </c>
      <c r="B880" t="s">
        <v>0</v>
      </c>
      <c r="D880" s="1"/>
      <c r="E880" s="1"/>
      <c r="F880">
        <v>1</v>
      </c>
      <c r="G880">
        <v>2</v>
      </c>
      <c r="H880" s="1">
        <v>44013</v>
      </c>
      <c r="I880" s="1">
        <v>44378</v>
      </c>
      <c r="J880">
        <v>12</v>
      </c>
      <c r="K880">
        <v>0</v>
      </c>
      <c r="L880" s="1">
        <v>44105</v>
      </c>
      <c r="M880">
        <v>10</v>
      </c>
      <c r="N880" s="8" cm="1">
        <f t="array" ref="N880">_xlfn.SWITCH(Sales[[#This Row],[Subscription Type]],"Basic",10,"Premium",10,"Business",25,"Enterprise",27)</f>
        <v>10</v>
      </c>
      <c r="O880">
        <f>IF(Sales[[#This Row],[Number of Users]]-Sales[[#This Row],[Licenses Bought]]&lt;0,0,Sales[[#This Row],[Number of Users]]-Sales[[#This Row],[Licenses Bought]])</f>
        <v>1</v>
      </c>
      <c r="P880" s="8">
        <f>IF(Sales[[#This Row],[Sales Month]]=MAX(Sales[Sales Month]),Sales[[#This Row],[Non-Paying Users]]*Sales[[#This Row],[Upsell $ per Non-Paying User]],0)</f>
        <v>0</v>
      </c>
      <c r="Q880" t="str" cm="1">
        <f t="array" ref="Q880">_xlfn.IFS(Sales[[#This Row],[Current Upsell $]]=0,"",Sales[[#This Row],[Current Upsell $]]&gt;=400,"High",Sales[[#This Row],[Current Upsell $]]&gt;=100,"Medium",Sales[[#This Row],[Current Upsell $]]&lt;100,"Low")</f>
        <v/>
      </c>
      <c r="R880" t="str">
        <f>IF(Sales[[#This Row],[Current Upsell $]]&gt;0,_xlfn.CONCAT(Sales[[#This Row],[Subscription Type]]," ",Sales[[#This Row],[Upsell Priority]]," ",TEXT(Sales[[#This Row],[Current Upsell $]],"$#,#")),"")</f>
        <v/>
      </c>
    </row>
    <row r="881" spans="1:18" x14ac:dyDescent="0.25">
      <c r="A881">
        <v>100079</v>
      </c>
      <c r="B881" t="s">
        <v>0</v>
      </c>
      <c r="D881" s="1"/>
      <c r="E881" s="1"/>
      <c r="F881">
        <v>1</v>
      </c>
      <c r="G881">
        <v>2</v>
      </c>
      <c r="H881" s="1">
        <v>44013</v>
      </c>
      <c r="I881" s="1">
        <v>44378</v>
      </c>
      <c r="J881">
        <v>12</v>
      </c>
      <c r="K881">
        <v>0</v>
      </c>
      <c r="L881" s="1">
        <v>44136</v>
      </c>
      <c r="M881">
        <v>10</v>
      </c>
      <c r="N881" s="8" cm="1">
        <f t="array" ref="N881">_xlfn.SWITCH(Sales[[#This Row],[Subscription Type]],"Basic",10,"Premium",10,"Business",25,"Enterprise",27)</f>
        <v>10</v>
      </c>
      <c r="O881">
        <f>IF(Sales[[#This Row],[Number of Users]]-Sales[[#This Row],[Licenses Bought]]&lt;0,0,Sales[[#This Row],[Number of Users]]-Sales[[#This Row],[Licenses Bought]])</f>
        <v>1</v>
      </c>
      <c r="P881" s="8">
        <f>IF(Sales[[#This Row],[Sales Month]]=MAX(Sales[Sales Month]),Sales[[#This Row],[Non-Paying Users]]*Sales[[#This Row],[Upsell $ per Non-Paying User]],0)</f>
        <v>0</v>
      </c>
      <c r="Q881" t="str" cm="1">
        <f t="array" ref="Q881">_xlfn.IFS(Sales[[#This Row],[Current Upsell $]]=0,"",Sales[[#This Row],[Current Upsell $]]&gt;=400,"High",Sales[[#This Row],[Current Upsell $]]&gt;=100,"Medium",Sales[[#This Row],[Current Upsell $]]&lt;100,"Low")</f>
        <v/>
      </c>
      <c r="R881" t="str">
        <f>IF(Sales[[#This Row],[Current Upsell $]]&gt;0,_xlfn.CONCAT(Sales[[#This Row],[Subscription Type]]," ",Sales[[#This Row],[Upsell Priority]]," ",TEXT(Sales[[#This Row],[Current Upsell $]],"$#,#")),"")</f>
        <v/>
      </c>
    </row>
    <row r="882" spans="1:18" x14ac:dyDescent="0.25">
      <c r="A882">
        <v>100079</v>
      </c>
      <c r="B882" t="s">
        <v>0</v>
      </c>
      <c r="D882" s="1"/>
      <c r="E882" s="1"/>
      <c r="F882">
        <v>1</v>
      </c>
      <c r="G882">
        <v>2</v>
      </c>
      <c r="H882" s="1">
        <v>44013</v>
      </c>
      <c r="I882" s="1">
        <v>44378</v>
      </c>
      <c r="J882">
        <v>12</v>
      </c>
      <c r="K882">
        <v>0</v>
      </c>
      <c r="L882" s="1">
        <v>44166</v>
      </c>
      <c r="M882">
        <v>10</v>
      </c>
      <c r="N882" s="8" cm="1">
        <f t="array" ref="N882">_xlfn.SWITCH(Sales[[#This Row],[Subscription Type]],"Basic",10,"Premium",10,"Business",25,"Enterprise",27)</f>
        <v>10</v>
      </c>
      <c r="O882">
        <f>IF(Sales[[#This Row],[Number of Users]]-Sales[[#This Row],[Licenses Bought]]&lt;0,0,Sales[[#This Row],[Number of Users]]-Sales[[#This Row],[Licenses Bought]])</f>
        <v>1</v>
      </c>
      <c r="P882" s="8">
        <f>IF(Sales[[#This Row],[Sales Month]]=MAX(Sales[Sales Month]),Sales[[#This Row],[Non-Paying Users]]*Sales[[#This Row],[Upsell $ per Non-Paying User]],0)</f>
        <v>0</v>
      </c>
      <c r="Q882" t="str" cm="1">
        <f t="array" ref="Q882">_xlfn.IFS(Sales[[#This Row],[Current Upsell $]]=0,"",Sales[[#This Row],[Current Upsell $]]&gt;=400,"High",Sales[[#This Row],[Current Upsell $]]&gt;=100,"Medium",Sales[[#This Row],[Current Upsell $]]&lt;100,"Low")</f>
        <v/>
      </c>
      <c r="R882" t="str">
        <f>IF(Sales[[#This Row],[Current Upsell $]]&gt;0,_xlfn.CONCAT(Sales[[#This Row],[Subscription Type]]," ",Sales[[#This Row],[Upsell Priority]]," ",TEXT(Sales[[#This Row],[Current Upsell $]],"$#,#")),"")</f>
        <v/>
      </c>
    </row>
    <row r="883" spans="1:18" x14ac:dyDescent="0.25">
      <c r="A883">
        <v>100079</v>
      </c>
      <c r="B883" t="s">
        <v>0</v>
      </c>
      <c r="D883" s="1"/>
      <c r="E883" s="1"/>
      <c r="F883">
        <v>1</v>
      </c>
      <c r="G883">
        <v>2</v>
      </c>
      <c r="H883" s="1">
        <v>44013</v>
      </c>
      <c r="I883" s="1">
        <v>44378</v>
      </c>
      <c r="J883">
        <v>12</v>
      </c>
      <c r="K883">
        <v>0</v>
      </c>
      <c r="L883" s="1">
        <v>44197</v>
      </c>
      <c r="M883">
        <v>10</v>
      </c>
      <c r="N883" s="8" cm="1">
        <f t="array" ref="N883">_xlfn.SWITCH(Sales[[#This Row],[Subscription Type]],"Basic",10,"Premium",10,"Business",25,"Enterprise",27)</f>
        <v>10</v>
      </c>
      <c r="O883">
        <f>IF(Sales[[#This Row],[Number of Users]]-Sales[[#This Row],[Licenses Bought]]&lt;0,0,Sales[[#This Row],[Number of Users]]-Sales[[#This Row],[Licenses Bought]])</f>
        <v>1</v>
      </c>
      <c r="P883" s="8">
        <f>IF(Sales[[#This Row],[Sales Month]]=MAX(Sales[Sales Month]),Sales[[#This Row],[Non-Paying Users]]*Sales[[#This Row],[Upsell $ per Non-Paying User]],0)</f>
        <v>0</v>
      </c>
      <c r="Q883" t="str" cm="1">
        <f t="array" ref="Q883">_xlfn.IFS(Sales[[#This Row],[Current Upsell $]]=0,"",Sales[[#This Row],[Current Upsell $]]&gt;=400,"High",Sales[[#This Row],[Current Upsell $]]&gt;=100,"Medium",Sales[[#This Row],[Current Upsell $]]&lt;100,"Low")</f>
        <v/>
      </c>
      <c r="R883" t="str">
        <f>IF(Sales[[#This Row],[Current Upsell $]]&gt;0,_xlfn.CONCAT(Sales[[#This Row],[Subscription Type]]," ",Sales[[#This Row],[Upsell Priority]]," ",TEXT(Sales[[#This Row],[Current Upsell $]],"$#,#")),"")</f>
        <v/>
      </c>
    </row>
    <row r="884" spans="1:18" x14ac:dyDescent="0.25">
      <c r="A884">
        <v>100079</v>
      </c>
      <c r="B884" t="s">
        <v>0</v>
      </c>
      <c r="D884" s="1"/>
      <c r="E884" s="1"/>
      <c r="F884">
        <v>1</v>
      </c>
      <c r="G884">
        <v>1</v>
      </c>
      <c r="H884" s="1">
        <v>44013</v>
      </c>
      <c r="I884" s="1">
        <v>44378</v>
      </c>
      <c r="J884">
        <v>12</v>
      </c>
      <c r="K884">
        <v>0</v>
      </c>
      <c r="L884" s="1">
        <v>44228</v>
      </c>
      <c r="M884">
        <v>10</v>
      </c>
      <c r="N884" s="8" cm="1">
        <f t="array" ref="N884">_xlfn.SWITCH(Sales[[#This Row],[Subscription Type]],"Basic",10,"Premium",10,"Business",25,"Enterprise",27)</f>
        <v>10</v>
      </c>
      <c r="O884">
        <f>IF(Sales[[#This Row],[Number of Users]]-Sales[[#This Row],[Licenses Bought]]&lt;0,0,Sales[[#This Row],[Number of Users]]-Sales[[#This Row],[Licenses Bought]])</f>
        <v>0</v>
      </c>
      <c r="P884" s="8">
        <f>IF(Sales[[#This Row],[Sales Month]]=MAX(Sales[Sales Month]),Sales[[#This Row],[Non-Paying Users]]*Sales[[#This Row],[Upsell $ per Non-Paying User]],0)</f>
        <v>0</v>
      </c>
      <c r="Q884" t="str" cm="1">
        <f t="array" ref="Q884">_xlfn.IFS(Sales[[#This Row],[Current Upsell $]]=0,"",Sales[[#This Row],[Current Upsell $]]&gt;=400,"High",Sales[[#This Row],[Current Upsell $]]&gt;=100,"Medium",Sales[[#This Row],[Current Upsell $]]&lt;100,"Low")</f>
        <v/>
      </c>
      <c r="R884" t="str">
        <f>IF(Sales[[#This Row],[Current Upsell $]]&gt;0,_xlfn.CONCAT(Sales[[#This Row],[Subscription Type]]," ",Sales[[#This Row],[Upsell Priority]]," ",TEXT(Sales[[#This Row],[Current Upsell $]],"$#,#")),"")</f>
        <v/>
      </c>
    </row>
    <row r="885" spans="1:18" x14ac:dyDescent="0.25">
      <c r="A885">
        <v>100079</v>
      </c>
      <c r="B885" t="s">
        <v>0</v>
      </c>
      <c r="D885" s="1"/>
      <c r="E885" s="1"/>
      <c r="F885">
        <v>1</v>
      </c>
      <c r="G885">
        <v>2</v>
      </c>
      <c r="H885" s="1">
        <v>44013</v>
      </c>
      <c r="I885" s="1">
        <v>44378</v>
      </c>
      <c r="J885">
        <v>12</v>
      </c>
      <c r="K885">
        <v>0</v>
      </c>
      <c r="L885" s="1">
        <v>44256</v>
      </c>
      <c r="M885">
        <v>10</v>
      </c>
      <c r="N885" s="8" cm="1">
        <f t="array" ref="N885">_xlfn.SWITCH(Sales[[#This Row],[Subscription Type]],"Basic",10,"Premium",10,"Business",25,"Enterprise",27)</f>
        <v>10</v>
      </c>
      <c r="O885">
        <f>IF(Sales[[#This Row],[Number of Users]]-Sales[[#This Row],[Licenses Bought]]&lt;0,0,Sales[[#This Row],[Number of Users]]-Sales[[#This Row],[Licenses Bought]])</f>
        <v>1</v>
      </c>
      <c r="P885" s="8">
        <f>IF(Sales[[#This Row],[Sales Month]]=MAX(Sales[Sales Month]),Sales[[#This Row],[Non-Paying Users]]*Sales[[#This Row],[Upsell $ per Non-Paying User]],0)</f>
        <v>0</v>
      </c>
      <c r="Q885" t="str" cm="1">
        <f t="array" ref="Q885">_xlfn.IFS(Sales[[#This Row],[Current Upsell $]]=0,"",Sales[[#This Row],[Current Upsell $]]&gt;=400,"High",Sales[[#This Row],[Current Upsell $]]&gt;=100,"Medium",Sales[[#This Row],[Current Upsell $]]&lt;100,"Low")</f>
        <v/>
      </c>
      <c r="R885" t="str">
        <f>IF(Sales[[#This Row],[Current Upsell $]]&gt;0,_xlfn.CONCAT(Sales[[#This Row],[Subscription Type]]," ",Sales[[#This Row],[Upsell Priority]]," ",TEXT(Sales[[#This Row],[Current Upsell $]],"$#,#")),"")</f>
        <v/>
      </c>
    </row>
    <row r="886" spans="1:18" x14ac:dyDescent="0.25">
      <c r="A886">
        <v>100079</v>
      </c>
      <c r="B886" t="s">
        <v>0</v>
      </c>
      <c r="D886" s="1"/>
      <c r="E886" s="1"/>
      <c r="F886">
        <v>1</v>
      </c>
      <c r="G886">
        <v>2</v>
      </c>
      <c r="H886" s="1">
        <v>44013</v>
      </c>
      <c r="I886" s="1">
        <v>44378</v>
      </c>
      <c r="J886">
        <v>12</v>
      </c>
      <c r="K886">
        <v>0</v>
      </c>
      <c r="L886" s="1">
        <v>44287</v>
      </c>
      <c r="M886">
        <v>10</v>
      </c>
      <c r="N886" s="8" cm="1">
        <f t="array" ref="N886">_xlfn.SWITCH(Sales[[#This Row],[Subscription Type]],"Basic",10,"Premium",10,"Business",25,"Enterprise",27)</f>
        <v>10</v>
      </c>
      <c r="O886">
        <f>IF(Sales[[#This Row],[Number of Users]]-Sales[[#This Row],[Licenses Bought]]&lt;0,0,Sales[[#This Row],[Number of Users]]-Sales[[#This Row],[Licenses Bought]])</f>
        <v>1</v>
      </c>
      <c r="P886" s="8">
        <f>IF(Sales[[#This Row],[Sales Month]]=MAX(Sales[Sales Month]),Sales[[#This Row],[Non-Paying Users]]*Sales[[#This Row],[Upsell $ per Non-Paying User]],0)</f>
        <v>0</v>
      </c>
      <c r="Q886" t="str" cm="1">
        <f t="array" ref="Q886">_xlfn.IFS(Sales[[#This Row],[Current Upsell $]]=0,"",Sales[[#This Row],[Current Upsell $]]&gt;=400,"High",Sales[[#This Row],[Current Upsell $]]&gt;=100,"Medium",Sales[[#This Row],[Current Upsell $]]&lt;100,"Low")</f>
        <v/>
      </c>
      <c r="R886" t="str">
        <f>IF(Sales[[#This Row],[Current Upsell $]]&gt;0,_xlfn.CONCAT(Sales[[#This Row],[Subscription Type]]," ",Sales[[#This Row],[Upsell Priority]]," ",TEXT(Sales[[#This Row],[Current Upsell $]],"$#,#")),"")</f>
        <v/>
      </c>
    </row>
    <row r="887" spans="1:18" x14ac:dyDescent="0.25">
      <c r="A887">
        <v>100079</v>
      </c>
      <c r="B887" t="s">
        <v>0</v>
      </c>
      <c r="D887" s="1"/>
      <c r="E887" s="1"/>
      <c r="F887">
        <v>1</v>
      </c>
      <c r="G887">
        <v>2</v>
      </c>
      <c r="H887" s="1">
        <v>44013</v>
      </c>
      <c r="I887" s="1">
        <v>44378</v>
      </c>
      <c r="J887">
        <v>12</v>
      </c>
      <c r="K887">
        <v>0</v>
      </c>
      <c r="L887" s="1">
        <v>44317</v>
      </c>
      <c r="M887">
        <v>10</v>
      </c>
      <c r="N887" s="8" cm="1">
        <f t="array" ref="N887">_xlfn.SWITCH(Sales[[#This Row],[Subscription Type]],"Basic",10,"Premium",10,"Business",25,"Enterprise",27)</f>
        <v>10</v>
      </c>
      <c r="O887">
        <f>IF(Sales[[#This Row],[Number of Users]]-Sales[[#This Row],[Licenses Bought]]&lt;0,0,Sales[[#This Row],[Number of Users]]-Sales[[#This Row],[Licenses Bought]])</f>
        <v>1</v>
      </c>
      <c r="P887" s="8">
        <f>IF(Sales[[#This Row],[Sales Month]]=MAX(Sales[Sales Month]),Sales[[#This Row],[Non-Paying Users]]*Sales[[#This Row],[Upsell $ per Non-Paying User]],0)</f>
        <v>0</v>
      </c>
      <c r="Q887" t="str" cm="1">
        <f t="array" ref="Q887">_xlfn.IFS(Sales[[#This Row],[Current Upsell $]]=0,"",Sales[[#This Row],[Current Upsell $]]&gt;=400,"High",Sales[[#This Row],[Current Upsell $]]&gt;=100,"Medium",Sales[[#This Row],[Current Upsell $]]&lt;100,"Low")</f>
        <v/>
      </c>
      <c r="R887" t="str">
        <f>IF(Sales[[#This Row],[Current Upsell $]]&gt;0,_xlfn.CONCAT(Sales[[#This Row],[Subscription Type]]," ",Sales[[#This Row],[Upsell Priority]]," ",TEXT(Sales[[#This Row],[Current Upsell $]],"$#,#")),"")</f>
        <v/>
      </c>
    </row>
    <row r="888" spans="1:18" x14ac:dyDescent="0.25">
      <c r="A888">
        <v>100079</v>
      </c>
      <c r="B888" t="s">
        <v>0</v>
      </c>
      <c r="D888" s="1"/>
      <c r="E888" s="1"/>
      <c r="F888">
        <v>1</v>
      </c>
      <c r="G888">
        <v>2</v>
      </c>
      <c r="H888" s="1">
        <v>44013</v>
      </c>
      <c r="I888" s="1">
        <v>44378</v>
      </c>
      <c r="J888">
        <v>12</v>
      </c>
      <c r="K888">
        <v>0</v>
      </c>
      <c r="L888" s="1">
        <v>44348</v>
      </c>
      <c r="M888">
        <v>10</v>
      </c>
      <c r="N888" s="8" cm="1">
        <f t="array" ref="N888">_xlfn.SWITCH(Sales[[#This Row],[Subscription Type]],"Basic",10,"Premium",10,"Business",25,"Enterprise",27)</f>
        <v>10</v>
      </c>
      <c r="O888">
        <f>IF(Sales[[#This Row],[Number of Users]]-Sales[[#This Row],[Licenses Bought]]&lt;0,0,Sales[[#This Row],[Number of Users]]-Sales[[#This Row],[Licenses Bought]])</f>
        <v>1</v>
      </c>
      <c r="P888" s="8">
        <f>IF(Sales[[#This Row],[Sales Month]]=MAX(Sales[Sales Month]),Sales[[#This Row],[Non-Paying Users]]*Sales[[#This Row],[Upsell $ per Non-Paying User]],0)</f>
        <v>10</v>
      </c>
      <c r="Q888" t="str" cm="1">
        <f t="array" ref="Q888">_xlfn.IFS(Sales[[#This Row],[Current Upsell $]]=0,"",Sales[[#This Row],[Current Upsell $]]&gt;=400,"High",Sales[[#This Row],[Current Upsell $]]&gt;=100,"Medium",Sales[[#This Row],[Current Upsell $]]&lt;100,"Low")</f>
        <v>Low</v>
      </c>
      <c r="R888" t="str">
        <f>IF(Sales[[#This Row],[Current Upsell $]]&gt;0,_xlfn.CONCAT(Sales[[#This Row],[Subscription Type]]," ",Sales[[#This Row],[Upsell Priority]]," ",TEXT(Sales[[#This Row],[Current Upsell $]],"$#,#")),"")</f>
        <v>Premium Low $10</v>
      </c>
    </row>
    <row r="889" spans="1:18" x14ac:dyDescent="0.25">
      <c r="A889">
        <v>100080</v>
      </c>
      <c r="B889" t="s">
        <v>3</v>
      </c>
      <c r="D889" s="1"/>
      <c r="E889" s="1"/>
      <c r="F889">
        <v>0</v>
      </c>
      <c r="G889">
        <v>1</v>
      </c>
      <c r="H889" s="1">
        <v>44013</v>
      </c>
      <c r="I889" s="1">
        <v>44378</v>
      </c>
      <c r="J889">
        <v>12</v>
      </c>
      <c r="K889">
        <v>0</v>
      </c>
      <c r="L889" s="1">
        <v>44013</v>
      </c>
      <c r="M889">
        <v>0</v>
      </c>
      <c r="N889" s="8" cm="1">
        <f t="array" ref="N889">_xlfn.SWITCH(Sales[[#This Row],[Subscription Type]],"Basic",10,"Premium",10,"Business",25,"Enterprise",27)</f>
        <v>10</v>
      </c>
      <c r="O889">
        <f>IF(Sales[[#This Row],[Number of Users]]-Sales[[#This Row],[Licenses Bought]]&lt;0,0,Sales[[#This Row],[Number of Users]]-Sales[[#This Row],[Licenses Bought]])</f>
        <v>1</v>
      </c>
      <c r="P889" s="8">
        <f>IF(Sales[[#This Row],[Sales Month]]=MAX(Sales[Sales Month]),Sales[[#This Row],[Non-Paying Users]]*Sales[[#This Row],[Upsell $ per Non-Paying User]],0)</f>
        <v>0</v>
      </c>
      <c r="Q889" t="str" cm="1">
        <f t="array" ref="Q889">_xlfn.IFS(Sales[[#This Row],[Current Upsell $]]=0,"",Sales[[#This Row],[Current Upsell $]]&gt;=400,"High",Sales[[#This Row],[Current Upsell $]]&gt;=100,"Medium",Sales[[#This Row],[Current Upsell $]]&lt;100,"Low")</f>
        <v/>
      </c>
      <c r="R889" t="str">
        <f>IF(Sales[[#This Row],[Current Upsell $]]&gt;0,_xlfn.CONCAT(Sales[[#This Row],[Subscription Type]]," ",Sales[[#This Row],[Upsell Priority]]," ",TEXT(Sales[[#This Row],[Current Upsell $]],"$#,#")),"")</f>
        <v/>
      </c>
    </row>
    <row r="890" spans="1:18" x14ac:dyDescent="0.25">
      <c r="A890">
        <v>100080</v>
      </c>
      <c r="B890" t="s">
        <v>0</v>
      </c>
      <c r="D890" s="1"/>
      <c r="E890" s="1"/>
      <c r="F890">
        <v>1</v>
      </c>
      <c r="G890">
        <v>2</v>
      </c>
      <c r="H890" s="1">
        <v>44013</v>
      </c>
      <c r="I890" s="1">
        <v>44378</v>
      </c>
      <c r="J890">
        <v>12</v>
      </c>
      <c r="K890">
        <v>0</v>
      </c>
      <c r="L890" s="1">
        <v>44044</v>
      </c>
      <c r="M890">
        <v>10</v>
      </c>
      <c r="N890" s="8" cm="1">
        <f t="array" ref="N890">_xlfn.SWITCH(Sales[[#This Row],[Subscription Type]],"Basic",10,"Premium",10,"Business",25,"Enterprise",27)</f>
        <v>10</v>
      </c>
      <c r="O890">
        <f>IF(Sales[[#This Row],[Number of Users]]-Sales[[#This Row],[Licenses Bought]]&lt;0,0,Sales[[#This Row],[Number of Users]]-Sales[[#This Row],[Licenses Bought]])</f>
        <v>1</v>
      </c>
      <c r="P890" s="8">
        <f>IF(Sales[[#This Row],[Sales Month]]=MAX(Sales[Sales Month]),Sales[[#This Row],[Non-Paying Users]]*Sales[[#This Row],[Upsell $ per Non-Paying User]],0)</f>
        <v>0</v>
      </c>
      <c r="Q890" t="str" cm="1">
        <f t="array" ref="Q890">_xlfn.IFS(Sales[[#This Row],[Current Upsell $]]=0,"",Sales[[#This Row],[Current Upsell $]]&gt;=400,"High",Sales[[#This Row],[Current Upsell $]]&gt;=100,"Medium",Sales[[#This Row],[Current Upsell $]]&lt;100,"Low")</f>
        <v/>
      </c>
      <c r="R890" t="str">
        <f>IF(Sales[[#This Row],[Current Upsell $]]&gt;0,_xlfn.CONCAT(Sales[[#This Row],[Subscription Type]]," ",Sales[[#This Row],[Upsell Priority]]," ",TEXT(Sales[[#This Row],[Current Upsell $]],"$#,#")),"")</f>
        <v/>
      </c>
    </row>
    <row r="891" spans="1:18" x14ac:dyDescent="0.25">
      <c r="A891">
        <v>100080</v>
      </c>
      <c r="B891" t="s">
        <v>0</v>
      </c>
      <c r="D891" s="1"/>
      <c r="E891" s="1"/>
      <c r="F891">
        <v>1</v>
      </c>
      <c r="G891">
        <v>2</v>
      </c>
      <c r="H891" s="1">
        <v>44013</v>
      </c>
      <c r="I891" s="1">
        <v>44378</v>
      </c>
      <c r="J891">
        <v>12</v>
      </c>
      <c r="K891">
        <v>0</v>
      </c>
      <c r="L891" s="1">
        <v>44075</v>
      </c>
      <c r="M891">
        <v>10</v>
      </c>
      <c r="N891" s="8" cm="1">
        <f t="array" ref="N891">_xlfn.SWITCH(Sales[[#This Row],[Subscription Type]],"Basic",10,"Premium",10,"Business",25,"Enterprise",27)</f>
        <v>10</v>
      </c>
      <c r="O891">
        <f>IF(Sales[[#This Row],[Number of Users]]-Sales[[#This Row],[Licenses Bought]]&lt;0,0,Sales[[#This Row],[Number of Users]]-Sales[[#This Row],[Licenses Bought]])</f>
        <v>1</v>
      </c>
      <c r="P891" s="8">
        <f>IF(Sales[[#This Row],[Sales Month]]=MAX(Sales[Sales Month]),Sales[[#This Row],[Non-Paying Users]]*Sales[[#This Row],[Upsell $ per Non-Paying User]],0)</f>
        <v>0</v>
      </c>
      <c r="Q891" t="str" cm="1">
        <f t="array" ref="Q891">_xlfn.IFS(Sales[[#This Row],[Current Upsell $]]=0,"",Sales[[#This Row],[Current Upsell $]]&gt;=400,"High",Sales[[#This Row],[Current Upsell $]]&gt;=100,"Medium",Sales[[#This Row],[Current Upsell $]]&lt;100,"Low")</f>
        <v/>
      </c>
      <c r="R891" t="str">
        <f>IF(Sales[[#This Row],[Current Upsell $]]&gt;0,_xlfn.CONCAT(Sales[[#This Row],[Subscription Type]]," ",Sales[[#This Row],[Upsell Priority]]," ",TEXT(Sales[[#This Row],[Current Upsell $]],"$#,#")),"")</f>
        <v/>
      </c>
    </row>
    <row r="892" spans="1:18" x14ac:dyDescent="0.25">
      <c r="A892">
        <v>100080</v>
      </c>
      <c r="B892" t="s">
        <v>0</v>
      </c>
      <c r="D892" s="1"/>
      <c r="E892" s="1"/>
      <c r="F892">
        <v>1</v>
      </c>
      <c r="G892">
        <v>2</v>
      </c>
      <c r="H892" s="1">
        <v>44013</v>
      </c>
      <c r="I892" s="1">
        <v>44378</v>
      </c>
      <c r="J892">
        <v>12</v>
      </c>
      <c r="K892">
        <v>0</v>
      </c>
      <c r="L892" s="1">
        <v>44105</v>
      </c>
      <c r="M892">
        <v>10</v>
      </c>
      <c r="N892" s="8" cm="1">
        <f t="array" ref="N892">_xlfn.SWITCH(Sales[[#This Row],[Subscription Type]],"Basic",10,"Premium",10,"Business",25,"Enterprise",27)</f>
        <v>10</v>
      </c>
      <c r="O892">
        <f>IF(Sales[[#This Row],[Number of Users]]-Sales[[#This Row],[Licenses Bought]]&lt;0,0,Sales[[#This Row],[Number of Users]]-Sales[[#This Row],[Licenses Bought]])</f>
        <v>1</v>
      </c>
      <c r="P892" s="8">
        <f>IF(Sales[[#This Row],[Sales Month]]=MAX(Sales[Sales Month]),Sales[[#This Row],[Non-Paying Users]]*Sales[[#This Row],[Upsell $ per Non-Paying User]],0)</f>
        <v>0</v>
      </c>
      <c r="Q892" t="str" cm="1">
        <f t="array" ref="Q892">_xlfn.IFS(Sales[[#This Row],[Current Upsell $]]=0,"",Sales[[#This Row],[Current Upsell $]]&gt;=400,"High",Sales[[#This Row],[Current Upsell $]]&gt;=100,"Medium",Sales[[#This Row],[Current Upsell $]]&lt;100,"Low")</f>
        <v/>
      </c>
      <c r="R892" t="str">
        <f>IF(Sales[[#This Row],[Current Upsell $]]&gt;0,_xlfn.CONCAT(Sales[[#This Row],[Subscription Type]]," ",Sales[[#This Row],[Upsell Priority]]," ",TEXT(Sales[[#This Row],[Current Upsell $]],"$#,#")),"")</f>
        <v/>
      </c>
    </row>
    <row r="893" spans="1:18" x14ac:dyDescent="0.25">
      <c r="A893">
        <v>100080</v>
      </c>
      <c r="B893" t="s">
        <v>0</v>
      </c>
      <c r="D893" s="1"/>
      <c r="E893" s="1"/>
      <c r="F893">
        <v>1</v>
      </c>
      <c r="G893">
        <v>2</v>
      </c>
      <c r="H893" s="1">
        <v>44013</v>
      </c>
      <c r="I893" s="1">
        <v>44378</v>
      </c>
      <c r="J893">
        <v>12</v>
      </c>
      <c r="K893">
        <v>0</v>
      </c>
      <c r="L893" s="1">
        <v>44136</v>
      </c>
      <c r="M893">
        <v>10</v>
      </c>
      <c r="N893" s="8" cm="1">
        <f t="array" ref="N893">_xlfn.SWITCH(Sales[[#This Row],[Subscription Type]],"Basic",10,"Premium",10,"Business",25,"Enterprise",27)</f>
        <v>10</v>
      </c>
      <c r="O893">
        <f>IF(Sales[[#This Row],[Number of Users]]-Sales[[#This Row],[Licenses Bought]]&lt;0,0,Sales[[#This Row],[Number of Users]]-Sales[[#This Row],[Licenses Bought]])</f>
        <v>1</v>
      </c>
      <c r="P893" s="8">
        <f>IF(Sales[[#This Row],[Sales Month]]=MAX(Sales[Sales Month]),Sales[[#This Row],[Non-Paying Users]]*Sales[[#This Row],[Upsell $ per Non-Paying User]],0)</f>
        <v>0</v>
      </c>
      <c r="Q893" t="str" cm="1">
        <f t="array" ref="Q893">_xlfn.IFS(Sales[[#This Row],[Current Upsell $]]=0,"",Sales[[#This Row],[Current Upsell $]]&gt;=400,"High",Sales[[#This Row],[Current Upsell $]]&gt;=100,"Medium",Sales[[#This Row],[Current Upsell $]]&lt;100,"Low")</f>
        <v/>
      </c>
      <c r="R893" t="str">
        <f>IF(Sales[[#This Row],[Current Upsell $]]&gt;0,_xlfn.CONCAT(Sales[[#This Row],[Subscription Type]]," ",Sales[[#This Row],[Upsell Priority]]," ",TEXT(Sales[[#This Row],[Current Upsell $]],"$#,#")),"")</f>
        <v/>
      </c>
    </row>
    <row r="894" spans="1:18" x14ac:dyDescent="0.25">
      <c r="A894">
        <v>100080</v>
      </c>
      <c r="B894" t="s">
        <v>0</v>
      </c>
      <c r="D894" s="1"/>
      <c r="E894" s="1"/>
      <c r="F894">
        <v>1</v>
      </c>
      <c r="G894">
        <v>2</v>
      </c>
      <c r="H894" s="1">
        <v>44013</v>
      </c>
      <c r="I894" s="1">
        <v>44378</v>
      </c>
      <c r="J894">
        <v>12</v>
      </c>
      <c r="K894">
        <v>0</v>
      </c>
      <c r="L894" s="1">
        <v>44166</v>
      </c>
      <c r="M894">
        <v>10</v>
      </c>
      <c r="N894" s="8" cm="1">
        <f t="array" ref="N894">_xlfn.SWITCH(Sales[[#This Row],[Subscription Type]],"Basic",10,"Premium",10,"Business",25,"Enterprise",27)</f>
        <v>10</v>
      </c>
      <c r="O894">
        <f>IF(Sales[[#This Row],[Number of Users]]-Sales[[#This Row],[Licenses Bought]]&lt;0,0,Sales[[#This Row],[Number of Users]]-Sales[[#This Row],[Licenses Bought]])</f>
        <v>1</v>
      </c>
      <c r="P894" s="8">
        <f>IF(Sales[[#This Row],[Sales Month]]=MAX(Sales[Sales Month]),Sales[[#This Row],[Non-Paying Users]]*Sales[[#This Row],[Upsell $ per Non-Paying User]],0)</f>
        <v>0</v>
      </c>
      <c r="Q894" t="str" cm="1">
        <f t="array" ref="Q894">_xlfn.IFS(Sales[[#This Row],[Current Upsell $]]=0,"",Sales[[#This Row],[Current Upsell $]]&gt;=400,"High",Sales[[#This Row],[Current Upsell $]]&gt;=100,"Medium",Sales[[#This Row],[Current Upsell $]]&lt;100,"Low")</f>
        <v/>
      </c>
      <c r="R894" t="str">
        <f>IF(Sales[[#This Row],[Current Upsell $]]&gt;0,_xlfn.CONCAT(Sales[[#This Row],[Subscription Type]]," ",Sales[[#This Row],[Upsell Priority]]," ",TEXT(Sales[[#This Row],[Current Upsell $]],"$#,#")),"")</f>
        <v/>
      </c>
    </row>
    <row r="895" spans="1:18" x14ac:dyDescent="0.25">
      <c r="A895">
        <v>100080</v>
      </c>
      <c r="B895" t="s">
        <v>0</v>
      </c>
      <c r="D895" s="1"/>
      <c r="E895" s="1"/>
      <c r="F895">
        <v>1</v>
      </c>
      <c r="G895">
        <v>1</v>
      </c>
      <c r="H895" s="1">
        <v>44013</v>
      </c>
      <c r="I895" s="1">
        <v>44378</v>
      </c>
      <c r="J895">
        <v>12</v>
      </c>
      <c r="K895">
        <v>0</v>
      </c>
      <c r="L895" s="1">
        <v>44197</v>
      </c>
      <c r="M895">
        <v>10</v>
      </c>
      <c r="N895" s="8" cm="1">
        <f t="array" ref="N895">_xlfn.SWITCH(Sales[[#This Row],[Subscription Type]],"Basic",10,"Premium",10,"Business",25,"Enterprise",27)</f>
        <v>10</v>
      </c>
      <c r="O895">
        <f>IF(Sales[[#This Row],[Number of Users]]-Sales[[#This Row],[Licenses Bought]]&lt;0,0,Sales[[#This Row],[Number of Users]]-Sales[[#This Row],[Licenses Bought]])</f>
        <v>0</v>
      </c>
      <c r="P895" s="8">
        <f>IF(Sales[[#This Row],[Sales Month]]=MAX(Sales[Sales Month]),Sales[[#This Row],[Non-Paying Users]]*Sales[[#This Row],[Upsell $ per Non-Paying User]],0)</f>
        <v>0</v>
      </c>
      <c r="Q895" t="str" cm="1">
        <f t="array" ref="Q895">_xlfn.IFS(Sales[[#This Row],[Current Upsell $]]=0,"",Sales[[#This Row],[Current Upsell $]]&gt;=400,"High",Sales[[#This Row],[Current Upsell $]]&gt;=100,"Medium",Sales[[#This Row],[Current Upsell $]]&lt;100,"Low")</f>
        <v/>
      </c>
      <c r="R895" t="str">
        <f>IF(Sales[[#This Row],[Current Upsell $]]&gt;0,_xlfn.CONCAT(Sales[[#This Row],[Subscription Type]]," ",Sales[[#This Row],[Upsell Priority]]," ",TEXT(Sales[[#This Row],[Current Upsell $]],"$#,#")),"")</f>
        <v/>
      </c>
    </row>
    <row r="896" spans="1:18" x14ac:dyDescent="0.25">
      <c r="A896">
        <v>100080</v>
      </c>
      <c r="B896" t="s">
        <v>0</v>
      </c>
      <c r="D896" s="1"/>
      <c r="E896" s="1"/>
      <c r="F896">
        <v>1</v>
      </c>
      <c r="G896">
        <v>2</v>
      </c>
      <c r="H896" s="1">
        <v>44013</v>
      </c>
      <c r="I896" s="1">
        <v>44378</v>
      </c>
      <c r="J896">
        <v>12</v>
      </c>
      <c r="K896">
        <v>0</v>
      </c>
      <c r="L896" s="1">
        <v>44228</v>
      </c>
      <c r="M896">
        <v>10</v>
      </c>
      <c r="N896" s="8" cm="1">
        <f t="array" ref="N896">_xlfn.SWITCH(Sales[[#This Row],[Subscription Type]],"Basic",10,"Premium",10,"Business",25,"Enterprise",27)</f>
        <v>10</v>
      </c>
      <c r="O896">
        <f>IF(Sales[[#This Row],[Number of Users]]-Sales[[#This Row],[Licenses Bought]]&lt;0,0,Sales[[#This Row],[Number of Users]]-Sales[[#This Row],[Licenses Bought]])</f>
        <v>1</v>
      </c>
      <c r="P896" s="8">
        <f>IF(Sales[[#This Row],[Sales Month]]=MAX(Sales[Sales Month]),Sales[[#This Row],[Non-Paying Users]]*Sales[[#This Row],[Upsell $ per Non-Paying User]],0)</f>
        <v>0</v>
      </c>
      <c r="Q896" t="str" cm="1">
        <f t="array" ref="Q896">_xlfn.IFS(Sales[[#This Row],[Current Upsell $]]=0,"",Sales[[#This Row],[Current Upsell $]]&gt;=400,"High",Sales[[#This Row],[Current Upsell $]]&gt;=100,"Medium",Sales[[#This Row],[Current Upsell $]]&lt;100,"Low")</f>
        <v/>
      </c>
      <c r="R896" t="str">
        <f>IF(Sales[[#This Row],[Current Upsell $]]&gt;0,_xlfn.CONCAT(Sales[[#This Row],[Subscription Type]]," ",Sales[[#This Row],[Upsell Priority]]," ",TEXT(Sales[[#This Row],[Current Upsell $]],"$#,#")),"")</f>
        <v/>
      </c>
    </row>
    <row r="897" spans="1:18" x14ac:dyDescent="0.25">
      <c r="A897">
        <v>100080</v>
      </c>
      <c r="B897" t="s">
        <v>0</v>
      </c>
      <c r="D897" s="1"/>
      <c r="E897" s="1"/>
      <c r="F897">
        <v>1</v>
      </c>
      <c r="G897">
        <v>2</v>
      </c>
      <c r="H897" s="1">
        <v>44013</v>
      </c>
      <c r="I897" s="1">
        <v>44378</v>
      </c>
      <c r="J897">
        <v>12</v>
      </c>
      <c r="K897">
        <v>0</v>
      </c>
      <c r="L897" s="1">
        <v>44256</v>
      </c>
      <c r="M897">
        <v>10</v>
      </c>
      <c r="N897" s="8" cm="1">
        <f t="array" ref="N897">_xlfn.SWITCH(Sales[[#This Row],[Subscription Type]],"Basic",10,"Premium",10,"Business",25,"Enterprise",27)</f>
        <v>10</v>
      </c>
      <c r="O897">
        <f>IF(Sales[[#This Row],[Number of Users]]-Sales[[#This Row],[Licenses Bought]]&lt;0,0,Sales[[#This Row],[Number of Users]]-Sales[[#This Row],[Licenses Bought]])</f>
        <v>1</v>
      </c>
      <c r="P897" s="8">
        <f>IF(Sales[[#This Row],[Sales Month]]=MAX(Sales[Sales Month]),Sales[[#This Row],[Non-Paying Users]]*Sales[[#This Row],[Upsell $ per Non-Paying User]],0)</f>
        <v>0</v>
      </c>
      <c r="Q897" t="str" cm="1">
        <f t="array" ref="Q897">_xlfn.IFS(Sales[[#This Row],[Current Upsell $]]=0,"",Sales[[#This Row],[Current Upsell $]]&gt;=400,"High",Sales[[#This Row],[Current Upsell $]]&gt;=100,"Medium",Sales[[#This Row],[Current Upsell $]]&lt;100,"Low")</f>
        <v/>
      </c>
      <c r="R897" t="str">
        <f>IF(Sales[[#This Row],[Current Upsell $]]&gt;0,_xlfn.CONCAT(Sales[[#This Row],[Subscription Type]]," ",Sales[[#This Row],[Upsell Priority]]," ",TEXT(Sales[[#This Row],[Current Upsell $]],"$#,#")),"")</f>
        <v/>
      </c>
    </row>
    <row r="898" spans="1:18" x14ac:dyDescent="0.25">
      <c r="A898">
        <v>100080</v>
      </c>
      <c r="B898" t="s">
        <v>0</v>
      </c>
      <c r="D898" s="1"/>
      <c r="E898" s="1"/>
      <c r="F898">
        <v>1</v>
      </c>
      <c r="G898">
        <v>1</v>
      </c>
      <c r="H898" s="1">
        <v>44013</v>
      </c>
      <c r="I898" s="1">
        <v>44378</v>
      </c>
      <c r="J898">
        <v>12</v>
      </c>
      <c r="K898">
        <v>0</v>
      </c>
      <c r="L898" s="1">
        <v>44287</v>
      </c>
      <c r="M898">
        <v>10</v>
      </c>
      <c r="N898" s="8" cm="1">
        <f t="array" ref="N898">_xlfn.SWITCH(Sales[[#This Row],[Subscription Type]],"Basic",10,"Premium",10,"Business",25,"Enterprise",27)</f>
        <v>10</v>
      </c>
      <c r="O898">
        <f>IF(Sales[[#This Row],[Number of Users]]-Sales[[#This Row],[Licenses Bought]]&lt;0,0,Sales[[#This Row],[Number of Users]]-Sales[[#This Row],[Licenses Bought]])</f>
        <v>0</v>
      </c>
      <c r="P898" s="8">
        <f>IF(Sales[[#This Row],[Sales Month]]=MAX(Sales[Sales Month]),Sales[[#This Row],[Non-Paying Users]]*Sales[[#This Row],[Upsell $ per Non-Paying User]],0)</f>
        <v>0</v>
      </c>
      <c r="Q898" t="str" cm="1">
        <f t="array" ref="Q898">_xlfn.IFS(Sales[[#This Row],[Current Upsell $]]=0,"",Sales[[#This Row],[Current Upsell $]]&gt;=400,"High",Sales[[#This Row],[Current Upsell $]]&gt;=100,"Medium",Sales[[#This Row],[Current Upsell $]]&lt;100,"Low")</f>
        <v/>
      </c>
      <c r="R898" t="str">
        <f>IF(Sales[[#This Row],[Current Upsell $]]&gt;0,_xlfn.CONCAT(Sales[[#This Row],[Subscription Type]]," ",Sales[[#This Row],[Upsell Priority]]," ",TEXT(Sales[[#This Row],[Current Upsell $]],"$#,#")),"")</f>
        <v/>
      </c>
    </row>
    <row r="899" spans="1:18" x14ac:dyDescent="0.25">
      <c r="A899">
        <v>100080</v>
      </c>
      <c r="B899" t="s">
        <v>0</v>
      </c>
      <c r="D899" s="1"/>
      <c r="E899" s="1"/>
      <c r="F899">
        <v>1</v>
      </c>
      <c r="G899">
        <v>2</v>
      </c>
      <c r="H899" s="1">
        <v>44013</v>
      </c>
      <c r="I899" s="1">
        <v>44378</v>
      </c>
      <c r="J899">
        <v>12</v>
      </c>
      <c r="K899">
        <v>0</v>
      </c>
      <c r="L899" s="1">
        <v>44317</v>
      </c>
      <c r="M899">
        <v>10</v>
      </c>
      <c r="N899" s="8" cm="1">
        <f t="array" ref="N899">_xlfn.SWITCH(Sales[[#This Row],[Subscription Type]],"Basic",10,"Premium",10,"Business",25,"Enterprise",27)</f>
        <v>10</v>
      </c>
      <c r="O899">
        <f>IF(Sales[[#This Row],[Number of Users]]-Sales[[#This Row],[Licenses Bought]]&lt;0,0,Sales[[#This Row],[Number of Users]]-Sales[[#This Row],[Licenses Bought]])</f>
        <v>1</v>
      </c>
      <c r="P899" s="8">
        <f>IF(Sales[[#This Row],[Sales Month]]=MAX(Sales[Sales Month]),Sales[[#This Row],[Non-Paying Users]]*Sales[[#This Row],[Upsell $ per Non-Paying User]],0)</f>
        <v>0</v>
      </c>
      <c r="Q899" t="str" cm="1">
        <f t="array" ref="Q899">_xlfn.IFS(Sales[[#This Row],[Current Upsell $]]=0,"",Sales[[#This Row],[Current Upsell $]]&gt;=400,"High",Sales[[#This Row],[Current Upsell $]]&gt;=100,"Medium",Sales[[#This Row],[Current Upsell $]]&lt;100,"Low")</f>
        <v/>
      </c>
      <c r="R899" t="str">
        <f>IF(Sales[[#This Row],[Current Upsell $]]&gt;0,_xlfn.CONCAT(Sales[[#This Row],[Subscription Type]]," ",Sales[[#This Row],[Upsell Priority]]," ",TEXT(Sales[[#This Row],[Current Upsell $]],"$#,#")),"")</f>
        <v/>
      </c>
    </row>
    <row r="900" spans="1:18" x14ac:dyDescent="0.25">
      <c r="A900">
        <v>100080</v>
      </c>
      <c r="B900" t="s">
        <v>0</v>
      </c>
      <c r="D900" s="1"/>
      <c r="E900" s="1"/>
      <c r="F900">
        <v>1</v>
      </c>
      <c r="G900">
        <v>1</v>
      </c>
      <c r="H900" s="1">
        <v>44013</v>
      </c>
      <c r="I900" s="1">
        <v>44378</v>
      </c>
      <c r="J900">
        <v>12</v>
      </c>
      <c r="K900">
        <v>0</v>
      </c>
      <c r="L900" s="1">
        <v>44348</v>
      </c>
      <c r="M900">
        <v>10</v>
      </c>
      <c r="N900" s="8" cm="1">
        <f t="array" ref="N900">_xlfn.SWITCH(Sales[[#This Row],[Subscription Type]],"Basic",10,"Premium",10,"Business",25,"Enterprise",27)</f>
        <v>10</v>
      </c>
      <c r="O900">
        <f>IF(Sales[[#This Row],[Number of Users]]-Sales[[#This Row],[Licenses Bought]]&lt;0,0,Sales[[#This Row],[Number of Users]]-Sales[[#This Row],[Licenses Bought]])</f>
        <v>0</v>
      </c>
      <c r="P900" s="8">
        <f>IF(Sales[[#This Row],[Sales Month]]=MAX(Sales[Sales Month]),Sales[[#This Row],[Non-Paying Users]]*Sales[[#This Row],[Upsell $ per Non-Paying User]],0)</f>
        <v>0</v>
      </c>
      <c r="Q900" t="str" cm="1">
        <f t="array" ref="Q900">_xlfn.IFS(Sales[[#This Row],[Current Upsell $]]=0,"",Sales[[#This Row],[Current Upsell $]]&gt;=400,"High",Sales[[#This Row],[Current Upsell $]]&gt;=100,"Medium",Sales[[#This Row],[Current Upsell $]]&lt;100,"Low")</f>
        <v/>
      </c>
      <c r="R900" t="str">
        <f>IF(Sales[[#This Row],[Current Upsell $]]&gt;0,_xlfn.CONCAT(Sales[[#This Row],[Subscription Type]]," ",Sales[[#This Row],[Upsell Priority]]," ",TEXT(Sales[[#This Row],[Current Upsell $]],"$#,#")),"")</f>
        <v/>
      </c>
    </row>
    <row r="901" spans="1:18" x14ac:dyDescent="0.25">
      <c r="A901">
        <v>100081</v>
      </c>
      <c r="B901" t="s">
        <v>3</v>
      </c>
      <c r="D901" s="1"/>
      <c r="E901" s="1"/>
      <c r="F901">
        <v>0</v>
      </c>
      <c r="G901">
        <v>39</v>
      </c>
      <c r="H901" s="1">
        <v>44044</v>
      </c>
      <c r="I901" s="1">
        <v>44378</v>
      </c>
      <c r="J901">
        <v>11</v>
      </c>
      <c r="K901">
        <v>0</v>
      </c>
      <c r="L901" s="1">
        <v>44044</v>
      </c>
      <c r="M901">
        <v>0</v>
      </c>
      <c r="N901" s="8" cm="1">
        <f t="array" ref="N901">_xlfn.SWITCH(Sales[[#This Row],[Subscription Type]],"Basic",10,"Premium",10,"Business",25,"Enterprise",27)</f>
        <v>10</v>
      </c>
      <c r="O901">
        <f>IF(Sales[[#This Row],[Number of Users]]-Sales[[#This Row],[Licenses Bought]]&lt;0,0,Sales[[#This Row],[Number of Users]]-Sales[[#This Row],[Licenses Bought]])</f>
        <v>39</v>
      </c>
      <c r="P901" s="8">
        <f>IF(Sales[[#This Row],[Sales Month]]=MAX(Sales[Sales Month]),Sales[[#This Row],[Non-Paying Users]]*Sales[[#This Row],[Upsell $ per Non-Paying User]],0)</f>
        <v>0</v>
      </c>
      <c r="Q901" t="str" cm="1">
        <f t="array" ref="Q901">_xlfn.IFS(Sales[[#This Row],[Current Upsell $]]=0,"",Sales[[#This Row],[Current Upsell $]]&gt;=400,"High",Sales[[#This Row],[Current Upsell $]]&gt;=100,"Medium",Sales[[#This Row],[Current Upsell $]]&lt;100,"Low")</f>
        <v/>
      </c>
      <c r="R901" t="str">
        <f>IF(Sales[[#This Row],[Current Upsell $]]&gt;0,_xlfn.CONCAT(Sales[[#This Row],[Subscription Type]]," ",Sales[[#This Row],[Upsell Priority]]," ",TEXT(Sales[[#This Row],[Current Upsell $]],"$#,#")),"")</f>
        <v/>
      </c>
    </row>
    <row r="902" spans="1:18" x14ac:dyDescent="0.25">
      <c r="A902">
        <v>100081</v>
      </c>
      <c r="B902" t="s">
        <v>0</v>
      </c>
      <c r="D902" s="1"/>
      <c r="E902" s="1"/>
      <c r="F902">
        <v>10</v>
      </c>
      <c r="G902">
        <v>37</v>
      </c>
      <c r="H902" s="1">
        <v>44044</v>
      </c>
      <c r="I902" s="1">
        <v>44378</v>
      </c>
      <c r="J902">
        <v>11</v>
      </c>
      <c r="K902">
        <v>0</v>
      </c>
      <c r="L902" s="1">
        <v>44075</v>
      </c>
      <c r="M902">
        <v>100</v>
      </c>
      <c r="N902" s="8" cm="1">
        <f t="array" ref="N902">_xlfn.SWITCH(Sales[[#This Row],[Subscription Type]],"Basic",10,"Premium",10,"Business",25,"Enterprise",27)</f>
        <v>10</v>
      </c>
      <c r="O902">
        <f>IF(Sales[[#This Row],[Number of Users]]-Sales[[#This Row],[Licenses Bought]]&lt;0,0,Sales[[#This Row],[Number of Users]]-Sales[[#This Row],[Licenses Bought]])</f>
        <v>27</v>
      </c>
      <c r="P902" s="8">
        <f>IF(Sales[[#This Row],[Sales Month]]=MAX(Sales[Sales Month]),Sales[[#This Row],[Non-Paying Users]]*Sales[[#This Row],[Upsell $ per Non-Paying User]],0)</f>
        <v>0</v>
      </c>
      <c r="Q902" t="str" cm="1">
        <f t="array" ref="Q902">_xlfn.IFS(Sales[[#This Row],[Current Upsell $]]=0,"",Sales[[#This Row],[Current Upsell $]]&gt;=400,"High",Sales[[#This Row],[Current Upsell $]]&gt;=100,"Medium",Sales[[#This Row],[Current Upsell $]]&lt;100,"Low")</f>
        <v/>
      </c>
      <c r="R902" t="str">
        <f>IF(Sales[[#This Row],[Current Upsell $]]&gt;0,_xlfn.CONCAT(Sales[[#This Row],[Subscription Type]]," ",Sales[[#This Row],[Upsell Priority]]," ",TEXT(Sales[[#This Row],[Current Upsell $]],"$#,#")),"")</f>
        <v/>
      </c>
    </row>
    <row r="903" spans="1:18" x14ac:dyDescent="0.25">
      <c r="A903">
        <v>100081</v>
      </c>
      <c r="B903" t="s">
        <v>0</v>
      </c>
      <c r="D903" s="1"/>
      <c r="E903" s="1"/>
      <c r="F903">
        <v>22</v>
      </c>
      <c r="G903">
        <v>47</v>
      </c>
      <c r="H903" s="1">
        <v>44044</v>
      </c>
      <c r="I903" s="1">
        <v>44378</v>
      </c>
      <c r="J903">
        <v>11</v>
      </c>
      <c r="K903">
        <v>0</v>
      </c>
      <c r="L903" s="1">
        <v>44105</v>
      </c>
      <c r="M903">
        <v>220</v>
      </c>
      <c r="N903" s="8" cm="1">
        <f t="array" ref="N903">_xlfn.SWITCH(Sales[[#This Row],[Subscription Type]],"Basic",10,"Premium",10,"Business",25,"Enterprise",27)</f>
        <v>10</v>
      </c>
      <c r="O903">
        <f>IF(Sales[[#This Row],[Number of Users]]-Sales[[#This Row],[Licenses Bought]]&lt;0,0,Sales[[#This Row],[Number of Users]]-Sales[[#This Row],[Licenses Bought]])</f>
        <v>25</v>
      </c>
      <c r="P903" s="8">
        <f>IF(Sales[[#This Row],[Sales Month]]=MAX(Sales[Sales Month]),Sales[[#This Row],[Non-Paying Users]]*Sales[[#This Row],[Upsell $ per Non-Paying User]],0)</f>
        <v>0</v>
      </c>
      <c r="Q903" t="str" cm="1">
        <f t="array" ref="Q903">_xlfn.IFS(Sales[[#This Row],[Current Upsell $]]=0,"",Sales[[#This Row],[Current Upsell $]]&gt;=400,"High",Sales[[#This Row],[Current Upsell $]]&gt;=100,"Medium",Sales[[#This Row],[Current Upsell $]]&lt;100,"Low")</f>
        <v/>
      </c>
      <c r="R903" t="str">
        <f>IF(Sales[[#This Row],[Current Upsell $]]&gt;0,_xlfn.CONCAT(Sales[[#This Row],[Subscription Type]]," ",Sales[[#This Row],[Upsell Priority]]," ",TEXT(Sales[[#This Row],[Current Upsell $]],"$#,#")),"")</f>
        <v/>
      </c>
    </row>
    <row r="904" spans="1:18" x14ac:dyDescent="0.25">
      <c r="A904">
        <v>100081</v>
      </c>
      <c r="B904" t="s">
        <v>0</v>
      </c>
      <c r="D904" s="1"/>
      <c r="E904" s="1"/>
      <c r="F904">
        <v>36</v>
      </c>
      <c r="G904">
        <v>48</v>
      </c>
      <c r="H904" s="1">
        <v>44044</v>
      </c>
      <c r="I904" s="1">
        <v>44378</v>
      </c>
      <c r="J904">
        <v>11</v>
      </c>
      <c r="K904">
        <v>0</v>
      </c>
      <c r="L904" s="1">
        <v>44136</v>
      </c>
      <c r="M904">
        <v>360</v>
      </c>
      <c r="N904" s="8" cm="1">
        <f t="array" ref="N904">_xlfn.SWITCH(Sales[[#This Row],[Subscription Type]],"Basic",10,"Premium",10,"Business",25,"Enterprise",27)</f>
        <v>10</v>
      </c>
      <c r="O904">
        <f>IF(Sales[[#This Row],[Number of Users]]-Sales[[#This Row],[Licenses Bought]]&lt;0,0,Sales[[#This Row],[Number of Users]]-Sales[[#This Row],[Licenses Bought]])</f>
        <v>12</v>
      </c>
      <c r="P904" s="8">
        <f>IF(Sales[[#This Row],[Sales Month]]=MAX(Sales[Sales Month]),Sales[[#This Row],[Non-Paying Users]]*Sales[[#This Row],[Upsell $ per Non-Paying User]],0)</f>
        <v>0</v>
      </c>
      <c r="Q904" t="str" cm="1">
        <f t="array" ref="Q904">_xlfn.IFS(Sales[[#This Row],[Current Upsell $]]=0,"",Sales[[#This Row],[Current Upsell $]]&gt;=400,"High",Sales[[#This Row],[Current Upsell $]]&gt;=100,"Medium",Sales[[#This Row],[Current Upsell $]]&lt;100,"Low")</f>
        <v/>
      </c>
      <c r="R904" t="str">
        <f>IF(Sales[[#This Row],[Current Upsell $]]&gt;0,_xlfn.CONCAT(Sales[[#This Row],[Subscription Type]]," ",Sales[[#This Row],[Upsell Priority]]," ",TEXT(Sales[[#This Row],[Current Upsell $]],"$#,#")),"")</f>
        <v/>
      </c>
    </row>
    <row r="905" spans="1:18" x14ac:dyDescent="0.25">
      <c r="A905">
        <v>100081</v>
      </c>
      <c r="B905" t="s">
        <v>0</v>
      </c>
      <c r="D905" s="1"/>
      <c r="E905" s="1"/>
      <c r="F905">
        <v>36</v>
      </c>
      <c r="G905">
        <v>37</v>
      </c>
      <c r="H905" s="1">
        <v>44044</v>
      </c>
      <c r="I905" s="1">
        <v>44378</v>
      </c>
      <c r="J905">
        <v>11</v>
      </c>
      <c r="K905">
        <v>0</v>
      </c>
      <c r="L905" s="1">
        <v>44166</v>
      </c>
      <c r="M905">
        <v>360</v>
      </c>
      <c r="N905" s="8" cm="1">
        <f t="array" ref="N905">_xlfn.SWITCH(Sales[[#This Row],[Subscription Type]],"Basic",10,"Premium",10,"Business",25,"Enterprise",27)</f>
        <v>10</v>
      </c>
      <c r="O905">
        <f>IF(Sales[[#This Row],[Number of Users]]-Sales[[#This Row],[Licenses Bought]]&lt;0,0,Sales[[#This Row],[Number of Users]]-Sales[[#This Row],[Licenses Bought]])</f>
        <v>1</v>
      </c>
      <c r="P905" s="8">
        <f>IF(Sales[[#This Row],[Sales Month]]=MAX(Sales[Sales Month]),Sales[[#This Row],[Non-Paying Users]]*Sales[[#This Row],[Upsell $ per Non-Paying User]],0)</f>
        <v>0</v>
      </c>
      <c r="Q905" t="str" cm="1">
        <f t="array" ref="Q905">_xlfn.IFS(Sales[[#This Row],[Current Upsell $]]=0,"",Sales[[#This Row],[Current Upsell $]]&gt;=400,"High",Sales[[#This Row],[Current Upsell $]]&gt;=100,"Medium",Sales[[#This Row],[Current Upsell $]]&lt;100,"Low")</f>
        <v/>
      </c>
      <c r="R905" t="str">
        <f>IF(Sales[[#This Row],[Current Upsell $]]&gt;0,_xlfn.CONCAT(Sales[[#This Row],[Subscription Type]]," ",Sales[[#This Row],[Upsell Priority]]," ",TEXT(Sales[[#This Row],[Current Upsell $]],"$#,#")),"")</f>
        <v/>
      </c>
    </row>
    <row r="906" spans="1:18" x14ac:dyDescent="0.25">
      <c r="A906">
        <v>100081</v>
      </c>
      <c r="B906" t="s">
        <v>0</v>
      </c>
      <c r="D906" s="1"/>
      <c r="E906" s="1"/>
      <c r="F906">
        <v>36</v>
      </c>
      <c r="G906">
        <v>42</v>
      </c>
      <c r="H906" s="1">
        <v>44044</v>
      </c>
      <c r="I906" s="1">
        <v>44378</v>
      </c>
      <c r="J906">
        <v>11</v>
      </c>
      <c r="K906">
        <v>0</v>
      </c>
      <c r="L906" s="1">
        <v>44197</v>
      </c>
      <c r="M906">
        <v>360</v>
      </c>
      <c r="N906" s="8" cm="1">
        <f t="array" ref="N906">_xlfn.SWITCH(Sales[[#This Row],[Subscription Type]],"Basic",10,"Premium",10,"Business",25,"Enterprise",27)</f>
        <v>10</v>
      </c>
      <c r="O906">
        <f>IF(Sales[[#This Row],[Number of Users]]-Sales[[#This Row],[Licenses Bought]]&lt;0,0,Sales[[#This Row],[Number of Users]]-Sales[[#This Row],[Licenses Bought]])</f>
        <v>6</v>
      </c>
      <c r="P906" s="8">
        <f>IF(Sales[[#This Row],[Sales Month]]=MAX(Sales[Sales Month]),Sales[[#This Row],[Non-Paying Users]]*Sales[[#This Row],[Upsell $ per Non-Paying User]],0)</f>
        <v>0</v>
      </c>
      <c r="Q906" t="str" cm="1">
        <f t="array" ref="Q906">_xlfn.IFS(Sales[[#This Row],[Current Upsell $]]=0,"",Sales[[#This Row],[Current Upsell $]]&gt;=400,"High",Sales[[#This Row],[Current Upsell $]]&gt;=100,"Medium",Sales[[#This Row],[Current Upsell $]]&lt;100,"Low")</f>
        <v/>
      </c>
      <c r="R906" t="str">
        <f>IF(Sales[[#This Row],[Current Upsell $]]&gt;0,_xlfn.CONCAT(Sales[[#This Row],[Subscription Type]]," ",Sales[[#This Row],[Upsell Priority]]," ",TEXT(Sales[[#This Row],[Current Upsell $]],"$#,#")),"")</f>
        <v/>
      </c>
    </row>
    <row r="907" spans="1:18" x14ac:dyDescent="0.25">
      <c r="A907">
        <v>100081</v>
      </c>
      <c r="B907" t="s">
        <v>0</v>
      </c>
      <c r="D907" s="1"/>
      <c r="E907" s="1"/>
      <c r="F907">
        <v>36</v>
      </c>
      <c r="G907">
        <v>43</v>
      </c>
      <c r="H907" s="1">
        <v>44044</v>
      </c>
      <c r="I907" s="1">
        <v>44378</v>
      </c>
      <c r="J907">
        <v>11</v>
      </c>
      <c r="K907">
        <v>0</v>
      </c>
      <c r="L907" s="1">
        <v>44228</v>
      </c>
      <c r="M907">
        <v>360</v>
      </c>
      <c r="N907" s="8" cm="1">
        <f t="array" ref="N907">_xlfn.SWITCH(Sales[[#This Row],[Subscription Type]],"Basic",10,"Premium",10,"Business",25,"Enterprise",27)</f>
        <v>10</v>
      </c>
      <c r="O907">
        <f>IF(Sales[[#This Row],[Number of Users]]-Sales[[#This Row],[Licenses Bought]]&lt;0,0,Sales[[#This Row],[Number of Users]]-Sales[[#This Row],[Licenses Bought]])</f>
        <v>7</v>
      </c>
      <c r="P907" s="8">
        <f>IF(Sales[[#This Row],[Sales Month]]=MAX(Sales[Sales Month]),Sales[[#This Row],[Non-Paying Users]]*Sales[[#This Row],[Upsell $ per Non-Paying User]],0)</f>
        <v>0</v>
      </c>
      <c r="Q907" t="str" cm="1">
        <f t="array" ref="Q907">_xlfn.IFS(Sales[[#This Row],[Current Upsell $]]=0,"",Sales[[#This Row],[Current Upsell $]]&gt;=400,"High",Sales[[#This Row],[Current Upsell $]]&gt;=100,"Medium",Sales[[#This Row],[Current Upsell $]]&lt;100,"Low")</f>
        <v/>
      </c>
      <c r="R907" t="str">
        <f>IF(Sales[[#This Row],[Current Upsell $]]&gt;0,_xlfn.CONCAT(Sales[[#This Row],[Subscription Type]]," ",Sales[[#This Row],[Upsell Priority]]," ",TEXT(Sales[[#This Row],[Current Upsell $]],"$#,#")),"")</f>
        <v/>
      </c>
    </row>
    <row r="908" spans="1:18" x14ac:dyDescent="0.25">
      <c r="A908">
        <v>100081</v>
      </c>
      <c r="B908" t="s">
        <v>0</v>
      </c>
      <c r="D908" s="1"/>
      <c r="E908" s="1"/>
      <c r="F908">
        <v>36</v>
      </c>
      <c r="G908">
        <v>45</v>
      </c>
      <c r="H908" s="1">
        <v>44044</v>
      </c>
      <c r="I908" s="1">
        <v>44378</v>
      </c>
      <c r="J908">
        <v>11</v>
      </c>
      <c r="K908">
        <v>0</v>
      </c>
      <c r="L908" s="1">
        <v>44256</v>
      </c>
      <c r="M908">
        <v>360</v>
      </c>
      <c r="N908" s="8" cm="1">
        <f t="array" ref="N908">_xlfn.SWITCH(Sales[[#This Row],[Subscription Type]],"Basic",10,"Premium",10,"Business",25,"Enterprise",27)</f>
        <v>10</v>
      </c>
      <c r="O908">
        <f>IF(Sales[[#This Row],[Number of Users]]-Sales[[#This Row],[Licenses Bought]]&lt;0,0,Sales[[#This Row],[Number of Users]]-Sales[[#This Row],[Licenses Bought]])</f>
        <v>9</v>
      </c>
      <c r="P908" s="8">
        <f>IF(Sales[[#This Row],[Sales Month]]=MAX(Sales[Sales Month]),Sales[[#This Row],[Non-Paying Users]]*Sales[[#This Row],[Upsell $ per Non-Paying User]],0)</f>
        <v>0</v>
      </c>
      <c r="Q908" t="str" cm="1">
        <f t="array" ref="Q908">_xlfn.IFS(Sales[[#This Row],[Current Upsell $]]=0,"",Sales[[#This Row],[Current Upsell $]]&gt;=400,"High",Sales[[#This Row],[Current Upsell $]]&gt;=100,"Medium",Sales[[#This Row],[Current Upsell $]]&lt;100,"Low")</f>
        <v/>
      </c>
      <c r="R908" t="str">
        <f>IF(Sales[[#This Row],[Current Upsell $]]&gt;0,_xlfn.CONCAT(Sales[[#This Row],[Subscription Type]]," ",Sales[[#This Row],[Upsell Priority]]," ",TEXT(Sales[[#This Row],[Current Upsell $]],"$#,#")),"")</f>
        <v/>
      </c>
    </row>
    <row r="909" spans="1:18" x14ac:dyDescent="0.25">
      <c r="A909">
        <v>100081</v>
      </c>
      <c r="B909" t="s">
        <v>0</v>
      </c>
      <c r="D909" s="1"/>
      <c r="E909" s="1"/>
      <c r="F909">
        <v>36</v>
      </c>
      <c r="G909">
        <v>53</v>
      </c>
      <c r="H909" s="1">
        <v>44044</v>
      </c>
      <c r="I909" s="1">
        <v>44378</v>
      </c>
      <c r="J909">
        <v>11</v>
      </c>
      <c r="K909">
        <v>0</v>
      </c>
      <c r="L909" s="1">
        <v>44287</v>
      </c>
      <c r="M909">
        <v>360</v>
      </c>
      <c r="N909" s="8" cm="1">
        <f t="array" ref="N909">_xlfn.SWITCH(Sales[[#This Row],[Subscription Type]],"Basic",10,"Premium",10,"Business",25,"Enterprise",27)</f>
        <v>10</v>
      </c>
      <c r="O909">
        <f>IF(Sales[[#This Row],[Number of Users]]-Sales[[#This Row],[Licenses Bought]]&lt;0,0,Sales[[#This Row],[Number of Users]]-Sales[[#This Row],[Licenses Bought]])</f>
        <v>17</v>
      </c>
      <c r="P909" s="8">
        <f>IF(Sales[[#This Row],[Sales Month]]=MAX(Sales[Sales Month]),Sales[[#This Row],[Non-Paying Users]]*Sales[[#This Row],[Upsell $ per Non-Paying User]],0)</f>
        <v>0</v>
      </c>
      <c r="Q909" t="str" cm="1">
        <f t="array" ref="Q909">_xlfn.IFS(Sales[[#This Row],[Current Upsell $]]=0,"",Sales[[#This Row],[Current Upsell $]]&gt;=400,"High",Sales[[#This Row],[Current Upsell $]]&gt;=100,"Medium",Sales[[#This Row],[Current Upsell $]]&lt;100,"Low")</f>
        <v/>
      </c>
      <c r="R909" t="str">
        <f>IF(Sales[[#This Row],[Current Upsell $]]&gt;0,_xlfn.CONCAT(Sales[[#This Row],[Subscription Type]]," ",Sales[[#This Row],[Upsell Priority]]," ",TEXT(Sales[[#This Row],[Current Upsell $]],"$#,#")),"")</f>
        <v/>
      </c>
    </row>
    <row r="910" spans="1:18" x14ac:dyDescent="0.25">
      <c r="A910">
        <v>100081</v>
      </c>
      <c r="B910" t="s">
        <v>0</v>
      </c>
      <c r="D910" s="1"/>
      <c r="E910" s="1"/>
      <c r="F910">
        <v>36</v>
      </c>
      <c r="G910">
        <v>45</v>
      </c>
      <c r="H910" s="1">
        <v>44044</v>
      </c>
      <c r="I910" s="1">
        <v>44378</v>
      </c>
      <c r="J910">
        <v>11</v>
      </c>
      <c r="K910">
        <v>0</v>
      </c>
      <c r="L910" s="1">
        <v>44317</v>
      </c>
      <c r="M910">
        <v>360</v>
      </c>
      <c r="N910" s="8" cm="1">
        <f t="array" ref="N910">_xlfn.SWITCH(Sales[[#This Row],[Subscription Type]],"Basic",10,"Premium",10,"Business",25,"Enterprise",27)</f>
        <v>10</v>
      </c>
      <c r="O910">
        <f>IF(Sales[[#This Row],[Number of Users]]-Sales[[#This Row],[Licenses Bought]]&lt;0,0,Sales[[#This Row],[Number of Users]]-Sales[[#This Row],[Licenses Bought]])</f>
        <v>9</v>
      </c>
      <c r="P910" s="8">
        <f>IF(Sales[[#This Row],[Sales Month]]=MAX(Sales[Sales Month]),Sales[[#This Row],[Non-Paying Users]]*Sales[[#This Row],[Upsell $ per Non-Paying User]],0)</f>
        <v>0</v>
      </c>
      <c r="Q910" t="str" cm="1">
        <f t="array" ref="Q910">_xlfn.IFS(Sales[[#This Row],[Current Upsell $]]=0,"",Sales[[#This Row],[Current Upsell $]]&gt;=400,"High",Sales[[#This Row],[Current Upsell $]]&gt;=100,"Medium",Sales[[#This Row],[Current Upsell $]]&lt;100,"Low")</f>
        <v/>
      </c>
      <c r="R910" t="str">
        <f>IF(Sales[[#This Row],[Current Upsell $]]&gt;0,_xlfn.CONCAT(Sales[[#This Row],[Subscription Type]]," ",Sales[[#This Row],[Upsell Priority]]," ",TEXT(Sales[[#This Row],[Current Upsell $]],"$#,#")),"")</f>
        <v/>
      </c>
    </row>
    <row r="911" spans="1:18" x14ac:dyDescent="0.25">
      <c r="A911">
        <v>100081</v>
      </c>
      <c r="B911" t="s">
        <v>0</v>
      </c>
      <c r="D911" s="1"/>
      <c r="E911" s="1"/>
      <c r="F911">
        <v>36</v>
      </c>
      <c r="G911">
        <v>47</v>
      </c>
      <c r="H911" s="1">
        <v>44044</v>
      </c>
      <c r="I911" s="1">
        <v>44378</v>
      </c>
      <c r="J911">
        <v>11</v>
      </c>
      <c r="K911">
        <v>0</v>
      </c>
      <c r="L911" s="1">
        <v>44348</v>
      </c>
      <c r="M911">
        <v>360</v>
      </c>
      <c r="N911" s="8" cm="1">
        <f t="array" ref="N911">_xlfn.SWITCH(Sales[[#This Row],[Subscription Type]],"Basic",10,"Premium",10,"Business",25,"Enterprise",27)</f>
        <v>10</v>
      </c>
      <c r="O911">
        <f>IF(Sales[[#This Row],[Number of Users]]-Sales[[#This Row],[Licenses Bought]]&lt;0,0,Sales[[#This Row],[Number of Users]]-Sales[[#This Row],[Licenses Bought]])</f>
        <v>11</v>
      </c>
      <c r="P911" s="8">
        <f>IF(Sales[[#This Row],[Sales Month]]=MAX(Sales[Sales Month]),Sales[[#This Row],[Non-Paying Users]]*Sales[[#This Row],[Upsell $ per Non-Paying User]],0)</f>
        <v>110</v>
      </c>
      <c r="Q911" t="str" cm="1">
        <f t="array" ref="Q911">_xlfn.IFS(Sales[[#This Row],[Current Upsell $]]=0,"",Sales[[#This Row],[Current Upsell $]]&gt;=400,"High",Sales[[#This Row],[Current Upsell $]]&gt;=100,"Medium",Sales[[#This Row],[Current Upsell $]]&lt;100,"Low")</f>
        <v>Medium</v>
      </c>
      <c r="R911" t="str">
        <f>IF(Sales[[#This Row],[Current Upsell $]]&gt;0,_xlfn.CONCAT(Sales[[#This Row],[Subscription Type]]," ",Sales[[#This Row],[Upsell Priority]]," ",TEXT(Sales[[#This Row],[Current Upsell $]],"$#,#")),"")</f>
        <v>Premium Medium $110</v>
      </c>
    </row>
    <row r="912" spans="1:18" x14ac:dyDescent="0.25">
      <c r="A912">
        <v>100082</v>
      </c>
      <c r="B912" t="s">
        <v>3</v>
      </c>
      <c r="D912" s="1"/>
      <c r="E912" s="1"/>
      <c r="F912">
        <v>0</v>
      </c>
      <c r="G912">
        <v>49</v>
      </c>
      <c r="H912" s="1">
        <v>44044</v>
      </c>
      <c r="I912" s="1">
        <v>44378</v>
      </c>
      <c r="J912">
        <v>11</v>
      </c>
      <c r="K912">
        <v>0</v>
      </c>
      <c r="L912" s="1">
        <v>44044</v>
      </c>
      <c r="M912">
        <v>0</v>
      </c>
      <c r="N912" s="8" cm="1">
        <f t="array" ref="N912">_xlfn.SWITCH(Sales[[#This Row],[Subscription Type]],"Basic",10,"Premium",10,"Business",25,"Enterprise",27)</f>
        <v>10</v>
      </c>
      <c r="O912">
        <f>IF(Sales[[#This Row],[Number of Users]]-Sales[[#This Row],[Licenses Bought]]&lt;0,0,Sales[[#This Row],[Number of Users]]-Sales[[#This Row],[Licenses Bought]])</f>
        <v>49</v>
      </c>
      <c r="P912" s="8">
        <f>IF(Sales[[#This Row],[Sales Month]]=MAX(Sales[Sales Month]),Sales[[#This Row],[Non-Paying Users]]*Sales[[#This Row],[Upsell $ per Non-Paying User]],0)</f>
        <v>0</v>
      </c>
      <c r="Q912" t="str" cm="1">
        <f t="array" ref="Q912">_xlfn.IFS(Sales[[#This Row],[Current Upsell $]]=0,"",Sales[[#This Row],[Current Upsell $]]&gt;=400,"High",Sales[[#This Row],[Current Upsell $]]&gt;=100,"Medium",Sales[[#This Row],[Current Upsell $]]&lt;100,"Low")</f>
        <v/>
      </c>
      <c r="R912" t="str">
        <f>IF(Sales[[#This Row],[Current Upsell $]]&gt;0,_xlfn.CONCAT(Sales[[#This Row],[Subscription Type]]," ",Sales[[#This Row],[Upsell Priority]]," ",TEXT(Sales[[#This Row],[Current Upsell $]],"$#,#")),"")</f>
        <v/>
      </c>
    </row>
    <row r="913" spans="1:18" x14ac:dyDescent="0.25">
      <c r="A913">
        <v>100082</v>
      </c>
      <c r="B913" t="s">
        <v>0</v>
      </c>
      <c r="D913" s="1"/>
      <c r="E913" s="1"/>
      <c r="F913">
        <v>13</v>
      </c>
      <c r="G913">
        <v>35</v>
      </c>
      <c r="H913" s="1">
        <v>44044</v>
      </c>
      <c r="I913" s="1">
        <v>44378</v>
      </c>
      <c r="J913">
        <v>11</v>
      </c>
      <c r="K913">
        <v>0</v>
      </c>
      <c r="L913" s="1">
        <v>44075</v>
      </c>
      <c r="M913">
        <v>130</v>
      </c>
      <c r="N913" s="8" cm="1">
        <f t="array" ref="N913">_xlfn.SWITCH(Sales[[#This Row],[Subscription Type]],"Basic",10,"Premium",10,"Business",25,"Enterprise",27)</f>
        <v>10</v>
      </c>
      <c r="O913">
        <f>IF(Sales[[#This Row],[Number of Users]]-Sales[[#This Row],[Licenses Bought]]&lt;0,0,Sales[[#This Row],[Number of Users]]-Sales[[#This Row],[Licenses Bought]])</f>
        <v>22</v>
      </c>
      <c r="P913" s="8">
        <f>IF(Sales[[#This Row],[Sales Month]]=MAX(Sales[Sales Month]),Sales[[#This Row],[Non-Paying Users]]*Sales[[#This Row],[Upsell $ per Non-Paying User]],0)</f>
        <v>0</v>
      </c>
      <c r="Q913" t="str" cm="1">
        <f t="array" ref="Q913">_xlfn.IFS(Sales[[#This Row],[Current Upsell $]]=0,"",Sales[[#This Row],[Current Upsell $]]&gt;=400,"High",Sales[[#This Row],[Current Upsell $]]&gt;=100,"Medium",Sales[[#This Row],[Current Upsell $]]&lt;100,"Low")</f>
        <v/>
      </c>
      <c r="R913" t="str">
        <f>IF(Sales[[#This Row],[Current Upsell $]]&gt;0,_xlfn.CONCAT(Sales[[#This Row],[Subscription Type]]," ",Sales[[#This Row],[Upsell Priority]]," ",TEXT(Sales[[#This Row],[Current Upsell $]],"$#,#")),"")</f>
        <v/>
      </c>
    </row>
    <row r="914" spans="1:18" x14ac:dyDescent="0.25">
      <c r="A914">
        <v>100082</v>
      </c>
      <c r="B914" t="s">
        <v>0</v>
      </c>
      <c r="D914" s="1"/>
      <c r="E914" s="1"/>
      <c r="F914">
        <v>34</v>
      </c>
      <c r="G914">
        <v>47</v>
      </c>
      <c r="H914" s="1">
        <v>44044</v>
      </c>
      <c r="I914" s="1">
        <v>44378</v>
      </c>
      <c r="J914">
        <v>11</v>
      </c>
      <c r="K914">
        <v>0</v>
      </c>
      <c r="L914" s="1">
        <v>44105</v>
      </c>
      <c r="M914">
        <v>340</v>
      </c>
      <c r="N914" s="8" cm="1">
        <f t="array" ref="N914">_xlfn.SWITCH(Sales[[#This Row],[Subscription Type]],"Basic",10,"Premium",10,"Business",25,"Enterprise",27)</f>
        <v>10</v>
      </c>
      <c r="O914">
        <f>IF(Sales[[#This Row],[Number of Users]]-Sales[[#This Row],[Licenses Bought]]&lt;0,0,Sales[[#This Row],[Number of Users]]-Sales[[#This Row],[Licenses Bought]])</f>
        <v>13</v>
      </c>
      <c r="P914" s="8">
        <f>IF(Sales[[#This Row],[Sales Month]]=MAX(Sales[Sales Month]),Sales[[#This Row],[Non-Paying Users]]*Sales[[#This Row],[Upsell $ per Non-Paying User]],0)</f>
        <v>0</v>
      </c>
      <c r="Q914" t="str" cm="1">
        <f t="array" ref="Q914">_xlfn.IFS(Sales[[#This Row],[Current Upsell $]]=0,"",Sales[[#This Row],[Current Upsell $]]&gt;=400,"High",Sales[[#This Row],[Current Upsell $]]&gt;=100,"Medium",Sales[[#This Row],[Current Upsell $]]&lt;100,"Low")</f>
        <v/>
      </c>
      <c r="R914" t="str">
        <f>IF(Sales[[#This Row],[Current Upsell $]]&gt;0,_xlfn.CONCAT(Sales[[#This Row],[Subscription Type]]," ",Sales[[#This Row],[Upsell Priority]]," ",TEXT(Sales[[#This Row],[Current Upsell $]],"$#,#")),"")</f>
        <v/>
      </c>
    </row>
    <row r="915" spans="1:18" x14ac:dyDescent="0.25">
      <c r="A915">
        <v>100082</v>
      </c>
      <c r="B915" t="s">
        <v>0</v>
      </c>
      <c r="D915" s="1"/>
      <c r="E915" s="1"/>
      <c r="F915">
        <v>34</v>
      </c>
      <c r="G915">
        <v>40</v>
      </c>
      <c r="H915" s="1">
        <v>44044</v>
      </c>
      <c r="I915" s="1">
        <v>44378</v>
      </c>
      <c r="J915">
        <v>11</v>
      </c>
      <c r="K915">
        <v>0</v>
      </c>
      <c r="L915" s="1">
        <v>44136</v>
      </c>
      <c r="M915">
        <v>340</v>
      </c>
      <c r="N915" s="8" cm="1">
        <f t="array" ref="N915">_xlfn.SWITCH(Sales[[#This Row],[Subscription Type]],"Basic",10,"Premium",10,"Business",25,"Enterprise",27)</f>
        <v>10</v>
      </c>
      <c r="O915">
        <f>IF(Sales[[#This Row],[Number of Users]]-Sales[[#This Row],[Licenses Bought]]&lt;0,0,Sales[[#This Row],[Number of Users]]-Sales[[#This Row],[Licenses Bought]])</f>
        <v>6</v>
      </c>
      <c r="P915" s="8">
        <f>IF(Sales[[#This Row],[Sales Month]]=MAX(Sales[Sales Month]),Sales[[#This Row],[Non-Paying Users]]*Sales[[#This Row],[Upsell $ per Non-Paying User]],0)</f>
        <v>0</v>
      </c>
      <c r="Q915" t="str" cm="1">
        <f t="array" ref="Q915">_xlfn.IFS(Sales[[#This Row],[Current Upsell $]]=0,"",Sales[[#This Row],[Current Upsell $]]&gt;=400,"High",Sales[[#This Row],[Current Upsell $]]&gt;=100,"Medium",Sales[[#This Row],[Current Upsell $]]&lt;100,"Low")</f>
        <v/>
      </c>
      <c r="R915" t="str">
        <f>IF(Sales[[#This Row],[Current Upsell $]]&gt;0,_xlfn.CONCAT(Sales[[#This Row],[Subscription Type]]," ",Sales[[#This Row],[Upsell Priority]]," ",TEXT(Sales[[#This Row],[Current Upsell $]],"$#,#")),"")</f>
        <v/>
      </c>
    </row>
    <row r="916" spans="1:18" x14ac:dyDescent="0.25">
      <c r="A916">
        <v>100082</v>
      </c>
      <c r="B916" t="s">
        <v>0</v>
      </c>
      <c r="D916" s="1"/>
      <c r="E916" s="1"/>
      <c r="F916">
        <v>34</v>
      </c>
      <c r="G916">
        <v>48</v>
      </c>
      <c r="H916" s="1">
        <v>44044</v>
      </c>
      <c r="I916" s="1">
        <v>44378</v>
      </c>
      <c r="J916">
        <v>11</v>
      </c>
      <c r="K916">
        <v>0</v>
      </c>
      <c r="L916" s="1">
        <v>44166</v>
      </c>
      <c r="M916">
        <v>340</v>
      </c>
      <c r="N916" s="8" cm="1">
        <f t="array" ref="N916">_xlfn.SWITCH(Sales[[#This Row],[Subscription Type]],"Basic",10,"Premium",10,"Business",25,"Enterprise",27)</f>
        <v>10</v>
      </c>
      <c r="O916">
        <f>IF(Sales[[#This Row],[Number of Users]]-Sales[[#This Row],[Licenses Bought]]&lt;0,0,Sales[[#This Row],[Number of Users]]-Sales[[#This Row],[Licenses Bought]])</f>
        <v>14</v>
      </c>
      <c r="P916" s="8">
        <f>IF(Sales[[#This Row],[Sales Month]]=MAX(Sales[Sales Month]),Sales[[#This Row],[Non-Paying Users]]*Sales[[#This Row],[Upsell $ per Non-Paying User]],0)</f>
        <v>0</v>
      </c>
      <c r="Q916" t="str" cm="1">
        <f t="array" ref="Q916">_xlfn.IFS(Sales[[#This Row],[Current Upsell $]]=0,"",Sales[[#This Row],[Current Upsell $]]&gt;=400,"High",Sales[[#This Row],[Current Upsell $]]&gt;=100,"Medium",Sales[[#This Row],[Current Upsell $]]&lt;100,"Low")</f>
        <v/>
      </c>
      <c r="R916" t="str">
        <f>IF(Sales[[#This Row],[Current Upsell $]]&gt;0,_xlfn.CONCAT(Sales[[#This Row],[Subscription Type]]," ",Sales[[#This Row],[Upsell Priority]]," ",TEXT(Sales[[#This Row],[Current Upsell $]],"$#,#")),"")</f>
        <v/>
      </c>
    </row>
    <row r="917" spans="1:18" x14ac:dyDescent="0.25">
      <c r="A917">
        <v>100082</v>
      </c>
      <c r="B917" t="s">
        <v>0</v>
      </c>
      <c r="D917" s="1"/>
      <c r="E917" s="1"/>
      <c r="F917">
        <v>34</v>
      </c>
      <c r="G917">
        <v>34</v>
      </c>
      <c r="H917" s="1">
        <v>44044</v>
      </c>
      <c r="I917" s="1">
        <v>44378</v>
      </c>
      <c r="J917">
        <v>11</v>
      </c>
      <c r="K917">
        <v>0</v>
      </c>
      <c r="L917" s="1">
        <v>44197</v>
      </c>
      <c r="M917">
        <v>340</v>
      </c>
      <c r="N917" s="8" cm="1">
        <f t="array" ref="N917">_xlfn.SWITCH(Sales[[#This Row],[Subscription Type]],"Basic",10,"Premium",10,"Business",25,"Enterprise",27)</f>
        <v>10</v>
      </c>
      <c r="O917">
        <f>IF(Sales[[#This Row],[Number of Users]]-Sales[[#This Row],[Licenses Bought]]&lt;0,0,Sales[[#This Row],[Number of Users]]-Sales[[#This Row],[Licenses Bought]])</f>
        <v>0</v>
      </c>
      <c r="P917" s="8">
        <f>IF(Sales[[#This Row],[Sales Month]]=MAX(Sales[Sales Month]),Sales[[#This Row],[Non-Paying Users]]*Sales[[#This Row],[Upsell $ per Non-Paying User]],0)</f>
        <v>0</v>
      </c>
      <c r="Q917" t="str" cm="1">
        <f t="array" ref="Q917">_xlfn.IFS(Sales[[#This Row],[Current Upsell $]]=0,"",Sales[[#This Row],[Current Upsell $]]&gt;=400,"High",Sales[[#This Row],[Current Upsell $]]&gt;=100,"Medium",Sales[[#This Row],[Current Upsell $]]&lt;100,"Low")</f>
        <v/>
      </c>
      <c r="R917" t="str">
        <f>IF(Sales[[#This Row],[Current Upsell $]]&gt;0,_xlfn.CONCAT(Sales[[#This Row],[Subscription Type]]," ",Sales[[#This Row],[Upsell Priority]]," ",TEXT(Sales[[#This Row],[Current Upsell $]],"$#,#")),"")</f>
        <v/>
      </c>
    </row>
    <row r="918" spans="1:18" x14ac:dyDescent="0.25">
      <c r="A918">
        <v>100082</v>
      </c>
      <c r="B918" t="s">
        <v>0</v>
      </c>
      <c r="D918" s="1"/>
      <c r="E918" s="1"/>
      <c r="F918">
        <v>34</v>
      </c>
      <c r="G918">
        <v>41</v>
      </c>
      <c r="H918" s="1">
        <v>44044</v>
      </c>
      <c r="I918" s="1">
        <v>44378</v>
      </c>
      <c r="J918">
        <v>11</v>
      </c>
      <c r="K918">
        <v>0</v>
      </c>
      <c r="L918" s="1">
        <v>44228</v>
      </c>
      <c r="M918">
        <v>340</v>
      </c>
      <c r="N918" s="8" cm="1">
        <f t="array" ref="N918">_xlfn.SWITCH(Sales[[#This Row],[Subscription Type]],"Basic",10,"Premium",10,"Business",25,"Enterprise",27)</f>
        <v>10</v>
      </c>
      <c r="O918">
        <f>IF(Sales[[#This Row],[Number of Users]]-Sales[[#This Row],[Licenses Bought]]&lt;0,0,Sales[[#This Row],[Number of Users]]-Sales[[#This Row],[Licenses Bought]])</f>
        <v>7</v>
      </c>
      <c r="P918" s="8">
        <f>IF(Sales[[#This Row],[Sales Month]]=MAX(Sales[Sales Month]),Sales[[#This Row],[Non-Paying Users]]*Sales[[#This Row],[Upsell $ per Non-Paying User]],0)</f>
        <v>0</v>
      </c>
      <c r="Q918" t="str" cm="1">
        <f t="array" ref="Q918">_xlfn.IFS(Sales[[#This Row],[Current Upsell $]]=0,"",Sales[[#This Row],[Current Upsell $]]&gt;=400,"High",Sales[[#This Row],[Current Upsell $]]&gt;=100,"Medium",Sales[[#This Row],[Current Upsell $]]&lt;100,"Low")</f>
        <v/>
      </c>
      <c r="R918" t="str">
        <f>IF(Sales[[#This Row],[Current Upsell $]]&gt;0,_xlfn.CONCAT(Sales[[#This Row],[Subscription Type]]," ",Sales[[#This Row],[Upsell Priority]]," ",TEXT(Sales[[#This Row],[Current Upsell $]],"$#,#")),"")</f>
        <v/>
      </c>
    </row>
    <row r="919" spans="1:18" x14ac:dyDescent="0.25">
      <c r="A919">
        <v>100082</v>
      </c>
      <c r="B919" t="s">
        <v>0</v>
      </c>
      <c r="D919" s="1"/>
      <c r="E919" s="1"/>
      <c r="F919">
        <v>34</v>
      </c>
      <c r="G919">
        <v>41</v>
      </c>
      <c r="H919" s="1">
        <v>44044</v>
      </c>
      <c r="I919" s="1">
        <v>44378</v>
      </c>
      <c r="J919">
        <v>11</v>
      </c>
      <c r="K919">
        <v>0</v>
      </c>
      <c r="L919" s="1">
        <v>44256</v>
      </c>
      <c r="M919">
        <v>340</v>
      </c>
      <c r="N919" s="8" cm="1">
        <f t="array" ref="N919">_xlfn.SWITCH(Sales[[#This Row],[Subscription Type]],"Basic",10,"Premium",10,"Business",25,"Enterprise",27)</f>
        <v>10</v>
      </c>
      <c r="O919">
        <f>IF(Sales[[#This Row],[Number of Users]]-Sales[[#This Row],[Licenses Bought]]&lt;0,0,Sales[[#This Row],[Number of Users]]-Sales[[#This Row],[Licenses Bought]])</f>
        <v>7</v>
      </c>
      <c r="P919" s="8">
        <f>IF(Sales[[#This Row],[Sales Month]]=MAX(Sales[Sales Month]),Sales[[#This Row],[Non-Paying Users]]*Sales[[#This Row],[Upsell $ per Non-Paying User]],0)</f>
        <v>0</v>
      </c>
      <c r="Q919" t="str" cm="1">
        <f t="array" ref="Q919">_xlfn.IFS(Sales[[#This Row],[Current Upsell $]]=0,"",Sales[[#This Row],[Current Upsell $]]&gt;=400,"High",Sales[[#This Row],[Current Upsell $]]&gt;=100,"Medium",Sales[[#This Row],[Current Upsell $]]&lt;100,"Low")</f>
        <v/>
      </c>
      <c r="R919" t="str">
        <f>IF(Sales[[#This Row],[Current Upsell $]]&gt;0,_xlfn.CONCAT(Sales[[#This Row],[Subscription Type]]," ",Sales[[#This Row],[Upsell Priority]]," ",TEXT(Sales[[#This Row],[Current Upsell $]],"$#,#")),"")</f>
        <v/>
      </c>
    </row>
    <row r="920" spans="1:18" x14ac:dyDescent="0.25">
      <c r="A920">
        <v>100082</v>
      </c>
      <c r="B920" t="s">
        <v>0</v>
      </c>
      <c r="D920" s="1"/>
      <c r="E920" s="1"/>
      <c r="F920">
        <v>34</v>
      </c>
      <c r="G920">
        <v>48</v>
      </c>
      <c r="H920" s="1">
        <v>44044</v>
      </c>
      <c r="I920" s="1">
        <v>44378</v>
      </c>
      <c r="J920">
        <v>11</v>
      </c>
      <c r="K920">
        <v>0</v>
      </c>
      <c r="L920" s="1">
        <v>44287</v>
      </c>
      <c r="M920">
        <v>340</v>
      </c>
      <c r="N920" s="8" cm="1">
        <f t="array" ref="N920">_xlfn.SWITCH(Sales[[#This Row],[Subscription Type]],"Basic",10,"Premium",10,"Business",25,"Enterprise",27)</f>
        <v>10</v>
      </c>
      <c r="O920">
        <f>IF(Sales[[#This Row],[Number of Users]]-Sales[[#This Row],[Licenses Bought]]&lt;0,0,Sales[[#This Row],[Number of Users]]-Sales[[#This Row],[Licenses Bought]])</f>
        <v>14</v>
      </c>
      <c r="P920" s="8">
        <f>IF(Sales[[#This Row],[Sales Month]]=MAX(Sales[Sales Month]),Sales[[#This Row],[Non-Paying Users]]*Sales[[#This Row],[Upsell $ per Non-Paying User]],0)</f>
        <v>0</v>
      </c>
      <c r="Q920" t="str" cm="1">
        <f t="array" ref="Q920">_xlfn.IFS(Sales[[#This Row],[Current Upsell $]]=0,"",Sales[[#This Row],[Current Upsell $]]&gt;=400,"High",Sales[[#This Row],[Current Upsell $]]&gt;=100,"Medium",Sales[[#This Row],[Current Upsell $]]&lt;100,"Low")</f>
        <v/>
      </c>
      <c r="R920" t="str">
        <f>IF(Sales[[#This Row],[Current Upsell $]]&gt;0,_xlfn.CONCAT(Sales[[#This Row],[Subscription Type]]," ",Sales[[#This Row],[Upsell Priority]]," ",TEXT(Sales[[#This Row],[Current Upsell $]],"$#,#")),"")</f>
        <v/>
      </c>
    </row>
    <row r="921" spans="1:18" x14ac:dyDescent="0.25">
      <c r="A921">
        <v>100082</v>
      </c>
      <c r="B921" t="s">
        <v>0</v>
      </c>
      <c r="D921" s="1"/>
      <c r="E921" s="1"/>
      <c r="F921">
        <v>34</v>
      </c>
      <c r="G921">
        <v>40</v>
      </c>
      <c r="H921" s="1">
        <v>44044</v>
      </c>
      <c r="I921" s="1">
        <v>44378</v>
      </c>
      <c r="J921">
        <v>11</v>
      </c>
      <c r="K921">
        <v>0</v>
      </c>
      <c r="L921" s="1">
        <v>44317</v>
      </c>
      <c r="M921">
        <v>340</v>
      </c>
      <c r="N921" s="8" cm="1">
        <f t="array" ref="N921">_xlfn.SWITCH(Sales[[#This Row],[Subscription Type]],"Basic",10,"Premium",10,"Business",25,"Enterprise",27)</f>
        <v>10</v>
      </c>
      <c r="O921">
        <f>IF(Sales[[#This Row],[Number of Users]]-Sales[[#This Row],[Licenses Bought]]&lt;0,0,Sales[[#This Row],[Number of Users]]-Sales[[#This Row],[Licenses Bought]])</f>
        <v>6</v>
      </c>
      <c r="P921" s="8">
        <f>IF(Sales[[#This Row],[Sales Month]]=MAX(Sales[Sales Month]),Sales[[#This Row],[Non-Paying Users]]*Sales[[#This Row],[Upsell $ per Non-Paying User]],0)</f>
        <v>0</v>
      </c>
      <c r="Q921" t="str" cm="1">
        <f t="array" ref="Q921">_xlfn.IFS(Sales[[#This Row],[Current Upsell $]]=0,"",Sales[[#This Row],[Current Upsell $]]&gt;=400,"High",Sales[[#This Row],[Current Upsell $]]&gt;=100,"Medium",Sales[[#This Row],[Current Upsell $]]&lt;100,"Low")</f>
        <v/>
      </c>
      <c r="R921" t="str">
        <f>IF(Sales[[#This Row],[Current Upsell $]]&gt;0,_xlfn.CONCAT(Sales[[#This Row],[Subscription Type]]," ",Sales[[#This Row],[Upsell Priority]]," ",TEXT(Sales[[#This Row],[Current Upsell $]],"$#,#")),"")</f>
        <v/>
      </c>
    </row>
    <row r="922" spans="1:18" x14ac:dyDescent="0.25">
      <c r="A922">
        <v>100082</v>
      </c>
      <c r="B922" t="s">
        <v>0</v>
      </c>
      <c r="D922" s="1"/>
      <c r="E922" s="1"/>
      <c r="F922">
        <v>34</v>
      </c>
      <c r="G922">
        <v>47</v>
      </c>
      <c r="H922" s="1">
        <v>44044</v>
      </c>
      <c r="I922" s="1">
        <v>44378</v>
      </c>
      <c r="J922">
        <v>11</v>
      </c>
      <c r="K922">
        <v>0</v>
      </c>
      <c r="L922" s="1">
        <v>44348</v>
      </c>
      <c r="M922">
        <v>340</v>
      </c>
      <c r="N922" s="8" cm="1">
        <f t="array" ref="N922">_xlfn.SWITCH(Sales[[#This Row],[Subscription Type]],"Basic",10,"Premium",10,"Business",25,"Enterprise",27)</f>
        <v>10</v>
      </c>
      <c r="O922">
        <f>IF(Sales[[#This Row],[Number of Users]]-Sales[[#This Row],[Licenses Bought]]&lt;0,0,Sales[[#This Row],[Number of Users]]-Sales[[#This Row],[Licenses Bought]])</f>
        <v>13</v>
      </c>
      <c r="P922" s="8">
        <f>IF(Sales[[#This Row],[Sales Month]]=MAX(Sales[Sales Month]),Sales[[#This Row],[Non-Paying Users]]*Sales[[#This Row],[Upsell $ per Non-Paying User]],0)</f>
        <v>130</v>
      </c>
      <c r="Q922" t="str" cm="1">
        <f t="array" ref="Q922">_xlfn.IFS(Sales[[#This Row],[Current Upsell $]]=0,"",Sales[[#This Row],[Current Upsell $]]&gt;=400,"High",Sales[[#This Row],[Current Upsell $]]&gt;=100,"Medium",Sales[[#This Row],[Current Upsell $]]&lt;100,"Low")</f>
        <v>Medium</v>
      </c>
      <c r="R922" t="str">
        <f>IF(Sales[[#This Row],[Current Upsell $]]&gt;0,_xlfn.CONCAT(Sales[[#This Row],[Subscription Type]]," ",Sales[[#This Row],[Upsell Priority]]," ",TEXT(Sales[[#This Row],[Current Upsell $]],"$#,#")),"")</f>
        <v>Premium Medium $130</v>
      </c>
    </row>
    <row r="923" spans="1:18" x14ac:dyDescent="0.25">
      <c r="A923">
        <v>100083</v>
      </c>
      <c r="B923" t="s">
        <v>3</v>
      </c>
      <c r="D923" s="1"/>
      <c r="E923" s="1"/>
      <c r="F923">
        <v>0</v>
      </c>
      <c r="G923">
        <v>35</v>
      </c>
      <c r="H923" s="1">
        <v>44044</v>
      </c>
      <c r="I923" s="1">
        <v>44378</v>
      </c>
      <c r="J923">
        <v>11</v>
      </c>
      <c r="K923">
        <v>0</v>
      </c>
      <c r="L923" s="1">
        <v>44044</v>
      </c>
      <c r="M923">
        <v>0</v>
      </c>
      <c r="N923" s="8" cm="1">
        <f t="array" ref="N923">_xlfn.SWITCH(Sales[[#This Row],[Subscription Type]],"Basic",10,"Premium",10,"Business",25,"Enterprise",27)</f>
        <v>10</v>
      </c>
      <c r="O923">
        <f>IF(Sales[[#This Row],[Number of Users]]-Sales[[#This Row],[Licenses Bought]]&lt;0,0,Sales[[#This Row],[Number of Users]]-Sales[[#This Row],[Licenses Bought]])</f>
        <v>35</v>
      </c>
      <c r="P923" s="8">
        <f>IF(Sales[[#This Row],[Sales Month]]=MAX(Sales[Sales Month]),Sales[[#This Row],[Non-Paying Users]]*Sales[[#This Row],[Upsell $ per Non-Paying User]],0)</f>
        <v>0</v>
      </c>
      <c r="Q923" t="str" cm="1">
        <f t="array" ref="Q923">_xlfn.IFS(Sales[[#This Row],[Current Upsell $]]=0,"",Sales[[#This Row],[Current Upsell $]]&gt;=400,"High",Sales[[#This Row],[Current Upsell $]]&gt;=100,"Medium",Sales[[#This Row],[Current Upsell $]]&lt;100,"Low")</f>
        <v/>
      </c>
      <c r="R923" t="str">
        <f>IF(Sales[[#This Row],[Current Upsell $]]&gt;0,_xlfn.CONCAT(Sales[[#This Row],[Subscription Type]]," ",Sales[[#This Row],[Upsell Priority]]," ",TEXT(Sales[[#This Row],[Current Upsell $]],"$#,#")),"")</f>
        <v/>
      </c>
    </row>
    <row r="924" spans="1:18" x14ac:dyDescent="0.25">
      <c r="A924">
        <v>100083</v>
      </c>
      <c r="B924" t="s">
        <v>0</v>
      </c>
      <c r="D924" s="1"/>
      <c r="E924" s="1"/>
      <c r="F924">
        <v>8</v>
      </c>
      <c r="G924">
        <v>34</v>
      </c>
      <c r="H924" s="1">
        <v>44044</v>
      </c>
      <c r="I924" s="1">
        <v>44378</v>
      </c>
      <c r="J924">
        <v>11</v>
      </c>
      <c r="K924">
        <v>0</v>
      </c>
      <c r="L924" s="1">
        <v>44075</v>
      </c>
      <c r="M924">
        <v>80</v>
      </c>
      <c r="N924" s="8" cm="1">
        <f t="array" ref="N924">_xlfn.SWITCH(Sales[[#This Row],[Subscription Type]],"Basic",10,"Premium",10,"Business",25,"Enterprise",27)</f>
        <v>10</v>
      </c>
      <c r="O924">
        <f>IF(Sales[[#This Row],[Number of Users]]-Sales[[#This Row],[Licenses Bought]]&lt;0,0,Sales[[#This Row],[Number of Users]]-Sales[[#This Row],[Licenses Bought]])</f>
        <v>26</v>
      </c>
      <c r="P924" s="8">
        <f>IF(Sales[[#This Row],[Sales Month]]=MAX(Sales[Sales Month]),Sales[[#This Row],[Non-Paying Users]]*Sales[[#This Row],[Upsell $ per Non-Paying User]],0)</f>
        <v>0</v>
      </c>
      <c r="Q924" t="str" cm="1">
        <f t="array" ref="Q924">_xlfn.IFS(Sales[[#This Row],[Current Upsell $]]=0,"",Sales[[#This Row],[Current Upsell $]]&gt;=400,"High",Sales[[#This Row],[Current Upsell $]]&gt;=100,"Medium",Sales[[#This Row],[Current Upsell $]]&lt;100,"Low")</f>
        <v/>
      </c>
      <c r="R924" t="str">
        <f>IF(Sales[[#This Row],[Current Upsell $]]&gt;0,_xlfn.CONCAT(Sales[[#This Row],[Subscription Type]]," ",Sales[[#This Row],[Upsell Priority]]," ",TEXT(Sales[[#This Row],[Current Upsell $]],"$#,#")),"")</f>
        <v/>
      </c>
    </row>
    <row r="925" spans="1:18" x14ac:dyDescent="0.25">
      <c r="A925">
        <v>100083</v>
      </c>
      <c r="B925" t="s">
        <v>0</v>
      </c>
      <c r="D925" s="1"/>
      <c r="E925" s="1"/>
      <c r="F925">
        <v>28</v>
      </c>
      <c r="G925">
        <v>45</v>
      </c>
      <c r="H925" s="1">
        <v>44044</v>
      </c>
      <c r="I925" s="1">
        <v>44378</v>
      </c>
      <c r="J925">
        <v>11</v>
      </c>
      <c r="K925">
        <v>0</v>
      </c>
      <c r="L925" s="1">
        <v>44105</v>
      </c>
      <c r="M925">
        <v>280</v>
      </c>
      <c r="N925" s="8" cm="1">
        <f t="array" ref="N925">_xlfn.SWITCH(Sales[[#This Row],[Subscription Type]],"Basic",10,"Premium",10,"Business",25,"Enterprise",27)</f>
        <v>10</v>
      </c>
      <c r="O925">
        <f>IF(Sales[[#This Row],[Number of Users]]-Sales[[#This Row],[Licenses Bought]]&lt;0,0,Sales[[#This Row],[Number of Users]]-Sales[[#This Row],[Licenses Bought]])</f>
        <v>17</v>
      </c>
      <c r="P925" s="8">
        <f>IF(Sales[[#This Row],[Sales Month]]=MAX(Sales[Sales Month]),Sales[[#This Row],[Non-Paying Users]]*Sales[[#This Row],[Upsell $ per Non-Paying User]],0)</f>
        <v>0</v>
      </c>
      <c r="Q925" t="str" cm="1">
        <f t="array" ref="Q925">_xlfn.IFS(Sales[[#This Row],[Current Upsell $]]=0,"",Sales[[#This Row],[Current Upsell $]]&gt;=400,"High",Sales[[#This Row],[Current Upsell $]]&gt;=100,"Medium",Sales[[#This Row],[Current Upsell $]]&lt;100,"Low")</f>
        <v/>
      </c>
      <c r="R925" t="str">
        <f>IF(Sales[[#This Row],[Current Upsell $]]&gt;0,_xlfn.CONCAT(Sales[[#This Row],[Subscription Type]]," ",Sales[[#This Row],[Upsell Priority]]," ",TEXT(Sales[[#This Row],[Current Upsell $]],"$#,#")),"")</f>
        <v/>
      </c>
    </row>
    <row r="926" spans="1:18" x14ac:dyDescent="0.25">
      <c r="A926">
        <v>100083</v>
      </c>
      <c r="B926" t="s">
        <v>0</v>
      </c>
      <c r="D926" s="1"/>
      <c r="E926" s="1"/>
      <c r="F926">
        <v>28</v>
      </c>
      <c r="G926">
        <v>40</v>
      </c>
      <c r="H926" s="1">
        <v>44044</v>
      </c>
      <c r="I926" s="1">
        <v>44378</v>
      </c>
      <c r="J926">
        <v>11</v>
      </c>
      <c r="K926">
        <v>0</v>
      </c>
      <c r="L926" s="1">
        <v>44136</v>
      </c>
      <c r="M926">
        <v>280</v>
      </c>
      <c r="N926" s="8" cm="1">
        <f t="array" ref="N926">_xlfn.SWITCH(Sales[[#This Row],[Subscription Type]],"Basic",10,"Premium",10,"Business",25,"Enterprise",27)</f>
        <v>10</v>
      </c>
      <c r="O926">
        <f>IF(Sales[[#This Row],[Number of Users]]-Sales[[#This Row],[Licenses Bought]]&lt;0,0,Sales[[#This Row],[Number of Users]]-Sales[[#This Row],[Licenses Bought]])</f>
        <v>12</v>
      </c>
      <c r="P926" s="8">
        <f>IF(Sales[[#This Row],[Sales Month]]=MAX(Sales[Sales Month]),Sales[[#This Row],[Non-Paying Users]]*Sales[[#This Row],[Upsell $ per Non-Paying User]],0)</f>
        <v>0</v>
      </c>
      <c r="Q926" t="str" cm="1">
        <f t="array" ref="Q926">_xlfn.IFS(Sales[[#This Row],[Current Upsell $]]=0,"",Sales[[#This Row],[Current Upsell $]]&gt;=400,"High",Sales[[#This Row],[Current Upsell $]]&gt;=100,"Medium",Sales[[#This Row],[Current Upsell $]]&lt;100,"Low")</f>
        <v/>
      </c>
      <c r="R926" t="str">
        <f>IF(Sales[[#This Row],[Current Upsell $]]&gt;0,_xlfn.CONCAT(Sales[[#This Row],[Subscription Type]]," ",Sales[[#This Row],[Upsell Priority]]," ",TEXT(Sales[[#This Row],[Current Upsell $]],"$#,#")),"")</f>
        <v/>
      </c>
    </row>
    <row r="927" spans="1:18" x14ac:dyDescent="0.25">
      <c r="A927">
        <v>100083</v>
      </c>
      <c r="B927" t="s">
        <v>0</v>
      </c>
      <c r="D927" s="1"/>
      <c r="E927" s="1"/>
      <c r="F927">
        <v>28</v>
      </c>
      <c r="G927">
        <v>34</v>
      </c>
      <c r="H927" s="1">
        <v>44044</v>
      </c>
      <c r="I927" s="1">
        <v>44378</v>
      </c>
      <c r="J927">
        <v>11</v>
      </c>
      <c r="K927">
        <v>0</v>
      </c>
      <c r="L927" s="1">
        <v>44166</v>
      </c>
      <c r="M927">
        <v>280</v>
      </c>
      <c r="N927" s="8" cm="1">
        <f t="array" ref="N927">_xlfn.SWITCH(Sales[[#This Row],[Subscription Type]],"Basic",10,"Premium",10,"Business",25,"Enterprise",27)</f>
        <v>10</v>
      </c>
      <c r="O927">
        <f>IF(Sales[[#This Row],[Number of Users]]-Sales[[#This Row],[Licenses Bought]]&lt;0,0,Sales[[#This Row],[Number of Users]]-Sales[[#This Row],[Licenses Bought]])</f>
        <v>6</v>
      </c>
      <c r="P927" s="8">
        <f>IF(Sales[[#This Row],[Sales Month]]=MAX(Sales[Sales Month]),Sales[[#This Row],[Non-Paying Users]]*Sales[[#This Row],[Upsell $ per Non-Paying User]],0)</f>
        <v>0</v>
      </c>
      <c r="Q927" t="str" cm="1">
        <f t="array" ref="Q927">_xlfn.IFS(Sales[[#This Row],[Current Upsell $]]=0,"",Sales[[#This Row],[Current Upsell $]]&gt;=400,"High",Sales[[#This Row],[Current Upsell $]]&gt;=100,"Medium",Sales[[#This Row],[Current Upsell $]]&lt;100,"Low")</f>
        <v/>
      </c>
      <c r="R927" t="str">
        <f>IF(Sales[[#This Row],[Current Upsell $]]&gt;0,_xlfn.CONCAT(Sales[[#This Row],[Subscription Type]]," ",Sales[[#This Row],[Upsell Priority]]," ",TEXT(Sales[[#This Row],[Current Upsell $]],"$#,#")),"")</f>
        <v/>
      </c>
    </row>
    <row r="928" spans="1:18" x14ac:dyDescent="0.25">
      <c r="A928">
        <v>100083</v>
      </c>
      <c r="B928" t="s">
        <v>0</v>
      </c>
      <c r="D928" s="1"/>
      <c r="E928" s="1"/>
      <c r="F928">
        <v>28</v>
      </c>
      <c r="G928">
        <v>31</v>
      </c>
      <c r="H928" s="1">
        <v>44044</v>
      </c>
      <c r="I928" s="1">
        <v>44378</v>
      </c>
      <c r="J928">
        <v>11</v>
      </c>
      <c r="K928">
        <v>0</v>
      </c>
      <c r="L928" s="1">
        <v>44197</v>
      </c>
      <c r="M928">
        <v>280</v>
      </c>
      <c r="N928" s="8" cm="1">
        <f t="array" ref="N928">_xlfn.SWITCH(Sales[[#This Row],[Subscription Type]],"Basic",10,"Premium",10,"Business",25,"Enterprise",27)</f>
        <v>10</v>
      </c>
      <c r="O928">
        <f>IF(Sales[[#This Row],[Number of Users]]-Sales[[#This Row],[Licenses Bought]]&lt;0,0,Sales[[#This Row],[Number of Users]]-Sales[[#This Row],[Licenses Bought]])</f>
        <v>3</v>
      </c>
      <c r="P928" s="8">
        <f>IF(Sales[[#This Row],[Sales Month]]=MAX(Sales[Sales Month]),Sales[[#This Row],[Non-Paying Users]]*Sales[[#This Row],[Upsell $ per Non-Paying User]],0)</f>
        <v>0</v>
      </c>
      <c r="Q928" t="str" cm="1">
        <f t="array" ref="Q928">_xlfn.IFS(Sales[[#This Row],[Current Upsell $]]=0,"",Sales[[#This Row],[Current Upsell $]]&gt;=400,"High",Sales[[#This Row],[Current Upsell $]]&gt;=100,"Medium",Sales[[#This Row],[Current Upsell $]]&lt;100,"Low")</f>
        <v/>
      </c>
      <c r="R928" t="str">
        <f>IF(Sales[[#This Row],[Current Upsell $]]&gt;0,_xlfn.CONCAT(Sales[[#This Row],[Subscription Type]]," ",Sales[[#This Row],[Upsell Priority]]," ",TEXT(Sales[[#This Row],[Current Upsell $]],"$#,#")),"")</f>
        <v/>
      </c>
    </row>
    <row r="929" spans="1:18" x14ac:dyDescent="0.25">
      <c r="A929">
        <v>100083</v>
      </c>
      <c r="B929" t="s">
        <v>0</v>
      </c>
      <c r="D929" s="1"/>
      <c r="E929" s="1"/>
      <c r="F929">
        <v>28</v>
      </c>
      <c r="G929">
        <v>32</v>
      </c>
      <c r="H929" s="1">
        <v>44044</v>
      </c>
      <c r="I929" s="1">
        <v>44378</v>
      </c>
      <c r="J929">
        <v>11</v>
      </c>
      <c r="K929">
        <v>0</v>
      </c>
      <c r="L929" s="1">
        <v>44228</v>
      </c>
      <c r="M929">
        <v>280</v>
      </c>
      <c r="N929" s="8" cm="1">
        <f t="array" ref="N929">_xlfn.SWITCH(Sales[[#This Row],[Subscription Type]],"Basic",10,"Premium",10,"Business",25,"Enterprise",27)</f>
        <v>10</v>
      </c>
      <c r="O929">
        <f>IF(Sales[[#This Row],[Number of Users]]-Sales[[#This Row],[Licenses Bought]]&lt;0,0,Sales[[#This Row],[Number of Users]]-Sales[[#This Row],[Licenses Bought]])</f>
        <v>4</v>
      </c>
      <c r="P929" s="8">
        <f>IF(Sales[[#This Row],[Sales Month]]=MAX(Sales[Sales Month]),Sales[[#This Row],[Non-Paying Users]]*Sales[[#This Row],[Upsell $ per Non-Paying User]],0)</f>
        <v>0</v>
      </c>
      <c r="Q929" t="str" cm="1">
        <f t="array" ref="Q929">_xlfn.IFS(Sales[[#This Row],[Current Upsell $]]=0,"",Sales[[#This Row],[Current Upsell $]]&gt;=400,"High",Sales[[#This Row],[Current Upsell $]]&gt;=100,"Medium",Sales[[#This Row],[Current Upsell $]]&lt;100,"Low")</f>
        <v/>
      </c>
      <c r="R929" t="str">
        <f>IF(Sales[[#This Row],[Current Upsell $]]&gt;0,_xlfn.CONCAT(Sales[[#This Row],[Subscription Type]]," ",Sales[[#This Row],[Upsell Priority]]," ",TEXT(Sales[[#This Row],[Current Upsell $]],"$#,#")),"")</f>
        <v/>
      </c>
    </row>
    <row r="930" spans="1:18" x14ac:dyDescent="0.25">
      <c r="A930">
        <v>100083</v>
      </c>
      <c r="B930" t="s">
        <v>0</v>
      </c>
      <c r="D930" s="1"/>
      <c r="E930" s="1"/>
      <c r="F930">
        <v>28</v>
      </c>
      <c r="G930">
        <v>36</v>
      </c>
      <c r="H930" s="1">
        <v>44044</v>
      </c>
      <c r="I930" s="1">
        <v>44378</v>
      </c>
      <c r="J930">
        <v>11</v>
      </c>
      <c r="K930">
        <v>0</v>
      </c>
      <c r="L930" s="1">
        <v>44256</v>
      </c>
      <c r="M930">
        <v>280</v>
      </c>
      <c r="N930" s="8" cm="1">
        <f t="array" ref="N930">_xlfn.SWITCH(Sales[[#This Row],[Subscription Type]],"Basic",10,"Premium",10,"Business",25,"Enterprise",27)</f>
        <v>10</v>
      </c>
      <c r="O930">
        <f>IF(Sales[[#This Row],[Number of Users]]-Sales[[#This Row],[Licenses Bought]]&lt;0,0,Sales[[#This Row],[Number of Users]]-Sales[[#This Row],[Licenses Bought]])</f>
        <v>8</v>
      </c>
      <c r="P930" s="8">
        <f>IF(Sales[[#This Row],[Sales Month]]=MAX(Sales[Sales Month]),Sales[[#This Row],[Non-Paying Users]]*Sales[[#This Row],[Upsell $ per Non-Paying User]],0)</f>
        <v>0</v>
      </c>
      <c r="Q930" t="str" cm="1">
        <f t="array" ref="Q930">_xlfn.IFS(Sales[[#This Row],[Current Upsell $]]=0,"",Sales[[#This Row],[Current Upsell $]]&gt;=400,"High",Sales[[#This Row],[Current Upsell $]]&gt;=100,"Medium",Sales[[#This Row],[Current Upsell $]]&lt;100,"Low")</f>
        <v/>
      </c>
      <c r="R930" t="str">
        <f>IF(Sales[[#This Row],[Current Upsell $]]&gt;0,_xlfn.CONCAT(Sales[[#This Row],[Subscription Type]]," ",Sales[[#This Row],[Upsell Priority]]," ",TEXT(Sales[[#This Row],[Current Upsell $]],"$#,#")),"")</f>
        <v/>
      </c>
    </row>
    <row r="931" spans="1:18" x14ac:dyDescent="0.25">
      <c r="A931">
        <v>100083</v>
      </c>
      <c r="B931" t="s">
        <v>0</v>
      </c>
      <c r="D931" s="1"/>
      <c r="E931" s="1"/>
      <c r="F931">
        <v>28</v>
      </c>
      <c r="G931">
        <v>34</v>
      </c>
      <c r="H931" s="1">
        <v>44044</v>
      </c>
      <c r="I931" s="1">
        <v>44378</v>
      </c>
      <c r="J931">
        <v>11</v>
      </c>
      <c r="K931">
        <v>0</v>
      </c>
      <c r="L931" s="1">
        <v>44287</v>
      </c>
      <c r="M931">
        <v>280</v>
      </c>
      <c r="N931" s="8" cm="1">
        <f t="array" ref="N931">_xlfn.SWITCH(Sales[[#This Row],[Subscription Type]],"Basic",10,"Premium",10,"Business",25,"Enterprise",27)</f>
        <v>10</v>
      </c>
      <c r="O931">
        <f>IF(Sales[[#This Row],[Number of Users]]-Sales[[#This Row],[Licenses Bought]]&lt;0,0,Sales[[#This Row],[Number of Users]]-Sales[[#This Row],[Licenses Bought]])</f>
        <v>6</v>
      </c>
      <c r="P931" s="8">
        <f>IF(Sales[[#This Row],[Sales Month]]=MAX(Sales[Sales Month]),Sales[[#This Row],[Non-Paying Users]]*Sales[[#This Row],[Upsell $ per Non-Paying User]],0)</f>
        <v>0</v>
      </c>
      <c r="Q931" t="str" cm="1">
        <f t="array" ref="Q931">_xlfn.IFS(Sales[[#This Row],[Current Upsell $]]=0,"",Sales[[#This Row],[Current Upsell $]]&gt;=400,"High",Sales[[#This Row],[Current Upsell $]]&gt;=100,"Medium",Sales[[#This Row],[Current Upsell $]]&lt;100,"Low")</f>
        <v/>
      </c>
      <c r="R931" t="str">
        <f>IF(Sales[[#This Row],[Current Upsell $]]&gt;0,_xlfn.CONCAT(Sales[[#This Row],[Subscription Type]]," ",Sales[[#This Row],[Upsell Priority]]," ",TEXT(Sales[[#This Row],[Current Upsell $]],"$#,#")),"")</f>
        <v/>
      </c>
    </row>
    <row r="932" spans="1:18" x14ac:dyDescent="0.25">
      <c r="A932">
        <v>100083</v>
      </c>
      <c r="B932" t="s">
        <v>0</v>
      </c>
      <c r="D932" s="1"/>
      <c r="E932" s="1"/>
      <c r="F932">
        <v>28</v>
      </c>
      <c r="G932">
        <v>36</v>
      </c>
      <c r="H932" s="1">
        <v>44044</v>
      </c>
      <c r="I932" s="1">
        <v>44378</v>
      </c>
      <c r="J932">
        <v>11</v>
      </c>
      <c r="K932">
        <v>0</v>
      </c>
      <c r="L932" s="1">
        <v>44317</v>
      </c>
      <c r="M932">
        <v>280</v>
      </c>
      <c r="N932" s="8" cm="1">
        <f t="array" ref="N932">_xlfn.SWITCH(Sales[[#This Row],[Subscription Type]],"Basic",10,"Premium",10,"Business",25,"Enterprise",27)</f>
        <v>10</v>
      </c>
      <c r="O932">
        <f>IF(Sales[[#This Row],[Number of Users]]-Sales[[#This Row],[Licenses Bought]]&lt;0,0,Sales[[#This Row],[Number of Users]]-Sales[[#This Row],[Licenses Bought]])</f>
        <v>8</v>
      </c>
      <c r="P932" s="8">
        <f>IF(Sales[[#This Row],[Sales Month]]=MAX(Sales[Sales Month]),Sales[[#This Row],[Non-Paying Users]]*Sales[[#This Row],[Upsell $ per Non-Paying User]],0)</f>
        <v>0</v>
      </c>
      <c r="Q932" t="str" cm="1">
        <f t="array" ref="Q932">_xlfn.IFS(Sales[[#This Row],[Current Upsell $]]=0,"",Sales[[#This Row],[Current Upsell $]]&gt;=400,"High",Sales[[#This Row],[Current Upsell $]]&gt;=100,"Medium",Sales[[#This Row],[Current Upsell $]]&lt;100,"Low")</f>
        <v/>
      </c>
      <c r="R932" t="str">
        <f>IF(Sales[[#This Row],[Current Upsell $]]&gt;0,_xlfn.CONCAT(Sales[[#This Row],[Subscription Type]]," ",Sales[[#This Row],[Upsell Priority]]," ",TEXT(Sales[[#This Row],[Current Upsell $]],"$#,#")),"")</f>
        <v/>
      </c>
    </row>
    <row r="933" spans="1:18" x14ac:dyDescent="0.25">
      <c r="A933">
        <v>100083</v>
      </c>
      <c r="B933" t="s">
        <v>0</v>
      </c>
      <c r="D933" s="1"/>
      <c r="E933" s="1"/>
      <c r="F933">
        <v>28</v>
      </c>
      <c r="G933">
        <v>32</v>
      </c>
      <c r="H933" s="1">
        <v>44044</v>
      </c>
      <c r="I933" s="1">
        <v>44378</v>
      </c>
      <c r="J933">
        <v>11</v>
      </c>
      <c r="K933">
        <v>0</v>
      </c>
      <c r="L933" s="1">
        <v>44348</v>
      </c>
      <c r="M933">
        <v>280</v>
      </c>
      <c r="N933" s="8" cm="1">
        <f t="array" ref="N933">_xlfn.SWITCH(Sales[[#This Row],[Subscription Type]],"Basic",10,"Premium",10,"Business",25,"Enterprise",27)</f>
        <v>10</v>
      </c>
      <c r="O933">
        <f>IF(Sales[[#This Row],[Number of Users]]-Sales[[#This Row],[Licenses Bought]]&lt;0,0,Sales[[#This Row],[Number of Users]]-Sales[[#This Row],[Licenses Bought]])</f>
        <v>4</v>
      </c>
      <c r="P933" s="8">
        <f>IF(Sales[[#This Row],[Sales Month]]=MAX(Sales[Sales Month]),Sales[[#This Row],[Non-Paying Users]]*Sales[[#This Row],[Upsell $ per Non-Paying User]],0)</f>
        <v>40</v>
      </c>
      <c r="Q933" t="str" cm="1">
        <f t="array" ref="Q933">_xlfn.IFS(Sales[[#This Row],[Current Upsell $]]=0,"",Sales[[#This Row],[Current Upsell $]]&gt;=400,"High",Sales[[#This Row],[Current Upsell $]]&gt;=100,"Medium",Sales[[#This Row],[Current Upsell $]]&lt;100,"Low")</f>
        <v>Low</v>
      </c>
      <c r="R933" t="str">
        <f>IF(Sales[[#This Row],[Current Upsell $]]&gt;0,_xlfn.CONCAT(Sales[[#This Row],[Subscription Type]]," ",Sales[[#This Row],[Upsell Priority]]," ",TEXT(Sales[[#This Row],[Current Upsell $]],"$#,#")),"")</f>
        <v>Premium Low $40</v>
      </c>
    </row>
    <row r="934" spans="1:18" x14ac:dyDescent="0.25">
      <c r="A934">
        <v>100084</v>
      </c>
      <c r="B934" t="s">
        <v>3</v>
      </c>
      <c r="D934" s="1"/>
      <c r="E934" s="1"/>
      <c r="F934">
        <v>0</v>
      </c>
      <c r="G934">
        <v>23</v>
      </c>
      <c r="H934" s="1">
        <v>44044</v>
      </c>
      <c r="I934" s="1">
        <v>44378</v>
      </c>
      <c r="J934">
        <v>11</v>
      </c>
      <c r="K934">
        <v>0</v>
      </c>
      <c r="L934" s="1">
        <v>44044</v>
      </c>
      <c r="M934">
        <v>0</v>
      </c>
      <c r="N934" s="8" cm="1">
        <f t="array" ref="N934">_xlfn.SWITCH(Sales[[#This Row],[Subscription Type]],"Basic",10,"Premium",10,"Business",25,"Enterprise",27)</f>
        <v>10</v>
      </c>
      <c r="O934">
        <f>IF(Sales[[#This Row],[Number of Users]]-Sales[[#This Row],[Licenses Bought]]&lt;0,0,Sales[[#This Row],[Number of Users]]-Sales[[#This Row],[Licenses Bought]])</f>
        <v>23</v>
      </c>
      <c r="P934" s="8">
        <f>IF(Sales[[#This Row],[Sales Month]]=MAX(Sales[Sales Month]),Sales[[#This Row],[Non-Paying Users]]*Sales[[#This Row],[Upsell $ per Non-Paying User]],0)</f>
        <v>0</v>
      </c>
      <c r="Q934" t="str" cm="1">
        <f t="array" ref="Q934">_xlfn.IFS(Sales[[#This Row],[Current Upsell $]]=0,"",Sales[[#This Row],[Current Upsell $]]&gt;=400,"High",Sales[[#This Row],[Current Upsell $]]&gt;=100,"Medium",Sales[[#This Row],[Current Upsell $]]&lt;100,"Low")</f>
        <v/>
      </c>
      <c r="R934" t="str">
        <f>IF(Sales[[#This Row],[Current Upsell $]]&gt;0,_xlfn.CONCAT(Sales[[#This Row],[Subscription Type]]," ",Sales[[#This Row],[Upsell Priority]]," ",TEXT(Sales[[#This Row],[Current Upsell $]],"$#,#")),"")</f>
        <v/>
      </c>
    </row>
    <row r="935" spans="1:18" x14ac:dyDescent="0.25">
      <c r="A935">
        <v>100084</v>
      </c>
      <c r="B935" t="s">
        <v>0</v>
      </c>
      <c r="D935" s="1"/>
      <c r="E935" s="1"/>
      <c r="F935">
        <v>8</v>
      </c>
      <c r="G935">
        <v>28</v>
      </c>
      <c r="H935" s="1">
        <v>44044</v>
      </c>
      <c r="I935" s="1">
        <v>44378</v>
      </c>
      <c r="J935">
        <v>11</v>
      </c>
      <c r="K935">
        <v>0</v>
      </c>
      <c r="L935" s="1">
        <v>44075</v>
      </c>
      <c r="M935">
        <v>80</v>
      </c>
      <c r="N935" s="8" cm="1">
        <f t="array" ref="N935">_xlfn.SWITCH(Sales[[#This Row],[Subscription Type]],"Basic",10,"Premium",10,"Business",25,"Enterprise",27)</f>
        <v>10</v>
      </c>
      <c r="O935">
        <f>IF(Sales[[#This Row],[Number of Users]]-Sales[[#This Row],[Licenses Bought]]&lt;0,0,Sales[[#This Row],[Number of Users]]-Sales[[#This Row],[Licenses Bought]])</f>
        <v>20</v>
      </c>
      <c r="P935" s="8">
        <f>IF(Sales[[#This Row],[Sales Month]]=MAX(Sales[Sales Month]),Sales[[#This Row],[Non-Paying Users]]*Sales[[#This Row],[Upsell $ per Non-Paying User]],0)</f>
        <v>0</v>
      </c>
      <c r="Q935" t="str" cm="1">
        <f t="array" ref="Q935">_xlfn.IFS(Sales[[#This Row],[Current Upsell $]]=0,"",Sales[[#This Row],[Current Upsell $]]&gt;=400,"High",Sales[[#This Row],[Current Upsell $]]&gt;=100,"Medium",Sales[[#This Row],[Current Upsell $]]&lt;100,"Low")</f>
        <v/>
      </c>
      <c r="R935" t="str">
        <f>IF(Sales[[#This Row],[Current Upsell $]]&gt;0,_xlfn.CONCAT(Sales[[#This Row],[Subscription Type]]," ",Sales[[#This Row],[Upsell Priority]]," ",TEXT(Sales[[#This Row],[Current Upsell $]],"$#,#")),"")</f>
        <v/>
      </c>
    </row>
    <row r="936" spans="1:18" x14ac:dyDescent="0.25">
      <c r="A936">
        <v>100084</v>
      </c>
      <c r="B936" t="s">
        <v>0</v>
      </c>
      <c r="D936" s="1"/>
      <c r="E936" s="1"/>
      <c r="F936">
        <v>21</v>
      </c>
      <c r="G936">
        <v>26</v>
      </c>
      <c r="H936" s="1">
        <v>44044</v>
      </c>
      <c r="I936" s="1">
        <v>44378</v>
      </c>
      <c r="J936">
        <v>11</v>
      </c>
      <c r="K936">
        <v>0</v>
      </c>
      <c r="L936" s="1">
        <v>44105</v>
      </c>
      <c r="M936">
        <v>210</v>
      </c>
      <c r="N936" s="8" cm="1">
        <f t="array" ref="N936">_xlfn.SWITCH(Sales[[#This Row],[Subscription Type]],"Basic",10,"Premium",10,"Business",25,"Enterprise",27)</f>
        <v>10</v>
      </c>
      <c r="O936">
        <f>IF(Sales[[#This Row],[Number of Users]]-Sales[[#This Row],[Licenses Bought]]&lt;0,0,Sales[[#This Row],[Number of Users]]-Sales[[#This Row],[Licenses Bought]])</f>
        <v>5</v>
      </c>
      <c r="P936" s="8">
        <f>IF(Sales[[#This Row],[Sales Month]]=MAX(Sales[Sales Month]),Sales[[#This Row],[Non-Paying Users]]*Sales[[#This Row],[Upsell $ per Non-Paying User]],0)</f>
        <v>0</v>
      </c>
      <c r="Q936" t="str" cm="1">
        <f t="array" ref="Q936">_xlfn.IFS(Sales[[#This Row],[Current Upsell $]]=0,"",Sales[[#This Row],[Current Upsell $]]&gt;=400,"High",Sales[[#This Row],[Current Upsell $]]&gt;=100,"Medium",Sales[[#This Row],[Current Upsell $]]&lt;100,"Low")</f>
        <v/>
      </c>
      <c r="R936" t="str">
        <f>IF(Sales[[#This Row],[Current Upsell $]]&gt;0,_xlfn.CONCAT(Sales[[#This Row],[Subscription Type]]," ",Sales[[#This Row],[Upsell Priority]]," ",TEXT(Sales[[#This Row],[Current Upsell $]],"$#,#")),"")</f>
        <v/>
      </c>
    </row>
    <row r="937" spans="1:18" x14ac:dyDescent="0.25">
      <c r="A937">
        <v>100084</v>
      </c>
      <c r="B937" t="s">
        <v>0</v>
      </c>
      <c r="D937" s="1"/>
      <c r="E937" s="1"/>
      <c r="F937">
        <v>22</v>
      </c>
      <c r="G937">
        <v>30</v>
      </c>
      <c r="H937" s="1">
        <v>44044</v>
      </c>
      <c r="I937" s="1">
        <v>44378</v>
      </c>
      <c r="J937">
        <v>11</v>
      </c>
      <c r="K937">
        <v>0</v>
      </c>
      <c r="L937" s="1">
        <v>44136</v>
      </c>
      <c r="M937">
        <v>220</v>
      </c>
      <c r="N937" s="8" cm="1">
        <f t="array" ref="N937">_xlfn.SWITCH(Sales[[#This Row],[Subscription Type]],"Basic",10,"Premium",10,"Business",25,"Enterprise",27)</f>
        <v>10</v>
      </c>
      <c r="O937">
        <f>IF(Sales[[#This Row],[Number of Users]]-Sales[[#This Row],[Licenses Bought]]&lt;0,0,Sales[[#This Row],[Number of Users]]-Sales[[#This Row],[Licenses Bought]])</f>
        <v>8</v>
      </c>
      <c r="P937" s="8">
        <f>IF(Sales[[#This Row],[Sales Month]]=MAX(Sales[Sales Month]),Sales[[#This Row],[Non-Paying Users]]*Sales[[#This Row],[Upsell $ per Non-Paying User]],0)</f>
        <v>0</v>
      </c>
      <c r="Q937" t="str" cm="1">
        <f t="array" ref="Q937">_xlfn.IFS(Sales[[#This Row],[Current Upsell $]]=0,"",Sales[[#This Row],[Current Upsell $]]&gt;=400,"High",Sales[[#This Row],[Current Upsell $]]&gt;=100,"Medium",Sales[[#This Row],[Current Upsell $]]&lt;100,"Low")</f>
        <v/>
      </c>
      <c r="R937" t="str">
        <f>IF(Sales[[#This Row],[Current Upsell $]]&gt;0,_xlfn.CONCAT(Sales[[#This Row],[Subscription Type]]," ",Sales[[#This Row],[Upsell Priority]]," ",TEXT(Sales[[#This Row],[Current Upsell $]],"$#,#")),"")</f>
        <v/>
      </c>
    </row>
    <row r="938" spans="1:18" x14ac:dyDescent="0.25">
      <c r="A938">
        <v>100084</v>
      </c>
      <c r="B938" t="s">
        <v>0</v>
      </c>
      <c r="D938" s="1"/>
      <c r="E938" s="1"/>
      <c r="F938">
        <v>22</v>
      </c>
      <c r="G938">
        <v>23</v>
      </c>
      <c r="H938" s="1">
        <v>44044</v>
      </c>
      <c r="I938" s="1">
        <v>44378</v>
      </c>
      <c r="J938">
        <v>11</v>
      </c>
      <c r="K938">
        <v>0</v>
      </c>
      <c r="L938" s="1">
        <v>44166</v>
      </c>
      <c r="M938">
        <v>220</v>
      </c>
      <c r="N938" s="8" cm="1">
        <f t="array" ref="N938">_xlfn.SWITCH(Sales[[#This Row],[Subscription Type]],"Basic",10,"Premium",10,"Business",25,"Enterprise",27)</f>
        <v>10</v>
      </c>
      <c r="O938">
        <f>IF(Sales[[#This Row],[Number of Users]]-Sales[[#This Row],[Licenses Bought]]&lt;0,0,Sales[[#This Row],[Number of Users]]-Sales[[#This Row],[Licenses Bought]])</f>
        <v>1</v>
      </c>
      <c r="P938" s="8">
        <f>IF(Sales[[#This Row],[Sales Month]]=MAX(Sales[Sales Month]),Sales[[#This Row],[Non-Paying Users]]*Sales[[#This Row],[Upsell $ per Non-Paying User]],0)</f>
        <v>0</v>
      </c>
      <c r="Q938" t="str" cm="1">
        <f t="array" ref="Q938">_xlfn.IFS(Sales[[#This Row],[Current Upsell $]]=0,"",Sales[[#This Row],[Current Upsell $]]&gt;=400,"High",Sales[[#This Row],[Current Upsell $]]&gt;=100,"Medium",Sales[[#This Row],[Current Upsell $]]&lt;100,"Low")</f>
        <v/>
      </c>
      <c r="R938" t="str">
        <f>IF(Sales[[#This Row],[Current Upsell $]]&gt;0,_xlfn.CONCAT(Sales[[#This Row],[Subscription Type]]," ",Sales[[#This Row],[Upsell Priority]]," ",TEXT(Sales[[#This Row],[Current Upsell $]],"$#,#")),"")</f>
        <v/>
      </c>
    </row>
    <row r="939" spans="1:18" x14ac:dyDescent="0.25">
      <c r="A939">
        <v>100084</v>
      </c>
      <c r="B939" t="s">
        <v>0</v>
      </c>
      <c r="D939" s="1"/>
      <c r="E939" s="1"/>
      <c r="F939">
        <v>22</v>
      </c>
      <c r="G939">
        <v>34</v>
      </c>
      <c r="H939" s="1">
        <v>44044</v>
      </c>
      <c r="I939" s="1">
        <v>44378</v>
      </c>
      <c r="J939">
        <v>11</v>
      </c>
      <c r="K939">
        <v>0</v>
      </c>
      <c r="L939" s="1">
        <v>44197</v>
      </c>
      <c r="M939">
        <v>220</v>
      </c>
      <c r="N939" s="8" cm="1">
        <f t="array" ref="N939">_xlfn.SWITCH(Sales[[#This Row],[Subscription Type]],"Basic",10,"Premium",10,"Business",25,"Enterprise",27)</f>
        <v>10</v>
      </c>
      <c r="O939">
        <f>IF(Sales[[#This Row],[Number of Users]]-Sales[[#This Row],[Licenses Bought]]&lt;0,0,Sales[[#This Row],[Number of Users]]-Sales[[#This Row],[Licenses Bought]])</f>
        <v>12</v>
      </c>
      <c r="P939" s="8">
        <f>IF(Sales[[#This Row],[Sales Month]]=MAX(Sales[Sales Month]),Sales[[#This Row],[Non-Paying Users]]*Sales[[#This Row],[Upsell $ per Non-Paying User]],0)</f>
        <v>0</v>
      </c>
      <c r="Q939" t="str" cm="1">
        <f t="array" ref="Q939">_xlfn.IFS(Sales[[#This Row],[Current Upsell $]]=0,"",Sales[[#This Row],[Current Upsell $]]&gt;=400,"High",Sales[[#This Row],[Current Upsell $]]&gt;=100,"Medium",Sales[[#This Row],[Current Upsell $]]&lt;100,"Low")</f>
        <v/>
      </c>
      <c r="R939" t="str">
        <f>IF(Sales[[#This Row],[Current Upsell $]]&gt;0,_xlfn.CONCAT(Sales[[#This Row],[Subscription Type]]," ",Sales[[#This Row],[Upsell Priority]]," ",TEXT(Sales[[#This Row],[Current Upsell $]],"$#,#")),"")</f>
        <v/>
      </c>
    </row>
    <row r="940" spans="1:18" x14ac:dyDescent="0.25">
      <c r="A940">
        <v>100084</v>
      </c>
      <c r="B940" t="s">
        <v>0</v>
      </c>
      <c r="D940" s="1"/>
      <c r="E940" s="1"/>
      <c r="F940">
        <v>22</v>
      </c>
      <c r="G940">
        <v>26</v>
      </c>
      <c r="H940" s="1">
        <v>44044</v>
      </c>
      <c r="I940" s="1">
        <v>44378</v>
      </c>
      <c r="J940">
        <v>11</v>
      </c>
      <c r="K940">
        <v>0</v>
      </c>
      <c r="L940" s="1">
        <v>44228</v>
      </c>
      <c r="M940">
        <v>220</v>
      </c>
      <c r="N940" s="8" cm="1">
        <f t="array" ref="N940">_xlfn.SWITCH(Sales[[#This Row],[Subscription Type]],"Basic",10,"Premium",10,"Business",25,"Enterprise",27)</f>
        <v>10</v>
      </c>
      <c r="O940">
        <f>IF(Sales[[#This Row],[Number of Users]]-Sales[[#This Row],[Licenses Bought]]&lt;0,0,Sales[[#This Row],[Number of Users]]-Sales[[#This Row],[Licenses Bought]])</f>
        <v>4</v>
      </c>
      <c r="P940" s="8">
        <f>IF(Sales[[#This Row],[Sales Month]]=MAX(Sales[Sales Month]),Sales[[#This Row],[Non-Paying Users]]*Sales[[#This Row],[Upsell $ per Non-Paying User]],0)</f>
        <v>0</v>
      </c>
      <c r="Q940" t="str" cm="1">
        <f t="array" ref="Q940">_xlfn.IFS(Sales[[#This Row],[Current Upsell $]]=0,"",Sales[[#This Row],[Current Upsell $]]&gt;=400,"High",Sales[[#This Row],[Current Upsell $]]&gt;=100,"Medium",Sales[[#This Row],[Current Upsell $]]&lt;100,"Low")</f>
        <v/>
      </c>
      <c r="R940" t="str">
        <f>IF(Sales[[#This Row],[Current Upsell $]]&gt;0,_xlfn.CONCAT(Sales[[#This Row],[Subscription Type]]," ",Sales[[#This Row],[Upsell Priority]]," ",TEXT(Sales[[#This Row],[Current Upsell $]],"$#,#")),"")</f>
        <v/>
      </c>
    </row>
    <row r="941" spans="1:18" x14ac:dyDescent="0.25">
      <c r="A941">
        <v>100084</v>
      </c>
      <c r="B941" t="s">
        <v>0</v>
      </c>
      <c r="D941" s="1"/>
      <c r="E941" s="1"/>
      <c r="F941">
        <v>22</v>
      </c>
      <c r="G941">
        <v>28</v>
      </c>
      <c r="H941" s="1">
        <v>44044</v>
      </c>
      <c r="I941" s="1">
        <v>44378</v>
      </c>
      <c r="J941">
        <v>11</v>
      </c>
      <c r="K941">
        <v>0</v>
      </c>
      <c r="L941" s="1">
        <v>44256</v>
      </c>
      <c r="M941">
        <v>220</v>
      </c>
      <c r="N941" s="8" cm="1">
        <f t="array" ref="N941">_xlfn.SWITCH(Sales[[#This Row],[Subscription Type]],"Basic",10,"Premium",10,"Business",25,"Enterprise",27)</f>
        <v>10</v>
      </c>
      <c r="O941">
        <f>IF(Sales[[#This Row],[Number of Users]]-Sales[[#This Row],[Licenses Bought]]&lt;0,0,Sales[[#This Row],[Number of Users]]-Sales[[#This Row],[Licenses Bought]])</f>
        <v>6</v>
      </c>
      <c r="P941" s="8">
        <f>IF(Sales[[#This Row],[Sales Month]]=MAX(Sales[Sales Month]),Sales[[#This Row],[Non-Paying Users]]*Sales[[#This Row],[Upsell $ per Non-Paying User]],0)</f>
        <v>0</v>
      </c>
      <c r="Q941" t="str" cm="1">
        <f t="array" ref="Q941">_xlfn.IFS(Sales[[#This Row],[Current Upsell $]]=0,"",Sales[[#This Row],[Current Upsell $]]&gt;=400,"High",Sales[[#This Row],[Current Upsell $]]&gt;=100,"Medium",Sales[[#This Row],[Current Upsell $]]&lt;100,"Low")</f>
        <v/>
      </c>
      <c r="R941" t="str">
        <f>IF(Sales[[#This Row],[Current Upsell $]]&gt;0,_xlfn.CONCAT(Sales[[#This Row],[Subscription Type]]," ",Sales[[#This Row],[Upsell Priority]]," ",TEXT(Sales[[#This Row],[Current Upsell $]],"$#,#")),"")</f>
        <v/>
      </c>
    </row>
    <row r="942" spans="1:18" x14ac:dyDescent="0.25">
      <c r="A942">
        <v>100084</v>
      </c>
      <c r="B942" t="s">
        <v>0</v>
      </c>
      <c r="D942" s="1"/>
      <c r="E942" s="1"/>
      <c r="F942">
        <v>22</v>
      </c>
      <c r="G942">
        <v>25</v>
      </c>
      <c r="H942" s="1">
        <v>44044</v>
      </c>
      <c r="I942" s="1">
        <v>44378</v>
      </c>
      <c r="J942">
        <v>11</v>
      </c>
      <c r="K942">
        <v>0</v>
      </c>
      <c r="L942" s="1">
        <v>44287</v>
      </c>
      <c r="M942">
        <v>220</v>
      </c>
      <c r="N942" s="8" cm="1">
        <f t="array" ref="N942">_xlfn.SWITCH(Sales[[#This Row],[Subscription Type]],"Basic",10,"Premium",10,"Business",25,"Enterprise",27)</f>
        <v>10</v>
      </c>
      <c r="O942">
        <f>IF(Sales[[#This Row],[Number of Users]]-Sales[[#This Row],[Licenses Bought]]&lt;0,0,Sales[[#This Row],[Number of Users]]-Sales[[#This Row],[Licenses Bought]])</f>
        <v>3</v>
      </c>
      <c r="P942" s="8">
        <f>IF(Sales[[#This Row],[Sales Month]]=MAX(Sales[Sales Month]),Sales[[#This Row],[Non-Paying Users]]*Sales[[#This Row],[Upsell $ per Non-Paying User]],0)</f>
        <v>0</v>
      </c>
      <c r="Q942" t="str" cm="1">
        <f t="array" ref="Q942">_xlfn.IFS(Sales[[#This Row],[Current Upsell $]]=0,"",Sales[[#This Row],[Current Upsell $]]&gt;=400,"High",Sales[[#This Row],[Current Upsell $]]&gt;=100,"Medium",Sales[[#This Row],[Current Upsell $]]&lt;100,"Low")</f>
        <v/>
      </c>
      <c r="R942" t="str">
        <f>IF(Sales[[#This Row],[Current Upsell $]]&gt;0,_xlfn.CONCAT(Sales[[#This Row],[Subscription Type]]," ",Sales[[#This Row],[Upsell Priority]]," ",TEXT(Sales[[#This Row],[Current Upsell $]],"$#,#")),"")</f>
        <v/>
      </c>
    </row>
    <row r="943" spans="1:18" x14ac:dyDescent="0.25">
      <c r="A943">
        <v>100084</v>
      </c>
      <c r="B943" t="s">
        <v>0</v>
      </c>
      <c r="D943" s="1"/>
      <c r="E943" s="1"/>
      <c r="F943">
        <v>22</v>
      </c>
      <c r="G943">
        <v>23</v>
      </c>
      <c r="H943" s="1">
        <v>44044</v>
      </c>
      <c r="I943" s="1">
        <v>44378</v>
      </c>
      <c r="J943">
        <v>11</v>
      </c>
      <c r="K943">
        <v>0</v>
      </c>
      <c r="L943" s="1">
        <v>44317</v>
      </c>
      <c r="M943">
        <v>220</v>
      </c>
      <c r="N943" s="8" cm="1">
        <f t="array" ref="N943">_xlfn.SWITCH(Sales[[#This Row],[Subscription Type]],"Basic",10,"Premium",10,"Business",25,"Enterprise",27)</f>
        <v>10</v>
      </c>
      <c r="O943">
        <f>IF(Sales[[#This Row],[Number of Users]]-Sales[[#This Row],[Licenses Bought]]&lt;0,0,Sales[[#This Row],[Number of Users]]-Sales[[#This Row],[Licenses Bought]])</f>
        <v>1</v>
      </c>
      <c r="P943" s="8">
        <f>IF(Sales[[#This Row],[Sales Month]]=MAX(Sales[Sales Month]),Sales[[#This Row],[Non-Paying Users]]*Sales[[#This Row],[Upsell $ per Non-Paying User]],0)</f>
        <v>0</v>
      </c>
      <c r="Q943" t="str" cm="1">
        <f t="array" ref="Q943">_xlfn.IFS(Sales[[#This Row],[Current Upsell $]]=0,"",Sales[[#This Row],[Current Upsell $]]&gt;=400,"High",Sales[[#This Row],[Current Upsell $]]&gt;=100,"Medium",Sales[[#This Row],[Current Upsell $]]&lt;100,"Low")</f>
        <v/>
      </c>
      <c r="R943" t="str">
        <f>IF(Sales[[#This Row],[Current Upsell $]]&gt;0,_xlfn.CONCAT(Sales[[#This Row],[Subscription Type]]," ",Sales[[#This Row],[Upsell Priority]]," ",TEXT(Sales[[#This Row],[Current Upsell $]],"$#,#")),"")</f>
        <v/>
      </c>
    </row>
    <row r="944" spans="1:18" x14ac:dyDescent="0.25">
      <c r="A944">
        <v>100084</v>
      </c>
      <c r="B944" t="s">
        <v>0</v>
      </c>
      <c r="D944" s="1"/>
      <c r="E944" s="1"/>
      <c r="F944">
        <v>22</v>
      </c>
      <c r="G944">
        <v>31</v>
      </c>
      <c r="H944" s="1">
        <v>44044</v>
      </c>
      <c r="I944" s="1">
        <v>44378</v>
      </c>
      <c r="J944">
        <v>11</v>
      </c>
      <c r="K944">
        <v>0</v>
      </c>
      <c r="L944" s="1">
        <v>44348</v>
      </c>
      <c r="M944">
        <v>220</v>
      </c>
      <c r="N944" s="8" cm="1">
        <f t="array" ref="N944">_xlfn.SWITCH(Sales[[#This Row],[Subscription Type]],"Basic",10,"Premium",10,"Business",25,"Enterprise",27)</f>
        <v>10</v>
      </c>
      <c r="O944">
        <f>IF(Sales[[#This Row],[Number of Users]]-Sales[[#This Row],[Licenses Bought]]&lt;0,0,Sales[[#This Row],[Number of Users]]-Sales[[#This Row],[Licenses Bought]])</f>
        <v>9</v>
      </c>
      <c r="P944" s="8">
        <f>IF(Sales[[#This Row],[Sales Month]]=MAX(Sales[Sales Month]),Sales[[#This Row],[Non-Paying Users]]*Sales[[#This Row],[Upsell $ per Non-Paying User]],0)</f>
        <v>90</v>
      </c>
      <c r="Q944" t="str" cm="1">
        <f t="array" ref="Q944">_xlfn.IFS(Sales[[#This Row],[Current Upsell $]]=0,"",Sales[[#This Row],[Current Upsell $]]&gt;=400,"High",Sales[[#This Row],[Current Upsell $]]&gt;=100,"Medium",Sales[[#This Row],[Current Upsell $]]&lt;100,"Low")</f>
        <v>Low</v>
      </c>
      <c r="R944" t="str">
        <f>IF(Sales[[#This Row],[Current Upsell $]]&gt;0,_xlfn.CONCAT(Sales[[#This Row],[Subscription Type]]," ",Sales[[#This Row],[Upsell Priority]]," ",TEXT(Sales[[#This Row],[Current Upsell $]],"$#,#")),"")</f>
        <v>Premium Low $90</v>
      </c>
    </row>
    <row r="945" spans="1:18" x14ac:dyDescent="0.25">
      <c r="A945">
        <v>100085</v>
      </c>
      <c r="B945" t="s">
        <v>3</v>
      </c>
      <c r="D945" s="1"/>
      <c r="E945" s="1"/>
      <c r="F945">
        <v>0</v>
      </c>
      <c r="G945">
        <v>21</v>
      </c>
      <c r="H945" s="1">
        <v>44044</v>
      </c>
      <c r="I945" s="1">
        <v>44378</v>
      </c>
      <c r="J945">
        <v>11</v>
      </c>
      <c r="K945">
        <v>0</v>
      </c>
      <c r="L945" s="1">
        <v>44044</v>
      </c>
      <c r="M945">
        <v>0</v>
      </c>
      <c r="N945" s="8" cm="1">
        <f t="array" ref="N945">_xlfn.SWITCH(Sales[[#This Row],[Subscription Type]],"Basic",10,"Premium",10,"Business",25,"Enterprise",27)</f>
        <v>10</v>
      </c>
      <c r="O945">
        <f>IF(Sales[[#This Row],[Number of Users]]-Sales[[#This Row],[Licenses Bought]]&lt;0,0,Sales[[#This Row],[Number of Users]]-Sales[[#This Row],[Licenses Bought]])</f>
        <v>21</v>
      </c>
      <c r="P945" s="8">
        <f>IF(Sales[[#This Row],[Sales Month]]=MAX(Sales[Sales Month]),Sales[[#This Row],[Non-Paying Users]]*Sales[[#This Row],[Upsell $ per Non-Paying User]],0)</f>
        <v>0</v>
      </c>
      <c r="Q945" t="str" cm="1">
        <f t="array" ref="Q945">_xlfn.IFS(Sales[[#This Row],[Current Upsell $]]=0,"",Sales[[#This Row],[Current Upsell $]]&gt;=400,"High",Sales[[#This Row],[Current Upsell $]]&gt;=100,"Medium",Sales[[#This Row],[Current Upsell $]]&lt;100,"Low")</f>
        <v/>
      </c>
      <c r="R945" t="str">
        <f>IF(Sales[[#This Row],[Current Upsell $]]&gt;0,_xlfn.CONCAT(Sales[[#This Row],[Subscription Type]]," ",Sales[[#This Row],[Upsell Priority]]," ",TEXT(Sales[[#This Row],[Current Upsell $]],"$#,#")),"")</f>
        <v/>
      </c>
    </row>
    <row r="946" spans="1:18" x14ac:dyDescent="0.25">
      <c r="A946">
        <v>100085</v>
      </c>
      <c r="B946" t="s">
        <v>0</v>
      </c>
      <c r="D946" s="1"/>
      <c r="E946" s="1"/>
      <c r="F946">
        <v>13</v>
      </c>
      <c r="G946">
        <v>22</v>
      </c>
      <c r="H946" s="1">
        <v>44044</v>
      </c>
      <c r="I946" s="1">
        <v>44378</v>
      </c>
      <c r="J946">
        <v>11</v>
      </c>
      <c r="K946">
        <v>0</v>
      </c>
      <c r="L946" s="1">
        <v>44075</v>
      </c>
      <c r="M946">
        <v>130</v>
      </c>
      <c r="N946" s="8" cm="1">
        <f t="array" ref="N946">_xlfn.SWITCH(Sales[[#This Row],[Subscription Type]],"Basic",10,"Premium",10,"Business",25,"Enterprise",27)</f>
        <v>10</v>
      </c>
      <c r="O946">
        <f>IF(Sales[[#This Row],[Number of Users]]-Sales[[#This Row],[Licenses Bought]]&lt;0,0,Sales[[#This Row],[Number of Users]]-Sales[[#This Row],[Licenses Bought]])</f>
        <v>9</v>
      </c>
      <c r="P946" s="8">
        <f>IF(Sales[[#This Row],[Sales Month]]=MAX(Sales[Sales Month]),Sales[[#This Row],[Non-Paying Users]]*Sales[[#This Row],[Upsell $ per Non-Paying User]],0)</f>
        <v>0</v>
      </c>
      <c r="Q946" t="str" cm="1">
        <f t="array" ref="Q946">_xlfn.IFS(Sales[[#This Row],[Current Upsell $]]=0,"",Sales[[#This Row],[Current Upsell $]]&gt;=400,"High",Sales[[#This Row],[Current Upsell $]]&gt;=100,"Medium",Sales[[#This Row],[Current Upsell $]]&lt;100,"Low")</f>
        <v/>
      </c>
      <c r="R946" t="str">
        <f>IF(Sales[[#This Row],[Current Upsell $]]&gt;0,_xlfn.CONCAT(Sales[[#This Row],[Subscription Type]]," ",Sales[[#This Row],[Upsell Priority]]," ",TEXT(Sales[[#This Row],[Current Upsell $]],"$#,#")),"")</f>
        <v/>
      </c>
    </row>
    <row r="947" spans="1:18" x14ac:dyDescent="0.25">
      <c r="A947">
        <v>100085</v>
      </c>
      <c r="B947" t="s">
        <v>0</v>
      </c>
      <c r="D947" s="1"/>
      <c r="E947" s="1"/>
      <c r="F947">
        <v>15</v>
      </c>
      <c r="G947">
        <v>26</v>
      </c>
      <c r="H947" s="1">
        <v>44044</v>
      </c>
      <c r="I947" s="1">
        <v>44378</v>
      </c>
      <c r="J947">
        <v>11</v>
      </c>
      <c r="K947">
        <v>0</v>
      </c>
      <c r="L947" s="1">
        <v>44105</v>
      </c>
      <c r="M947">
        <v>150</v>
      </c>
      <c r="N947" s="8" cm="1">
        <f t="array" ref="N947">_xlfn.SWITCH(Sales[[#This Row],[Subscription Type]],"Basic",10,"Premium",10,"Business",25,"Enterprise",27)</f>
        <v>10</v>
      </c>
      <c r="O947">
        <f>IF(Sales[[#This Row],[Number of Users]]-Sales[[#This Row],[Licenses Bought]]&lt;0,0,Sales[[#This Row],[Number of Users]]-Sales[[#This Row],[Licenses Bought]])</f>
        <v>11</v>
      </c>
      <c r="P947" s="8">
        <f>IF(Sales[[#This Row],[Sales Month]]=MAX(Sales[Sales Month]),Sales[[#This Row],[Non-Paying Users]]*Sales[[#This Row],[Upsell $ per Non-Paying User]],0)</f>
        <v>0</v>
      </c>
      <c r="Q947" t="str" cm="1">
        <f t="array" ref="Q947">_xlfn.IFS(Sales[[#This Row],[Current Upsell $]]=0,"",Sales[[#This Row],[Current Upsell $]]&gt;=400,"High",Sales[[#This Row],[Current Upsell $]]&gt;=100,"Medium",Sales[[#This Row],[Current Upsell $]]&lt;100,"Low")</f>
        <v/>
      </c>
      <c r="R947" t="str">
        <f>IF(Sales[[#This Row],[Current Upsell $]]&gt;0,_xlfn.CONCAT(Sales[[#This Row],[Subscription Type]]," ",Sales[[#This Row],[Upsell Priority]]," ",TEXT(Sales[[#This Row],[Current Upsell $]],"$#,#")),"")</f>
        <v/>
      </c>
    </row>
    <row r="948" spans="1:18" x14ac:dyDescent="0.25">
      <c r="A948">
        <v>100085</v>
      </c>
      <c r="B948" t="s">
        <v>0</v>
      </c>
      <c r="D948" s="1"/>
      <c r="E948" s="1"/>
      <c r="F948">
        <v>22</v>
      </c>
      <c r="G948">
        <v>25</v>
      </c>
      <c r="H948" s="1">
        <v>44044</v>
      </c>
      <c r="I948" s="1">
        <v>44378</v>
      </c>
      <c r="J948">
        <v>11</v>
      </c>
      <c r="K948">
        <v>0</v>
      </c>
      <c r="L948" s="1">
        <v>44136</v>
      </c>
      <c r="M948">
        <v>220</v>
      </c>
      <c r="N948" s="8" cm="1">
        <f t="array" ref="N948">_xlfn.SWITCH(Sales[[#This Row],[Subscription Type]],"Basic",10,"Premium",10,"Business",25,"Enterprise",27)</f>
        <v>10</v>
      </c>
      <c r="O948">
        <f>IF(Sales[[#This Row],[Number of Users]]-Sales[[#This Row],[Licenses Bought]]&lt;0,0,Sales[[#This Row],[Number of Users]]-Sales[[#This Row],[Licenses Bought]])</f>
        <v>3</v>
      </c>
      <c r="P948" s="8">
        <f>IF(Sales[[#This Row],[Sales Month]]=MAX(Sales[Sales Month]),Sales[[#This Row],[Non-Paying Users]]*Sales[[#This Row],[Upsell $ per Non-Paying User]],0)</f>
        <v>0</v>
      </c>
      <c r="Q948" t="str" cm="1">
        <f t="array" ref="Q948">_xlfn.IFS(Sales[[#This Row],[Current Upsell $]]=0,"",Sales[[#This Row],[Current Upsell $]]&gt;=400,"High",Sales[[#This Row],[Current Upsell $]]&gt;=100,"Medium",Sales[[#This Row],[Current Upsell $]]&lt;100,"Low")</f>
        <v/>
      </c>
      <c r="R948" t="str">
        <f>IF(Sales[[#This Row],[Current Upsell $]]&gt;0,_xlfn.CONCAT(Sales[[#This Row],[Subscription Type]]," ",Sales[[#This Row],[Upsell Priority]]," ",TEXT(Sales[[#This Row],[Current Upsell $]],"$#,#")),"")</f>
        <v/>
      </c>
    </row>
    <row r="949" spans="1:18" x14ac:dyDescent="0.25">
      <c r="A949">
        <v>100085</v>
      </c>
      <c r="B949" t="s">
        <v>0</v>
      </c>
      <c r="D949" s="1"/>
      <c r="E949" s="1"/>
      <c r="F949">
        <v>22</v>
      </c>
      <c r="G949">
        <v>26</v>
      </c>
      <c r="H949" s="1">
        <v>44044</v>
      </c>
      <c r="I949" s="1">
        <v>44378</v>
      </c>
      <c r="J949">
        <v>11</v>
      </c>
      <c r="K949">
        <v>0</v>
      </c>
      <c r="L949" s="1">
        <v>44166</v>
      </c>
      <c r="M949">
        <v>220</v>
      </c>
      <c r="N949" s="8" cm="1">
        <f t="array" ref="N949">_xlfn.SWITCH(Sales[[#This Row],[Subscription Type]],"Basic",10,"Premium",10,"Business",25,"Enterprise",27)</f>
        <v>10</v>
      </c>
      <c r="O949">
        <f>IF(Sales[[#This Row],[Number of Users]]-Sales[[#This Row],[Licenses Bought]]&lt;0,0,Sales[[#This Row],[Number of Users]]-Sales[[#This Row],[Licenses Bought]])</f>
        <v>4</v>
      </c>
      <c r="P949" s="8">
        <f>IF(Sales[[#This Row],[Sales Month]]=MAX(Sales[Sales Month]),Sales[[#This Row],[Non-Paying Users]]*Sales[[#This Row],[Upsell $ per Non-Paying User]],0)</f>
        <v>0</v>
      </c>
      <c r="Q949" t="str" cm="1">
        <f t="array" ref="Q949">_xlfn.IFS(Sales[[#This Row],[Current Upsell $]]=0,"",Sales[[#This Row],[Current Upsell $]]&gt;=400,"High",Sales[[#This Row],[Current Upsell $]]&gt;=100,"Medium",Sales[[#This Row],[Current Upsell $]]&lt;100,"Low")</f>
        <v/>
      </c>
      <c r="R949" t="str">
        <f>IF(Sales[[#This Row],[Current Upsell $]]&gt;0,_xlfn.CONCAT(Sales[[#This Row],[Subscription Type]]," ",Sales[[#This Row],[Upsell Priority]]," ",TEXT(Sales[[#This Row],[Current Upsell $]],"$#,#")),"")</f>
        <v/>
      </c>
    </row>
    <row r="950" spans="1:18" x14ac:dyDescent="0.25">
      <c r="A950">
        <v>100085</v>
      </c>
      <c r="B950" t="s">
        <v>0</v>
      </c>
      <c r="D950" s="1"/>
      <c r="E950" s="1"/>
      <c r="F950">
        <v>22</v>
      </c>
      <c r="G950">
        <v>27</v>
      </c>
      <c r="H950" s="1">
        <v>44044</v>
      </c>
      <c r="I950" s="1">
        <v>44378</v>
      </c>
      <c r="J950">
        <v>11</v>
      </c>
      <c r="K950">
        <v>0</v>
      </c>
      <c r="L950" s="1">
        <v>44197</v>
      </c>
      <c r="M950">
        <v>220</v>
      </c>
      <c r="N950" s="8" cm="1">
        <f t="array" ref="N950">_xlfn.SWITCH(Sales[[#This Row],[Subscription Type]],"Basic",10,"Premium",10,"Business",25,"Enterprise",27)</f>
        <v>10</v>
      </c>
      <c r="O950">
        <f>IF(Sales[[#This Row],[Number of Users]]-Sales[[#This Row],[Licenses Bought]]&lt;0,0,Sales[[#This Row],[Number of Users]]-Sales[[#This Row],[Licenses Bought]])</f>
        <v>5</v>
      </c>
      <c r="P950" s="8">
        <f>IF(Sales[[#This Row],[Sales Month]]=MAX(Sales[Sales Month]),Sales[[#This Row],[Non-Paying Users]]*Sales[[#This Row],[Upsell $ per Non-Paying User]],0)</f>
        <v>0</v>
      </c>
      <c r="Q950" t="str" cm="1">
        <f t="array" ref="Q950">_xlfn.IFS(Sales[[#This Row],[Current Upsell $]]=0,"",Sales[[#This Row],[Current Upsell $]]&gt;=400,"High",Sales[[#This Row],[Current Upsell $]]&gt;=100,"Medium",Sales[[#This Row],[Current Upsell $]]&lt;100,"Low")</f>
        <v/>
      </c>
      <c r="R950" t="str">
        <f>IF(Sales[[#This Row],[Current Upsell $]]&gt;0,_xlfn.CONCAT(Sales[[#This Row],[Subscription Type]]," ",Sales[[#This Row],[Upsell Priority]]," ",TEXT(Sales[[#This Row],[Current Upsell $]],"$#,#")),"")</f>
        <v/>
      </c>
    </row>
    <row r="951" spans="1:18" x14ac:dyDescent="0.25">
      <c r="A951">
        <v>100085</v>
      </c>
      <c r="B951" t="s">
        <v>0</v>
      </c>
      <c r="D951" s="1"/>
      <c r="E951" s="1"/>
      <c r="F951">
        <v>22</v>
      </c>
      <c r="G951">
        <v>26</v>
      </c>
      <c r="H951" s="1">
        <v>44044</v>
      </c>
      <c r="I951" s="1">
        <v>44378</v>
      </c>
      <c r="J951">
        <v>11</v>
      </c>
      <c r="K951">
        <v>0</v>
      </c>
      <c r="L951" s="1">
        <v>44228</v>
      </c>
      <c r="M951">
        <v>220</v>
      </c>
      <c r="N951" s="8" cm="1">
        <f t="array" ref="N951">_xlfn.SWITCH(Sales[[#This Row],[Subscription Type]],"Basic",10,"Premium",10,"Business",25,"Enterprise",27)</f>
        <v>10</v>
      </c>
      <c r="O951">
        <f>IF(Sales[[#This Row],[Number of Users]]-Sales[[#This Row],[Licenses Bought]]&lt;0,0,Sales[[#This Row],[Number of Users]]-Sales[[#This Row],[Licenses Bought]])</f>
        <v>4</v>
      </c>
      <c r="P951" s="8">
        <f>IF(Sales[[#This Row],[Sales Month]]=MAX(Sales[Sales Month]),Sales[[#This Row],[Non-Paying Users]]*Sales[[#This Row],[Upsell $ per Non-Paying User]],0)</f>
        <v>0</v>
      </c>
      <c r="Q951" t="str" cm="1">
        <f t="array" ref="Q951">_xlfn.IFS(Sales[[#This Row],[Current Upsell $]]=0,"",Sales[[#This Row],[Current Upsell $]]&gt;=400,"High",Sales[[#This Row],[Current Upsell $]]&gt;=100,"Medium",Sales[[#This Row],[Current Upsell $]]&lt;100,"Low")</f>
        <v/>
      </c>
      <c r="R951" t="str">
        <f>IF(Sales[[#This Row],[Current Upsell $]]&gt;0,_xlfn.CONCAT(Sales[[#This Row],[Subscription Type]]," ",Sales[[#This Row],[Upsell Priority]]," ",TEXT(Sales[[#This Row],[Current Upsell $]],"$#,#")),"")</f>
        <v/>
      </c>
    </row>
    <row r="952" spans="1:18" x14ac:dyDescent="0.25">
      <c r="A952">
        <v>100085</v>
      </c>
      <c r="B952" t="s">
        <v>0</v>
      </c>
      <c r="D952" s="1"/>
      <c r="E952" s="1"/>
      <c r="F952">
        <v>22</v>
      </c>
      <c r="G952">
        <v>27</v>
      </c>
      <c r="H952" s="1">
        <v>44044</v>
      </c>
      <c r="I952" s="1">
        <v>44378</v>
      </c>
      <c r="J952">
        <v>11</v>
      </c>
      <c r="K952">
        <v>0</v>
      </c>
      <c r="L952" s="1">
        <v>44256</v>
      </c>
      <c r="M952">
        <v>220</v>
      </c>
      <c r="N952" s="8" cm="1">
        <f t="array" ref="N952">_xlfn.SWITCH(Sales[[#This Row],[Subscription Type]],"Basic",10,"Premium",10,"Business",25,"Enterprise",27)</f>
        <v>10</v>
      </c>
      <c r="O952">
        <f>IF(Sales[[#This Row],[Number of Users]]-Sales[[#This Row],[Licenses Bought]]&lt;0,0,Sales[[#This Row],[Number of Users]]-Sales[[#This Row],[Licenses Bought]])</f>
        <v>5</v>
      </c>
      <c r="P952" s="8">
        <f>IF(Sales[[#This Row],[Sales Month]]=MAX(Sales[Sales Month]),Sales[[#This Row],[Non-Paying Users]]*Sales[[#This Row],[Upsell $ per Non-Paying User]],0)</f>
        <v>0</v>
      </c>
      <c r="Q952" t="str" cm="1">
        <f t="array" ref="Q952">_xlfn.IFS(Sales[[#This Row],[Current Upsell $]]=0,"",Sales[[#This Row],[Current Upsell $]]&gt;=400,"High",Sales[[#This Row],[Current Upsell $]]&gt;=100,"Medium",Sales[[#This Row],[Current Upsell $]]&lt;100,"Low")</f>
        <v/>
      </c>
      <c r="R952" t="str">
        <f>IF(Sales[[#This Row],[Current Upsell $]]&gt;0,_xlfn.CONCAT(Sales[[#This Row],[Subscription Type]]," ",Sales[[#This Row],[Upsell Priority]]," ",TEXT(Sales[[#This Row],[Current Upsell $]],"$#,#")),"")</f>
        <v/>
      </c>
    </row>
    <row r="953" spans="1:18" x14ac:dyDescent="0.25">
      <c r="A953">
        <v>100085</v>
      </c>
      <c r="B953" t="s">
        <v>0</v>
      </c>
      <c r="D953" s="1"/>
      <c r="E953" s="1"/>
      <c r="F953">
        <v>22</v>
      </c>
      <c r="G953">
        <v>28</v>
      </c>
      <c r="H953" s="1">
        <v>44044</v>
      </c>
      <c r="I953" s="1">
        <v>44378</v>
      </c>
      <c r="J953">
        <v>11</v>
      </c>
      <c r="K953">
        <v>0</v>
      </c>
      <c r="L953" s="1">
        <v>44287</v>
      </c>
      <c r="M953">
        <v>220</v>
      </c>
      <c r="N953" s="8" cm="1">
        <f t="array" ref="N953">_xlfn.SWITCH(Sales[[#This Row],[Subscription Type]],"Basic",10,"Premium",10,"Business",25,"Enterprise",27)</f>
        <v>10</v>
      </c>
      <c r="O953">
        <f>IF(Sales[[#This Row],[Number of Users]]-Sales[[#This Row],[Licenses Bought]]&lt;0,0,Sales[[#This Row],[Number of Users]]-Sales[[#This Row],[Licenses Bought]])</f>
        <v>6</v>
      </c>
      <c r="P953" s="8">
        <f>IF(Sales[[#This Row],[Sales Month]]=MAX(Sales[Sales Month]),Sales[[#This Row],[Non-Paying Users]]*Sales[[#This Row],[Upsell $ per Non-Paying User]],0)</f>
        <v>0</v>
      </c>
      <c r="Q953" t="str" cm="1">
        <f t="array" ref="Q953">_xlfn.IFS(Sales[[#This Row],[Current Upsell $]]=0,"",Sales[[#This Row],[Current Upsell $]]&gt;=400,"High",Sales[[#This Row],[Current Upsell $]]&gt;=100,"Medium",Sales[[#This Row],[Current Upsell $]]&lt;100,"Low")</f>
        <v/>
      </c>
      <c r="R953" t="str">
        <f>IF(Sales[[#This Row],[Current Upsell $]]&gt;0,_xlfn.CONCAT(Sales[[#This Row],[Subscription Type]]," ",Sales[[#This Row],[Upsell Priority]]," ",TEXT(Sales[[#This Row],[Current Upsell $]],"$#,#")),"")</f>
        <v/>
      </c>
    </row>
    <row r="954" spans="1:18" x14ac:dyDescent="0.25">
      <c r="A954">
        <v>100085</v>
      </c>
      <c r="B954" t="s">
        <v>0</v>
      </c>
      <c r="D954" s="1"/>
      <c r="E954" s="1"/>
      <c r="F954">
        <v>22</v>
      </c>
      <c r="G954">
        <v>26</v>
      </c>
      <c r="H954" s="1">
        <v>44044</v>
      </c>
      <c r="I954" s="1">
        <v>44378</v>
      </c>
      <c r="J954">
        <v>11</v>
      </c>
      <c r="K954">
        <v>0</v>
      </c>
      <c r="L954" s="1">
        <v>44317</v>
      </c>
      <c r="M954">
        <v>220</v>
      </c>
      <c r="N954" s="8" cm="1">
        <f t="array" ref="N954">_xlfn.SWITCH(Sales[[#This Row],[Subscription Type]],"Basic",10,"Premium",10,"Business",25,"Enterprise",27)</f>
        <v>10</v>
      </c>
      <c r="O954">
        <f>IF(Sales[[#This Row],[Number of Users]]-Sales[[#This Row],[Licenses Bought]]&lt;0,0,Sales[[#This Row],[Number of Users]]-Sales[[#This Row],[Licenses Bought]])</f>
        <v>4</v>
      </c>
      <c r="P954" s="8">
        <f>IF(Sales[[#This Row],[Sales Month]]=MAX(Sales[Sales Month]),Sales[[#This Row],[Non-Paying Users]]*Sales[[#This Row],[Upsell $ per Non-Paying User]],0)</f>
        <v>0</v>
      </c>
      <c r="Q954" t="str" cm="1">
        <f t="array" ref="Q954">_xlfn.IFS(Sales[[#This Row],[Current Upsell $]]=0,"",Sales[[#This Row],[Current Upsell $]]&gt;=400,"High",Sales[[#This Row],[Current Upsell $]]&gt;=100,"Medium",Sales[[#This Row],[Current Upsell $]]&lt;100,"Low")</f>
        <v/>
      </c>
      <c r="R954" t="str">
        <f>IF(Sales[[#This Row],[Current Upsell $]]&gt;0,_xlfn.CONCAT(Sales[[#This Row],[Subscription Type]]," ",Sales[[#This Row],[Upsell Priority]]," ",TEXT(Sales[[#This Row],[Current Upsell $]],"$#,#")),"")</f>
        <v/>
      </c>
    </row>
    <row r="955" spans="1:18" x14ac:dyDescent="0.25">
      <c r="A955">
        <v>100085</v>
      </c>
      <c r="B955" t="s">
        <v>0</v>
      </c>
      <c r="D955" s="1"/>
      <c r="E955" s="1"/>
      <c r="F955">
        <v>22</v>
      </c>
      <c r="G955">
        <v>29</v>
      </c>
      <c r="H955" s="1">
        <v>44044</v>
      </c>
      <c r="I955" s="1">
        <v>44378</v>
      </c>
      <c r="J955">
        <v>11</v>
      </c>
      <c r="K955">
        <v>0</v>
      </c>
      <c r="L955" s="1">
        <v>44348</v>
      </c>
      <c r="M955">
        <v>220</v>
      </c>
      <c r="N955" s="8" cm="1">
        <f t="array" ref="N955">_xlfn.SWITCH(Sales[[#This Row],[Subscription Type]],"Basic",10,"Premium",10,"Business",25,"Enterprise",27)</f>
        <v>10</v>
      </c>
      <c r="O955">
        <f>IF(Sales[[#This Row],[Number of Users]]-Sales[[#This Row],[Licenses Bought]]&lt;0,0,Sales[[#This Row],[Number of Users]]-Sales[[#This Row],[Licenses Bought]])</f>
        <v>7</v>
      </c>
      <c r="P955" s="8">
        <f>IF(Sales[[#This Row],[Sales Month]]=MAX(Sales[Sales Month]),Sales[[#This Row],[Non-Paying Users]]*Sales[[#This Row],[Upsell $ per Non-Paying User]],0)</f>
        <v>70</v>
      </c>
      <c r="Q955" t="str" cm="1">
        <f t="array" ref="Q955">_xlfn.IFS(Sales[[#This Row],[Current Upsell $]]=0,"",Sales[[#This Row],[Current Upsell $]]&gt;=400,"High",Sales[[#This Row],[Current Upsell $]]&gt;=100,"Medium",Sales[[#This Row],[Current Upsell $]]&lt;100,"Low")</f>
        <v>Low</v>
      </c>
      <c r="R955" t="str">
        <f>IF(Sales[[#This Row],[Current Upsell $]]&gt;0,_xlfn.CONCAT(Sales[[#This Row],[Subscription Type]]," ",Sales[[#This Row],[Upsell Priority]]," ",TEXT(Sales[[#This Row],[Current Upsell $]],"$#,#")),"")</f>
        <v>Premium Low $70</v>
      </c>
    </row>
    <row r="956" spans="1:18" x14ac:dyDescent="0.25">
      <c r="A956">
        <v>100086</v>
      </c>
      <c r="B956" t="s">
        <v>3</v>
      </c>
      <c r="D956" s="1"/>
      <c r="E956" s="1"/>
      <c r="F956">
        <v>0</v>
      </c>
      <c r="G956">
        <v>21</v>
      </c>
      <c r="H956" s="1">
        <v>44044</v>
      </c>
      <c r="I956" s="1">
        <v>44378</v>
      </c>
      <c r="J956">
        <v>11</v>
      </c>
      <c r="K956">
        <v>0</v>
      </c>
      <c r="L956" s="1">
        <v>44044</v>
      </c>
      <c r="M956">
        <v>0</v>
      </c>
      <c r="N956" s="8" cm="1">
        <f t="array" ref="N956">_xlfn.SWITCH(Sales[[#This Row],[Subscription Type]],"Basic",10,"Premium",10,"Business",25,"Enterprise",27)</f>
        <v>10</v>
      </c>
      <c r="O956">
        <f>IF(Sales[[#This Row],[Number of Users]]-Sales[[#This Row],[Licenses Bought]]&lt;0,0,Sales[[#This Row],[Number of Users]]-Sales[[#This Row],[Licenses Bought]])</f>
        <v>21</v>
      </c>
      <c r="P956" s="8">
        <f>IF(Sales[[#This Row],[Sales Month]]=MAX(Sales[Sales Month]),Sales[[#This Row],[Non-Paying Users]]*Sales[[#This Row],[Upsell $ per Non-Paying User]],0)</f>
        <v>0</v>
      </c>
      <c r="Q956" t="str" cm="1">
        <f t="array" ref="Q956">_xlfn.IFS(Sales[[#This Row],[Current Upsell $]]=0,"",Sales[[#This Row],[Current Upsell $]]&gt;=400,"High",Sales[[#This Row],[Current Upsell $]]&gt;=100,"Medium",Sales[[#This Row],[Current Upsell $]]&lt;100,"Low")</f>
        <v/>
      </c>
      <c r="R956" t="str">
        <f>IF(Sales[[#This Row],[Current Upsell $]]&gt;0,_xlfn.CONCAT(Sales[[#This Row],[Subscription Type]]," ",Sales[[#This Row],[Upsell Priority]]," ",TEXT(Sales[[#This Row],[Current Upsell $]],"$#,#")),"")</f>
        <v/>
      </c>
    </row>
    <row r="957" spans="1:18" x14ac:dyDescent="0.25">
      <c r="A957">
        <v>100086</v>
      </c>
      <c r="B957" t="s">
        <v>1</v>
      </c>
      <c r="D957" s="1"/>
      <c r="E957" s="1"/>
      <c r="F957">
        <v>6</v>
      </c>
      <c r="G957">
        <v>26</v>
      </c>
      <c r="H957" s="1">
        <v>44044</v>
      </c>
      <c r="I957" s="1">
        <v>44378</v>
      </c>
      <c r="J957">
        <v>11</v>
      </c>
      <c r="K957">
        <v>0</v>
      </c>
      <c r="L957" s="1">
        <v>44075</v>
      </c>
      <c r="M957">
        <v>150</v>
      </c>
      <c r="N957" s="8" cm="1">
        <f t="array" ref="N957">_xlfn.SWITCH(Sales[[#This Row],[Subscription Type]],"Basic",10,"Premium",10,"Business",25,"Enterprise",27)</f>
        <v>25</v>
      </c>
      <c r="O957">
        <f>IF(Sales[[#This Row],[Number of Users]]-Sales[[#This Row],[Licenses Bought]]&lt;0,0,Sales[[#This Row],[Number of Users]]-Sales[[#This Row],[Licenses Bought]])</f>
        <v>20</v>
      </c>
      <c r="P957" s="8">
        <f>IF(Sales[[#This Row],[Sales Month]]=MAX(Sales[Sales Month]),Sales[[#This Row],[Non-Paying Users]]*Sales[[#This Row],[Upsell $ per Non-Paying User]],0)</f>
        <v>0</v>
      </c>
      <c r="Q957" t="str" cm="1">
        <f t="array" ref="Q957">_xlfn.IFS(Sales[[#This Row],[Current Upsell $]]=0,"",Sales[[#This Row],[Current Upsell $]]&gt;=400,"High",Sales[[#This Row],[Current Upsell $]]&gt;=100,"Medium",Sales[[#This Row],[Current Upsell $]]&lt;100,"Low")</f>
        <v/>
      </c>
      <c r="R957" t="str">
        <f>IF(Sales[[#This Row],[Current Upsell $]]&gt;0,_xlfn.CONCAT(Sales[[#This Row],[Subscription Type]]," ",Sales[[#This Row],[Upsell Priority]]," ",TEXT(Sales[[#This Row],[Current Upsell $]],"$#,#")),"")</f>
        <v/>
      </c>
    </row>
    <row r="958" spans="1:18" x14ac:dyDescent="0.25">
      <c r="A958">
        <v>100086</v>
      </c>
      <c r="B958" t="s">
        <v>1</v>
      </c>
      <c r="D958" s="1"/>
      <c r="E958" s="1"/>
      <c r="F958">
        <v>21</v>
      </c>
      <c r="G958">
        <v>24</v>
      </c>
      <c r="H958" s="1">
        <v>44044</v>
      </c>
      <c r="I958" s="1">
        <v>44378</v>
      </c>
      <c r="J958">
        <v>11</v>
      </c>
      <c r="K958">
        <v>0</v>
      </c>
      <c r="L958" s="1">
        <v>44105</v>
      </c>
      <c r="M958">
        <v>525</v>
      </c>
      <c r="N958" s="8" cm="1">
        <f t="array" ref="N958">_xlfn.SWITCH(Sales[[#This Row],[Subscription Type]],"Basic",10,"Premium",10,"Business",25,"Enterprise",27)</f>
        <v>25</v>
      </c>
      <c r="O958">
        <f>IF(Sales[[#This Row],[Number of Users]]-Sales[[#This Row],[Licenses Bought]]&lt;0,0,Sales[[#This Row],[Number of Users]]-Sales[[#This Row],[Licenses Bought]])</f>
        <v>3</v>
      </c>
      <c r="P958" s="8">
        <f>IF(Sales[[#This Row],[Sales Month]]=MAX(Sales[Sales Month]),Sales[[#This Row],[Non-Paying Users]]*Sales[[#This Row],[Upsell $ per Non-Paying User]],0)</f>
        <v>0</v>
      </c>
      <c r="Q958" t="str" cm="1">
        <f t="array" ref="Q958">_xlfn.IFS(Sales[[#This Row],[Current Upsell $]]=0,"",Sales[[#This Row],[Current Upsell $]]&gt;=400,"High",Sales[[#This Row],[Current Upsell $]]&gt;=100,"Medium",Sales[[#This Row],[Current Upsell $]]&lt;100,"Low")</f>
        <v/>
      </c>
      <c r="R958" t="str">
        <f>IF(Sales[[#This Row],[Current Upsell $]]&gt;0,_xlfn.CONCAT(Sales[[#This Row],[Subscription Type]]," ",Sales[[#This Row],[Upsell Priority]]," ",TEXT(Sales[[#This Row],[Current Upsell $]],"$#,#")),"")</f>
        <v/>
      </c>
    </row>
    <row r="959" spans="1:18" x14ac:dyDescent="0.25">
      <c r="A959">
        <v>100086</v>
      </c>
      <c r="B959" t="s">
        <v>1</v>
      </c>
      <c r="D959" s="1"/>
      <c r="E959" s="1"/>
      <c r="F959">
        <v>21</v>
      </c>
      <c r="G959">
        <v>23</v>
      </c>
      <c r="H959" s="1">
        <v>44044</v>
      </c>
      <c r="I959" s="1">
        <v>44378</v>
      </c>
      <c r="J959">
        <v>11</v>
      </c>
      <c r="K959">
        <v>0</v>
      </c>
      <c r="L959" s="1">
        <v>44136</v>
      </c>
      <c r="M959">
        <v>525</v>
      </c>
      <c r="N959" s="8" cm="1">
        <f t="array" ref="N959">_xlfn.SWITCH(Sales[[#This Row],[Subscription Type]],"Basic",10,"Premium",10,"Business",25,"Enterprise",27)</f>
        <v>25</v>
      </c>
      <c r="O959">
        <f>IF(Sales[[#This Row],[Number of Users]]-Sales[[#This Row],[Licenses Bought]]&lt;0,0,Sales[[#This Row],[Number of Users]]-Sales[[#This Row],[Licenses Bought]])</f>
        <v>2</v>
      </c>
      <c r="P959" s="8">
        <f>IF(Sales[[#This Row],[Sales Month]]=MAX(Sales[Sales Month]),Sales[[#This Row],[Non-Paying Users]]*Sales[[#This Row],[Upsell $ per Non-Paying User]],0)</f>
        <v>0</v>
      </c>
      <c r="Q959" t="str" cm="1">
        <f t="array" ref="Q959">_xlfn.IFS(Sales[[#This Row],[Current Upsell $]]=0,"",Sales[[#This Row],[Current Upsell $]]&gt;=400,"High",Sales[[#This Row],[Current Upsell $]]&gt;=100,"Medium",Sales[[#This Row],[Current Upsell $]]&lt;100,"Low")</f>
        <v/>
      </c>
      <c r="R959" t="str">
        <f>IF(Sales[[#This Row],[Current Upsell $]]&gt;0,_xlfn.CONCAT(Sales[[#This Row],[Subscription Type]]," ",Sales[[#This Row],[Upsell Priority]]," ",TEXT(Sales[[#This Row],[Current Upsell $]],"$#,#")),"")</f>
        <v/>
      </c>
    </row>
    <row r="960" spans="1:18" x14ac:dyDescent="0.25">
      <c r="A960">
        <v>100086</v>
      </c>
      <c r="B960" t="s">
        <v>1</v>
      </c>
      <c r="D960" s="1"/>
      <c r="E960" s="1"/>
      <c r="F960">
        <v>21</v>
      </c>
      <c r="G960">
        <v>26</v>
      </c>
      <c r="H960" s="1">
        <v>44044</v>
      </c>
      <c r="I960" s="1">
        <v>44378</v>
      </c>
      <c r="J960">
        <v>11</v>
      </c>
      <c r="K960">
        <v>0</v>
      </c>
      <c r="L960" s="1">
        <v>44166</v>
      </c>
      <c r="M960">
        <v>525</v>
      </c>
      <c r="N960" s="8" cm="1">
        <f t="array" ref="N960">_xlfn.SWITCH(Sales[[#This Row],[Subscription Type]],"Basic",10,"Premium",10,"Business",25,"Enterprise",27)</f>
        <v>25</v>
      </c>
      <c r="O960">
        <f>IF(Sales[[#This Row],[Number of Users]]-Sales[[#This Row],[Licenses Bought]]&lt;0,0,Sales[[#This Row],[Number of Users]]-Sales[[#This Row],[Licenses Bought]])</f>
        <v>5</v>
      </c>
      <c r="P960" s="8">
        <f>IF(Sales[[#This Row],[Sales Month]]=MAX(Sales[Sales Month]),Sales[[#This Row],[Non-Paying Users]]*Sales[[#This Row],[Upsell $ per Non-Paying User]],0)</f>
        <v>0</v>
      </c>
      <c r="Q960" t="str" cm="1">
        <f t="array" ref="Q960">_xlfn.IFS(Sales[[#This Row],[Current Upsell $]]=0,"",Sales[[#This Row],[Current Upsell $]]&gt;=400,"High",Sales[[#This Row],[Current Upsell $]]&gt;=100,"Medium",Sales[[#This Row],[Current Upsell $]]&lt;100,"Low")</f>
        <v/>
      </c>
      <c r="R960" t="str">
        <f>IF(Sales[[#This Row],[Current Upsell $]]&gt;0,_xlfn.CONCAT(Sales[[#This Row],[Subscription Type]]," ",Sales[[#This Row],[Upsell Priority]]," ",TEXT(Sales[[#This Row],[Current Upsell $]],"$#,#")),"")</f>
        <v/>
      </c>
    </row>
    <row r="961" spans="1:18" x14ac:dyDescent="0.25">
      <c r="A961">
        <v>100086</v>
      </c>
      <c r="B961" t="s">
        <v>1</v>
      </c>
      <c r="D961" s="1"/>
      <c r="E961" s="1"/>
      <c r="F961">
        <v>21</v>
      </c>
      <c r="G961">
        <v>21</v>
      </c>
      <c r="H961" s="1">
        <v>44044</v>
      </c>
      <c r="I961" s="1">
        <v>44378</v>
      </c>
      <c r="J961">
        <v>11</v>
      </c>
      <c r="K961">
        <v>0</v>
      </c>
      <c r="L961" s="1">
        <v>44197</v>
      </c>
      <c r="M961">
        <v>525</v>
      </c>
      <c r="N961" s="8" cm="1">
        <f t="array" ref="N961">_xlfn.SWITCH(Sales[[#This Row],[Subscription Type]],"Basic",10,"Premium",10,"Business",25,"Enterprise",27)</f>
        <v>25</v>
      </c>
      <c r="O961">
        <f>IF(Sales[[#This Row],[Number of Users]]-Sales[[#This Row],[Licenses Bought]]&lt;0,0,Sales[[#This Row],[Number of Users]]-Sales[[#This Row],[Licenses Bought]])</f>
        <v>0</v>
      </c>
      <c r="P961" s="8">
        <f>IF(Sales[[#This Row],[Sales Month]]=MAX(Sales[Sales Month]),Sales[[#This Row],[Non-Paying Users]]*Sales[[#This Row],[Upsell $ per Non-Paying User]],0)</f>
        <v>0</v>
      </c>
      <c r="Q961" t="str" cm="1">
        <f t="array" ref="Q961">_xlfn.IFS(Sales[[#This Row],[Current Upsell $]]=0,"",Sales[[#This Row],[Current Upsell $]]&gt;=400,"High",Sales[[#This Row],[Current Upsell $]]&gt;=100,"Medium",Sales[[#This Row],[Current Upsell $]]&lt;100,"Low")</f>
        <v/>
      </c>
      <c r="R961" t="str">
        <f>IF(Sales[[#This Row],[Current Upsell $]]&gt;0,_xlfn.CONCAT(Sales[[#This Row],[Subscription Type]]," ",Sales[[#This Row],[Upsell Priority]]," ",TEXT(Sales[[#This Row],[Current Upsell $]],"$#,#")),"")</f>
        <v/>
      </c>
    </row>
    <row r="962" spans="1:18" x14ac:dyDescent="0.25">
      <c r="A962">
        <v>100086</v>
      </c>
      <c r="B962" t="s">
        <v>1</v>
      </c>
      <c r="D962" s="1"/>
      <c r="E962" s="1"/>
      <c r="F962">
        <v>21</v>
      </c>
      <c r="G962">
        <v>30</v>
      </c>
      <c r="H962" s="1">
        <v>44044</v>
      </c>
      <c r="I962" s="1">
        <v>44378</v>
      </c>
      <c r="J962">
        <v>11</v>
      </c>
      <c r="K962">
        <v>0</v>
      </c>
      <c r="L962" s="1">
        <v>44228</v>
      </c>
      <c r="M962">
        <v>525</v>
      </c>
      <c r="N962" s="8" cm="1">
        <f t="array" ref="N962">_xlfn.SWITCH(Sales[[#This Row],[Subscription Type]],"Basic",10,"Premium",10,"Business",25,"Enterprise",27)</f>
        <v>25</v>
      </c>
      <c r="O962">
        <f>IF(Sales[[#This Row],[Number of Users]]-Sales[[#This Row],[Licenses Bought]]&lt;0,0,Sales[[#This Row],[Number of Users]]-Sales[[#This Row],[Licenses Bought]])</f>
        <v>9</v>
      </c>
      <c r="P962" s="8">
        <f>IF(Sales[[#This Row],[Sales Month]]=MAX(Sales[Sales Month]),Sales[[#This Row],[Non-Paying Users]]*Sales[[#This Row],[Upsell $ per Non-Paying User]],0)</f>
        <v>0</v>
      </c>
      <c r="Q962" t="str" cm="1">
        <f t="array" ref="Q962">_xlfn.IFS(Sales[[#This Row],[Current Upsell $]]=0,"",Sales[[#This Row],[Current Upsell $]]&gt;=400,"High",Sales[[#This Row],[Current Upsell $]]&gt;=100,"Medium",Sales[[#This Row],[Current Upsell $]]&lt;100,"Low")</f>
        <v/>
      </c>
      <c r="R962" t="str">
        <f>IF(Sales[[#This Row],[Current Upsell $]]&gt;0,_xlfn.CONCAT(Sales[[#This Row],[Subscription Type]]," ",Sales[[#This Row],[Upsell Priority]]," ",TEXT(Sales[[#This Row],[Current Upsell $]],"$#,#")),"")</f>
        <v/>
      </c>
    </row>
    <row r="963" spans="1:18" x14ac:dyDescent="0.25">
      <c r="A963">
        <v>100086</v>
      </c>
      <c r="B963" t="s">
        <v>1</v>
      </c>
      <c r="D963" s="1"/>
      <c r="E963" s="1"/>
      <c r="F963">
        <v>21</v>
      </c>
      <c r="G963">
        <v>30</v>
      </c>
      <c r="H963" s="1">
        <v>44044</v>
      </c>
      <c r="I963" s="1">
        <v>44378</v>
      </c>
      <c r="J963">
        <v>11</v>
      </c>
      <c r="K963">
        <v>0</v>
      </c>
      <c r="L963" s="1">
        <v>44256</v>
      </c>
      <c r="M963">
        <v>525</v>
      </c>
      <c r="N963" s="8" cm="1">
        <f t="array" ref="N963">_xlfn.SWITCH(Sales[[#This Row],[Subscription Type]],"Basic",10,"Premium",10,"Business",25,"Enterprise",27)</f>
        <v>25</v>
      </c>
      <c r="O963">
        <f>IF(Sales[[#This Row],[Number of Users]]-Sales[[#This Row],[Licenses Bought]]&lt;0,0,Sales[[#This Row],[Number of Users]]-Sales[[#This Row],[Licenses Bought]])</f>
        <v>9</v>
      </c>
      <c r="P963" s="8">
        <f>IF(Sales[[#This Row],[Sales Month]]=MAX(Sales[Sales Month]),Sales[[#This Row],[Non-Paying Users]]*Sales[[#This Row],[Upsell $ per Non-Paying User]],0)</f>
        <v>0</v>
      </c>
      <c r="Q963" t="str" cm="1">
        <f t="array" ref="Q963">_xlfn.IFS(Sales[[#This Row],[Current Upsell $]]=0,"",Sales[[#This Row],[Current Upsell $]]&gt;=400,"High",Sales[[#This Row],[Current Upsell $]]&gt;=100,"Medium",Sales[[#This Row],[Current Upsell $]]&lt;100,"Low")</f>
        <v/>
      </c>
      <c r="R963" t="str">
        <f>IF(Sales[[#This Row],[Current Upsell $]]&gt;0,_xlfn.CONCAT(Sales[[#This Row],[Subscription Type]]," ",Sales[[#This Row],[Upsell Priority]]," ",TEXT(Sales[[#This Row],[Current Upsell $]],"$#,#")),"")</f>
        <v/>
      </c>
    </row>
    <row r="964" spans="1:18" x14ac:dyDescent="0.25">
      <c r="A964">
        <v>100086</v>
      </c>
      <c r="B964" t="s">
        <v>1</v>
      </c>
      <c r="D964" s="1"/>
      <c r="E964" s="1"/>
      <c r="F964">
        <v>21</v>
      </c>
      <c r="G964">
        <v>29</v>
      </c>
      <c r="H964" s="1">
        <v>44044</v>
      </c>
      <c r="I964" s="1">
        <v>44378</v>
      </c>
      <c r="J964">
        <v>11</v>
      </c>
      <c r="K964">
        <v>0</v>
      </c>
      <c r="L964" s="1">
        <v>44287</v>
      </c>
      <c r="M964">
        <v>525</v>
      </c>
      <c r="N964" s="8" cm="1">
        <f t="array" ref="N964">_xlfn.SWITCH(Sales[[#This Row],[Subscription Type]],"Basic",10,"Premium",10,"Business",25,"Enterprise",27)</f>
        <v>25</v>
      </c>
      <c r="O964">
        <f>IF(Sales[[#This Row],[Number of Users]]-Sales[[#This Row],[Licenses Bought]]&lt;0,0,Sales[[#This Row],[Number of Users]]-Sales[[#This Row],[Licenses Bought]])</f>
        <v>8</v>
      </c>
      <c r="P964" s="8">
        <f>IF(Sales[[#This Row],[Sales Month]]=MAX(Sales[Sales Month]),Sales[[#This Row],[Non-Paying Users]]*Sales[[#This Row],[Upsell $ per Non-Paying User]],0)</f>
        <v>0</v>
      </c>
      <c r="Q964" t="str" cm="1">
        <f t="array" ref="Q964">_xlfn.IFS(Sales[[#This Row],[Current Upsell $]]=0,"",Sales[[#This Row],[Current Upsell $]]&gt;=400,"High",Sales[[#This Row],[Current Upsell $]]&gt;=100,"Medium",Sales[[#This Row],[Current Upsell $]]&lt;100,"Low")</f>
        <v/>
      </c>
      <c r="R964" t="str">
        <f>IF(Sales[[#This Row],[Current Upsell $]]&gt;0,_xlfn.CONCAT(Sales[[#This Row],[Subscription Type]]," ",Sales[[#This Row],[Upsell Priority]]," ",TEXT(Sales[[#This Row],[Current Upsell $]],"$#,#")),"")</f>
        <v/>
      </c>
    </row>
    <row r="965" spans="1:18" x14ac:dyDescent="0.25">
      <c r="A965">
        <v>100086</v>
      </c>
      <c r="B965" t="s">
        <v>1</v>
      </c>
      <c r="D965" s="1"/>
      <c r="E965" s="1"/>
      <c r="F965">
        <v>21</v>
      </c>
      <c r="G965">
        <v>20</v>
      </c>
      <c r="H965" s="1">
        <v>44044</v>
      </c>
      <c r="I965" s="1">
        <v>44378</v>
      </c>
      <c r="J965">
        <v>11</v>
      </c>
      <c r="K965">
        <v>0</v>
      </c>
      <c r="L965" s="1">
        <v>44317</v>
      </c>
      <c r="M965">
        <v>525</v>
      </c>
      <c r="N965" s="8" cm="1">
        <f t="array" ref="N965">_xlfn.SWITCH(Sales[[#This Row],[Subscription Type]],"Basic",10,"Premium",10,"Business",25,"Enterprise",27)</f>
        <v>25</v>
      </c>
      <c r="O965">
        <f>IF(Sales[[#This Row],[Number of Users]]-Sales[[#This Row],[Licenses Bought]]&lt;0,0,Sales[[#This Row],[Number of Users]]-Sales[[#This Row],[Licenses Bought]])</f>
        <v>0</v>
      </c>
      <c r="P965" s="8">
        <f>IF(Sales[[#This Row],[Sales Month]]=MAX(Sales[Sales Month]),Sales[[#This Row],[Non-Paying Users]]*Sales[[#This Row],[Upsell $ per Non-Paying User]],0)</f>
        <v>0</v>
      </c>
      <c r="Q965" t="str" cm="1">
        <f t="array" ref="Q965">_xlfn.IFS(Sales[[#This Row],[Current Upsell $]]=0,"",Sales[[#This Row],[Current Upsell $]]&gt;=400,"High",Sales[[#This Row],[Current Upsell $]]&gt;=100,"Medium",Sales[[#This Row],[Current Upsell $]]&lt;100,"Low")</f>
        <v/>
      </c>
      <c r="R965" t="str">
        <f>IF(Sales[[#This Row],[Current Upsell $]]&gt;0,_xlfn.CONCAT(Sales[[#This Row],[Subscription Type]]," ",Sales[[#This Row],[Upsell Priority]]," ",TEXT(Sales[[#This Row],[Current Upsell $]],"$#,#")),"")</f>
        <v/>
      </c>
    </row>
    <row r="966" spans="1:18" x14ac:dyDescent="0.25">
      <c r="A966">
        <v>100086</v>
      </c>
      <c r="B966" t="s">
        <v>1</v>
      </c>
      <c r="D966" s="1"/>
      <c r="E966" s="1"/>
      <c r="F966">
        <v>21</v>
      </c>
      <c r="G966">
        <v>23</v>
      </c>
      <c r="H966" s="1">
        <v>44044</v>
      </c>
      <c r="I966" s="1">
        <v>44378</v>
      </c>
      <c r="J966">
        <v>11</v>
      </c>
      <c r="K966">
        <v>0</v>
      </c>
      <c r="L966" s="1">
        <v>44348</v>
      </c>
      <c r="M966">
        <v>525</v>
      </c>
      <c r="N966" s="8" cm="1">
        <f t="array" ref="N966">_xlfn.SWITCH(Sales[[#This Row],[Subscription Type]],"Basic",10,"Premium",10,"Business",25,"Enterprise",27)</f>
        <v>25</v>
      </c>
      <c r="O966">
        <f>IF(Sales[[#This Row],[Number of Users]]-Sales[[#This Row],[Licenses Bought]]&lt;0,0,Sales[[#This Row],[Number of Users]]-Sales[[#This Row],[Licenses Bought]])</f>
        <v>2</v>
      </c>
      <c r="P966" s="8">
        <f>IF(Sales[[#This Row],[Sales Month]]=MAX(Sales[Sales Month]),Sales[[#This Row],[Non-Paying Users]]*Sales[[#This Row],[Upsell $ per Non-Paying User]],0)</f>
        <v>50</v>
      </c>
      <c r="Q966" t="str" cm="1">
        <f t="array" ref="Q966">_xlfn.IFS(Sales[[#This Row],[Current Upsell $]]=0,"",Sales[[#This Row],[Current Upsell $]]&gt;=400,"High",Sales[[#This Row],[Current Upsell $]]&gt;=100,"Medium",Sales[[#This Row],[Current Upsell $]]&lt;100,"Low")</f>
        <v>Low</v>
      </c>
      <c r="R966" t="str">
        <f>IF(Sales[[#This Row],[Current Upsell $]]&gt;0,_xlfn.CONCAT(Sales[[#This Row],[Subscription Type]]," ",Sales[[#This Row],[Upsell Priority]]," ",TEXT(Sales[[#This Row],[Current Upsell $]],"$#,#")),"")</f>
        <v>Business Low $50</v>
      </c>
    </row>
    <row r="967" spans="1:18" x14ac:dyDescent="0.25">
      <c r="A967">
        <v>100087</v>
      </c>
      <c r="B967" t="s">
        <v>3</v>
      </c>
      <c r="D967" s="1"/>
      <c r="E967" s="1"/>
      <c r="F967">
        <v>0</v>
      </c>
      <c r="G967">
        <v>28</v>
      </c>
      <c r="H967" s="1">
        <v>44044</v>
      </c>
      <c r="I967" s="1">
        <v>44378</v>
      </c>
      <c r="J967">
        <v>11</v>
      </c>
      <c r="K967">
        <v>0</v>
      </c>
      <c r="L967" s="1">
        <v>44044</v>
      </c>
      <c r="M967">
        <v>0</v>
      </c>
      <c r="N967" s="8" cm="1">
        <f t="array" ref="N967">_xlfn.SWITCH(Sales[[#This Row],[Subscription Type]],"Basic",10,"Premium",10,"Business",25,"Enterprise",27)</f>
        <v>10</v>
      </c>
      <c r="O967">
        <f>IF(Sales[[#This Row],[Number of Users]]-Sales[[#This Row],[Licenses Bought]]&lt;0,0,Sales[[#This Row],[Number of Users]]-Sales[[#This Row],[Licenses Bought]])</f>
        <v>28</v>
      </c>
      <c r="P967" s="8">
        <f>IF(Sales[[#This Row],[Sales Month]]=MAX(Sales[Sales Month]),Sales[[#This Row],[Non-Paying Users]]*Sales[[#This Row],[Upsell $ per Non-Paying User]],0)</f>
        <v>0</v>
      </c>
      <c r="Q967" t="str" cm="1">
        <f t="array" ref="Q967">_xlfn.IFS(Sales[[#This Row],[Current Upsell $]]=0,"",Sales[[#This Row],[Current Upsell $]]&gt;=400,"High",Sales[[#This Row],[Current Upsell $]]&gt;=100,"Medium",Sales[[#This Row],[Current Upsell $]]&lt;100,"Low")</f>
        <v/>
      </c>
      <c r="R967" t="str">
        <f>IF(Sales[[#This Row],[Current Upsell $]]&gt;0,_xlfn.CONCAT(Sales[[#This Row],[Subscription Type]]," ",Sales[[#This Row],[Upsell Priority]]," ",TEXT(Sales[[#This Row],[Current Upsell $]],"$#,#")),"")</f>
        <v/>
      </c>
    </row>
    <row r="968" spans="1:18" x14ac:dyDescent="0.25">
      <c r="A968">
        <v>100087</v>
      </c>
      <c r="B968" t="s">
        <v>0</v>
      </c>
      <c r="D968" s="1"/>
      <c r="E968" s="1"/>
      <c r="F968">
        <v>15</v>
      </c>
      <c r="G968">
        <v>28</v>
      </c>
      <c r="H968" s="1">
        <v>44044</v>
      </c>
      <c r="I968" s="1">
        <v>44378</v>
      </c>
      <c r="J968">
        <v>11</v>
      </c>
      <c r="K968">
        <v>0</v>
      </c>
      <c r="L968" s="1">
        <v>44075</v>
      </c>
      <c r="M968">
        <v>150</v>
      </c>
      <c r="N968" s="8" cm="1">
        <f t="array" ref="N968">_xlfn.SWITCH(Sales[[#This Row],[Subscription Type]],"Basic",10,"Premium",10,"Business",25,"Enterprise",27)</f>
        <v>10</v>
      </c>
      <c r="O968">
        <f>IF(Sales[[#This Row],[Number of Users]]-Sales[[#This Row],[Licenses Bought]]&lt;0,0,Sales[[#This Row],[Number of Users]]-Sales[[#This Row],[Licenses Bought]])</f>
        <v>13</v>
      </c>
      <c r="P968" s="8">
        <f>IF(Sales[[#This Row],[Sales Month]]=MAX(Sales[Sales Month]),Sales[[#This Row],[Non-Paying Users]]*Sales[[#This Row],[Upsell $ per Non-Paying User]],0)</f>
        <v>0</v>
      </c>
      <c r="Q968" t="str" cm="1">
        <f t="array" ref="Q968">_xlfn.IFS(Sales[[#This Row],[Current Upsell $]]=0,"",Sales[[#This Row],[Current Upsell $]]&gt;=400,"High",Sales[[#This Row],[Current Upsell $]]&gt;=100,"Medium",Sales[[#This Row],[Current Upsell $]]&lt;100,"Low")</f>
        <v/>
      </c>
      <c r="R968" t="str">
        <f>IF(Sales[[#This Row],[Current Upsell $]]&gt;0,_xlfn.CONCAT(Sales[[#This Row],[Subscription Type]]," ",Sales[[#This Row],[Upsell Priority]]," ",TEXT(Sales[[#This Row],[Current Upsell $]],"$#,#")),"")</f>
        <v/>
      </c>
    </row>
    <row r="969" spans="1:18" x14ac:dyDescent="0.25">
      <c r="A969">
        <v>100087</v>
      </c>
      <c r="B969" t="s">
        <v>0</v>
      </c>
      <c r="D969" s="1"/>
      <c r="E969" s="1"/>
      <c r="F969">
        <v>14</v>
      </c>
      <c r="G969">
        <v>25</v>
      </c>
      <c r="H969" s="1">
        <v>44044</v>
      </c>
      <c r="I969" s="1">
        <v>44378</v>
      </c>
      <c r="J969">
        <v>11</v>
      </c>
      <c r="K969">
        <v>0</v>
      </c>
      <c r="L969" s="1">
        <v>44105</v>
      </c>
      <c r="M969">
        <v>140</v>
      </c>
      <c r="N969" s="8" cm="1">
        <f t="array" ref="N969">_xlfn.SWITCH(Sales[[#This Row],[Subscription Type]],"Basic",10,"Premium",10,"Business",25,"Enterprise",27)</f>
        <v>10</v>
      </c>
      <c r="O969">
        <f>IF(Sales[[#This Row],[Number of Users]]-Sales[[#This Row],[Licenses Bought]]&lt;0,0,Sales[[#This Row],[Number of Users]]-Sales[[#This Row],[Licenses Bought]])</f>
        <v>11</v>
      </c>
      <c r="P969" s="8">
        <f>IF(Sales[[#This Row],[Sales Month]]=MAX(Sales[Sales Month]),Sales[[#This Row],[Non-Paying Users]]*Sales[[#This Row],[Upsell $ per Non-Paying User]],0)</f>
        <v>0</v>
      </c>
      <c r="Q969" t="str" cm="1">
        <f t="array" ref="Q969">_xlfn.IFS(Sales[[#This Row],[Current Upsell $]]=0,"",Sales[[#This Row],[Current Upsell $]]&gt;=400,"High",Sales[[#This Row],[Current Upsell $]]&gt;=100,"Medium",Sales[[#This Row],[Current Upsell $]]&lt;100,"Low")</f>
        <v/>
      </c>
      <c r="R969" t="str">
        <f>IF(Sales[[#This Row],[Current Upsell $]]&gt;0,_xlfn.CONCAT(Sales[[#This Row],[Subscription Type]]," ",Sales[[#This Row],[Upsell Priority]]," ",TEXT(Sales[[#This Row],[Current Upsell $]],"$#,#")),"")</f>
        <v/>
      </c>
    </row>
    <row r="970" spans="1:18" x14ac:dyDescent="0.25">
      <c r="A970">
        <v>100087</v>
      </c>
      <c r="B970" t="s">
        <v>0</v>
      </c>
      <c r="D970" s="1"/>
      <c r="E970" s="1"/>
      <c r="F970">
        <v>21</v>
      </c>
      <c r="G970">
        <v>24</v>
      </c>
      <c r="H970" s="1">
        <v>44044</v>
      </c>
      <c r="I970" s="1">
        <v>44378</v>
      </c>
      <c r="J970">
        <v>11</v>
      </c>
      <c r="K970">
        <v>0</v>
      </c>
      <c r="L970" s="1">
        <v>44136</v>
      </c>
      <c r="M970">
        <v>210</v>
      </c>
      <c r="N970" s="8" cm="1">
        <f t="array" ref="N970">_xlfn.SWITCH(Sales[[#This Row],[Subscription Type]],"Basic",10,"Premium",10,"Business",25,"Enterprise",27)</f>
        <v>10</v>
      </c>
      <c r="O970">
        <f>IF(Sales[[#This Row],[Number of Users]]-Sales[[#This Row],[Licenses Bought]]&lt;0,0,Sales[[#This Row],[Number of Users]]-Sales[[#This Row],[Licenses Bought]])</f>
        <v>3</v>
      </c>
      <c r="P970" s="8">
        <f>IF(Sales[[#This Row],[Sales Month]]=MAX(Sales[Sales Month]),Sales[[#This Row],[Non-Paying Users]]*Sales[[#This Row],[Upsell $ per Non-Paying User]],0)</f>
        <v>0</v>
      </c>
      <c r="Q970" t="str" cm="1">
        <f t="array" ref="Q970">_xlfn.IFS(Sales[[#This Row],[Current Upsell $]]=0,"",Sales[[#This Row],[Current Upsell $]]&gt;=400,"High",Sales[[#This Row],[Current Upsell $]]&gt;=100,"Medium",Sales[[#This Row],[Current Upsell $]]&lt;100,"Low")</f>
        <v/>
      </c>
      <c r="R970" t="str">
        <f>IF(Sales[[#This Row],[Current Upsell $]]&gt;0,_xlfn.CONCAT(Sales[[#This Row],[Subscription Type]]," ",Sales[[#This Row],[Upsell Priority]]," ",TEXT(Sales[[#This Row],[Current Upsell $]],"$#,#")),"")</f>
        <v/>
      </c>
    </row>
    <row r="971" spans="1:18" x14ac:dyDescent="0.25">
      <c r="A971">
        <v>100087</v>
      </c>
      <c r="B971" t="s">
        <v>0</v>
      </c>
      <c r="D971" s="1"/>
      <c r="E971" s="1"/>
      <c r="F971">
        <v>21</v>
      </c>
      <c r="G971">
        <v>27</v>
      </c>
      <c r="H971" s="1">
        <v>44044</v>
      </c>
      <c r="I971" s="1">
        <v>44378</v>
      </c>
      <c r="J971">
        <v>11</v>
      </c>
      <c r="K971">
        <v>0</v>
      </c>
      <c r="L971" s="1">
        <v>44166</v>
      </c>
      <c r="M971">
        <v>210</v>
      </c>
      <c r="N971" s="8" cm="1">
        <f t="array" ref="N971">_xlfn.SWITCH(Sales[[#This Row],[Subscription Type]],"Basic",10,"Premium",10,"Business",25,"Enterprise",27)</f>
        <v>10</v>
      </c>
      <c r="O971">
        <f>IF(Sales[[#This Row],[Number of Users]]-Sales[[#This Row],[Licenses Bought]]&lt;0,0,Sales[[#This Row],[Number of Users]]-Sales[[#This Row],[Licenses Bought]])</f>
        <v>6</v>
      </c>
      <c r="P971" s="8">
        <f>IF(Sales[[#This Row],[Sales Month]]=MAX(Sales[Sales Month]),Sales[[#This Row],[Non-Paying Users]]*Sales[[#This Row],[Upsell $ per Non-Paying User]],0)</f>
        <v>0</v>
      </c>
      <c r="Q971" t="str" cm="1">
        <f t="array" ref="Q971">_xlfn.IFS(Sales[[#This Row],[Current Upsell $]]=0,"",Sales[[#This Row],[Current Upsell $]]&gt;=400,"High",Sales[[#This Row],[Current Upsell $]]&gt;=100,"Medium",Sales[[#This Row],[Current Upsell $]]&lt;100,"Low")</f>
        <v/>
      </c>
      <c r="R971" t="str">
        <f>IF(Sales[[#This Row],[Current Upsell $]]&gt;0,_xlfn.CONCAT(Sales[[#This Row],[Subscription Type]]," ",Sales[[#This Row],[Upsell Priority]]," ",TEXT(Sales[[#This Row],[Current Upsell $]],"$#,#")),"")</f>
        <v/>
      </c>
    </row>
    <row r="972" spans="1:18" x14ac:dyDescent="0.25">
      <c r="A972">
        <v>100087</v>
      </c>
      <c r="B972" t="s">
        <v>0</v>
      </c>
      <c r="D972" s="1"/>
      <c r="E972" s="1"/>
      <c r="F972">
        <v>21</v>
      </c>
      <c r="G972">
        <v>27</v>
      </c>
      <c r="H972" s="1">
        <v>44044</v>
      </c>
      <c r="I972" s="1">
        <v>44378</v>
      </c>
      <c r="J972">
        <v>11</v>
      </c>
      <c r="K972">
        <v>0</v>
      </c>
      <c r="L972" s="1">
        <v>44197</v>
      </c>
      <c r="M972">
        <v>210</v>
      </c>
      <c r="N972" s="8" cm="1">
        <f t="array" ref="N972">_xlfn.SWITCH(Sales[[#This Row],[Subscription Type]],"Basic",10,"Premium",10,"Business",25,"Enterprise",27)</f>
        <v>10</v>
      </c>
      <c r="O972">
        <f>IF(Sales[[#This Row],[Number of Users]]-Sales[[#This Row],[Licenses Bought]]&lt;0,0,Sales[[#This Row],[Number of Users]]-Sales[[#This Row],[Licenses Bought]])</f>
        <v>6</v>
      </c>
      <c r="P972" s="8">
        <f>IF(Sales[[#This Row],[Sales Month]]=MAX(Sales[Sales Month]),Sales[[#This Row],[Non-Paying Users]]*Sales[[#This Row],[Upsell $ per Non-Paying User]],0)</f>
        <v>0</v>
      </c>
      <c r="Q972" t="str" cm="1">
        <f t="array" ref="Q972">_xlfn.IFS(Sales[[#This Row],[Current Upsell $]]=0,"",Sales[[#This Row],[Current Upsell $]]&gt;=400,"High",Sales[[#This Row],[Current Upsell $]]&gt;=100,"Medium",Sales[[#This Row],[Current Upsell $]]&lt;100,"Low")</f>
        <v/>
      </c>
      <c r="R972" t="str">
        <f>IF(Sales[[#This Row],[Current Upsell $]]&gt;0,_xlfn.CONCAT(Sales[[#This Row],[Subscription Type]]," ",Sales[[#This Row],[Upsell Priority]]," ",TEXT(Sales[[#This Row],[Current Upsell $]],"$#,#")),"")</f>
        <v/>
      </c>
    </row>
    <row r="973" spans="1:18" x14ac:dyDescent="0.25">
      <c r="A973">
        <v>100087</v>
      </c>
      <c r="B973" t="s">
        <v>0</v>
      </c>
      <c r="D973" s="1"/>
      <c r="E973" s="1"/>
      <c r="F973">
        <v>21</v>
      </c>
      <c r="G973">
        <v>24</v>
      </c>
      <c r="H973" s="1">
        <v>44044</v>
      </c>
      <c r="I973" s="1">
        <v>44378</v>
      </c>
      <c r="J973">
        <v>11</v>
      </c>
      <c r="K973">
        <v>0</v>
      </c>
      <c r="L973" s="1">
        <v>44228</v>
      </c>
      <c r="M973">
        <v>210</v>
      </c>
      <c r="N973" s="8" cm="1">
        <f t="array" ref="N973">_xlfn.SWITCH(Sales[[#This Row],[Subscription Type]],"Basic",10,"Premium",10,"Business",25,"Enterprise",27)</f>
        <v>10</v>
      </c>
      <c r="O973">
        <f>IF(Sales[[#This Row],[Number of Users]]-Sales[[#This Row],[Licenses Bought]]&lt;0,0,Sales[[#This Row],[Number of Users]]-Sales[[#This Row],[Licenses Bought]])</f>
        <v>3</v>
      </c>
      <c r="P973" s="8">
        <f>IF(Sales[[#This Row],[Sales Month]]=MAX(Sales[Sales Month]),Sales[[#This Row],[Non-Paying Users]]*Sales[[#This Row],[Upsell $ per Non-Paying User]],0)</f>
        <v>0</v>
      </c>
      <c r="Q973" t="str" cm="1">
        <f t="array" ref="Q973">_xlfn.IFS(Sales[[#This Row],[Current Upsell $]]=0,"",Sales[[#This Row],[Current Upsell $]]&gt;=400,"High",Sales[[#This Row],[Current Upsell $]]&gt;=100,"Medium",Sales[[#This Row],[Current Upsell $]]&lt;100,"Low")</f>
        <v/>
      </c>
      <c r="R973" t="str">
        <f>IF(Sales[[#This Row],[Current Upsell $]]&gt;0,_xlfn.CONCAT(Sales[[#This Row],[Subscription Type]]," ",Sales[[#This Row],[Upsell Priority]]," ",TEXT(Sales[[#This Row],[Current Upsell $]],"$#,#")),"")</f>
        <v/>
      </c>
    </row>
    <row r="974" spans="1:18" x14ac:dyDescent="0.25">
      <c r="A974">
        <v>100087</v>
      </c>
      <c r="B974" t="s">
        <v>0</v>
      </c>
      <c r="D974" s="1"/>
      <c r="E974" s="1"/>
      <c r="F974">
        <v>21</v>
      </c>
      <c r="G974">
        <v>21</v>
      </c>
      <c r="H974" s="1">
        <v>44044</v>
      </c>
      <c r="I974" s="1">
        <v>44378</v>
      </c>
      <c r="J974">
        <v>11</v>
      </c>
      <c r="K974">
        <v>0</v>
      </c>
      <c r="L974" s="1">
        <v>44256</v>
      </c>
      <c r="M974">
        <v>210</v>
      </c>
      <c r="N974" s="8" cm="1">
        <f t="array" ref="N974">_xlfn.SWITCH(Sales[[#This Row],[Subscription Type]],"Basic",10,"Premium",10,"Business",25,"Enterprise",27)</f>
        <v>10</v>
      </c>
      <c r="O974">
        <f>IF(Sales[[#This Row],[Number of Users]]-Sales[[#This Row],[Licenses Bought]]&lt;0,0,Sales[[#This Row],[Number of Users]]-Sales[[#This Row],[Licenses Bought]])</f>
        <v>0</v>
      </c>
      <c r="P974" s="8">
        <f>IF(Sales[[#This Row],[Sales Month]]=MAX(Sales[Sales Month]),Sales[[#This Row],[Non-Paying Users]]*Sales[[#This Row],[Upsell $ per Non-Paying User]],0)</f>
        <v>0</v>
      </c>
      <c r="Q974" t="str" cm="1">
        <f t="array" ref="Q974">_xlfn.IFS(Sales[[#This Row],[Current Upsell $]]=0,"",Sales[[#This Row],[Current Upsell $]]&gt;=400,"High",Sales[[#This Row],[Current Upsell $]]&gt;=100,"Medium",Sales[[#This Row],[Current Upsell $]]&lt;100,"Low")</f>
        <v/>
      </c>
      <c r="R974" t="str">
        <f>IF(Sales[[#This Row],[Current Upsell $]]&gt;0,_xlfn.CONCAT(Sales[[#This Row],[Subscription Type]]," ",Sales[[#This Row],[Upsell Priority]]," ",TEXT(Sales[[#This Row],[Current Upsell $]],"$#,#")),"")</f>
        <v/>
      </c>
    </row>
    <row r="975" spans="1:18" x14ac:dyDescent="0.25">
      <c r="A975">
        <v>100087</v>
      </c>
      <c r="B975" t="s">
        <v>0</v>
      </c>
      <c r="D975" s="1"/>
      <c r="E975" s="1"/>
      <c r="F975">
        <v>21</v>
      </c>
      <c r="G975">
        <v>26</v>
      </c>
      <c r="H975" s="1">
        <v>44044</v>
      </c>
      <c r="I975" s="1">
        <v>44378</v>
      </c>
      <c r="J975">
        <v>11</v>
      </c>
      <c r="K975">
        <v>0</v>
      </c>
      <c r="L975" s="1">
        <v>44287</v>
      </c>
      <c r="M975">
        <v>210</v>
      </c>
      <c r="N975" s="8" cm="1">
        <f t="array" ref="N975">_xlfn.SWITCH(Sales[[#This Row],[Subscription Type]],"Basic",10,"Premium",10,"Business",25,"Enterprise",27)</f>
        <v>10</v>
      </c>
      <c r="O975">
        <f>IF(Sales[[#This Row],[Number of Users]]-Sales[[#This Row],[Licenses Bought]]&lt;0,0,Sales[[#This Row],[Number of Users]]-Sales[[#This Row],[Licenses Bought]])</f>
        <v>5</v>
      </c>
      <c r="P975" s="8">
        <f>IF(Sales[[#This Row],[Sales Month]]=MAX(Sales[Sales Month]),Sales[[#This Row],[Non-Paying Users]]*Sales[[#This Row],[Upsell $ per Non-Paying User]],0)</f>
        <v>0</v>
      </c>
      <c r="Q975" t="str" cm="1">
        <f t="array" ref="Q975">_xlfn.IFS(Sales[[#This Row],[Current Upsell $]]=0,"",Sales[[#This Row],[Current Upsell $]]&gt;=400,"High",Sales[[#This Row],[Current Upsell $]]&gt;=100,"Medium",Sales[[#This Row],[Current Upsell $]]&lt;100,"Low")</f>
        <v/>
      </c>
      <c r="R975" t="str">
        <f>IF(Sales[[#This Row],[Current Upsell $]]&gt;0,_xlfn.CONCAT(Sales[[#This Row],[Subscription Type]]," ",Sales[[#This Row],[Upsell Priority]]," ",TEXT(Sales[[#This Row],[Current Upsell $]],"$#,#")),"")</f>
        <v/>
      </c>
    </row>
    <row r="976" spans="1:18" x14ac:dyDescent="0.25">
      <c r="A976">
        <v>100087</v>
      </c>
      <c r="B976" t="s">
        <v>0</v>
      </c>
      <c r="D976" s="1"/>
      <c r="E976" s="1"/>
      <c r="F976">
        <v>21</v>
      </c>
      <c r="G976">
        <v>21</v>
      </c>
      <c r="H976" s="1">
        <v>44044</v>
      </c>
      <c r="I976" s="1">
        <v>44378</v>
      </c>
      <c r="J976">
        <v>11</v>
      </c>
      <c r="K976">
        <v>0</v>
      </c>
      <c r="L976" s="1">
        <v>44317</v>
      </c>
      <c r="M976">
        <v>210</v>
      </c>
      <c r="N976" s="8" cm="1">
        <f t="array" ref="N976">_xlfn.SWITCH(Sales[[#This Row],[Subscription Type]],"Basic",10,"Premium",10,"Business",25,"Enterprise",27)</f>
        <v>10</v>
      </c>
      <c r="O976">
        <f>IF(Sales[[#This Row],[Number of Users]]-Sales[[#This Row],[Licenses Bought]]&lt;0,0,Sales[[#This Row],[Number of Users]]-Sales[[#This Row],[Licenses Bought]])</f>
        <v>0</v>
      </c>
      <c r="P976" s="8">
        <f>IF(Sales[[#This Row],[Sales Month]]=MAX(Sales[Sales Month]),Sales[[#This Row],[Non-Paying Users]]*Sales[[#This Row],[Upsell $ per Non-Paying User]],0)</f>
        <v>0</v>
      </c>
      <c r="Q976" t="str" cm="1">
        <f t="array" ref="Q976">_xlfn.IFS(Sales[[#This Row],[Current Upsell $]]=0,"",Sales[[#This Row],[Current Upsell $]]&gt;=400,"High",Sales[[#This Row],[Current Upsell $]]&gt;=100,"Medium",Sales[[#This Row],[Current Upsell $]]&lt;100,"Low")</f>
        <v/>
      </c>
      <c r="R976" t="str">
        <f>IF(Sales[[#This Row],[Current Upsell $]]&gt;0,_xlfn.CONCAT(Sales[[#This Row],[Subscription Type]]," ",Sales[[#This Row],[Upsell Priority]]," ",TEXT(Sales[[#This Row],[Current Upsell $]],"$#,#")),"")</f>
        <v/>
      </c>
    </row>
    <row r="977" spans="1:18" x14ac:dyDescent="0.25">
      <c r="A977">
        <v>100087</v>
      </c>
      <c r="B977" t="s">
        <v>0</v>
      </c>
      <c r="D977" s="1"/>
      <c r="E977" s="1"/>
      <c r="F977">
        <v>21</v>
      </c>
      <c r="G977">
        <v>26</v>
      </c>
      <c r="H977" s="1">
        <v>44044</v>
      </c>
      <c r="I977" s="1">
        <v>44378</v>
      </c>
      <c r="J977">
        <v>11</v>
      </c>
      <c r="K977">
        <v>0</v>
      </c>
      <c r="L977" s="1">
        <v>44348</v>
      </c>
      <c r="M977">
        <v>210</v>
      </c>
      <c r="N977" s="8" cm="1">
        <f t="array" ref="N977">_xlfn.SWITCH(Sales[[#This Row],[Subscription Type]],"Basic",10,"Premium",10,"Business",25,"Enterprise",27)</f>
        <v>10</v>
      </c>
      <c r="O977">
        <f>IF(Sales[[#This Row],[Number of Users]]-Sales[[#This Row],[Licenses Bought]]&lt;0,0,Sales[[#This Row],[Number of Users]]-Sales[[#This Row],[Licenses Bought]])</f>
        <v>5</v>
      </c>
      <c r="P977" s="8">
        <f>IF(Sales[[#This Row],[Sales Month]]=MAX(Sales[Sales Month]),Sales[[#This Row],[Non-Paying Users]]*Sales[[#This Row],[Upsell $ per Non-Paying User]],0)</f>
        <v>50</v>
      </c>
      <c r="Q977" t="str" cm="1">
        <f t="array" ref="Q977">_xlfn.IFS(Sales[[#This Row],[Current Upsell $]]=0,"",Sales[[#This Row],[Current Upsell $]]&gt;=400,"High",Sales[[#This Row],[Current Upsell $]]&gt;=100,"Medium",Sales[[#This Row],[Current Upsell $]]&lt;100,"Low")</f>
        <v>Low</v>
      </c>
      <c r="R977" t="str">
        <f>IF(Sales[[#This Row],[Current Upsell $]]&gt;0,_xlfn.CONCAT(Sales[[#This Row],[Subscription Type]]," ",Sales[[#This Row],[Upsell Priority]]," ",TEXT(Sales[[#This Row],[Current Upsell $]],"$#,#")),"")</f>
        <v>Premium Low $50</v>
      </c>
    </row>
    <row r="978" spans="1:18" x14ac:dyDescent="0.25">
      <c r="A978">
        <v>100088</v>
      </c>
      <c r="B978" t="s">
        <v>3</v>
      </c>
      <c r="F978">
        <v>0</v>
      </c>
      <c r="G978">
        <v>18</v>
      </c>
      <c r="H978" s="1">
        <v>44044</v>
      </c>
      <c r="I978" s="1">
        <v>44317</v>
      </c>
      <c r="J978">
        <v>9</v>
      </c>
      <c r="K978">
        <v>1</v>
      </c>
      <c r="L978" s="1">
        <v>44044</v>
      </c>
      <c r="M978">
        <v>0</v>
      </c>
      <c r="N978" s="8" cm="1">
        <f t="array" ref="N978">_xlfn.SWITCH(Sales[[#This Row],[Subscription Type]],"Basic",10,"Premium",10,"Business",25,"Enterprise",27)</f>
        <v>10</v>
      </c>
      <c r="O978">
        <f>IF(Sales[[#This Row],[Number of Users]]-Sales[[#This Row],[Licenses Bought]]&lt;0,0,Sales[[#This Row],[Number of Users]]-Sales[[#This Row],[Licenses Bought]])</f>
        <v>18</v>
      </c>
      <c r="P978" s="8">
        <f>IF(Sales[[#This Row],[Sales Month]]=MAX(Sales[Sales Month]),Sales[[#This Row],[Non-Paying Users]]*Sales[[#This Row],[Upsell $ per Non-Paying User]],0)</f>
        <v>0</v>
      </c>
      <c r="Q978" t="str" cm="1">
        <f t="array" ref="Q978">_xlfn.IFS(Sales[[#This Row],[Current Upsell $]]=0,"",Sales[[#This Row],[Current Upsell $]]&gt;=400,"High",Sales[[#This Row],[Current Upsell $]]&gt;=100,"Medium",Sales[[#This Row],[Current Upsell $]]&lt;100,"Low")</f>
        <v/>
      </c>
      <c r="R978" t="str">
        <f>IF(Sales[[#This Row],[Current Upsell $]]&gt;0,_xlfn.CONCAT(Sales[[#This Row],[Subscription Type]]," ",Sales[[#This Row],[Upsell Priority]]," ",TEXT(Sales[[#This Row],[Current Upsell $]],"$#,#")),"")</f>
        <v/>
      </c>
    </row>
    <row r="979" spans="1:18" x14ac:dyDescent="0.25">
      <c r="A979">
        <v>100088</v>
      </c>
      <c r="B979" t="s">
        <v>3</v>
      </c>
      <c r="F979">
        <v>0</v>
      </c>
      <c r="G979">
        <v>19</v>
      </c>
      <c r="H979" s="1">
        <v>44044</v>
      </c>
      <c r="I979" s="1">
        <v>44317</v>
      </c>
      <c r="J979">
        <v>9</v>
      </c>
      <c r="K979">
        <v>1</v>
      </c>
      <c r="L979" s="1">
        <v>44075</v>
      </c>
      <c r="M979">
        <v>0</v>
      </c>
      <c r="N979" s="8" cm="1">
        <f t="array" ref="N979">_xlfn.SWITCH(Sales[[#This Row],[Subscription Type]],"Basic",10,"Premium",10,"Business",25,"Enterprise",27)</f>
        <v>10</v>
      </c>
      <c r="O979">
        <f>IF(Sales[[#This Row],[Number of Users]]-Sales[[#This Row],[Licenses Bought]]&lt;0,0,Sales[[#This Row],[Number of Users]]-Sales[[#This Row],[Licenses Bought]])</f>
        <v>19</v>
      </c>
      <c r="P979" s="8">
        <f>IF(Sales[[#This Row],[Sales Month]]=MAX(Sales[Sales Month]),Sales[[#This Row],[Non-Paying Users]]*Sales[[#This Row],[Upsell $ per Non-Paying User]],0)</f>
        <v>0</v>
      </c>
      <c r="Q979" t="str" cm="1">
        <f t="array" ref="Q979">_xlfn.IFS(Sales[[#This Row],[Current Upsell $]]=0,"",Sales[[#This Row],[Current Upsell $]]&gt;=400,"High",Sales[[#This Row],[Current Upsell $]]&gt;=100,"Medium",Sales[[#This Row],[Current Upsell $]]&lt;100,"Low")</f>
        <v/>
      </c>
      <c r="R979" t="str">
        <f>IF(Sales[[#This Row],[Current Upsell $]]&gt;0,_xlfn.CONCAT(Sales[[#This Row],[Subscription Type]]," ",Sales[[#This Row],[Upsell Priority]]," ",TEXT(Sales[[#This Row],[Current Upsell $]],"$#,#")),"")</f>
        <v/>
      </c>
    </row>
    <row r="980" spans="1:18" x14ac:dyDescent="0.25">
      <c r="A980">
        <v>100088</v>
      </c>
      <c r="B980" t="s">
        <v>3</v>
      </c>
      <c r="F980">
        <v>0</v>
      </c>
      <c r="G980">
        <v>18</v>
      </c>
      <c r="H980" s="1">
        <v>44044</v>
      </c>
      <c r="I980" s="1">
        <v>44317</v>
      </c>
      <c r="J980">
        <v>9</v>
      </c>
      <c r="K980">
        <v>1</v>
      </c>
      <c r="L980" s="1">
        <v>44105</v>
      </c>
      <c r="M980">
        <v>0</v>
      </c>
      <c r="N980" s="8" cm="1">
        <f t="array" ref="N980">_xlfn.SWITCH(Sales[[#This Row],[Subscription Type]],"Basic",10,"Premium",10,"Business",25,"Enterprise",27)</f>
        <v>10</v>
      </c>
      <c r="O980">
        <f>IF(Sales[[#This Row],[Number of Users]]-Sales[[#This Row],[Licenses Bought]]&lt;0,0,Sales[[#This Row],[Number of Users]]-Sales[[#This Row],[Licenses Bought]])</f>
        <v>18</v>
      </c>
      <c r="P980" s="8">
        <f>IF(Sales[[#This Row],[Sales Month]]=MAX(Sales[Sales Month]),Sales[[#This Row],[Non-Paying Users]]*Sales[[#This Row],[Upsell $ per Non-Paying User]],0)</f>
        <v>0</v>
      </c>
      <c r="Q980" t="str" cm="1">
        <f t="array" ref="Q980">_xlfn.IFS(Sales[[#This Row],[Current Upsell $]]=0,"",Sales[[#This Row],[Current Upsell $]]&gt;=400,"High",Sales[[#This Row],[Current Upsell $]]&gt;=100,"Medium",Sales[[#This Row],[Current Upsell $]]&lt;100,"Low")</f>
        <v/>
      </c>
      <c r="R980" t="str">
        <f>IF(Sales[[#This Row],[Current Upsell $]]&gt;0,_xlfn.CONCAT(Sales[[#This Row],[Subscription Type]]," ",Sales[[#This Row],[Upsell Priority]]," ",TEXT(Sales[[#This Row],[Current Upsell $]],"$#,#")),"")</f>
        <v/>
      </c>
    </row>
    <row r="981" spans="1:18" x14ac:dyDescent="0.25">
      <c r="A981">
        <v>100088</v>
      </c>
      <c r="B981" t="s">
        <v>3</v>
      </c>
      <c r="F981">
        <v>0</v>
      </c>
      <c r="G981">
        <v>15</v>
      </c>
      <c r="H981" s="1">
        <v>44044</v>
      </c>
      <c r="I981" s="1">
        <v>44317</v>
      </c>
      <c r="J981">
        <v>9</v>
      </c>
      <c r="K981">
        <v>1</v>
      </c>
      <c r="L981" s="1">
        <v>44136</v>
      </c>
      <c r="M981">
        <v>0</v>
      </c>
      <c r="N981" s="8" cm="1">
        <f t="array" ref="N981">_xlfn.SWITCH(Sales[[#This Row],[Subscription Type]],"Basic",10,"Premium",10,"Business",25,"Enterprise",27)</f>
        <v>10</v>
      </c>
      <c r="O981">
        <f>IF(Sales[[#This Row],[Number of Users]]-Sales[[#This Row],[Licenses Bought]]&lt;0,0,Sales[[#This Row],[Number of Users]]-Sales[[#This Row],[Licenses Bought]])</f>
        <v>15</v>
      </c>
      <c r="P981" s="8">
        <f>IF(Sales[[#This Row],[Sales Month]]=MAX(Sales[Sales Month]),Sales[[#This Row],[Non-Paying Users]]*Sales[[#This Row],[Upsell $ per Non-Paying User]],0)</f>
        <v>0</v>
      </c>
      <c r="Q981" t="str" cm="1">
        <f t="array" ref="Q981">_xlfn.IFS(Sales[[#This Row],[Current Upsell $]]=0,"",Sales[[#This Row],[Current Upsell $]]&gt;=400,"High",Sales[[#This Row],[Current Upsell $]]&gt;=100,"Medium",Sales[[#This Row],[Current Upsell $]]&lt;100,"Low")</f>
        <v/>
      </c>
      <c r="R981" t="str">
        <f>IF(Sales[[#This Row],[Current Upsell $]]&gt;0,_xlfn.CONCAT(Sales[[#This Row],[Subscription Type]]," ",Sales[[#This Row],[Upsell Priority]]," ",TEXT(Sales[[#This Row],[Current Upsell $]],"$#,#")),"")</f>
        <v/>
      </c>
    </row>
    <row r="982" spans="1:18" x14ac:dyDescent="0.25">
      <c r="A982">
        <v>100088</v>
      </c>
      <c r="B982" t="s">
        <v>3</v>
      </c>
      <c r="F982">
        <v>0</v>
      </c>
      <c r="G982">
        <v>14</v>
      </c>
      <c r="H982" s="1">
        <v>44044</v>
      </c>
      <c r="I982" s="1">
        <v>44317</v>
      </c>
      <c r="J982">
        <v>9</v>
      </c>
      <c r="K982">
        <v>1</v>
      </c>
      <c r="L982" s="1">
        <v>44166</v>
      </c>
      <c r="M982">
        <v>0</v>
      </c>
      <c r="N982" s="8" cm="1">
        <f t="array" ref="N982">_xlfn.SWITCH(Sales[[#This Row],[Subscription Type]],"Basic",10,"Premium",10,"Business",25,"Enterprise",27)</f>
        <v>10</v>
      </c>
      <c r="O982">
        <f>IF(Sales[[#This Row],[Number of Users]]-Sales[[#This Row],[Licenses Bought]]&lt;0,0,Sales[[#This Row],[Number of Users]]-Sales[[#This Row],[Licenses Bought]])</f>
        <v>14</v>
      </c>
      <c r="P982" s="8">
        <f>IF(Sales[[#This Row],[Sales Month]]=MAX(Sales[Sales Month]),Sales[[#This Row],[Non-Paying Users]]*Sales[[#This Row],[Upsell $ per Non-Paying User]],0)</f>
        <v>0</v>
      </c>
      <c r="Q982" t="str" cm="1">
        <f t="array" ref="Q982">_xlfn.IFS(Sales[[#This Row],[Current Upsell $]]=0,"",Sales[[#This Row],[Current Upsell $]]&gt;=400,"High",Sales[[#This Row],[Current Upsell $]]&gt;=100,"Medium",Sales[[#This Row],[Current Upsell $]]&lt;100,"Low")</f>
        <v/>
      </c>
      <c r="R982" t="str">
        <f>IF(Sales[[#This Row],[Current Upsell $]]&gt;0,_xlfn.CONCAT(Sales[[#This Row],[Subscription Type]]," ",Sales[[#This Row],[Upsell Priority]]," ",TEXT(Sales[[#This Row],[Current Upsell $]],"$#,#")),"")</f>
        <v/>
      </c>
    </row>
    <row r="983" spans="1:18" x14ac:dyDescent="0.25">
      <c r="A983">
        <v>100088</v>
      </c>
      <c r="B983" t="s">
        <v>3</v>
      </c>
      <c r="F983">
        <v>0</v>
      </c>
      <c r="G983">
        <v>17</v>
      </c>
      <c r="H983" s="1">
        <v>44044</v>
      </c>
      <c r="I983" s="1">
        <v>44317</v>
      </c>
      <c r="J983">
        <v>9</v>
      </c>
      <c r="K983">
        <v>1</v>
      </c>
      <c r="L983" s="1">
        <v>44197</v>
      </c>
      <c r="M983">
        <v>0</v>
      </c>
      <c r="N983" s="8" cm="1">
        <f t="array" ref="N983">_xlfn.SWITCH(Sales[[#This Row],[Subscription Type]],"Basic",10,"Premium",10,"Business",25,"Enterprise",27)</f>
        <v>10</v>
      </c>
      <c r="O983">
        <f>IF(Sales[[#This Row],[Number of Users]]-Sales[[#This Row],[Licenses Bought]]&lt;0,0,Sales[[#This Row],[Number of Users]]-Sales[[#This Row],[Licenses Bought]])</f>
        <v>17</v>
      </c>
      <c r="P983" s="8">
        <f>IF(Sales[[#This Row],[Sales Month]]=MAX(Sales[Sales Month]),Sales[[#This Row],[Non-Paying Users]]*Sales[[#This Row],[Upsell $ per Non-Paying User]],0)</f>
        <v>0</v>
      </c>
      <c r="Q983" t="str" cm="1">
        <f t="array" ref="Q983">_xlfn.IFS(Sales[[#This Row],[Current Upsell $]]=0,"",Sales[[#This Row],[Current Upsell $]]&gt;=400,"High",Sales[[#This Row],[Current Upsell $]]&gt;=100,"Medium",Sales[[#This Row],[Current Upsell $]]&lt;100,"Low")</f>
        <v/>
      </c>
      <c r="R983" t="str">
        <f>IF(Sales[[#This Row],[Current Upsell $]]&gt;0,_xlfn.CONCAT(Sales[[#This Row],[Subscription Type]]," ",Sales[[#This Row],[Upsell Priority]]," ",TEXT(Sales[[#This Row],[Current Upsell $]],"$#,#")),"")</f>
        <v/>
      </c>
    </row>
    <row r="984" spans="1:18" x14ac:dyDescent="0.25">
      <c r="A984">
        <v>100088</v>
      </c>
      <c r="B984" t="s">
        <v>3</v>
      </c>
      <c r="F984">
        <v>0</v>
      </c>
      <c r="G984">
        <v>17</v>
      </c>
      <c r="H984" s="1">
        <v>44044</v>
      </c>
      <c r="I984" s="1">
        <v>44317</v>
      </c>
      <c r="J984">
        <v>9</v>
      </c>
      <c r="K984">
        <v>1</v>
      </c>
      <c r="L984" s="1">
        <v>44228</v>
      </c>
      <c r="M984">
        <v>0</v>
      </c>
      <c r="N984" s="8" cm="1">
        <f t="array" ref="N984">_xlfn.SWITCH(Sales[[#This Row],[Subscription Type]],"Basic",10,"Premium",10,"Business",25,"Enterprise",27)</f>
        <v>10</v>
      </c>
      <c r="O984">
        <f>IF(Sales[[#This Row],[Number of Users]]-Sales[[#This Row],[Licenses Bought]]&lt;0,0,Sales[[#This Row],[Number of Users]]-Sales[[#This Row],[Licenses Bought]])</f>
        <v>17</v>
      </c>
      <c r="P984" s="8">
        <f>IF(Sales[[#This Row],[Sales Month]]=MAX(Sales[Sales Month]),Sales[[#This Row],[Non-Paying Users]]*Sales[[#This Row],[Upsell $ per Non-Paying User]],0)</f>
        <v>0</v>
      </c>
      <c r="Q984" t="str" cm="1">
        <f t="array" ref="Q984">_xlfn.IFS(Sales[[#This Row],[Current Upsell $]]=0,"",Sales[[#This Row],[Current Upsell $]]&gt;=400,"High",Sales[[#This Row],[Current Upsell $]]&gt;=100,"Medium",Sales[[#This Row],[Current Upsell $]]&lt;100,"Low")</f>
        <v/>
      </c>
      <c r="R984" t="str">
        <f>IF(Sales[[#This Row],[Current Upsell $]]&gt;0,_xlfn.CONCAT(Sales[[#This Row],[Subscription Type]]," ",Sales[[#This Row],[Upsell Priority]]," ",TEXT(Sales[[#This Row],[Current Upsell $]],"$#,#")),"")</f>
        <v/>
      </c>
    </row>
    <row r="985" spans="1:18" x14ac:dyDescent="0.25">
      <c r="A985">
        <v>100088</v>
      </c>
      <c r="B985" t="s">
        <v>3</v>
      </c>
      <c r="F985">
        <v>0</v>
      </c>
      <c r="G985">
        <v>19</v>
      </c>
      <c r="H985" s="1">
        <v>44044</v>
      </c>
      <c r="I985" s="1">
        <v>44317</v>
      </c>
      <c r="J985">
        <v>9</v>
      </c>
      <c r="K985">
        <v>1</v>
      </c>
      <c r="L985" s="1">
        <v>44256</v>
      </c>
      <c r="M985">
        <v>0</v>
      </c>
      <c r="N985" s="8" cm="1">
        <f t="array" ref="N985">_xlfn.SWITCH(Sales[[#This Row],[Subscription Type]],"Basic",10,"Premium",10,"Business",25,"Enterprise",27)</f>
        <v>10</v>
      </c>
      <c r="O985">
        <f>IF(Sales[[#This Row],[Number of Users]]-Sales[[#This Row],[Licenses Bought]]&lt;0,0,Sales[[#This Row],[Number of Users]]-Sales[[#This Row],[Licenses Bought]])</f>
        <v>19</v>
      </c>
      <c r="P985" s="8">
        <f>IF(Sales[[#This Row],[Sales Month]]=MAX(Sales[Sales Month]),Sales[[#This Row],[Non-Paying Users]]*Sales[[#This Row],[Upsell $ per Non-Paying User]],0)</f>
        <v>0</v>
      </c>
      <c r="Q985" t="str" cm="1">
        <f t="array" ref="Q985">_xlfn.IFS(Sales[[#This Row],[Current Upsell $]]=0,"",Sales[[#This Row],[Current Upsell $]]&gt;=400,"High",Sales[[#This Row],[Current Upsell $]]&gt;=100,"Medium",Sales[[#This Row],[Current Upsell $]]&lt;100,"Low")</f>
        <v/>
      </c>
      <c r="R985" t="str">
        <f>IF(Sales[[#This Row],[Current Upsell $]]&gt;0,_xlfn.CONCAT(Sales[[#This Row],[Subscription Type]]," ",Sales[[#This Row],[Upsell Priority]]," ",TEXT(Sales[[#This Row],[Current Upsell $]],"$#,#")),"")</f>
        <v/>
      </c>
    </row>
    <row r="986" spans="1:18" x14ac:dyDescent="0.25">
      <c r="A986">
        <v>100088</v>
      </c>
      <c r="B986" t="s">
        <v>3</v>
      </c>
      <c r="F986">
        <v>0</v>
      </c>
      <c r="G986">
        <v>18</v>
      </c>
      <c r="H986" s="1">
        <v>44044</v>
      </c>
      <c r="I986" s="1">
        <v>44317</v>
      </c>
      <c r="J986">
        <v>9</v>
      </c>
      <c r="K986">
        <v>1</v>
      </c>
      <c r="L986" s="1">
        <v>44287</v>
      </c>
      <c r="M986">
        <v>0</v>
      </c>
      <c r="N986" s="8" cm="1">
        <f t="array" ref="N986">_xlfn.SWITCH(Sales[[#This Row],[Subscription Type]],"Basic",10,"Premium",10,"Business",25,"Enterprise",27)</f>
        <v>10</v>
      </c>
      <c r="O986">
        <f>IF(Sales[[#This Row],[Number of Users]]-Sales[[#This Row],[Licenses Bought]]&lt;0,0,Sales[[#This Row],[Number of Users]]-Sales[[#This Row],[Licenses Bought]])</f>
        <v>18</v>
      </c>
      <c r="P986" s="8">
        <f>IF(Sales[[#This Row],[Sales Month]]=MAX(Sales[Sales Month]),Sales[[#This Row],[Non-Paying Users]]*Sales[[#This Row],[Upsell $ per Non-Paying User]],0)</f>
        <v>0</v>
      </c>
      <c r="Q986" t="str" cm="1">
        <f t="array" ref="Q986">_xlfn.IFS(Sales[[#This Row],[Current Upsell $]]=0,"",Sales[[#This Row],[Current Upsell $]]&gt;=400,"High",Sales[[#This Row],[Current Upsell $]]&gt;=100,"Medium",Sales[[#This Row],[Current Upsell $]]&lt;100,"Low")</f>
        <v/>
      </c>
      <c r="R986" t="str">
        <f>IF(Sales[[#This Row],[Current Upsell $]]&gt;0,_xlfn.CONCAT(Sales[[#This Row],[Subscription Type]]," ",Sales[[#This Row],[Upsell Priority]]," ",TEXT(Sales[[#This Row],[Current Upsell $]],"$#,#")),"")</f>
        <v/>
      </c>
    </row>
    <row r="987" spans="1:18" x14ac:dyDescent="0.25">
      <c r="A987">
        <v>100088</v>
      </c>
      <c r="B987" t="s">
        <v>3</v>
      </c>
      <c r="F987">
        <v>0</v>
      </c>
      <c r="G987">
        <v>19</v>
      </c>
      <c r="H987" s="1">
        <v>44044</v>
      </c>
      <c r="I987" s="1">
        <v>44317</v>
      </c>
      <c r="J987">
        <v>9</v>
      </c>
      <c r="K987">
        <v>1</v>
      </c>
      <c r="L987" s="1">
        <v>44317</v>
      </c>
      <c r="M987">
        <v>0</v>
      </c>
      <c r="N987" s="8" cm="1">
        <f t="array" ref="N987">_xlfn.SWITCH(Sales[[#This Row],[Subscription Type]],"Basic",10,"Premium",10,"Business",25,"Enterprise",27)</f>
        <v>10</v>
      </c>
      <c r="O987">
        <f>IF(Sales[[#This Row],[Number of Users]]-Sales[[#This Row],[Licenses Bought]]&lt;0,0,Sales[[#This Row],[Number of Users]]-Sales[[#This Row],[Licenses Bought]])</f>
        <v>19</v>
      </c>
      <c r="P987" s="8">
        <f>IF(Sales[[#This Row],[Sales Month]]=MAX(Sales[Sales Month]),Sales[[#This Row],[Non-Paying Users]]*Sales[[#This Row],[Upsell $ per Non-Paying User]],0)</f>
        <v>0</v>
      </c>
      <c r="Q987" t="str" cm="1">
        <f t="array" ref="Q987">_xlfn.IFS(Sales[[#This Row],[Current Upsell $]]=0,"",Sales[[#This Row],[Current Upsell $]]&gt;=400,"High",Sales[[#This Row],[Current Upsell $]]&gt;=100,"Medium",Sales[[#This Row],[Current Upsell $]]&lt;100,"Low")</f>
        <v/>
      </c>
      <c r="R987" t="str">
        <f>IF(Sales[[#This Row],[Current Upsell $]]&gt;0,_xlfn.CONCAT(Sales[[#This Row],[Subscription Type]]," ",Sales[[#This Row],[Upsell Priority]]," ",TEXT(Sales[[#This Row],[Current Upsell $]],"$#,#")),"")</f>
        <v/>
      </c>
    </row>
    <row r="988" spans="1:18" x14ac:dyDescent="0.25">
      <c r="A988">
        <v>100089</v>
      </c>
      <c r="B988" t="s">
        <v>3</v>
      </c>
      <c r="D988" s="1"/>
      <c r="E988" s="1"/>
      <c r="F988">
        <v>0</v>
      </c>
      <c r="G988">
        <v>17</v>
      </c>
      <c r="H988" s="1">
        <v>44044</v>
      </c>
      <c r="I988" s="1">
        <v>44378</v>
      </c>
      <c r="J988">
        <v>11</v>
      </c>
      <c r="K988">
        <v>0</v>
      </c>
      <c r="L988" s="1">
        <v>44044</v>
      </c>
      <c r="M988">
        <v>0</v>
      </c>
      <c r="N988" s="8" cm="1">
        <f t="array" ref="N988">_xlfn.SWITCH(Sales[[#This Row],[Subscription Type]],"Basic",10,"Premium",10,"Business",25,"Enterprise",27)</f>
        <v>10</v>
      </c>
      <c r="O988">
        <f>IF(Sales[[#This Row],[Number of Users]]-Sales[[#This Row],[Licenses Bought]]&lt;0,0,Sales[[#This Row],[Number of Users]]-Sales[[#This Row],[Licenses Bought]])</f>
        <v>17</v>
      </c>
      <c r="P988" s="8">
        <f>IF(Sales[[#This Row],[Sales Month]]=MAX(Sales[Sales Month]),Sales[[#This Row],[Non-Paying Users]]*Sales[[#This Row],[Upsell $ per Non-Paying User]],0)</f>
        <v>0</v>
      </c>
      <c r="Q988" t="str" cm="1">
        <f t="array" ref="Q988">_xlfn.IFS(Sales[[#This Row],[Current Upsell $]]=0,"",Sales[[#This Row],[Current Upsell $]]&gt;=400,"High",Sales[[#This Row],[Current Upsell $]]&gt;=100,"Medium",Sales[[#This Row],[Current Upsell $]]&lt;100,"Low")</f>
        <v/>
      </c>
      <c r="R988" t="str">
        <f>IF(Sales[[#This Row],[Current Upsell $]]&gt;0,_xlfn.CONCAT(Sales[[#This Row],[Subscription Type]]," ",Sales[[#This Row],[Upsell Priority]]," ",TEXT(Sales[[#This Row],[Current Upsell $]],"$#,#")),"")</f>
        <v/>
      </c>
    </row>
    <row r="989" spans="1:18" x14ac:dyDescent="0.25">
      <c r="A989">
        <v>100089</v>
      </c>
      <c r="B989" t="s">
        <v>0</v>
      </c>
      <c r="D989" s="1"/>
      <c r="E989" s="1"/>
      <c r="F989">
        <v>8</v>
      </c>
      <c r="G989">
        <v>19</v>
      </c>
      <c r="H989" s="1">
        <v>44044</v>
      </c>
      <c r="I989" s="1">
        <v>44378</v>
      </c>
      <c r="J989">
        <v>11</v>
      </c>
      <c r="K989">
        <v>0</v>
      </c>
      <c r="L989" s="1">
        <v>44075</v>
      </c>
      <c r="M989">
        <v>80</v>
      </c>
      <c r="N989" s="8" cm="1">
        <f t="array" ref="N989">_xlfn.SWITCH(Sales[[#This Row],[Subscription Type]],"Basic",10,"Premium",10,"Business",25,"Enterprise",27)</f>
        <v>10</v>
      </c>
      <c r="O989">
        <f>IF(Sales[[#This Row],[Number of Users]]-Sales[[#This Row],[Licenses Bought]]&lt;0,0,Sales[[#This Row],[Number of Users]]-Sales[[#This Row],[Licenses Bought]])</f>
        <v>11</v>
      </c>
      <c r="P989" s="8">
        <f>IF(Sales[[#This Row],[Sales Month]]=MAX(Sales[Sales Month]),Sales[[#This Row],[Non-Paying Users]]*Sales[[#This Row],[Upsell $ per Non-Paying User]],0)</f>
        <v>0</v>
      </c>
      <c r="Q989" t="str" cm="1">
        <f t="array" ref="Q989">_xlfn.IFS(Sales[[#This Row],[Current Upsell $]]=0,"",Sales[[#This Row],[Current Upsell $]]&gt;=400,"High",Sales[[#This Row],[Current Upsell $]]&gt;=100,"Medium",Sales[[#This Row],[Current Upsell $]]&lt;100,"Low")</f>
        <v/>
      </c>
      <c r="R989" t="str">
        <f>IF(Sales[[#This Row],[Current Upsell $]]&gt;0,_xlfn.CONCAT(Sales[[#This Row],[Subscription Type]]," ",Sales[[#This Row],[Upsell Priority]]," ",TEXT(Sales[[#This Row],[Current Upsell $]],"$#,#")),"")</f>
        <v/>
      </c>
    </row>
    <row r="990" spans="1:18" x14ac:dyDescent="0.25">
      <c r="A990">
        <v>100089</v>
      </c>
      <c r="B990" t="s">
        <v>0</v>
      </c>
      <c r="D990" s="1"/>
      <c r="E990" s="1"/>
      <c r="F990">
        <v>10</v>
      </c>
      <c r="G990">
        <v>18</v>
      </c>
      <c r="H990" s="1">
        <v>44044</v>
      </c>
      <c r="I990" s="1">
        <v>44378</v>
      </c>
      <c r="J990">
        <v>11</v>
      </c>
      <c r="K990">
        <v>0</v>
      </c>
      <c r="L990" s="1">
        <v>44105</v>
      </c>
      <c r="M990">
        <v>100</v>
      </c>
      <c r="N990" s="8" cm="1">
        <f t="array" ref="N990">_xlfn.SWITCH(Sales[[#This Row],[Subscription Type]],"Basic",10,"Premium",10,"Business",25,"Enterprise",27)</f>
        <v>10</v>
      </c>
      <c r="O990">
        <f>IF(Sales[[#This Row],[Number of Users]]-Sales[[#This Row],[Licenses Bought]]&lt;0,0,Sales[[#This Row],[Number of Users]]-Sales[[#This Row],[Licenses Bought]])</f>
        <v>8</v>
      </c>
      <c r="P990" s="8">
        <f>IF(Sales[[#This Row],[Sales Month]]=MAX(Sales[Sales Month]),Sales[[#This Row],[Non-Paying Users]]*Sales[[#This Row],[Upsell $ per Non-Paying User]],0)</f>
        <v>0</v>
      </c>
      <c r="Q990" t="str" cm="1">
        <f t="array" ref="Q990">_xlfn.IFS(Sales[[#This Row],[Current Upsell $]]=0,"",Sales[[#This Row],[Current Upsell $]]&gt;=400,"High",Sales[[#This Row],[Current Upsell $]]&gt;=100,"Medium",Sales[[#This Row],[Current Upsell $]]&lt;100,"Low")</f>
        <v/>
      </c>
      <c r="R990" t="str">
        <f>IF(Sales[[#This Row],[Current Upsell $]]&gt;0,_xlfn.CONCAT(Sales[[#This Row],[Subscription Type]]," ",Sales[[#This Row],[Upsell Priority]]," ",TEXT(Sales[[#This Row],[Current Upsell $]],"$#,#")),"")</f>
        <v/>
      </c>
    </row>
    <row r="991" spans="1:18" x14ac:dyDescent="0.25">
      <c r="A991">
        <v>100089</v>
      </c>
      <c r="B991" t="s">
        <v>0</v>
      </c>
      <c r="D991" s="1"/>
      <c r="E991" s="1"/>
      <c r="F991">
        <v>14</v>
      </c>
      <c r="G991">
        <v>16</v>
      </c>
      <c r="H991" s="1">
        <v>44044</v>
      </c>
      <c r="I991" s="1">
        <v>44378</v>
      </c>
      <c r="J991">
        <v>11</v>
      </c>
      <c r="K991">
        <v>0</v>
      </c>
      <c r="L991" s="1">
        <v>44136</v>
      </c>
      <c r="M991">
        <v>140</v>
      </c>
      <c r="N991" s="8" cm="1">
        <f t="array" ref="N991">_xlfn.SWITCH(Sales[[#This Row],[Subscription Type]],"Basic",10,"Premium",10,"Business",25,"Enterprise",27)</f>
        <v>10</v>
      </c>
      <c r="O991">
        <f>IF(Sales[[#This Row],[Number of Users]]-Sales[[#This Row],[Licenses Bought]]&lt;0,0,Sales[[#This Row],[Number of Users]]-Sales[[#This Row],[Licenses Bought]])</f>
        <v>2</v>
      </c>
      <c r="P991" s="8">
        <f>IF(Sales[[#This Row],[Sales Month]]=MAX(Sales[Sales Month]),Sales[[#This Row],[Non-Paying Users]]*Sales[[#This Row],[Upsell $ per Non-Paying User]],0)</f>
        <v>0</v>
      </c>
      <c r="Q991" t="str" cm="1">
        <f t="array" ref="Q991">_xlfn.IFS(Sales[[#This Row],[Current Upsell $]]=0,"",Sales[[#This Row],[Current Upsell $]]&gt;=400,"High",Sales[[#This Row],[Current Upsell $]]&gt;=100,"Medium",Sales[[#This Row],[Current Upsell $]]&lt;100,"Low")</f>
        <v/>
      </c>
      <c r="R991" t="str">
        <f>IF(Sales[[#This Row],[Current Upsell $]]&gt;0,_xlfn.CONCAT(Sales[[#This Row],[Subscription Type]]," ",Sales[[#This Row],[Upsell Priority]]," ",TEXT(Sales[[#This Row],[Current Upsell $]],"$#,#")),"")</f>
        <v/>
      </c>
    </row>
    <row r="992" spans="1:18" x14ac:dyDescent="0.25">
      <c r="A992">
        <v>100089</v>
      </c>
      <c r="B992" t="s">
        <v>0</v>
      </c>
      <c r="D992" s="1"/>
      <c r="E992" s="1"/>
      <c r="F992">
        <v>14</v>
      </c>
      <c r="G992">
        <v>16</v>
      </c>
      <c r="H992" s="1">
        <v>44044</v>
      </c>
      <c r="I992" s="1">
        <v>44378</v>
      </c>
      <c r="J992">
        <v>11</v>
      </c>
      <c r="K992">
        <v>0</v>
      </c>
      <c r="L992" s="1">
        <v>44166</v>
      </c>
      <c r="M992">
        <v>140</v>
      </c>
      <c r="N992" s="8" cm="1">
        <f t="array" ref="N992">_xlfn.SWITCH(Sales[[#This Row],[Subscription Type]],"Basic",10,"Premium",10,"Business",25,"Enterprise",27)</f>
        <v>10</v>
      </c>
      <c r="O992">
        <f>IF(Sales[[#This Row],[Number of Users]]-Sales[[#This Row],[Licenses Bought]]&lt;0,0,Sales[[#This Row],[Number of Users]]-Sales[[#This Row],[Licenses Bought]])</f>
        <v>2</v>
      </c>
      <c r="P992" s="8">
        <f>IF(Sales[[#This Row],[Sales Month]]=MAX(Sales[Sales Month]),Sales[[#This Row],[Non-Paying Users]]*Sales[[#This Row],[Upsell $ per Non-Paying User]],0)</f>
        <v>0</v>
      </c>
      <c r="Q992" t="str" cm="1">
        <f t="array" ref="Q992">_xlfn.IFS(Sales[[#This Row],[Current Upsell $]]=0,"",Sales[[#This Row],[Current Upsell $]]&gt;=400,"High",Sales[[#This Row],[Current Upsell $]]&gt;=100,"Medium",Sales[[#This Row],[Current Upsell $]]&lt;100,"Low")</f>
        <v/>
      </c>
      <c r="R992" t="str">
        <f>IF(Sales[[#This Row],[Current Upsell $]]&gt;0,_xlfn.CONCAT(Sales[[#This Row],[Subscription Type]]," ",Sales[[#This Row],[Upsell Priority]]," ",TEXT(Sales[[#This Row],[Current Upsell $]],"$#,#")),"")</f>
        <v/>
      </c>
    </row>
    <row r="993" spans="1:18" x14ac:dyDescent="0.25">
      <c r="A993">
        <v>100089</v>
      </c>
      <c r="B993" t="s">
        <v>0</v>
      </c>
      <c r="D993" s="1"/>
      <c r="E993" s="1"/>
      <c r="F993">
        <v>14</v>
      </c>
      <c r="G993">
        <v>15</v>
      </c>
      <c r="H993" s="1">
        <v>44044</v>
      </c>
      <c r="I993" s="1">
        <v>44378</v>
      </c>
      <c r="J993">
        <v>11</v>
      </c>
      <c r="K993">
        <v>0</v>
      </c>
      <c r="L993" s="1">
        <v>44197</v>
      </c>
      <c r="M993">
        <v>140</v>
      </c>
      <c r="N993" s="8" cm="1">
        <f t="array" ref="N993">_xlfn.SWITCH(Sales[[#This Row],[Subscription Type]],"Basic",10,"Premium",10,"Business",25,"Enterprise",27)</f>
        <v>10</v>
      </c>
      <c r="O993">
        <f>IF(Sales[[#This Row],[Number of Users]]-Sales[[#This Row],[Licenses Bought]]&lt;0,0,Sales[[#This Row],[Number of Users]]-Sales[[#This Row],[Licenses Bought]])</f>
        <v>1</v>
      </c>
      <c r="P993" s="8">
        <f>IF(Sales[[#This Row],[Sales Month]]=MAX(Sales[Sales Month]),Sales[[#This Row],[Non-Paying Users]]*Sales[[#This Row],[Upsell $ per Non-Paying User]],0)</f>
        <v>0</v>
      </c>
      <c r="Q993" t="str" cm="1">
        <f t="array" ref="Q993">_xlfn.IFS(Sales[[#This Row],[Current Upsell $]]=0,"",Sales[[#This Row],[Current Upsell $]]&gt;=400,"High",Sales[[#This Row],[Current Upsell $]]&gt;=100,"Medium",Sales[[#This Row],[Current Upsell $]]&lt;100,"Low")</f>
        <v/>
      </c>
      <c r="R993" t="str">
        <f>IF(Sales[[#This Row],[Current Upsell $]]&gt;0,_xlfn.CONCAT(Sales[[#This Row],[Subscription Type]]," ",Sales[[#This Row],[Upsell Priority]]," ",TEXT(Sales[[#This Row],[Current Upsell $]],"$#,#")),"")</f>
        <v/>
      </c>
    </row>
    <row r="994" spans="1:18" x14ac:dyDescent="0.25">
      <c r="A994">
        <v>100089</v>
      </c>
      <c r="B994" t="s">
        <v>0</v>
      </c>
      <c r="D994" s="1"/>
      <c r="E994" s="1"/>
      <c r="F994">
        <v>14</v>
      </c>
      <c r="G994">
        <v>18</v>
      </c>
      <c r="H994" s="1">
        <v>44044</v>
      </c>
      <c r="I994" s="1">
        <v>44378</v>
      </c>
      <c r="J994">
        <v>11</v>
      </c>
      <c r="K994">
        <v>0</v>
      </c>
      <c r="L994" s="1">
        <v>44228</v>
      </c>
      <c r="M994">
        <v>140</v>
      </c>
      <c r="N994" s="8" cm="1">
        <f t="array" ref="N994">_xlfn.SWITCH(Sales[[#This Row],[Subscription Type]],"Basic",10,"Premium",10,"Business",25,"Enterprise",27)</f>
        <v>10</v>
      </c>
      <c r="O994">
        <f>IF(Sales[[#This Row],[Number of Users]]-Sales[[#This Row],[Licenses Bought]]&lt;0,0,Sales[[#This Row],[Number of Users]]-Sales[[#This Row],[Licenses Bought]])</f>
        <v>4</v>
      </c>
      <c r="P994" s="8">
        <f>IF(Sales[[#This Row],[Sales Month]]=MAX(Sales[Sales Month]),Sales[[#This Row],[Non-Paying Users]]*Sales[[#This Row],[Upsell $ per Non-Paying User]],0)</f>
        <v>0</v>
      </c>
      <c r="Q994" t="str" cm="1">
        <f t="array" ref="Q994">_xlfn.IFS(Sales[[#This Row],[Current Upsell $]]=0,"",Sales[[#This Row],[Current Upsell $]]&gt;=400,"High",Sales[[#This Row],[Current Upsell $]]&gt;=100,"Medium",Sales[[#This Row],[Current Upsell $]]&lt;100,"Low")</f>
        <v/>
      </c>
      <c r="R994" t="str">
        <f>IF(Sales[[#This Row],[Current Upsell $]]&gt;0,_xlfn.CONCAT(Sales[[#This Row],[Subscription Type]]," ",Sales[[#This Row],[Upsell Priority]]," ",TEXT(Sales[[#This Row],[Current Upsell $]],"$#,#")),"")</f>
        <v/>
      </c>
    </row>
    <row r="995" spans="1:18" x14ac:dyDescent="0.25">
      <c r="A995">
        <v>100089</v>
      </c>
      <c r="B995" t="s">
        <v>0</v>
      </c>
      <c r="D995" s="1"/>
      <c r="E995" s="1"/>
      <c r="F995">
        <v>14</v>
      </c>
      <c r="G995">
        <v>16</v>
      </c>
      <c r="H995" s="1">
        <v>44044</v>
      </c>
      <c r="I995" s="1">
        <v>44378</v>
      </c>
      <c r="J995">
        <v>11</v>
      </c>
      <c r="K995">
        <v>0</v>
      </c>
      <c r="L995" s="1">
        <v>44256</v>
      </c>
      <c r="M995">
        <v>140</v>
      </c>
      <c r="N995" s="8" cm="1">
        <f t="array" ref="N995">_xlfn.SWITCH(Sales[[#This Row],[Subscription Type]],"Basic",10,"Premium",10,"Business",25,"Enterprise",27)</f>
        <v>10</v>
      </c>
      <c r="O995">
        <f>IF(Sales[[#This Row],[Number of Users]]-Sales[[#This Row],[Licenses Bought]]&lt;0,0,Sales[[#This Row],[Number of Users]]-Sales[[#This Row],[Licenses Bought]])</f>
        <v>2</v>
      </c>
      <c r="P995" s="8">
        <f>IF(Sales[[#This Row],[Sales Month]]=MAX(Sales[Sales Month]),Sales[[#This Row],[Non-Paying Users]]*Sales[[#This Row],[Upsell $ per Non-Paying User]],0)</f>
        <v>0</v>
      </c>
      <c r="Q995" t="str" cm="1">
        <f t="array" ref="Q995">_xlfn.IFS(Sales[[#This Row],[Current Upsell $]]=0,"",Sales[[#This Row],[Current Upsell $]]&gt;=400,"High",Sales[[#This Row],[Current Upsell $]]&gt;=100,"Medium",Sales[[#This Row],[Current Upsell $]]&lt;100,"Low")</f>
        <v/>
      </c>
      <c r="R995" t="str">
        <f>IF(Sales[[#This Row],[Current Upsell $]]&gt;0,_xlfn.CONCAT(Sales[[#This Row],[Subscription Type]]," ",Sales[[#This Row],[Upsell Priority]]," ",TEXT(Sales[[#This Row],[Current Upsell $]],"$#,#")),"")</f>
        <v/>
      </c>
    </row>
    <row r="996" spans="1:18" x14ac:dyDescent="0.25">
      <c r="A996">
        <v>100089</v>
      </c>
      <c r="B996" t="s">
        <v>0</v>
      </c>
      <c r="D996" s="1"/>
      <c r="E996" s="1"/>
      <c r="F996">
        <v>14</v>
      </c>
      <c r="G996">
        <v>18</v>
      </c>
      <c r="H996" s="1">
        <v>44044</v>
      </c>
      <c r="I996" s="1">
        <v>44378</v>
      </c>
      <c r="J996">
        <v>11</v>
      </c>
      <c r="K996">
        <v>0</v>
      </c>
      <c r="L996" s="1">
        <v>44287</v>
      </c>
      <c r="M996">
        <v>140</v>
      </c>
      <c r="N996" s="8" cm="1">
        <f t="array" ref="N996">_xlfn.SWITCH(Sales[[#This Row],[Subscription Type]],"Basic",10,"Premium",10,"Business",25,"Enterprise",27)</f>
        <v>10</v>
      </c>
      <c r="O996">
        <f>IF(Sales[[#This Row],[Number of Users]]-Sales[[#This Row],[Licenses Bought]]&lt;0,0,Sales[[#This Row],[Number of Users]]-Sales[[#This Row],[Licenses Bought]])</f>
        <v>4</v>
      </c>
      <c r="P996" s="8">
        <f>IF(Sales[[#This Row],[Sales Month]]=MAX(Sales[Sales Month]),Sales[[#This Row],[Non-Paying Users]]*Sales[[#This Row],[Upsell $ per Non-Paying User]],0)</f>
        <v>0</v>
      </c>
      <c r="Q996" t="str" cm="1">
        <f t="array" ref="Q996">_xlfn.IFS(Sales[[#This Row],[Current Upsell $]]=0,"",Sales[[#This Row],[Current Upsell $]]&gt;=400,"High",Sales[[#This Row],[Current Upsell $]]&gt;=100,"Medium",Sales[[#This Row],[Current Upsell $]]&lt;100,"Low")</f>
        <v/>
      </c>
      <c r="R996" t="str">
        <f>IF(Sales[[#This Row],[Current Upsell $]]&gt;0,_xlfn.CONCAT(Sales[[#This Row],[Subscription Type]]," ",Sales[[#This Row],[Upsell Priority]]," ",TEXT(Sales[[#This Row],[Current Upsell $]],"$#,#")),"")</f>
        <v/>
      </c>
    </row>
    <row r="997" spans="1:18" x14ac:dyDescent="0.25">
      <c r="A997">
        <v>100089</v>
      </c>
      <c r="B997" t="s">
        <v>0</v>
      </c>
      <c r="D997" s="1"/>
      <c r="E997" s="1"/>
      <c r="F997">
        <v>14</v>
      </c>
      <c r="G997">
        <v>18</v>
      </c>
      <c r="H997" s="1">
        <v>44044</v>
      </c>
      <c r="I997" s="1">
        <v>44378</v>
      </c>
      <c r="J997">
        <v>11</v>
      </c>
      <c r="K997">
        <v>0</v>
      </c>
      <c r="L997" s="1">
        <v>44317</v>
      </c>
      <c r="M997">
        <v>140</v>
      </c>
      <c r="N997" s="8" cm="1">
        <f t="array" ref="N997">_xlfn.SWITCH(Sales[[#This Row],[Subscription Type]],"Basic",10,"Premium",10,"Business",25,"Enterprise",27)</f>
        <v>10</v>
      </c>
      <c r="O997">
        <f>IF(Sales[[#This Row],[Number of Users]]-Sales[[#This Row],[Licenses Bought]]&lt;0,0,Sales[[#This Row],[Number of Users]]-Sales[[#This Row],[Licenses Bought]])</f>
        <v>4</v>
      </c>
      <c r="P997" s="8">
        <f>IF(Sales[[#This Row],[Sales Month]]=MAX(Sales[Sales Month]),Sales[[#This Row],[Non-Paying Users]]*Sales[[#This Row],[Upsell $ per Non-Paying User]],0)</f>
        <v>0</v>
      </c>
      <c r="Q997" t="str" cm="1">
        <f t="array" ref="Q997">_xlfn.IFS(Sales[[#This Row],[Current Upsell $]]=0,"",Sales[[#This Row],[Current Upsell $]]&gt;=400,"High",Sales[[#This Row],[Current Upsell $]]&gt;=100,"Medium",Sales[[#This Row],[Current Upsell $]]&lt;100,"Low")</f>
        <v/>
      </c>
      <c r="R997" t="str">
        <f>IF(Sales[[#This Row],[Current Upsell $]]&gt;0,_xlfn.CONCAT(Sales[[#This Row],[Subscription Type]]," ",Sales[[#This Row],[Upsell Priority]]," ",TEXT(Sales[[#This Row],[Current Upsell $]],"$#,#")),"")</f>
        <v/>
      </c>
    </row>
    <row r="998" spans="1:18" x14ac:dyDescent="0.25">
      <c r="A998">
        <v>100089</v>
      </c>
      <c r="B998" t="s">
        <v>0</v>
      </c>
      <c r="D998" s="1"/>
      <c r="E998" s="1"/>
      <c r="F998">
        <v>14</v>
      </c>
      <c r="G998">
        <v>17</v>
      </c>
      <c r="H998" s="1">
        <v>44044</v>
      </c>
      <c r="I998" s="1">
        <v>44378</v>
      </c>
      <c r="J998">
        <v>11</v>
      </c>
      <c r="K998">
        <v>0</v>
      </c>
      <c r="L998" s="1">
        <v>44348</v>
      </c>
      <c r="M998">
        <v>140</v>
      </c>
      <c r="N998" s="8" cm="1">
        <f t="array" ref="N998">_xlfn.SWITCH(Sales[[#This Row],[Subscription Type]],"Basic",10,"Premium",10,"Business",25,"Enterprise",27)</f>
        <v>10</v>
      </c>
      <c r="O998">
        <f>IF(Sales[[#This Row],[Number of Users]]-Sales[[#This Row],[Licenses Bought]]&lt;0,0,Sales[[#This Row],[Number of Users]]-Sales[[#This Row],[Licenses Bought]])</f>
        <v>3</v>
      </c>
      <c r="P998" s="8">
        <f>IF(Sales[[#This Row],[Sales Month]]=MAX(Sales[Sales Month]),Sales[[#This Row],[Non-Paying Users]]*Sales[[#This Row],[Upsell $ per Non-Paying User]],0)</f>
        <v>30</v>
      </c>
      <c r="Q998" t="str" cm="1">
        <f t="array" ref="Q998">_xlfn.IFS(Sales[[#This Row],[Current Upsell $]]=0,"",Sales[[#This Row],[Current Upsell $]]&gt;=400,"High",Sales[[#This Row],[Current Upsell $]]&gt;=100,"Medium",Sales[[#This Row],[Current Upsell $]]&lt;100,"Low")</f>
        <v>Low</v>
      </c>
      <c r="R998" t="str">
        <f>IF(Sales[[#This Row],[Current Upsell $]]&gt;0,_xlfn.CONCAT(Sales[[#This Row],[Subscription Type]]," ",Sales[[#This Row],[Upsell Priority]]," ",TEXT(Sales[[#This Row],[Current Upsell $]],"$#,#")),"")</f>
        <v>Premium Low $30</v>
      </c>
    </row>
    <row r="999" spans="1:18" x14ac:dyDescent="0.25">
      <c r="A999">
        <v>100090</v>
      </c>
      <c r="B999" t="s">
        <v>3</v>
      </c>
      <c r="F999">
        <v>0</v>
      </c>
      <c r="G999">
        <v>12</v>
      </c>
      <c r="H999" s="1">
        <v>44044</v>
      </c>
      <c r="I999" s="1">
        <v>44075</v>
      </c>
      <c r="J999">
        <v>1</v>
      </c>
      <c r="K999">
        <v>9</v>
      </c>
      <c r="L999" s="1">
        <v>44044</v>
      </c>
      <c r="M999">
        <v>0</v>
      </c>
      <c r="N999" s="8" cm="1">
        <f t="array" ref="N999">_xlfn.SWITCH(Sales[[#This Row],[Subscription Type]],"Basic",10,"Premium",10,"Business",25,"Enterprise",27)</f>
        <v>10</v>
      </c>
      <c r="O999">
        <f>IF(Sales[[#This Row],[Number of Users]]-Sales[[#This Row],[Licenses Bought]]&lt;0,0,Sales[[#This Row],[Number of Users]]-Sales[[#This Row],[Licenses Bought]])</f>
        <v>12</v>
      </c>
      <c r="P999" s="8">
        <f>IF(Sales[[#This Row],[Sales Month]]=MAX(Sales[Sales Month]),Sales[[#This Row],[Non-Paying Users]]*Sales[[#This Row],[Upsell $ per Non-Paying User]],0)</f>
        <v>0</v>
      </c>
      <c r="Q999" t="str" cm="1">
        <f t="array" ref="Q999">_xlfn.IFS(Sales[[#This Row],[Current Upsell $]]=0,"",Sales[[#This Row],[Current Upsell $]]&gt;=400,"High",Sales[[#This Row],[Current Upsell $]]&gt;=100,"Medium",Sales[[#This Row],[Current Upsell $]]&lt;100,"Low")</f>
        <v/>
      </c>
      <c r="R999" t="str">
        <f>IF(Sales[[#This Row],[Current Upsell $]]&gt;0,_xlfn.CONCAT(Sales[[#This Row],[Subscription Type]]," ",Sales[[#This Row],[Upsell Priority]]," ",TEXT(Sales[[#This Row],[Current Upsell $]],"$#,#")),"")</f>
        <v/>
      </c>
    </row>
    <row r="1000" spans="1:18" x14ac:dyDescent="0.25">
      <c r="A1000">
        <v>100090</v>
      </c>
      <c r="B1000" t="s">
        <v>3</v>
      </c>
      <c r="F1000">
        <v>0</v>
      </c>
      <c r="G1000">
        <v>9</v>
      </c>
      <c r="H1000" s="1">
        <v>44044</v>
      </c>
      <c r="I1000" s="1">
        <v>44075</v>
      </c>
      <c r="J1000">
        <v>1</v>
      </c>
      <c r="K1000">
        <v>9</v>
      </c>
      <c r="L1000" s="1">
        <v>44075</v>
      </c>
      <c r="M1000">
        <v>0</v>
      </c>
      <c r="N1000" s="8" cm="1">
        <f t="array" ref="N1000">_xlfn.SWITCH(Sales[[#This Row],[Subscription Type]],"Basic",10,"Premium",10,"Business",25,"Enterprise",27)</f>
        <v>10</v>
      </c>
      <c r="O1000">
        <f>IF(Sales[[#This Row],[Number of Users]]-Sales[[#This Row],[Licenses Bought]]&lt;0,0,Sales[[#This Row],[Number of Users]]-Sales[[#This Row],[Licenses Bought]])</f>
        <v>9</v>
      </c>
      <c r="P1000" s="8">
        <f>IF(Sales[[#This Row],[Sales Month]]=MAX(Sales[Sales Month]),Sales[[#This Row],[Non-Paying Users]]*Sales[[#This Row],[Upsell $ per Non-Paying User]],0)</f>
        <v>0</v>
      </c>
      <c r="Q1000" t="str" cm="1">
        <f t="array" ref="Q1000">_xlfn.IFS(Sales[[#This Row],[Current Upsell $]]=0,"",Sales[[#This Row],[Current Upsell $]]&gt;=400,"High",Sales[[#This Row],[Current Upsell $]]&gt;=100,"Medium",Sales[[#This Row],[Current Upsell $]]&lt;100,"Low")</f>
        <v/>
      </c>
      <c r="R1000" t="str">
        <f>IF(Sales[[#This Row],[Current Upsell $]]&gt;0,_xlfn.CONCAT(Sales[[#This Row],[Subscription Type]]," ",Sales[[#This Row],[Upsell Priority]]," ",TEXT(Sales[[#This Row],[Current Upsell $]],"$#,#")),"")</f>
        <v/>
      </c>
    </row>
    <row r="1001" spans="1:18" x14ac:dyDescent="0.25">
      <c r="A1001">
        <v>100091</v>
      </c>
      <c r="B1001" t="s">
        <v>3</v>
      </c>
      <c r="F1001">
        <v>0</v>
      </c>
      <c r="G1001">
        <v>8</v>
      </c>
      <c r="H1001" s="1">
        <v>44044</v>
      </c>
      <c r="I1001" s="1">
        <v>44378</v>
      </c>
      <c r="J1001">
        <v>11</v>
      </c>
      <c r="K1001">
        <v>0</v>
      </c>
      <c r="L1001" s="1">
        <v>44044</v>
      </c>
      <c r="M1001">
        <v>0</v>
      </c>
      <c r="N1001" s="8" cm="1">
        <f t="array" ref="N1001">_xlfn.SWITCH(Sales[[#This Row],[Subscription Type]],"Basic",10,"Premium",10,"Business",25,"Enterprise",27)</f>
        <v>10</v>
      </c>
      <c r="O1001">
        <f>IF(Sales[[#This Row],[Number of Users]]-Sales[[#This Row],[Licenses Bought]]&lt;0,0,Sales[[#This Row],[Number of Users]]-Sales[[#This Row],[Licenses Bought]])</f>
        <v>8</v>
      </c>
      <c r="P1001" s="8">
        <f>IF(Sales[[#This Row],[Sales Month]]=MAX(Sales[Sales Month]),Sales[[#This Row],[Non-Paying Users]]*Sales[[#This Row],[Upsell $ per Non-Paying User]],0)</f>
        <v>0</v>
      </c>
      <c r="Q1001" t="str" cm="1">
        <f t="array" ref="Q1001">_xlfn.IFS(Sales[[#This Row],[Current Upsell $]]=0,"",Sales[[#This Row],[Current Upsell $]]&gt;=400,"High",Sales[[#This Row],[Current Upsell $]]&gt;=100,"Medium",Sales[[#This Row],[Current Upsell $]]&lt;100,"Low")</f>
        <v/>
      </c>
      <c r="R1001" t="str">
        <f>IF(Sales[[#This Row],[Current Upsell $]]&gt;0,_xlfn.CONCAT(Sales[[#This Row],[Subscription Type]]," ",Sales[[#This Row],[Upsell Priority]]," ",TEXT(Sales[[#This Row],[Current Upsell $]],"$#,#")),"")</f>
        <v/>
      </c>
    </row>
    <row r="1002" spans="1:18" x14ac:dyDescent="0.25">
      <c r="A1002">
        <v>100091</v>
      </c>
      <c r="B1002" t="s">
        <v>3</v>
      </c>
      <c r="F1002">
        <v>0</v>
      </c>
      <c r="G1002">
        <v>10</v>
      </c>
      <c r="H1002" s="1">
        <v>44044</v>
      </c>
      <c r="I1002" s="1">
        <v>44378</v>
      </c>
      <c r="J1002">
        <v>11</v>
      </c>
      <c r="K1002">
        <v>0</v>
      </c>
      <c r="L1002" s="1">
        <v>44075</v>
      </c>
      <c r="M1002">
        <v>0</v>
      </c>
      <c r="N1002" s="8" cm="1">
        <f t="array" ref="N1002">_xlfn.SWITCH(Sales[[#This Row],[Subscription Type]],"Basic",10,"Premium",10,"Business",25,"Enterprise",27)</f>
        <v>10</v>
      </c>
      <c r="O1002">
        <f>IF(Sales[[#This Row],[Number of Users]]-Sales[[#This Row],[Licenses Bought]]&lt;0,0,Sales[[#This Row],[Number of Users]]-Sales[[#This Row],[Licenses Bought]])</f>
        <v>10</v>
      </c>
      <c r="P1002" s="8">
        <f>IF(Sales[[#This Row],[Sales Month]]=MAX(Sales[Sales Month]),Sales[[#This Row],[Non-Paying Users]]*Sales[[#This Row],[Upsell $ per Non-Paying User]],0)</f>
        <v>0</v>
      </c>
      <c r="Q1002" t="str" cm="1">
        <f t="array" ref="Q1002">_xlfn.IFS(Sales[[#This Row],[Current Upsell $]]=0,"",Sales[[#This Row],[Current Upsell $]]&gt;=400,"High",Sales[[#This Row],[Current Upsell $]]&gt;=100,"Medium",Sales[[#This Row],[Current Upsell $]]&lt;100,"Low")</f>
        <v/>
      </c>
      <c r="R1002" t="str">
        <f>IF(Sales[[#This Row],[Current Upsell $]]&gt;0,_xlfn.CONCAT(Sales[[#This Row],[Subscription Type]]," ",Sales[[#This Row],[Upsell Priority]]," ",TEXT(Sales[[#This Row],[Current Upsell $]],"$#,#")),"")</f>
        <v/>
      </c>
    </row>
    <row r="1003" spans="1:18" x14ac:dyDescent="0.25">
      <c r="A1003">
        <v>100091</v>
      </c>
      <c r="B1003" t="s">
        <v>3</v>
      </c>
      <c r="F1003">
        <v>0</v>
      </c>
      <c r="G1003">
        <v>10</v>
      </c>
      <c r="H1003" s="1">
        <v>44044</v>
      </c>
      <c r="I1003" s="1">
        <v>44378</v>
      </c>
      <c r="J1003">
        <v>11</v>
      </c>
      <c r="K1003">
        <v>0</v>
      </c>
      <c r="L1003" s="1">
        <v>44105</v>
      </c>
      <c r="M1003">
        <v>0</v>
      </c>
      <c r="N1003" s="8" cm="1">
        <f t="array" ref="N1003">_xlfn.SWITCH(Sales[[#This Row],[Subscription Type]],"Basic",10,"Premium",10,"Business",25,"Enterprise",27)</f>
        <v>10</v>
      </c>
      <c r="O1003">
        <f>IF(Sales[[#This Row],[Number of Users]]-Sales[[#This Row],[Licenses Bought]]&lt;0,0,Sales[[#This Row],[Number of Users]]-Sales[[#This Row],[Licenses Bought]])</f>
        <v>10</v>
      </c>
      <c r="P1003" s="8">
        <f>IF(Sales[[#This Row],[Sales Month]]=MAX(Sales[Sales Month]),Sales[[#This Row],[Non-Paying Users]]*Sales[[#This Row],[Upsell $ per Non-Paying User]],0)</f>
        <v>0</v>
      </c>
      <c r="Q1003" t="str" cm="1">
        <f t="array" ref="Q1003">_xlfn.IFS(Sales[[#This Row],[Current Upsell $]]=0,"",Sales[[#This Row],[Current Upsell $]]&gt;=400,"High",Sales[[#This Row],[Current Upsell $]]&gt;=100,"Medium",Sales[[#This Row],[Current Upsell $]]&lt;100,"Low")</f>
        <v/>
      </c>
      <c r="R1003" t="str">
        <f>IF(Sales[[#This Row],[Current Upsell $]]&gt;0,_xlfn.CONCAT(Sales[[#This Row],[Subscription Type]]," ",Sales[[#This Row],[Upsell Priority]]," ",TEXT(Sales[[#This Row],[Current Upsell $]],"$#,#")),"")</f>
        <v/>
      </c>
    </row>
    <row r="1004" spans="1:18" x14ac:dyDescent="0.25">
      <c r="A1004">
        <v>100091</v>
      </c>
      <c r="B1004" t="s">
        <v>3</v>
      </c>
      <c r="F1004">
        <v>0</v>
      </c>
      <c r="G1004">
        <v>9</v>
      </c>
      <c r="H1004" s="1">
        <v>44044</v>
      </c>
      <c r="I1004" s="1">
        <v>44378</v>
      </c>
      <c r="J1004">
        <v>11</v>
      </c>
      <c r="K1004">
        <v>0</v>
      </c>
      <c r="L1004" s="1">
        <v>44136</v>
      </c>
      <c r="M1004">
        <v>0</v>
      </c>
      <c r="N1004" s="8" cm="1">
        <f t="array" ref="N1004">_xlfn.SWITCH(Sales[[#This Row],[Subscription Type]],"Basic",10,"Premium",10,"Business",25,"Enterprise",27)</f>
        <v>10</v>
      </c>
      <c r="O1004">
        <f>IF(Sales[[#This Row],[Number of Users]]-Sales[[#This Row],[Licenses Bought]]&lt;0,0,Sales[[#This Row],[Number of Users]]-Sales[[#This Row],[Licenses Bought]])</f>
        <v>9</v>
      </c>
      <c r="P1004" s="8">
        <f>IF(Sales[[#This Row],[Sales Month]]=MAX(Sales[Sales Month]),Sales[[#This Row],[Non-Paying Users]]*Sales[[#This Row],[Upsell $ per Non-Paying User]],0)</f>
        <v>0</v>
      </c>
      <c r="Q1004" t="str" cm="1">
        <f t="array" ref="Q1004">_xlfn.IFS(Sales[[#This Row],[Current Upsell $]]=0,"",Sales[[#This Row],[Current Upsell $]]&gt;=400,"High",Sales[[#This Row],[Current Upsell $]]&gt;=100,"Medium",Sales[[#This Row],[Current Upsell $]]&lt;100,"Low")</f>
        <v/>
      </c>
      <c r="R1004" t="str">
        <f>IF(Sales[[#This Row],[Current Upsell $]]&gt;0,_xlfn.CONCAT(Sales[[#This Row],[Subscription Type]]," ",Sales[[#This Row],[Upsell Priority]]," ",TEXT(Sales[[#This Row],[Current Upsell $]],"$#,#")),"")</f>
        <v/>
      </c>
    </row>
    <row r="1005" spans="1:18" x14ac:dyDescent="0.25">
      <c r="A1005">
        <v>100091</v>
      </c>
      <c r="B1005" t="s">
        <v>3</v>
      </c>
      <c r="F1005">
        <v>0</v>
      </c>
      <c r="G1005">
        <v>8</v>
      </c>
      <c r="H1005" s="1">
        <v>44044</v>
      </c>
      <c r="I1005" s="1">
        <v>44378</v>
      </c>
      <c r="J1005">
        <v>11</v>
      </c>
      <c r="K1005">
        <v>0</v>
      </c>
      <c r="L1005" s="1">
        <v>44166</v>
      </c>
      <c r="M1005">
        <v>0</v>
      </c>
      <c r="N1005" s="8" cm="1">
        <f t="array" ref="N1005">_xlfn.SWITCH(Sales[[#This Row],[Subscription Type]],"Basic",10,"Premium",10,"Business",25,"Enterprise",27)</f>
        <v>10</v>
      </c>
      <c r="O1005">
        <f>IF(Sales[[#This Row],[Number of Users]]-Sales[[#This Row],[Licenses Bought]]&lt;0,0,Sales[[#This Row],[Number of Users]]-Sales[[#This Row],[Licenses Bought]])</f>
        <v>8</v>
      </c>
      <c r="P1005" s="8">
        <f>IF(Sales[[#This Row],[Sales Month]]=MAX(Sales[Sales Month]),Sales[[#This Row],[Non-Paying Users]]*Sales[[#This Row],[Upsell $ per Non-Paying User]],0)</f>
        <v>0</v>
      </c>
      <c r="Q1005" t="str" cm="1">
        <f t="array" ref="Q1005">_xlfn.IFS(Sales[[#This Row],[Current Upsell $]]=0,"",Sales[[#This Row],[Current Upsell $]]&gt;=400,"High",Sales[[#This Row],[Current Upsell $]]&gt;=100,"Medium",Sales[[#This Row],[Current Upsell $]]&lt;100,"Low")</f>
        <v/>
      </c>
      <c r="R1005" t="str">
        <f>IF(Sales[[#This Row],[Current Upsell $]]&gt;0,_xlfn.CONCAT(Sales[[#This Row],[Subscription Type]]," ",Sales[[#This Row],[Upsell Priority]]," ",TEXT(Sales[[#This Row],[Current Upsell $]],"$#,#")),"")</f>
        <v/>
      </c>
    </row>
    <row r="1006" spans="1:18" x14ac:dyDescent="0.25">
      <c r="A1006">
        <v>100091</v>
      </c>
      <c r="B1006" t="s">
        <v>3</v>
      </c>
      <c r="F1006">
        <v>0</v>
      </c>
      <c r="G1006">
        <v>8</v>
      </c>
      <c r="H1006" s="1">
        <v>44044</v>
      </c>
      <c r="I1006" s="1">
        <v>44378</v>
      </c>
      <c r="J1006">
        <v>11</v>
      </c>
      <c r="K1006">
        <v>0</v>
      </c>
      <c r="L1006" s="1">
        <v>44197</v>
      </c>
      <c r="M1006">
        <v>0</v>
      </c>
      <c r="N1006" s="8" cm="1">
        <f t="array" ref="N1006">_xlfn.SWITCH(Sales[[#This Row],[Subscription Type]],"Basic",10,"Premium",10,"Business",25,"Enterprise",27)</f>
        <v>10</v>
      </c>
      <c r="O1006">
        <f>IF(Sales[[#This Row],[Number of Users]]-Sales[[#This Row],[Licenses Bought]]&lt;0,0,Sales[[#This Row],[Number of Users]]-Sales[[#This Row],[Licenses Bought]])</f>
        <v>8</v>
      </c>
      <c r="P1006" s="8">
        <f>IF(Sales[[#This Row],[Sales Month]]=MAX(Sales[Sales Month]),Sales[[#This Row],[Non-Paying Users]]*Sales[[#This Row],[Upsell $ per Non-Paying User]],0)</f>
        <v>0</v>
      </c>
      <c r="Q1006" t="str" cm="1">
        <f t="array" ref="Q1006">_xlfn.IFS(Sales[[#This Row],[Current Upsell $]]=0,"",Sales[[#This Row],[Current Upsell $]]&gt;=400,"High",Sales[[#This Row],[Current Upsell $]]&gt;=100,"Medium",Sales[[#This Row],[Current Upsell $]]&lt;100,"Low")</f>
        <v/>
      </c>
      <c r="R1006" t="str">
        <f>IF(Sales[[#This Row],[Current Upsell $]]&gt;0,_xlfn.CONCAT(Sales[[#This Row],[Subscription Type]]," ",Sales[[#This Row],[Upsell Priority]]," ",TEXT(Sales[[#This Row],[Current Upsell $]],"$#,#")),"")</f>
        <v/>
      </c>
    </row>
    <row r="1007" spans="1:18" x14ac:dyDescent="0.25">
      <c r="A1007">
        <v>100091</v>
      </c>
      <c r="B1007" t="s">
        <v>3</v>
      </c>
      <c r="F1007">
        <v>0</v>
      </c>
      <c r="G1007">
        <v>8</v>
      </c>
      <c r="H1007" s="1">
        <v>44044</v>
      </c>
      <c r="I1007" s="1">
        <v>44378</v>
      </c>
      <c r="J1007">
        <v>11</v>
      </c>
      <c r="K1007">
        <v>0</v>
      </c>
      <c r="L1007" s="1">
        <v>44228</v>
      </c>
      <c r="M1007">
        <v>0</v>
      </c>
      <c r="N1007" s="8" cm="1">
        <f t="array" ref="N1007">_xlfn.SWITCH(Sales[[#This Row],[Subscription Type]],"Basic",10,"Premium",10,"Business",25,"Enterprise",27)</f>
        <v>10</v>
      </c>
      <c r="O1007">
        <f>IF(Sales[[#This Row],[Number of Users]]-Sales[[#This Row],[Licenses Bought]]&lt;0,0,Sales[[#This Row],[Number of Users]]-Sales[[#This Row],[Licenses Bought]])</f>
        <v>8</v>
      </c>
      <c r="P1007" s="8">
        <f>IF(Sales[[#This Row],[Sales Month]]=MAX(Sales[Sales Month]),Sales[[#This Row],[Non-Paying Users]]*Sales[[#This Row],[Upsell $ per Non-Paying User]],0)</f>
        <v>0</v>
      </c>
      <c r="Q1007" t="str" cm="1">
        <f t="array" ref="Q1007">_xlfn.IFS(Sales[[#This Row],[Current Upsell $]]=0,"",Sales[[#This Row],[Current Upsell $]]&gt;=400,"High",Sales[[#This Row],[Current Upsell $]]&gt;=100,"Medium",Sales[[#This Row],[Current Upsell $]]&lt;100,"Low")</f>
        <v/>
      </c>
      <c r="R1007" t="str">
        <f>IF(Sales[[#This Row],[Current Upsell $]]&gt;0,_xlfn.CONCAT(Sales[[#This Row],[Subscription Type]]," ",Sales[[#This Row],[Upsell Priority]]," ",TEXT(Sales[[#This Row],[Current Upsell $]],"$#,#")),"")</f>
        <v/>
      </c>
    </row>
    <row r="1008" spans="1:18" x14ac:dyDescent="0.25">
      <c r="A1008">
        <v>100091</v>
      </c>
      <c r="B1008" t="s">
        <v>3</v>
      </c>
      <c r="F1008">
        <v>0</v>
      </c>
      <c r="G1008">
        <v>11</v>
      </c>
      <c r="H1008" s="1">
        <v>44044</v>
      </c>
      <c r="I1008" s="1">
        <v>44378</v>
      </c>
      <c r="J1008">
        <v>11</v>
      </c>
      <c r="K1008">
        <v>0</v>
      </c>
      <c r="L1008" s="1">
        <v>44256</v>
      </c>
      <c r="M1008">
        <v>0</v>
      </c>
      <c r="N1008" s="8" cm="1">
        <f t="array" ref="N1008">_xlfn.SWITCH(Sales[[#This Row],[Subscription Type]],"Basic",10,"Premium",10,"Business",25,"Enterprise",27)</f>
        <v>10</v>
      </c>
      <c r="O1008">
        <f>IF(Sales[[#This Row],[Number of Users]]-Sales[[#This Row],[Licenses Bought]]&lt;0,0,Sales[[#This Row],[Number of Users]]-Sales[[#This Row],[Licenses Bought]])</f>
        <v>11</v>
      </c>
      <c r="P1008" s="8">
        <f>IF(Sales[[#This Row],[Sales Month]]=MAX(Sales[Sales Month]),Sales[[#This Row],[Non-Paying Users]]*Sales[[#This Row],[Upsell $ per Non-Paying User]],0)</f>
        <v>0</v>
      </c>
      <c r="Q1008" t="str" cm="1">
        <f t="array" ref="Q1008">_xlfn.IFS(Sales[[#This Row],[Current Upsell $]]=0,"",Sales[[#This Row],[Current Upsell $]]&gt;=400,"High",Sales[[#This Row],[Current Upsell $]]&gt;=100,"Medium",Sales[[#This Row],[Current Upsell $]]&lt;100,"Low")</f>
        <v/>
      </c>
      <c r="R1008" t="str">
        <f>IF(Sales[[#This Row],[Current Upsell $]]&gt;0,_xlfn.CONCAT(Sales[[#This Row],[Subscription Type]]," ",Sales[[#This Row],[Upsell Priority]]," ",TEXT(Sales[[#This Row],[Current Upsell $]],"$#,#")),"")</f>
        <v/>
      </c>
    </row>
    <row r="1009" spans="1:18" x14ac:dyDescent="0.25">
      <c r="A1009">
        <v>100091</v>
      </c>
      <c r="B1009" t="s">
        <v>3</v>
      </c>
      <c r="F1009">
        <v>0</v>
      </c>
      <c r="G1009">
        <v>10</v>
      </c>
      <c r="H1009" s="1">
        <v>44044</v>
      </c>
      <c r="I1009" s="1">
        <v>44378</v>
      </c>
      <c r="J1009">
        <v>11</v>
      </c>
      <c r="K1009">
        <v>0</v>
      </c>
      <c r="L1009" s="1">
        <v>44287</v>
      </c>
      <c r="M1009">
        <v>0</v>
      </c>
      <c r="N1009" s="8" cm="1">
        <f t="array" ref="N1009">_xlfn.SWITCH(Sales[[#This Row],[Subscription Type]],"Basic",10,"Premium",10,"Business",25,"Enterprise",27)</f>
        <v>10</v>
      </c>
      <c r="O1009">
        <f>IF(Sales[[#This Row],[Number of Users]]-Sales[[#This Row],[Licenses Bought]]&lt;0,0,Sales[[#This Row],[Number of Users]]-Sales[[#This Row],[Licenses Bought]])</f>
        <v>10</v>
      </c>
      <c r="P1009" s="8">
        <f>IF(Sales[[#This Row],[Sales Month]]=MAX(Sales[Sales Month]),Sales[[#This Row],[Non-Paying Users]]*Sales[[#This Row],[Upsell $ per Non-Paying User]],0)</f>
        <v>0</v>
      </c>
      <c r="Q1009" t="str" cm="1">
        <f t="array" ref="Q1009">_xlfn.IFS(Sales[[#This Row],[Current Upsell $]]=0,"",Sales[[#This Row],[Current Upsell $]]&gt;=400,"High",Sales[[#This Row],[Current Upsell $]]&gt;=100,"Medium",Sales[[#This Row],[Current Upsell $]]&lt;100,"Low")</f>
        <v/>
      </c>
      <c r="R1009" t="str">
        <f>IF(Sales[[#This Row],[Current Upsell $]]&gt;0,_xlfn.CONCAT(Sales[[#This Row],[Subscription Type]]," ",Sales[[#This Row],[Upsell Priority]]," ",TEXT(Sales[[#This Row],[Current Upsell $]],"$#,#")),"")</f>
        <v/>
      </c>
    </row>
    <row r="1010" spans="1:18" x14ac:dyDescent="0.25">
      <c r="A1010">
        <v>100091</v>
      </c>
      <c r="B1010" t="s">
        <v>3</v>
      </c>
      <c r="F1010">
        <v>0</v>
      </c>
      <c r="G1010">
        <v>10</v>
      </c>
      <c r="H1010" s="1">
        <v>44044</v>
      </c>
      <c r="I1010" s="1">
        <v>44378</v>
      </c>
      <c r="J1010">
        <v>11</v>
      </c>
      <c r="K1010">
        <v>0</v>
      </c>
      <c r="L1010" s="1">
        <v>44317</v>
      </c>
      <c r="M1010">
        <v>0</v>
      </c>
      <c r="N1010" s="8" cm="1">
        <f t="array" ref="N1010">_xlfn.SWITCH(Sales[[#This Row],[Subscription Type]],"Basic",10,"Premium",10,"Business",25,"Enterprise",27)</f>
        <v>10</v>
      </c>
      <c r="O1010">
        <f>IF(Sales[[#This Row],[Number of Users]]-Sales[[#This Row],[Licenses Bought]]&lt;0,0,Sales[[#This Row],[Number of Users]]-Sales[[#This Row],[Licenses Bought]])</f>
        <v>10</v>
      </c>
      <c r="P1010" s="8">
        <f>IF(Sales[[#This Row],[Sales Month]]=MAX(Sales[Sales Month]),Sales[[#This Row],[Non-Paying Users]]*Sales[[#This Row],[Upsell $ per Non-Paying User]],0)</f>
        <v>0</v>
      </c>
      <c r="Q1010" t="str" cm="1">
        <f t="array" ref="Q1010">_xlfn.IFS(Sales[[#This Row],[Current Upsell $]]=0,"",Sales[[#This Row],[Current Upsell $]]&gt;=400,"High",Sales[[#This Row],[Current Upsell $]]&gt;=100,"Medium",Sales[[#This Row],[Current Upsell $]]&lt;100,"Low")</f>
        <v/>
      </c>
      <c r="R1010" t="str">
        <f>IF(Sales[[#This Row],[Current Upsell $]]&gt;0,_xlfn.CONCAT(Sales[[#This Row],[Subscription Type]]," ",Sales[[#This Row],[Upsell Priority]]," ",TEXT(Sales[[#This Row],[Current Upsell $]],"$#,#")),"")</f>
        <v/>
      </c>
    </row>
    <row r="1011" spans="1:18" x14ac:dyDescent="0.25">
      <c r="A1011">
        <v>100091</v>
      </c>
      <c r="B1011" t="s">
        <v>3</v>
      </c>
      <c r="F1011">
        <v>0</v>
      </c>
      <c r="G1011">
        <v>8</v>
      </c>
      <c r="H1011" s="1">
        <v>44044</v>
      </c>
      <c r="I1011" s="1">
        <v>44378</v>
      </c>
      <c r="J1011">
        <v>11</v>
      </c>
      <c r="K1011">
        <v>0</v>
      </c>
      <c r="L1011" s="1">
        <v>44348</v>
      </c>
      <c r="M1011">
        <v>0</v>
      </c>
      <c r="N1011" s="8" cm="1">
        <f t="array" ref="N1011">_xlfn.SWITCH(Sales[[#This Row],[Subscription Type]],"Basic",10,"Premium",10,"Business",25,"Enterprise",27)</f>
        <v>10</v>
      </c>
      <c r="O1011">
        <f>IF(Sales[[#This Row],[Number of Users]]-Sales[[#This Row],[Licenses Bought]]&lt;0,0,Sales[[#This Row],[Number of Users]]-Sales[[#This Row],[Licenses Bought]])</f>
        <v>8</v>
      </c>
      <c r="P1011" s="8">
        <f>IF(Sales[[#This Row],[Sales Month]]=MAX(Sales[Sales Month]),Sales[[#This Row],[Non-Paying Users]]*Sales[[#This Row],[Upsell $ per Non-Paying User]],0)</f>
        <v>80</v>
      </c>
      <c r="Q1011" t="str" cm="1">
        <f t="array" ref="Q1011">_xlfn.IFS(Sales[[#This Row],[Current Upsell $]]=0,"",Sales[[#This Row],[Current Upsell $]]&gt;=400,"High",Sales[[#This Row],[Current Upsell $]]&gt;=100,"Medium",Sales[[#This Row],[Current Upsell $]]&lt;100,"Low")</f>
        <v>Low</v>
      </c>
      <c r="R1011" t="str">
        <f>IF(Sales[[#This Row],[Current Upsell $]]&gt;0,_xlfn.CONCAT(Sales[[#This Row],[Subscription Type]]," ",Sales[[#This Row],[Upsell Priority]]," ",TEXT(Sales[[#This Row],[Current Upsell $]],"$#,#")),"")</f>
        <v>Basic Low $80</v>
      </c>
    </row>
    <row r="1012" spans="1:18" x14ac:dyDescent="0.25">
      <c r="A1012">
        <v>100092</v>
      </c>
      <c r="B1012" t="s">
        <v>3</v>
      </c>
      <c r="F1012">
        <v>0</v>
      </c>
      <c r="G1012">
        <v>9</v>
      </c>
      <c r="H1012" s="1">
        <v>44044</v>
      </c>
      <c r="I1012" s="1">
        <v>44317</v>
      </c>
      <c r="J1012">
        <v>9</v>
      </c>
      <c r="K1012">
        <v>1</v>
      </c>
      <c r="L1012" s="1">
        <v>44044</v>
      </c>
      <c r="M1012">
        <v>0</v>
      </c>
      <c r="N1012" s="8" cm="1">
        <f t="array" ref="N1012">_xlfn.SWITCH(Sales[[#This Row],[Subscription Type]],"Basic",10,"Premium",10,"Business",25,"Enterprise",27)</f>
        <v>10</v>
      </c>
      <c r="O1012">
        <f>IF(Sales[[#This Row],[Number of Users]]-Sales[[#This Row],[Licenses Bought]]&lt;0,0,Sales[[#This Row],[Number of Users]]-Sales[[#This Row],[Licenses Bought]])</f>
        <v>9</v>
      </c>
      <c r="P1012" s="8">
        <f>IF(Sales[[#This Row],[Sales Month]]=MAX(Sales[Sales Month]),Sales[[#This Row],[Non-Paying Users]]*Sales[[#This Row],[Upsell $ per Non-Paying User]],0)</f>
        <v>0</v>
      </c>
      <c r="Q1012" t="str" cm="1">
        <f t="array" ref="Q1012">_xlfn.IFS(Sales[[#This Row],[Current Upsell $]]=0,"",Sales[[#This Row],[Current Upsell $]]&gt;=400,"High",Sales[[#This Row],[Current Upsell $]]&gt;=100,"Medium",Sales[[#This Row],[Current Upsell $]]&lt;100,"Low")</f>
        <v/>
      </c>
      <c r="R1012" t="str">
        <f>IF(Sales[[#This Row],[Current Upsell $]]&gt;0,_xlfn.CONCAT(Sales[[#This Row],[Subscription Type]]," ",Sales[[#This Row],[Upsell Priority]]," ",TEXT(Sales[[#This Row],[Current Upsell $]],"$#,#")),"")</f>
        <v/>
      </c>
    </row>
    <row r="1013" spans="1:18" x14ac:dyDescent="0.25">
      <c r="A1013">
        <v>100092</v>
      </c>
      <c r="B1013" t="s">
        <v>0</v>
      </c>
      <c r="F1013">
        <v>6</v>
      </c>
      <c r="G1013">
        <v>8</v>
      </c>
      <c r="H1013" s="1">
        <v>44044</v>
      </c>
      <c r="I1013" s="1">
        <v>44317</v>
      </c>
      <c r="J1013">
        <v>9</v>
      </c>
      <c r="K1013">
        <v>1</v>
      </c>
      <c r="L1013" s="1">
        <v>44075</v>
      </c>
      <c r="M1013">
        <v>60</v>
      </c>
      <c r="N1013" s="8" cm="1">
        <f t="array" ref="N1013">_xlfn.SWITCH(Sales[[#This Row],[Subscription Type]],"Basic",10,"Premium",10,"Business",25,"Enterprise",27)</f>
        <v>10</v>
      </c>
      <c r="O1013">
        <f>IF(Sales[[#This Row],[Number of Users]]-Sales[[#This Row],[Licenses Bought]]&lt;0,0,Sales[[#This Row],[Number of Users]]-Sales[[#This Row],[Licenses Bought]])</f>
        <v>2</v>
      </c>
      <c r="P1013" s="8">
        <f>IF(Sales[[#This Row],[Sales Month]]=MAX(Sales[Sales Month]),Sales[[#This Row],[Non-Paying Users]]*Sales[[#This Row],[Upsell $ per Non-Paying User]],0)</f>
        <v>0</v>
      </c>
      <c r="Q1013" t="str" cm="1">
        <f t="array" ref="Q1013">_xlfn.IFS(Sales[[#This Row],[Current Upsell $]]=0,"",Sales[[#This Row],[Current Upsell $]]&gt;=400,"High",Sales[[#This Row],[Current Upsell $]]&gt;=100,"Medium",Sales[[#This Row],[Current Upsell $]]&lt;100,"Low")</f>
        <v/>
      </c>
      <c r="R1013" t="str">
        <f>IF(Sales[[#This Row],[Current Upsell $]]&gt;0,_xlfn.CONCAT(Sales[[#This Row],[Subscription Type]]," ",Sales[[#This Row],[Upsell Priority]]," ",TEXT(Sales[[#This Row],[Current Upsell $]],"$#,#")),"")</f>
        <v/>
      </c>
    </row>
    <row r="1014" spans="1:18" x14ac:dyDescent="0.25">
      <c r="A1014">
        <v>100092</v>
      </c>
      <c r="B1014" t="s">
        <v>0</v>
      </c>
      <c r="F1014">
        <v>7</v>
      </c>
      <c r="G1014">
        <v>9</v>
      </c>
      <c r="H1014" s="1">
        <v>44044</v>
      </c>
      <c r="I1014" s="1">
        <v>44317</v>
      </c>
      <c r="J1014">
        <v>9</v>
      </c>
      <c r="K1014">
        <v>1</v>
      </c>
      <c r="L1014" s="1">
        <v>44105</v>
      </c>
      <c r="M1014">
        <v>70</v>
      </c>
      <c r="N1014" s="8" cm="1">
        <f t="array" ref="N1014">_xlfn.SWITCH(Sales[[#This Row],[Subscription Type]],"Basic",10,"Premium",10,"Business",25,"Enterprise",27)</f>
        <v>10</v>
      </c>
      <c r="O1014">
        <f>IF(Sales[[#This Row],[Number of Users]]-Sales[[#This Row],[Licenses Bought]]&lt;0,0,Sales[[#This Row],[Number of Users]]-Sales[[#This Row],[Licenses Bought]])</f>
        <v>2</v>
      </c>
      <c r="P1014" s="8">
        <f>IF(Sales[[#This Row],[Sales Month]]=MAX(Sales[Sales Month]),Sales[[#This Row],[Non-Paying Users]]*Sales[[#This Row],[Upsell $ per Non-Paying User]],0)</f>
        <v>0</v>
      </c>
      <c r="Q1014" t="str" cm="1">
        <f t="array" ref="Q1014">_xlfn.IFS(Sales[[#This Row],[Current Upsell $]]=0,"",Sales[[#This Row],[Current Upsell $]]&gt;=400,"High",Sales[[#This Row],[Current Upsell $]]&gt;=100,"Medium",Sales[[#This Row],[Current Upsell $]]&lt;100,"Low")</f>
        <v/>
      </c>
      <c r="R1014" t="str">
        <f>IF(Sales[[#This Row],[Current Upsell $]]&gt;0,_xlfn.CONCAT(Sales[[#This Row],[Subscription Type]]," ",Sales[[#This Row],[Upsell Priority]]," ",TEXT(Sales[[#This Row],[Current Upsell $]],"$#,#")),"")</f>
        <v/>
      </c>
    </row>
    <row r="1015" spans="1:18" x14ac:dyDescent="0.25">
      <c r="A1015">
        <v>100092</v>
      </c>
      <c r="B1015" t="s">
        <v>0</v>
      </c>
      <c r="F1015">
        <v>7</v>
      </c>
      <c r="G1015">
        <v>11</v>
      </c>
      <c r="H1015" s="1">
        <v>44044</v>
      </c>
      <c r="I1015" s="1">
        <v>44317</v>
      </c>
      <c r="J1015">
        <v>9</v>
      </c>
      <c r="K1015">
        <v>1</v>
      </c>
      <c r="L1015" s="1">
        <v>44136</v>
      </c>
      <c r="M1015">
        <v>70</v>
      </c>
      <c r="N1015" s="8" cm="1">
        <f t="array" ref="N1015">_xlfn.SWITCH(Sales[[#This Row],[Subscription Type]],"Basic",10,"Premium",10,"Business",25,"Enterprise",27)</f>
        <v>10</v>
      </c>
      <c r="O1015">
        <f>IF(Sales[[#This Row],[Number of Users]]-Sales[[#This Row],[Licenses Bought]]&lt;0,0,Sales[[#This Row],[Number of Users]]-Sales[[#This Row],[Licenses Bought]])</f>
        <v>4</v>
      </c>
      <c r="P1015" s="8">
        <f>IF(Sales[[#This Row],[Sales Month]]=MAX(Sales[Sales Month]),Sales[[#This Row],[Non-Paying Users]]*Sales[[#This Row],[Upsell $ per Non-Paying User]],0)</f>
        <v>0</v>
      </c>
      <c r="Q1015" t="str" cm="1">
        <f t="array" ref="Q1015">_xlfn.IFS(Sales[[#This Row],[Current Upsell $]]=0,"",Sales[[#This Row],[Current Upsell $]]&gt;=400,"High",Sales[[#This Row],[Current Upsell $]]&gt;=100,"Medium",Sales[[#This Row],[Current Upsell $]]&lt;100,"Low")</f>
        <v/>
      </c>
      <c r="R1015" t="str">
        <f>IF(Sales[[#This Row],[Current Upsell $]]&gt;0,_xlfn.CONCAT(Sales[[#This Row],[Subscription Type]]," ",Sales[[#This Row],[Upsell Priority]]," ",TEXT(Sales[[#This Row],[Current Upsell $]],"$#,#")),"")</f>
        <v/>
      </c>
    </row>
    <row r="1016" spans="1:18" x14ac:dyDescent="0.25">
      <c r="A1016">
        <v>100092</v>
      </c>
      <c r="B1016" t="s">
        <v>0</v>
      </c>
      <c r="F1016">
        <v>7</v>
      </c>
      <c r="G1016">
        <v>8</v>
      </c>
      <c r="H1016" s="1">
        <v>44044</v>
      </c>
      <c r="I1016" s="1">
        <v>44317</v>
      </c>
      <c r="J1016">
        <v>9</v>
      </c>
      <c r="K1016">
        <v>1</v>
      </c>
      <c r="L1016" s="1">
        <v>44166</v>
      </c>
      <c r="M1016">
        <v>70</v>
      </c>
      <c r="N1016" s="8" cm="1">
        <f t="array" ref="N1016">_xlfn.SWITCH(Sales[[#This Row],[Subscription Type]],"Basic",10,"Premium",10,"Business",25,"Enterprise",27)</f>
        <v>10</v>
      </c>
      <c r="O1016">
        <f>IF(Sales[[#This Row],[Number of Users]]-Sales[[#This Row],[Licenses Bought]]&lt;0,0,Sales[[#This Row],[Number of Users]]-Sales[[#This Row],[Licenses Bought]])</f>
        <v>1</v>
      </c>
      <c r="P1016" s="8">
        <f>IF(Sales[[#This Row],[Sales Month]]=MAX(Sales[Sales Month]),Sales[[#This Row],[Non-Paying Users]]*Sales[[#This Row],[Upsell $ per Non-Paying User]],0)</f>
        <v>0</v>
      </c>
      <c r="Q1016" t="str" cm="1">
        <f t="array" ref="Q1016">_xlfn.IFS(Sales[[#This Row],[Current Upsell $]]=0,"",Sales[[#This Row],[Current Upsell $]]&gt;=400,"High",Sales[[#This Row],[Current Upsell $]]&gt;=100,"Medium",Sales[[#This Row],[Current Upsell $]]&lt;100,"Low")</f>
        <v/>
      </c>
      <c r="R1016" t="str">
        <f>IF(Sales[[#This Row],[Current Upsell $]]&gt;0,_xlfn.CONCAT(Sales[[#This Row],[Subscription Type]]," ",Sales[[#This Row],[Upsell Priority]]," ",TEXT(Sales[[#This Row],[Current Upsell $]],"$#,#")),"")</f>
        <v/>
      </c>
    </row>
    <row r="1017" spans="1:18" x14ac:dyDescent="0.25">
      <c r="A1017">
        <v>100092</v>
      </c>
      <c r="B1017" t="s">
        <v>0</v>
      </c>
      <c r="F1017">
        <v>7</v>
      </c>
      <c r="G1017">
        <v>11</v>
      </c>
      <c r="H1017" s="1">
        <v>44044</v>
      </c>
      <c r="I1017" s="1">
        <v>44317</v>
      </c>
      <c r="J1017">
        <v>9</v>
      </c>
      <c r="K1017">
        <v>1</v>
      </c>
      <c r="L1017" s="1">
        <v>44197</v>
      </c>
      <c r="M1017">
        <v>70</v>
      </c>
      <c r="N1017" s="8" cm="1">
        <f t="array" ref="N1017">_xlfn.SWITCH(Sales[[#This Row],[Subscription Type]],"Basic",10,"Premium",10,"Business",25,"Enterprise",27)</f>
        <v>10</v>
      </c>
      <c r="O1017">
        <f>IF(Sales[[#This Row],[Number of Users]]-Sales[[#This Row],[Licenses Bought]]&lt;0,0,Sales[[#This Row],[Number of Users]]-Sales[[#This Row],[Licenses Bought]])</f>
        <v>4</v>
      </c>
      <c r="P1017" s="8">
        <f>IF(Sales[[#This Row],[Sales Month]]=MAX(Sales[Sales Month]),Sales[[#This Row],[Non-Paying Users]]*Sales[[#This Row],[Upsell $ per Non-Paying User]],0)</f>
        <v>0</v>
      </c>
      <c r="Q1017" t="str" cm="1">
        <f t="array" ref="Q1017">_xlfn.IFS(Sales[[#This Row],[Current Upsell $]]=0,"",Sales[[#This Row],[Current Upsell $]]&gt;=400,"High",Sales[[#This Row],[Current Upsell $]]&gt;=100,"Medium",Sales[[#This Row],[Current Upsell $]]&lt;100,"Low")</f>
        <v/>
      </c>
      <c r="R1017" t="str">
        <f>IF(Sales[[#This Row],[Current Upsell $]]&gt;0,_xlfn.CONCAT(Sales[[#This Row],[Subscription Type]]," ",Sales[[#This Row],[Upsell Priority]]," ",TEXT(Sales[[#This Row],[Current Upsell $]],"$#,#")),"")</f>
        <v/>
      </c>
    </row>
    <row r="1018" spans="1:18" x14ac:dyDescent="0.25">
      <c r="A1018">
        <v>100092</v>
      </c>
      <c r="B1018" t="s">
        <v>0</v>
      </c>
      <c r="F1018">
        <v>7</v>
      </c>
      <c r="G1018">
        <v>10</v>
      </c>
      <c r="H1018" s="1">
        <v>44044</v>
      </c>
      <c r="I1018" s="1">
        <v>44317</v>
      </c>
      <c r="J1018">
        <v>9</v>
      </c>
      <c r="K1018">
        <v>1</v>
      </c>
      <c r="L1018" s="1">
        <v>44228</v>
      </c>
      <c r="M1018">
        <v>70</v>
      </c>
      <c r="N1018" s="8" cm="1">
        <f t="array" ref="N1018">_xlfn.SWITCH(Sales[[#This Row],[Subscription Type]],"Basic",10,"Premium",10,"Business",25,"Enterprise",27)</f>
        <v>10</v>
      </c>
      <c r="O1018">
        <f>IF(Sales[[#This Row],[Number of Users]]-Sales[[#This Row],[Licenses Bought]]&lt;0,0,Sales[[#This Row],[Number of Users]]-Sales[[#This Row],[Licenses Bought]])</f>
        <v>3</v>
      </c>
      <c r="P1018" s="8">
        <f>IF(Sales[[#This Row],[Sales Month]]=MAX(Sales[Sales Month]),Sales[[#This Row],[Non-Paying Users]]*Sales[[#This Row],[Upsell $ per Non-Paying User]],0)</f>
        <v>0</v>
      </c>
      <c r="Q1018" t="str" cm="1">
        <f t="array" ref="Q1018">_xlfn.IFS(Sales[[#This Row],[Current Upsell $]]=0,"",Sales[[#This Row],[Current Upsell $]]&gt;=400,"High",Sales[[#This Row],[Current Upsell $]]&gt;=100,"Medium",Sales[[#This Row],[Current Upsell $]]&lt;100,"Low")</f>
        <v/>
      </c>
      <c r="R1018" t="str">
        <f>IF(Sales[[#This Row],[Current Upsell $]]&gt;0,_xlfn.CONCAT(Sales[[#This Row],[Subscription Type]]," ",Sales[[#This Row],[Upsell Priority]]," ",TEXT(Sales[[#This Row],[Current Upsell $]],"$#,#")),"")</f>
        <v/>
      </c>
    </row>
    <row r="1019" spans="1:18" x14ac:dyDescent="0.25">
      <c r="A1019">
        <v>100092</v>
      </c>
      <c r="B1019" t="s">
        <v>0</v>
      </c>
      <c r="F1019">
        <v>7</v>
      </c>
      <c r="G1019">
        <v>7</v>
      </c>
      <c r="H1019" s="1">
        <v>44044</v>
      </c>
      <c r="I1019" s="1">
        <v>44317</v>
      </c>
      <c r="J1019">
        <v>9</v>
      </c>
      <c r="K1019">
        <v>1</v>
      </c>
      <c r="L1019" s="1">
        <v>44256</v>
      </c>
      <c r="M1019">
        <v>70</v>
      </c>
      <c r="N1019" s="8" cm="1">
        <f t="array" ref="N1019">_xlfn.SWITCH(Sales[[#This Row],[Subscription Type]],"Basic",10,"Premium",10,"Business",25,"Enterprise",27)</f>
        <v>10</v>
      </c>
      <c r="O1019">
        <f>IF(Sales[[#This Row],[Number of Users]]-Sales[[#This Row],[Licenses Bought]]&lt;0,0,Sales[[#This Row],[Number of Users]]-Sales[[#This Row],[Licenses Bought]])</f>
        <v>0</v>
      </c>
      <c r="P1019" s="8">
        <f>IF(Sales[[#This Row],[Sales Month]]=MAX(Sales[Sales Month]),Sales[[#This Row],[Non-Paying Users]]*Sales[[#This Row],[Upsell $ per Non-Paying User]],0)</f>
        <v>0</v>
      </c>
      <c r="Q1019" t="str" cm="1">
        <f t="array" ref="Q1019">_xlfn.IFS(Sales[[#This Row],[Current Upsell $]]=0,"",Sales[[#This Row],[Current Upsell $]]&gt;=400,"High",Sales[[#This Row],[Current Upsell $]]&gt;=100,"Medium",Sales[[#This Row],[Current Upsell $]]&lt;100,"Low")</f>
        <v/>
      </c>
      <c r="R1019" t="str">
        <f>IF(Sales[[#This Row],[Current Upsell $]]&gt;0,_xlfn.CONCAT(Sales[[#This Row],[Subscription Type]]," ",Sales[[#This Row],[Upsell Priority]]," ",TEXT(Sales[[#This Row],[Current Upsell $]],"$#,#")),"")</f>
        <v/>
      </c>
    </row>
    <row r="1020" spans="1:18" x14ac:dyDescent="0.25">
      <c r="A1020">
        <v>100092</v>
      </c>
      <c r="B1020" t="s">
        <v>0</v>
      </c>
      <c r="F1020">
        <v>7</v>
      </c>
      <c r="G1020">
        <v>11</v>
      </c>
      <c r="H1020" s="1">
        <v>44044</v>
      </c>
      <c r="I1020" s="1">
        <v>44317</v>
      </c>
      <c r="J1020">
        <v>9</v>
      </c>
      <c r="K1020">
        <v>1</v>
      </c>
      <c r="L1020" s="1">
        <v>44287</v>
      </c>
      <c r="M1020">
        <v>70</v>
      </c>
      <c r="N1020" s="8" cm="1">
        <f t="array" ref="N1020">_xlfn.SWITCH(Sales[[#This Row],[Subscription Type]],"Basic",10,"Premium",10,"Business",25,"Enterprise",27)</f>
        <v>10</v>
      </c>
      <c r="O1020">
        <f>IF(Sales[[#This Row],[Number of Users]]-Sales[[#This Row],[Licenses Bought]]&lt;0,0,Sales[[#This Row],[Number of Users]]-Sales[[#This Row],[Licenses Bought]])</f>
        <v>4</v>
      </c>
      <c r="P1020" s="8">
        <f>IF(Sales[[#This Row],[Sales Month]]=MAX(Sales[Sales Month]),Sales[[#This Row],[Non-Paying Users]]*Sales[[#This Row],[Upsell $ per Non-Paying User]],0)</f>
        <v>0</v>
      </c>
      <c r="Q1020" t="str" cm="1">
        <f t="array" ref="Q1020">_xlfn.IFS(Sales[[#This Row],[Current Upsell $]]=0,"",Sales[[#This Row],[Current Upsell $]]&gt;=400,"High",Sales[[#This Row],[Current Upsell $]]&gt;=100,"Medium",Sales[[#This Row],[Current Upsell $]]&lt;100,"Low")</f>
        <v/>
      </c>
      <c r="R1020" t="str">
        <f>IF(Sales[[#This Row],[Current Upsell $]]&gt;0,_xlfn.CONCAT(Sales[[#This Row],[Subscription Type]]," ",Sales[[#This Row],[Upsell Priority]]," ",TEXT(Sales[[#This Row],[Current Upsell $]],"$#,#")),"")</f>
        <v/>
      </c>
    </row>
    <row r="1021" spans="1:18" x14ac:dyDescent="0.25">
      <c r="A1021">
        <v>100092</v>
      </c>
      <c r="B1021" t="s">
        <v>0</v>
      </c>
      <c r="F1021">
        <v>7</v>
      </c>
      <c r="G1021">
        <v>7</v>
      </c>
      <c r="H1021" s="1">
        <v>44044</v>
      </c>
      <c r="I1021" s="1">
        <v>44317</v>
      </c>
      <c r="J1021">
        <v>9</v>
      </c>
      <c r="K1021">
        <v>1</v>
      </c>
      <c r="L1021" s="1">
        <v>44317</v>
      </c>
      <c r="M1021">
        <v>70</v>
      </c>
      <c r="N1021" s="8" cm="1">
        <f t="array" ref="N1021">_xlfn.SWITCH(Sales[[#This Row],[Subscription Type]],"Basic",10,"Premium",10,"Business",25,"Enterprise",27)</f>
        <v>10</v>
      </c>
      <c r="O1021">
        <f>IF(Sales[[#This Row],[Number of Users]]-Sales[[#This Row],[Licenses Bought]]&lt;0,0,Sales[[#This Row],[Number of Users]]-Sales[[#This Row],[Licenses Bought]])</f>
        <v>0</v>
      </c>
      <c r="P1021" s="8">
        <f>IF(Sales[[#This Row],[Sales Month]]=MAX(Sales[Sales Month]),Sales[[#This Row],[Non-Paying Users]]*Sales[[#This Row],[Upsell $ per Non-Paying User]],0)</f>
        <v>0</v>
      </c>
      <c r="Q1021" t="str" cm="1">
        <f t="array" ref="Q1021">_xlfn.IFS(Sales[[#This Row],[Current Upsell $]]=0,"",Sales[[#This Row],[Current Upsell $]]&gt;=400,"High",Sales[[#This Row],[Current Upsell $]]&gt;=100,"Medium",Sales[[#This Row],[Current Upsell $]]&lt;100,"Low")</f>
        <v/>
      </c>
      <c r="R1021" t="str">
        <f>IF(Sales[[#This Row],[Current Upsell $]]&gt;0,_xlfn.CONCAT(Sales[[#This Row],[Subscription Type]]," ",Sales[[#This Row],[Upsell Priority]]," ",TEXT(Sales[[#This Row],[Current Upsell $]],"$#,#")),"")</f>
        <v/>
      </c>
    </row>
    <row r="1022" spans="1:18" x14ac:dyDescent="0.25">
      <c r="A1022">
        <v>100093</v>
      </c>
      <c r="B1022" t="s">
        <v>3</v>
      </c>
      <c r="F1022">
        <v>0</v>
      </c>
      <c r="G1022">
        <v>7</v>
      </c>
      <c r="H1022" s="1">
        <v>44044</v>
      </c>
      <c r="I1022" s="1">
        <v>44197</v>
      </c>
      <c r="J1022">
        <v>5</v>
      </c>
      <c r="K1022">
        <v>5</v>
      </c>
      <c r="L1022" s="1">
        <v>44044</v>
      </c>
      <c r="M1022">
        <v>0</v>
      </c>
      <c r="N1022" s="8" cm="1">
        <f t="array" ref="N1022">_xlfn.SWITCH(Sales[[#This Row],[Subscription Type]],"Basic",10,"Premium",10,"Business",25,"Enterprise",27)</f>
        <v>10</v>
      </c>
      <c r="O1022">
        <f>IF(Sales[[#This Row],[Number of Users]]-Sales[[#This Row],[Licenses Bought]]&lt;0,0,Sales[[#This Row],[Number of Users]]-Sales[[#This Row],[Licenses Bought]])</f>
        <v>7</v>
      </c>
      <c r="P1022" s="8">
        <f>IF(Sales[[#This Row],[Sales Month]]=MAX(Sales[Sales Month]),Sales[[#This Row],[Non-Paying Users]]*Sales[[#This Row],[Upsell $ per Non-Paying User]],0)</f>
        <v>0</v>
      </c>
      <c r="Q1022" t="str" cm="1">
        <f t="array" ref="Q1022">_xlfn.IFS(Sales[[#This Row],[Current Upsell $]]=0,"",Sales[[#This Row],[Current Upsell $]]&gt;=400,"High",Sales[[#This Row],[Current Upsell $]]&gt;=100,"Medium",Sales[[#This Row],[Current Upsell $]]&lt;100,"Low")</f>
        <v/>
      </c>
      <c r="R1022" t="str">
        <f>IF(Sales[[#This Row],[Current Upsell $]]&gt;0,_xlfn.CONCAT(Sales[[#This Row],[Subscription Type]]," ",Sales[[#This Row],[Upsell Priority]]," ",TEXT(Sales[[#This Row],[Current Upsell $]],"$#,#")),"")</f>
        <v/>
      </c>
    </row>
    <row r="1023" spans="1:18" x14ac:dyDescent="0.25">
      <c r="A1023">
        <v>100093</v>
      </c>
      <c r="B1023" t="s">
        <v>3</v>
      </c>
      <c r="F1023">
        <v>0</v>
      </c>
      <c r="G1023">
        <v>7</v>
      </c>
      <c r="H1023" s="1">
        <v>44044</v>
      </c>
      <c r="I1023" s="1">
        <v>44197</v>
      </c>
      <c r="J1023">
        <v>5</v>
      </c>
      <c r="K1023">
        <v>5</v>
      </c>
      <c r="L1023" s="1">
        <v>44075</v>
      </c>
      <c r="M1023">
        <v>0</v>
      </c>
      <c r="N1023" s="8" cm="1">
        <f t="array" ref="N1023">_xlfn.SWITCH(Sales[[#This Row],[Subscription Type]],"Basic",10,"Premium",10,"Business",25,"Enterprise",27)</f>
        <v>10</v>
      </c>
      <c r="O1023">
        <f>IF(Sales[[#This Row],[Number of Users]]-Sales[[#This Row],[Licenses Bought]]&lt;0,0,Sales[[#This Row],[Number of Users]]-Sales[[#This Row],[Licenses Bought]])</f>
        <v>7</v>
      </c>
      <c r="P1023" s="8">
        <f>IF(Sales[[#This Row],[Sales Month]]=MAX(Sales[Sales Month]),Sales[[#This Row],[Non-Paying Users]]*Sales[[#This Row],[Upsell $ per Non-Paying User]],0)</f>
        <v>0</v>
      </c>
      <c r="Q1023" t="str" cm="1">
        <f t="array" ref="Q1023">_xlfn.IFS(Sales[[#This Row],[Current Upsell $]]=0,"",Sales[[#This Row],[Current Upsell $]]&gt;=400,"High",Sales[[#This Row],[Current Upsell $]]&gt;=100,"Medium",Sales[[#This Row],[Current Upsell $]]&lt;100,"Low")</f>
        <v/>
      </c>
      <c r="R1023" t="str">
        <f>IF(Sales[[#This Row],[Current Upsell $]]&gt;0,_xlfn.CONCAT(Sales[[#This Row],[Subscription Type]]," ",Sales[[#This Row],[Upsell Priority]]," ",TEXT(Sales[[#This Row],[Current Upsell $]],"$#,#")),"")</f>
        <v/>
      </c>
    </row>
    <row r="1024" spans="1:18" x14ac:dyDescent="0.25">
      <c r="A1024">
        <v>100093</v>
      </c>
      <c r="B1024" t="s">
        <v>3</v>
      </c>
      <c r="F1024">
        <v>0</v>
      </c>
      <c r="G1024">
        <v>7</v>
      </c>
      <c r="H1024" s="1">
        <v>44044</v>
      </c>
      <c r="I1024" s="1">
        <v>44197</v>
      </c>
      <c r="J1024">
        <v>5</v>
      </c>
      <c r="K1024">
        <v>5</v>
      </c>
      <c r="L1024" s="1">
        <v>44105</v>
      </c>
      <c r="M1024">
        <v>0</v>
      </c>
      <c r="N1024" s="8" cm="1">
        <f t="array" ref="N1024">_xlfn.SWITCH(Sales[[#This Row],[Subscription Type]],"Basic",10,"Premium",10,"Business",25,"Enterprise",27)</f>
        <v>10</v>
      </c>
      <c r="O1024">
        <f>IF(Sales[[#This Row],[Number of Users]]-Sales[[#This Row],[Licenses Bought]]&lt;0,0,Sales[[#This Row],[Number of Users]]-Sales[[#This Row],[Licenses Bought]])</f>
        <v>7</v>
      </c>
      <c r="P1024" s="8">
        <f>IF(Sales[[#This Row],[Sales Month]]=MAX(Sales[Sales Month]),Sales[[#This Row],[Non-Paying Users]]*Sales[[#This Row],[Upsell $ per Non-Paying User]],0)</f>
        <v>0</v>
      </c>
      <c r="Q1024" t="str" cm="1">
        <f t="array" ref="Q1024">_xlfn.IFS(Sales[[#This Row],[Current Upsell $]]=0,"",Sales[[#This Row],[Current Upsell $]]&gt;=400,"High",Sales[[#This Row],[Current Upsell $]]&gt;=100,"Medium",Sales[[#This Row],[Current Upsell $]]&lt;100,"Low")</f>
        <v/>
      </c>
      <c r="R1024" t="str">
        <f>IF(Sales[[#This Row],[Current Upsell $]]&gt;0,_xlfn.CONCAT(Sales[[#This Row],[Subscription Type]]," ",Sales[[#This Row],[Upsell Priority]]," ",TEXT(Sales[[#This Row],[Current Upsell $]],"$#,#")),"")</f>
        <v/>
      </c>
    </row>
    <row r="1025" spans="1:18" x14ac:dyDescent="0.25">
      <c r="A1025">
        <v>100093</v>
      </c>
      <c r="B1025" t="s">
        <v>3</v>
      </c>
      <c r="F1025">
        <v>0</v>
      </c>
      <c r="G1025">
        <v>7</v>
      </c>
      <c r="H1025" s="1">
        <v>44044</v>
      </c>
      <c r="I1025" s="1">
        <v>44197</v>
      </c>
      <c r="J1025">
        <v>5</v>
      </c>
      <c r="K1025">
        <v>5</v>
      </c>
      <c r="L1025" s="1">
        <v>44136</v>
      </c>
      <c r="M1025">
        <v>0</v>
      </c>
      <c r="N1025" s="8" cm="1">
        <f t="array" ref="N1025">_xlfn.SWITCH(Sales[[#This Row],[Subscription Type]],"Basic",10,"Premium",10,"Business",25,"Enterprise",27)</f>
        <v>10</v>
      </c>
      <c r="O1025">
        <f>IF(Sales[[#This Row],[Number of Users]]-Sales[[#This Row],[Licenses Bought]]&lt;0,0,Sales[[#This Row],[Number of Users]]-Sales[[#This Row],[Licenses Bought]])</f>
        <v>7</v>
      </c>
      <c r="P1025" s="8">
        <f>IF(Sales[[#This Row],[Sales Month]]=MAX(Sales[Sales Month]),Sales[[#This Row],[Non-Paying Users]]*Sales[[#This Row],[Upsell $ per Non-Paying User]],0)</f>
        <v>0</v>
      </c>
      <c r="Q1025" t="str" cm="1">
        <f t="array" ref="Q1025">_xlfn.IFS(Sales[[#This Row],[Current Upsell $]]=0,"",Sales[[#This Row],[Current Upsell $]]&gt;=400,"High",Sales[[#This Row],[Current Upsell $]]&gt;=100,"Medium",Sales[[#This Row],[Current Upsell $]]&lt;100,"Low")</f>
        <v/>
      </c>
      <c r="R1025" t="str">
        <f>IF(Sales[[#This Row],[Current Upsell $]]&gt;0,_xlfn.CONCAT(Sales[[#This Row],[Subscription Type]]," ",Sales[[#This Row],[Upsell Priority]]," ",TEXT(Sales[[#This Row],[Current Upsell $]],"$#,#")),"")</f>
        <v/>
      </c>
    </row>
    <row r="1026" spans="1:18" x14ac:dyDescent="0.25">
      <c r="A1026">
        <v>100093</v>
      </c>
      <c r="B1026" t="s">
        <v>3</v>
      </c>
      <c r="F1026">
        <v>0</v>
      </c>
      <c r="G1026">
        <v>7</v>
      </c>
      <c r="H1026" s="1">
        <v>44044</v>
      </c>
      <c r="I1026" s="1">
        <v>44197</v>
      </c>
      <c r="J1026">
        <v>5</v>
      </c>
      <c r="K1026">
        <v>5</v>
      </c>
      <c r="L1026" s="1">
        <v>44166</v>
      </c>
      <c r="M1026">
        <v>0</v>
      </c>
      <c r="N1026" s="8" cm="1">
        <f t="array" ref="N1026">_xlfn.SWITCH(Sales[[#This Row],[Subscription Type]],"Basic",10,"Premium",10,"Business",25,"Enterprise",27)</f>
        <v>10</v>
      </c>
      <c r="O1026">
        <f>IF(Sales[[#This Row],[Number of Users]]-Sales[[#This Row],[Licenses Bought]]&lt;0,0,Sales[[#This Row],[Number of Users]]-Sales[[#This Row],[Licenses Bought]])</f>
        <v>7</v>
      </c>
      <c r="P1026" s="8">
        <f>IF(Sales[[#This Row],[Sales Month]]=MAX(Sales[Sales Month]),Sales[[#This Row],[Non-Paying Users]]*Sales[[#This Row],[Upsell $ per Non-Paying User]],0)</f>
        <v>0</v>
      </c>
      <c r="Q1026" t="str" cm="1">
        <f t="array" ref="Q1026">_xlfn.IFS(Sales[[#This Row],[Current Upsell $]]=0,"",Sales[[#This Row],[Current Upsell $]]&gt;=400,"High",Sales[[#This Row],[Current Upsell $]]&gt;=100,"Medium",Sales[[#This Row],[Current Upsell $]]&lt;100,"Low")</f>
        <v/>
      </c>
      <c r="R1026" t="str">
        <f>IF(Sales[[#This Row],[Current Upsell $]]&gt;0,_xlfn.CONCAT(Sales[[#This Row],[Subscription Type]]," ",Sales[[#This Row],[Upsell Priority]]," ",TEXT(Sales[[#This Row],[Current Upsell $]],"$#,#")),"")</f>
        <v/>
      </c>
    </row>
    <row r="1027" spans="1:18" x14ac:dyDescent="0.25">
      <c r="A1027">
        <v>100093</v>
      </c>
      <c r="B1027" t="s">
        <v>3</v>
      </c>
      <c r="F1027">
        <v>0</v>
      </c>
      <c r="G1027">
        <v>7</v>
      </c>
      <c r="H1027" s="1">
        <v>44044</v>
      </c>
      <c r="I1027" s="1">
        <v>44197</v>
      </c>
      <c r="J1027">
        <v>5</v>
      </c>
      <c r="K1027">
        <v>5</v>
      </c>
      <c r="L1027" s="1">
        <v>44197</v>
      </c>
      <c r="M1027">
        <v>0</v>
      </c>
      <c r="N1027" s="8" cm="1">
        <f t="array" ref="N1027">_xlfn.SWITCH(Sales[[#This Row],[Subscription Type]],"Basic",10,"Premium",10,"Business",25,"Enterprise",27)</f>
        <v>10</v>
      </c>
      <c r="O1027">
        <f>IF(Sales[[#This Row],[Number of Users]]-Sales[[#This Row],[Licenses Bought]]&lt;0,0,Sales[[#This Row],[Number of Users]]-Sales[[#This Row],[Licenses Bought]])</f>
        <v>7</v>
      </c>
      <c r="P1027" s="8">
        <f>IF(Sales[[#This Row],[Sales Month]]=MAX(Sales[Sales Month]),Sales[[#This Row],[Non-Paying Users]]*Sales[[#This Row],[Upsell $ per Non-Paying User]],0)</f>
        <v>0</v>
      </c>
      <c r="Q1027" t="str" cm="1">
        <f t="array" ref="Q1027">_xlfn.IFS(Sales[[#This Row],[Current Upsell $]]=0,"",Sales[[#This Row],[Current Upsell $]]&gt;=400,"High",Sales[[#This Row],[Current Upsell $]]&gt;=100,"Medium",Sales[[#This Row],[Current Upsell $]]&lt;100,"Low")</f>
        <v/>
      </c>
      <c r="R1027" t="str">
        <f>IF(Sales[[#This Row],[Current Upsell $]]&gt;0,_xlfn.CONCAT(Sales[[#This Row],[Subscription Type]]," ",Sales[[#This Row],[Upsell Priority]]," ",TEXT(Sales[[#This Row],[Current Upsell $]],"$#,#")),"")</f>
        <v/>
      </c>
    </row>
    <row r="1028" spans="1:18" x14ac:dyDescent="0.25">
      <c r="A1028">
        <v>100094</v>
      </c>
      <c r="B1028" t="s">
        <v>3</v>
      </c>
      <c r="F1028">
        <v>0</v>
      </c>
      <c r="G1028">
        <v>5</v>
      </c>
      <c r="H1028" s="1">
        <v>44044</v>
      </c>
      <c r="I1028" s="1">
        <v>44287</v>
      </c>
      <c r="J1028">
        <v>8</v>
      </c>
      <c r="K1028">
        <v>2</v>
      </c>
      <c r="L1028" s="1">
        <v>44044</v>
      </c>
      <c r="M1028">
        <v>0</v>
      </c>
      <c r="N1028" s="8" cm="1">
        <f t="array" ref="N1028">_xlfn.SWITCH(Sales[[#This Row],[Subscription Type]],"Basic",10,"Premium",10,"Business",25,"Enterprise",27)</f>
        <v>10</v>
      </c>
      <c r="O1028">
        <f>IF(Sales[[#This Row],[Number of Users]]-Sales[[#This Row],[Licenses Bought]]&lt;0,0,Sales[[#This Row],[Number of Users]]-Sales[[#This Row],[Licenses Bought]])</f>
        <v>5</v>
      </c>
      <c r="P1028" s="8">
        <f>IF(Sales[[#This Row],[Sales Month]]=MAX(Sales[Sales Month]),Sales[[#This Row],[Non-Paying Users]]*Sales[[#This Row],[Upsell $ per Non-Paying User]],0)</f>
        <v>0</v>
      </c>
      <c r="Q1028" t="str" cm="1">
        <f t="array" ref="Q1028">_xlfn.IFS(Sales[[#This Row],[Current Upsell $]]=0,"",Sales[[#This Row],[Current Upsell $]]&gt;=400,"High",Sales[[#This Row],[Current Upsell $]]&gt;=100,"Medium",Sales[[#This Row],[Current Upsell $]]&lt;100,"Low")</f>
        <v/>
      </c>
      <c r="R1028" t="str">
        <f>IF(Sales[[#This Row],[Current Upsell $]]&gt;0,_xlfn.CONCAT(Sales[[#This Row],[Subscription Type]]," ",Sales[[#This Row],[Upsell Priority]]," ",TEXT(Sales[[#This Row],[Current Upsell $]],"$#,#")),"")</f>
        <v/>
      </c>
    </row>
    <row r="1029" spans="1:18" x14ac:dyDescent="0.25">
      <c r="A1029">
        <v>100094</v>
      </c>
      <c r="B1029" t="s">
        <v>0</v>
      </c>
      <c r="F1029">
        <v>2</v>
      </c>
      <c r="G1029">
        <v>6</v>
      </c>
      <c r="H1029" s="1">
        <v>44044</v>
      </c>
      <c r="I1029" s="1">
        <v>44287</v>
      </c>
      <c r="J1029">
        <v>8</v>
      </c>
      <c r="K1029">
        <v>2</v>
      </c>
      <c r="L1029" s="1">
        <v>44075</v>
      </c>
      <c r="M1029">
        <v>20</v>
      </c>
      <c r="N1029" s="8" cm="1">
        <f t="array" ref="N1029">_xlfn.SWITCH(Sales[[#This Row],[Subscription Type]],"Basic",10,"Premium",10,"Business",25,"Enterprise",27)</f>
        <v>10</v>
      </c>
      <c r="O1029">
        <f>IF(Sales[[#This Row],[Number of Users]]-Sales[[#This Row],[Licenses Bought]]&lt;0,0,Sales[[#This Row],[Number of Users]]-Sales[[#This Row],[Licenses Bought]])</f>
        <v>4</v>
      </c>
      <c r="P1029" s="8">
        <f>IF(Sales[[#This Row],[Sales Month]]=MAX(Sales[Sales Month]),Sales[[#This Row],[Non-Paying Users]]*Sales[[#This Row],[Upsell $ per Non-Paying User]],0)</f>
        <v>0</v>
      </c>
      <c r="Q1029" t="str" cm="1">
        <f t="array" ref="Q1029">_xlfn.IFS(Sales[[#This Row],[Current Upsell $]]=0,"",Sales[[#This Row],[Current Upsell $]]&gt;=400,"High",Sales[[#This Row],[Current Upsell $]]&gt;=100,"Medium",Sales[[#This Row],[Current Upsell $]]&lt;100,"Low")</f>
        <v/>
      </c>
      <c r="R1029" t="str">
        <f>IF(Sales[[#This Row],[Current Upsell $]]&gt;0,_xlfn.CONCAT(Sales[[#This Row],[Subscription Type]]," ",Sales[[#This Row],[Upsell Priority]]," ",TEXT(Sales[[#This Row],[Current Upsell $]],"$#,#")),"")</f>
        <v/>
      </c>
    </row>
    <row r="1030" spans="1:18" x14ac:dyDescent="0.25">
      <c r="A1030">
        <v>100094</v>
      </c>
      <c r="B1030" t="s">
        <v>0</v>
      </c>
      <c r="F1030">
        <v>3</v>
      </c>
      <c r="G1030">
        <v>6</v>
      </c>
      <c r="H1030" s="1">
        <v>44044</v>
      </c>
      <c r="I1030" s="1">
        <v>44287</v>
      </c>
      <c r="J1030">
        <v>8</v>
      </c>
      <c r="K1030">
        <v>2</v>
      </c>
      <c r="L1030" s="1">
        <v>44105</v>
      </c>
      <c r="M1030">
        <v>30</v>
      </c>
      <c r="N1030" s="8" cm="1">
        <f t="array" ref="N1030">_xlfn.SWITCH(Sales[[#This Row],[Subscription Type]],"Basic",10,"Premium",10,"Business",25,"Enterprise",27)</f>
        <v>10</v>
      </c>
      <c r="O1030">
        <f>IF(Sales[[#This Row],[Number of Users]]-Sales[[#This Row],[Licenses Bought]]&lt;0,0,Sales[[#This Row],[Number of Users]]-Sales[[#This Row],[Licenses Bought]])</f>
        <v>3</v>
      </c>
      <c r="P1030" s="8">
        <f>IF(Sales[[#This Row],[Sales Month]]=MAX(Sales[Sales Month]),Sales[[#This Row],[Non-Paying Users]]*Sales[[#This Row],[Upsell $ per Non-Paying User]],0)</f>
        <v>0</v>
      </c>
      <c r="Q1030" t="str" cm="1">
        <f t="array" ref="Q1030">_xlfn.IFS(Sales[[#This Row],[Current Upsell $]]=0,"",Sales[[#This Row],[Current Upsell $]]&gt;=400,"High",Sales[[#This Row],[Current Upsell $]]&gt;=100,"Medium",Sales[[#This Row],[Current Upsell $]]&lt;100,"Low")</f>
        <v/>
      </c>
      <c r="R1030" t="str">
        <f>IF(Sales[[#This Row],[Current Upsell $]]&gt;0,_xlfn.CONCAT(Sales[[#This Row],[Subscription Type]]," ",Sales[[#This Row],[Upsell Priority]]," ",TEXT(Sales[[#This Row],[Current Upsell $]],"$#,#")),"")</f>
        <v/>
      </c>
    </row>
    <row r="1031" spans="1:18" x14ac:dyDescent="0.25">
      <c r="A1031">
        <v>100094</v>
      </c>
      <c r="B1031" t="s">
        <v>0</v>
      </c>
      <c r="F1031">
        <v>4</v>
      </c>
      <c r="G1031">
        <v>6</v>
      </c>
      <c r="H1031" s="1">
        <v>44044</v>
      </c>
      <c r="I1031" s="1">
        <v>44287</v>
      </c>
      <c r="J1031">
        <v>8</v>
      </c>
      <c r="K1031">
        <v>2</v>
      </c>
      <c r="L1031" s="1">
        <v>44136</v>
      </c>
      <c r="M1031">
        <v>40</v>
      </c>
      <c r="N1031" s="8" cm="1">
        <f t="array" ref="N1031">_xlfn.SWITCH(Sales[[#This Row],[Subscription Type]],"Basic",10,"Premium",10,"Business",25,"Enterprise",27)</f>
        <v>10</v>
      </c>
      <c r="O1031">
        <f>IF(Sales[[#This Row],[Number of Users]]-Sales[[#This Row],[Licenses Bought]]&lt;0,0,Sales[[#This Row],[Number of Users]]-Sales[[#This Row],[Licenses Bought]])</f>
        <v>2</v>
      </c>
      <c r="P1031" s="8">
        <f>IF(Sales[[#This Row],[Sales Month]]=MAX(Sales[Sales Month]),Sales[[#This Row],[Non-Paying Users]]*Sales[[#This Row],[Upsell $ per Non-Paying User]],0)</f>
        <v>0</v>
      </c>
      <c r="Q1031" t="str" cm="1">
        <f t="array" ref="Q1031">_xlfn.IFS(Sales[[#This Row],[Current Upsell $]]=0,"",Sales[[#This Row],[Current Upsell $]]&gt;=400,"High",Sales[[#This Row],[Current Upsell $]]&gt;=100,"Medium",Sales[[#This Row],[Current Upsell $]]&lt;100,"Low")</f>
        <v/>
      </c>
      <c r="R1031" t="str">
        <f>IF(Sales[[#This Row],[Current Upsell $]]&gt;0,_xlfn.CONCAT(Sales[[#This Row],[Subscription Type]]," ",Sales[[#This Row],[Upsell Priority]]," ",TEXT(Sales[[#This Row],[Current Upsell $]],"$#,#")),"")</f>
        <v/>
      </c>
    </row>
    <row r="1032" spans="1:18" x14ac:dyDescent="0.25">
      <c r="A1032">
        <v>100094</v>
      </c>
      <c r="B1032" t="s">
        <v>0</v>
      </c>
      <c r="F1032">
        <v>4</v>
      </c>
      <c r="G1032">
        <v>6</v>
      </c>
      <c r="H1032" s="1">
        <v>44044</v>
      </c>
      <c r="I1032" s="1">
        <v>44287</v>
      </c>
      <c r="J1032">
        <v>8</v>
      </c>
      <c r="K1032">
        <v>2</v>
      </c>
      <c r="L1032" s="1">
        <v>44166</v>
      </c>
      <c r="M1032">
        <v>40</v>
      </c>
      <c r="N1032" s="8" cm="1">
        <f t="array" ref="N1032">_xlfn.SWITCH(Sales[[#This Row],[Subscription Type]],"Basic",10,"Premium",10,"Business",25,"Enterprise",27)</f>
        <v>10</v>
      </c>
      <c r="O1032">
        <f>IF(Sales[[#This Row],[Number of Users]]-Sales[[#This Row],[Licenses Bought]]&lt;0,0,Sales[[#This Row],[Number of Users]]-Sales[[#This Row],[Licenses Bought]])</f>
        <v>2</v>
      </c>
      <c r="P1032" s="8">
        <f>IF(Sales[[#This Row],[Sales Month]]=MAX(Sales[Sales Month]),Sales[[#This Row],[Non-Paying Users]]*Sales[[#This Row],[Upsell $ per Non-Paying User]],0)</f>
        <v>0</v>
      </c>
      <c r="Q1032" t="str" cm="1">
        <f t="array" ref="Q1032">_xlfn.IFS(Sales[[#This Row],[Current Upsell $]]=0,"",Sales[[#This Row],[Current Upsell $]]&gt;=400,"High",Sales[[#This Row],[Current Upsell $]]&gt;=100,"Medium",Sales[[#This Row],[Current Upsell $]]&lt;100,"Low")</f>
        <v/>
      </c>
      <c r="R1032" t="str">
        <f>IF(Sales[[#This Row],[Current Upsell $]]&gt;0,_xlfn.CONCAT(Sales[[#This Row],[Subscription Type]]," ",Sales[[#This Row],[Upsell Priority]]," ",TEXT(Sales[[#This Row],[Current Upsell $]],"$#,#")),"")</f>
        <v/>
      </c>
    </row>
    <row r="1033" spans="1:18" x14ac:dyDescent="0.25">
      <c r="A1033">
        <v>100094</v>
      </c>
      <c r="B1033" t="s">
        <v>0</v>
      </c>
      <c r="F1033">
        <v>4</v>
      </c>
      <c r="G1033">
        <v>6</v>
      </c>
      <c r="H1033" s="1">
        <v>44044</v>
      </c>
      <c r="I1033" s="1">
        <v>44287</v>
      </c>
      <c r="J1033">
        <v>8</v>
      </c>
      <c r="K1033">
        <v>2</v>
      </c>
      <c r="L1033" s="1">
        <v>44197</v>
      </c>
      <c r="M1033">
        <v>40</v>
      </c>
      <c r="N1033" s="8" cm="1">
        <f t="array" ref="N1033">_xlfn.SWITCH(Sales[[#This Row],[Subscription Type]],"Basic",10,"Premium",10,"Business",25,"Enterprise",27)</f>
        <v>10</v>
      </c>
      <c r="O1033">
        <f>IF(Sales[[#This Row],[Number of Users]]-Sales[[#This Row],[Licenses Bought]]&lt;0,0,Sales[[#This Row],[Number of Users]]-Sales[[#This Row],[Licenses Bought]])</f>
        <v>2</v>
      </c>
      <c r="P1033" s="8">
        <f>IF(Sales[[#This Row],[Sales Month]]=MAX(Sales[Sales Month]),Sales[[#This Row],[Non-Paying Users]]*Sales[[#This Row],[Upsell $ per Non-Paying User]],0)</f>
        <v>0</v>
      </c>
      <c r="Q1033" t="str" cm="1">
        <f t="array" ref="Q1033">_xlfn.IFS(Sales[[#This Row],[Current Upsell $]]=0,"",Sales[[#This Row],[Current Upsell $]]&gt;=400,"High",Sales[[#This Row],[Current Upsell $]]&gt;=100,"Medium",Sales[[#This Row],[Current Upsell $]]&lt;100,"Low")</f>
        <v/>
      </c>
      <c r="R1033" t="str">
        <f>IF(Sales[[#This Row],[Current Upsell $]]&gt;0,_xlfn.CONCAT(Sales[[#This Row],[Subscription Type]]," ",Sales[[#This Row],[Upsell Priority]]," ",TEXT(Sales[[#This Row],[Current Upsell $]],"$#,#")),"")</f>
        <v/>
      </c>
    </row>
    <row r="1034" spans="1:18" x14ac:dyDescent="0.25">
      <c r="A1034">
        <v>100094</v>
      </c>
      <c r="B1034" t="s">
        <v>0</v>
      </c>
      <c r="F1034">
        <v>4</v>
      </c>
      <c r="G1034">
        <v>6</v>
      </c>
      <c r="H1034" s="1">
        <v>44044</v>
      </c>
      <c r="I1034" s="1">
        <v>44287</v>
      </c>
      <c r="J1034">
        <v>8</v>
      </c>
      <c r="K1034">
        <v>2</v>
      </c>
      <c r="L1034" s="1">
        <v>44228</v>
      </c>
      <c r="M1034">
        <v>40</v>
      </c>
      <c r="N1034" s="8" cm="1">
        <f t="array" ref="N1034">_xlfn.SWITCH(Sales[[#This Row],[Subscription Type]],"Basic",10,"Premium",10,"Business",25,"Enterprise",27)</f>
        <v>10</v>
      </c>
      <c r="O1034">
        <f>IF(Sales[[#This Row],[Number of Users]]-Sales[[#This Row],[Licenses Bought]]&lt;0,0,Sales[[#This Row],[Number of Users]]-Sales[[#This Row],[Licenses Bought]])</f>
        <v>2</v>
      </c>
      <c r="P1034" s="8">
        <f>IF(Sales[[#This Row],[Sales Month]]=MAX(Sales[Sales Month]),Sales[[#This Row],[Non-Paying Users]]*Sales[[#This Row],[Upsell $ per Non-Paying User]],0)</f>
        <v>0</v>
      </c>
      <c r="Q1034" t="str" cm="1">
        <f t="array" ref="Q1034">_xlfn.IFS(Sales[[#This Row],[Current Upsell $]]=0,"",Sales[[#This Row],[Current Upsell $]]&gt;=400,"High",Sales[[#This Row],[Current Upsell $]]&gt;=100,"Medium",Sales[[#This Row],[Current Upsell $]]&lt;100,"Low")</f>
        <v/>
      </c>
      <c r="R1034" t="str">
        <f>IF(Sales[[#This Row],[Current Upsell $]]&gt;0,_xlfn.CONCAT(Sales[[#This Row],[Subscription Type]]," ",Sales[[#This Row],[Upsell Priority]]," ",TEXT(Sales[[#This Row],[Current Upsell $]],"$#,#")),"")</f>
        <v/>
      </c>
    </row>
    <row r="1035" spans="1:18" x14ac:dyDescent="0.25">
      <c r="A1035">
        <v>100094</v>
      </c>
      <c r="B1035" t="s">
        <v>0</v>
      </c>
      <c r="F1035">
        <v>4</v>
      </c>
      <c r="G1035">
        <v>6</v>
      </c>
      <c r="H1035" s="1">
        <v>44044</v>
      </c>
      <c r="I1035" s="1">
        <v>44287</v>
      </c>
      <c r="J1035">
        <v>8</v>
      </c>
      <c r="K1035">
        <v>2</v>
      </c>
      <c r="L1035" s="1">
        <v>44256</v>
      </c>
      <c r="M1035">
        <v>40</v>
      </c>
      <c r="N1035" s="8" cm="1">
        <f t="array" ref="N1035">_xlfn.SWITCH(Sales[[#This Row],[Subscription Type]],"Basic",10,"Premium",10,"Business",25,"Enterprise",27)</f>
        <v>10</v>
      </c>
      <c r="O1035">
        <f>IF(Sales[[#This Row],[Number of Users]]-Sales[[#This Row],[Licenses Bought]]&lt;0,0,Sales[[#This Row],[Number of Users]]-Sales[[#This Row],[Licenses Bought]])</f>
        <v>2</v>
      </c>
      <c r="P1035" s="8">
        <f>IF(Sales[[#This Row],[Sales Month]]=MAX(Sales[Sales Month]),Sales[[#This Row],[Non-Paying Users]]*Sales[[#This Row],[Upsell $ per Non-Paying User]],0)</f>
        <v>0</v>
      </c>
      <c r="Q1035" t="str" cm="1">
        <f t="array" ref="Q1035">_xlfn.IFS(Sales[[#This Row],[Current Upsell $]]=0,"",Sales[[#This Row],[Current Upsell $]]&gt;=400,"High",Sales[[#This Row],[Current Upsell $]]&gt;=100,"Medium",Sales[[#This Row],[Current Upsell $]]&lt;100,"Low")</f>
        <v/>
      </c>
      <c r="R1035" t="str">
        <f>IF(Sales[[#This Row],[Current Upsell $]]&gt;0,_xlfn.CONCAT(Sales[[#This Row],[Subscription Type]]," ",Sales[[#This Row],[Upsell Priority]]," ",TEXT(Sales[[#This Row],[Current Upsell $]],"$#,#")),"")</f>
        <v/>
      </c>
    </row>
    <row r="1036" spans="1:18" x14ac:dyDescent="0.25">
      <c r="A1036">
        <v>100094</v>
      </c>
      <c r="B1036" t="s">
        <v>0</v>
      </c>
      <c r="F1036">
        <v>4</v>
      </c>
      <c r="G1036">
        <v>5</v>
      </c>
      <c r="H1036" s="1">
        <v>44044</v>
      </c>
      <c r="I1036" s="1">
        <v>44287</v>
      </c>
      <c r="J1036">
        <v>8</v>
      </c>
      <c r="K1036">
        <v>2</v>
      </c>
      <c r="L1036" s="1">
        <v>44287</v>
      </c>
      <c r="M1036">
        <v>40</v>
      </c>
      <c r="N1036" s="8" cm="1">
        <f t="array" ref="N1036">_xlfn.SWITCH(Sales[[#This Row],[Subscription Type]],"Basic",10,"Premium",10,"Business",25,"Enterprise",27)</f>
        <v>10</v>
      </c>
      <c r="O1036">
        <f>IF(Sales[[#This Row],[Number of Users]]-Sales[[#This Row],[Licenses Bought]]&lt;0,0,Sales[[#This Row],[Number of Users]]-Sales[[#This Row],[Licenses Bought]])</f>
        <v>1</v>
      </c>
      <c r="P1036" s="8">
        <f>IF(Sales[[#This Row],[Sales Month]]=MAX(Sales[Sales Month]),Sales[[#This Row],[Non-Paying Users]]*Sales[[#This Row],[Upsell $ per Non-Paying User]],0)</f>
        <v>0</v>
      </c>
      <c r="Q1036" t="str" cm="1">
        <f t="array" ref="Q1036">_xlfn.IFS(Sales[[#This Row],[Current Upsell $]]=0,"",Sales[[#This Row],[Current Upsell $]]&gt;=400,"High",Sales[[#This Row],[Current Upsell $]]&gt;=100,"Medium",Sales[[#This Row],[Current Upsell $]]&lt;100,"Low")</f>
        <v/>
      </c>
      <c r="R1036" t="str">
        <f>IF(Sales[[#This Row],[Current Upsell $]]&gt;0,_xlfn.CONCAT(Sales[[#This Row],[Subscription Type]]," ",Sales[[#This Row],[Upsell Priority]]," ",TEXT(Sales[[#This Row],[Current Upsell $]],"$#,#")),"")</f>
        <v/>
      </c>
    </row>
    <row r="1037" spans="1:18" x14ac:dyDescent="0.25">
      <c r="A1037">
        <v>100095</v>
      </c>
      <c r="B1037" t="s">
        <v>3</v>
      </c>
      <c r="F1037">
        <v>0</v>
      </c>
      <c r="G1037">
        <v>5</v>
      </c>
      <c r="H1037" s="1">
        <v>44044</v>
      </c>
      <c r="I1037" s="1">
        <v>44197</v>
      </c>
      <c r="J1037">
        <v>5</v>
      </c>
      <c r="K1037">
        <v>5</v>
      </c>
      <c r="L1037" s="1">
        <v>44044</v>
      </c>
      <c r="M1037">
        <v>0</v>
      </c>
      <c r="N1037" s="8" cm="1">
        <f t="array" ref="N1037">_xlfn.SWITCH(Sales[[#This Row],[Subscription Type]],"Basic",10,"Premium",10,"Business",25,"Enterprise",27)</f>
        <v>10</v>
      </c>
      <c r="O1037">
        <f>IF(Sales[[#This Row],[Number of Users]]-Sales[[#This Row],[Licenses Bought]]&lt;0,0,Sales[[#This Row],[Number of Users]]-Sales[[#This Row],[Licenses Bought]])</f>
        <v>5</v>
      </c>
      <c r="P1037" s="8">
        <f>IF(Sales[[#This Row],[Sales Month]]=MAX(Sales[Sales Month]),Sales[[#This Row],[Non-Paying Users]]*Sales[[#This Row],[Upsell $ per Non-Paying User]],0)</f>
        <v>0</v>
      </c>
      <c r="Q1037" t="str" cm="1">
        <f t="array" ref="Q1037">_xlfn.IFS(Sales[[#This Row],[Current Upsell $]]=0,"",Sales[[#This Row],[Current Upsell $]]&gt;=400,"High",Sales[[#This Row],[Current Upsell $]]&gt;=100,"Medium",Sales[[#This Row],[Current Upsell $]]&lt;100,"Low")</f>
        <v/>
      </c>
      <c r="R1037" t="str">
        <f>IF(Sales[[#This Row],[Current Upsell $]]&gt;0,_xlfn.CONCAT(Sales[[#This Row],[Subscription Type]]," ",Sales[[#This Row],[Upsell Priority]]," ",TEXT(Sales[[#This Row],[Current Upsell $]],"$#,#")),"")</f>
        <v/>
      </c>
    </row>
    <row r="1038" spans="1:18" x14ac:dyDescent="0.25">
      <c r="A1038">
        <v>100095</v>
      </c>
      <c r="B1038" t="s">
        <v>3</v>
      </c>
      <c r="F1038">
        <v>0</v>
      </c>
      <c r="G1038">
        <v>6</v>
      </c>
      <c r="H1038" s="1">
        <v>44044</v>
      </c>
      <c r="I1038" s="1">
        <v>44197</v>
      </c>
      <c r="J1038">
        <v>5</v>
      </c>
      <c r="K1038">
        <v>5</v>
      </c>
      <c r="L1038" s="1">
        <v>44075</v>
      </c>
      <c r="M1038">
        <v>0</v>
      </c>
      <c r="N1038" s="8" cm="1">
        <f t="array" ref="N1038">_xlfn.SWITCH(Sales[[#This Row],[Subscription Type]],"Basic",10,"Premium",10,"Business",25,"Enterprise",27)</f>
        <v>10</v>
      </c>
      <c r="O1038">
        <f>IF(Sales[[#This Row],[Number of Users]]-Sales[[#This Row],[Licenses Bought]]&lt;0,0,Sales[[#This Row],[Number of Users]]-Sales[[#This Row],[Licenses Bought]])</f>
        <v>6</v>
      </c>
      <c r="P1038" s="8">
        <f>IF(Sales[[#This Row],[Sales Month]]=MAX(Sales[Sales Month]),Sales[[#This Row],[Non-Paying Users]]*Sales[[#This Row],[Upsell $ per Non-Paying User]],0)</f>
        <v>0</v>
      </c>
      <c r="Q1038" t="str" cm="1">
        <f t="array" ref="Q1038">_xlfn.IFS(Sales[[#This Row],[Current Upsell $]]=0,"",Sales[[#This Row],[Current Upsell $]]&gt;=400,"High",Sales[[#This Row],[Current Upsell $]]&gt;=100,"Medium",Sales[[#This Row],[Current Upsell $]]&lt;100,"Low")</f>
        <v/>
      </c>
      <c r="R1038" t="str">
        <f>IF(Sales[[#This Row],[Current Upsell $]]&gt;0,_xlfn.CONCAT(Sales[[#This Row],[Subscription Type]]," ",Sales[[#This Row],[Upsell Priority]]," ",TEXT(Sales[[#This Row],[Current Upsell $]],"$#,#")),"")</f>
        <v/>
      </c>
    </row>
    <row r="1039" spans="1:18" x14ac:dyDescent="0.25">
      <c r="A1039">
        <v>100095</v>
      </c>
      <c r="B1039" t="s">
        <v>3</v>
      </c>
      <c r="F1039">
        <v>0</v>
      </c>
      <c r="G1039">
        <v>5</v>
      </c>
      <c r="H1039" s="1">
        <v>44044</v>
      </c>
      <c r="I1039" s="1">
        <v>44197</v>
      </c>
      <c r="J1039">
        <v>5</v>
      </c>
      <c r="K1039">
        <v>5</v>
      </c>
      <c r="L1039" s="1">
        <v>44105</v>
      </c>
      <c r="M1039">
        <v>0</v>
      </c>
      <c r="N1039" s="8" cm="1">
        <f t="array" ref="N1039">_xlfn.SWITCH(Sales[[#This Row],[Subscription Type]],"Basic",10,"Premium",10,"Business",25,"Enterprise",27)</f>
        <v>10</v>
      </c>
      <c r="O1039">
        <f>IF(Sales[[#This Row],[Number of Users]]-Sales[[#This Row],[Licenses Bought]]&lt;0,0,Sales[[#This Row],[Number of Users]]-Sales[[#This Row],[Licenses Bought]])</f>
        <v>5</v>
      </c>
      <c r="P1039" s="8">
        <f>IF(Sales[[#This Row],[Sales Month]]=MAX(Sales[Sales Month]),Sales[[#This Row],[Non-Paying Users]]*Sales[[#This Row],[Upsell $ per Non-Paying User]],0)</f>
        <v>0</v>
      </c>
      <c r="Q1039" t="str" cm="1">
        <f t="array" ref="Q1039">_xlfn.IFS(Sales[[#This Row],[Current Upsell $]]=0,"",Sales[[#This Row],[Current Upsell $]]&gt;=400,"High",Sales[[#This Row],[Current Upsell $]]&gt;=100,"Medium",Sales[[#This Row],[Current Upsell $]]&lt;100,"Low")</f>
        <v/>
      </c>
      <c r="R1039" t="str">
        <f>IF(Sales[[#This Row],[Current Upsell $]]&gt;0,_xlfn.CONCAT(Sales[[#This Row],[Subscription Type]]," ",Sales[[#This Row],[Upsell Priority]]," ",TEXT(Sales[[#This Row],[Current Upsell $]],"$#,#")),"")</f>
        <v/>
      </c>
    </row>
    <row r="1040" spans="1:18" x14ac:dyDescent="0.25">
      <c r="A1040">
        <v>100095</v>
      </c>
      <c r="B1040" t="s">
        <v>3</v>
      </c>
      <c r="F1040">
        <v>0</v>
      </c>
      <c r="G1040">
        <v>6</v>
      </c>
      <c r="H1040" s="1">
        <v>44044</v>
      </c>
      <c r="I1040" s="1">
        <v>44197</v>
      </c>
      <c r="J1040">
        <v>5</v>
      </c>
      <c r="K1040">
        <v>5</v>
      </c>
      <c r="L1040" s="1">
        <v>44136</v>
      </c>
      <c r="M1040">
        <v>0</v>
      </c>
      <c r="N1040" s="8" cm="1">
        <f t="array" ref="N1040">_xlfn.SWITCH(Sales[[#This Row],[Subscription Type]],"Basic",10,"Premium",10,"Business",25,"Enterprise",27)</f>
        <v>10</v>
      </c>
      <c r="O1040">
        <f>IF(Sales[[#This Row],[Number of Users]]-Sales[[#This Row],[Licenses Bought]]&lt;0,0,Sales[[#This Row],[Number of Users]]-Sales[[#This Row],[Licenses Bought]])</f>
        <v>6</v>
      </c>
      <c r="P1040" s="8">
        <f>IF(Sales[[#This Row],[Sales Month]]=MAX(Sales[Sales Month]),Sales[[#This Row],[Non-Paying Users]]*Sales[[#This Row],[Upsell $ per Non-Paying User]],0)</f>
        <v>0</v>
      </c>
      <c r="Q1040" t="str" cm="1">
        <f t="array" ref="Q1040">_xlfn.IFS(Sales[[#This Row],[Current Upsell $]]=0,"",Sales[[#This Row],[Current Upsell $]]&gt;=400,"High",Sales[[#This Row],[Current Upsell $]]&gt;=100,"Medium",Sales[[#This Row],[Current Upsell $]]&lt;100,"Low")</f>
        <v/>
      </c>
      <c r="R1040" t="str">
        <f>IF(Sales[[#This Row],[Current Upsell $]]&gt;0,_xlfn.CONCAT(Sales[[#This Row],[Subscription Type]]," ",Sales[[#This Row],[Upsell Priority]]," ",TEXT(Sales[[#This Row],[Current Upsell $]],"$#,#")),"")</f>
        <v/>
      </c>
    </row>
    <row r="1041" spans="1:18" x14ac:dyDescent="0.25">
      <c r="A1041">
        <v>100095</v>
      </c>
      <c r="B1041" t="s">
        <v>3</v>
      </c>
      <c r="F1041">
        <v>0</v>
      </c>
      <c r="G1041">
        <v>5</v>
      </c>
      <c r="H1041" s="1">
        <v>44044</v>
      </c>
      <c r="I1041" s="1">
        <v>44197</v>
      </c>
      <c r="J1041">
        <v>5</v>
      </c>
      <c r="K1041">
        <v>5</v>
      </c>
      <c r="L1041" s="1">
        <v>44166</v>
      </c>
      <c r="M1041">
        <v>0</v>
      </c>
      <c r="N1041" s="8" cm="1">
        <f t="array" ref="N1041">_xlfn.SWITCH(Sales[[#This Row],[Subscription Type]],"Basic",10,"Premium",10,"Business",25,"Enterprise",27)</f>
        <v>10</v>
      </c>
      <c r="O1041">
        <f>IF(Sales[[#This Row],[Number of Users]]-Sales[[#This Row],[Licenses Bought]]&lt;0,0,Sales[[#This Row],[Number of Users]]-Sales[[#This Row],[Licenses Bought]])</f>
        <v>5</v>
      </c>
      <c r="P1041" s="8">
        <f>IF(Sales[[#This Row],[Sales Month]]=MAX(Sales[Sales Month]),Sales[[#This Row],[Non-Paying Users]]*Sales[[#This Row],[Upsell $ per Non-Paying User]],0)</f>
        <v>0</v>
      </c>
      <c r="Q1041" t="str" cm="1">
        <f t="array" ref="Q1041">_xlfn.IFS(Sales[[#This Row],[Current Upsell $]]=0,"",Sales[[#This Row],[Current Upsell $]]&gt;=400,"High",Sales[[#This Row],[Current Upsell $]]&gt;=100,"Medium",Sales[[#This Row],[Current Upsell $]]&lt;100,"Low")</f>
        <v/>
      </c>
      <c r="R1041" t="str">
        <f>IF(Sales[[#This Row],[Current Upsell $]]&gt;0,_xlfn.CONCAT(Sales[[#This Row],[Subscription Type]]," ",Sales[[#This Row],[Upsell Priority]]," ",TEXT(Sales[[#This Row],[Current Upsell $]],"$#,#")),"")</f>
        <v/>
      </c>
    </row>
    <row r="1042" spans="1:18" x14ac:dyDescent="0.25">
      <c r="A1042">
        <v>100095</v>
      </c>
      <c r="B1042" t="s">
        <v>3</v>
      </c>
      <c r="F1042">
        <v>0</v>
      </c>
      <c r="G1042">
        <v>6</v>
      </c>
      <c r="H1042" s="1">
        <v>44044</v>
      </c>
      <c r="I1042" s="1">
        <v>44197</v>
      </c>
      <c r="J1042">
        <v>5</v>
      </c>
      <c r="K1042">
        <v>5</v>
      </c>
      <c r="L1042" s="1">
        <v>44197</v>
      </c>
      <c r="M1042">
        <v>0</v>
      </c>
      <c r="N1042" s="8" cm="1">
        <f t="array" ref="N1042">_xlfn.SWITCH(Sales[[#This Row],[Subscription Type]],"Basic",10,"Premium",10,"Business",25,"Enterprise",27)</f>
        <v>10</v>
      </c>
      <c r="O1042">
        <f>IF(Sales[[#This Row],[Number of Users]]-Sales[[#This Row],[Licenses Bought]]&lt;0,0,Sales[[#This Row],[Number of Users]]-Sales[[#This Row],[Licenses Bought]])</f>
        <v>6</v>
      </c>
      <c r="P1042" s="8">
        <f>IF(Sales[[#This Row],[Sales Month]]=MAX(Sales[Sales Month]),Sales[[#This Row],[Non-Paying Users]]*Sales[[#This Row],[Upsell $ per Non-Paying User]],0)</f>
        <v>0</v>
      </c>
      <c r="Q1042" t="str" cm="1">
        <f t="array" ref="Q1042">_xlfn.IFS(Sales[[#This Row],[Current Upsell $]]=0,"",Sales[[#This Row],[Current Upsell $]]&gt;=400,"High",Sales[[#This Row],[Current Upsell $]]&gt;=100,"Medium",Sales[[#This Row],[Current Upsell $]]&lt;100,"Low")</f>
        <v/>
      </c>
      <c r="R1042" t="str">
        <f>IF(Sales[[#This Row],[Current Upsell $]]&gt;0,_xlfn.CONCAT(Sales[[#This Row],[Subscription Type]]," ",Sales[[#This Row],[Upsell Priority]]," ",TEXT(Sales[[#This Row],[Current Upsell $]],"$#,#")),"")</f>
        <v/>
      </c>
    </row>
    <row r="1043" spans="1:18" x14ac:dyDescent="0.25">
      <c r="A1043">
        <v>100096</v>
      </c>
      <c r="B1043" t="s">
        <v>3</v>
      </c>
      <c r="D1043" s="1"/>
      <c r="E1043" s="1"/>
      <c r="F1043">
        <v>0</v>
      </c>
      <c r="G1043">
        <v>4</v>
      </c>
      <c r="H1043" s="1">
        <v>44044</v>
      </c>
      <c r="I1043" s="1">
        <v>44378</v>
      </c>
      <c r="J1043">
        <v>11</v>
      </c>
      <c r="K1043">
        <v>0</v>
      </c>
      <c r="L1043" s="1">
        <v>44044</v>
      </c>
      <c r="M1043">
        <v>0</v>
      </c>
      <c r="N1043" s="8" cm="1">
        <f t="array" ref="N1043">_xlfn.SWITCH(Sales[[#This Row],[Subscription Type]],"Basic",10,"Premium",10,"Business",25,"Enterprise",27)</f>
        <v>10</v>
      </c>
      <c r="O1043">
        <f>IF(Sales[[#This Row],[Number of Users]]-Sales[[#This Row],[Licenses Bought]]&lt;0,0,Sales[[#This Row],[Number of Users]]-Sales[[#This Row],[Licenses Bought]])</f>
        <v>4</v>
      </c>
      <c r="P1043" s="8">
        <f>IF(Sales[[#This Row],[Sales Month]]=MAX(Sales[Sales Month]),Sales[[#This Row],[Non-Paying Users]]*Sales[[#This Row],[Upsell $ per Non-Paying User]],0)</f>
        <v>0</v>
      </c>
      <c r="Q1043" t="str" cm="1">
        <f t="array" ref="Q1043">_xlfn.IFS(Sales[[#This Row],[Current Upsell $]]=0,"",Sales[[#This Row],[Current Upsell $]]&gt;=400,"High",Sales[[#This Row],[Current Upsell $]]&gt;=100,"Medium",Sales[[#This Row],[Current Upsell $]]&lt;100,"Low")</f>
        <v/>
      </c>
      <c r="R1043" t="str">
        <f>IF(Sales[[#This Row],[Current Upsell $]]&gt;0,_xlfn.CONCAT(Sales[[#This Row],[Subscription Type]]," ",Sales[[#This Row],[Upsell Priority]]," ",TEXT(Sales[[#This Row],[Current Upsell $]],"$#,#")),"")</f>
        <v/>
      </c>
    </row>
    <row r="1044" spans="1:18" x14ac:dyDescent="0.25">
      <c r="A1044">
        <v>100096</v>
      </c>
      <c r="B1044" t="s">
        <v>0</v>
      </c>
      <c r="D1044" s="1"/>
      <c r="E1044" s="1"/>
      <c r="F1044">
        <v>2</v>
      </c>
      <c r="G1044">
        <v>5</v>
      </c>
      <c r="H1044" s="1">
        <v>44044</v>
      </c>
      <c r="I1044" s="1">
        <v>44378</v>
      </c>
      <c r="J1044">
        <v>11</v>
      </c>
      <c r="K1044">
        <v>0</v>
      </c>
      <c r="L1044" s="1">
        <v>44075</v>
      </c>
      <c r="M1044">
        <v>20</v>
      </c>
      <c r="N1044" s="8" cm="1">
        <f t="array" ref="N1044">_xlfn.SWITCH(Sales[[#This Row],[Subscription Type]],"Basic",10,"Premium",10,"Business",25,"Enterprise",27)</f>
        <v>10</v>
      </c>
      <c r="O1044">
        <f>IF(Sales[[#This Row],[Number of Users]]-Sales[[#This Row],[Licenses Bought]]&lt;0,0,Sales[[#This Row],[Number of Users]]-Sales[[#This Row],[Licenses Bought]])</f>
        <v>3</v>
      </c>
      <c r="P1044" s="8">
        <f>IF(Sales[[#This Row],[Sales Month]]=MAX(Sales[Sales Month]),Sales[[#This Row],[Non-Paying Users]]*Sales[[#This Row],[Upsell $ per Non-Paying User]],0)</f>
        <v>0</v>
      </c>
      <c r="Q1044" t="str" cm="1">
        <f t="array" ref="Q1044">_xlfn.IFS(Sales[[#This Row],[Current Upsell $]]=0,"",Sales[[#This Row],[Current Upsell $]]&gt;=400,"High",Sales[[#This Row],[Current Upsell $]]&gt;=100,"Medium",Sales[[#This Row],[Current Upsell $]]&lt;100,"Low")</f>
        <v/>
      </c>
      <c r="R1044" t="str">
        <f>IF(Sales[[#This Row],[Current Upsell $]]&gt;0,_xlfn.CONCAT(Sales[[#This Row],[Subscription Type]]," ",Sales[[#This Row],[Upsell Priority]]," ",TEXT(Sales[[#This Row],[Current Upsell $]],"$#,#")),"")</f>
        <v/>
      </c>
    </row>
    <row r="1045" spans="1:18" x14ac:dyDescent="0.25">
      <c r="A1045">
        <v>100096</v>
      </c>
      <c r="B1045" t="s">
        <v>0</v>
      </c>
      <c r="D1045" s="1"/>
      <c r="E1045" s="1"/>
      <c r="F1045">
        <v>3</v>
      </c>
      <c r="G1045">
        <v>5</v>
      </c>
      <c r="H1045" s="1">
        <v>44044</v>
      </c>
      <c r="I1045" s="1">
        <v>44378</v>
      </c>
      <c r="J1045">
        <v>11</v>
      </c>
      <c r="K1045">
        <v>0</v>
      </c>
      <c r="L1045" s="1">
        <v>44105</v>
      </c>
      <c r="M1045">
        <v>30</v>
      </c>
      <c r="N1045" s="8" cm="1">
        <f t="array" ref="N1045">_xlfn.SWITCH(Sales[[#This Row],[Subscription Type]],"Basic",10,"Premium",10,"Business",25,"Enterprise",27)</f>
        <v>10</v>
      </c>
      <c r="O1045">
        <f>IF(Sales[[#This Row],[Number of Users]]-Sales[[#This Row],[Licenses Bought]]&lt;0,0,Sales[[#This Row],[Number of Users]]-Sales[[#This Row],[Licenses Bought]])</f>
        <v>2</v>
      </c>
      <c r="P1045" s="8">
        <f>IF(Sales[[#This Row],[Sales Month]]=MAX(Sales[Sales Month]),Sales[[#This Row],[Non-Paying Users]]*Sales[[#This Row],[Upsell $ per Non-Paying User]],0)</f>
        <v>0</v>
      </c>
      <c r="Q1045" t="str" cm="1">
        <f t="array" ref="Q1045">_xlfn.IFS(Sales[[#This Row],[Current Upsell $]]=0,"",Sales[[#This Row],[Current Upsell $]]&gt;=400,"High",Sales[[#This Row],[Current Upsell $]]&gt;=100,"Medium",Sales[[#This Row],[Current Upsell $]]&lt;100,"Low")</f>
        <v/>
      </c>
      <c r="R1045" t="str">
        <f>IF(Sales[[#This Row],[Current Upsell $]]&gt;0,_xlfn.CONCAT(Sales[[#This Row],[Subscription Type]]," ",Sales[[#This Row],[Upsell Priority]]," ",TEXT(Sales[[#This Row],[Current Upsell $]],"$#,#")),"")</f>
        <v/>
      </c>
    </row>
    <row r="1046" spans="1:18" x14ac:dyDescent="0.25">
      <c r="A1046">
        <v>100096</v>
      </c>
      <c r="B1046" t="s">
        <v>0</v>
      </c>
      <c r="D1046" s="1"/>
      <c r="E1046" s="1"/>
      <c r="F1046">
        <v>4</v>
      </c>
      <c r="G1046">
        <v>5</v>
      </c>
      <c r="H1046" s="1">
        <v>44044</v>
      </c>
      <c r="I1046" s="1">
        <v>44378</v>
      </c>
      <c r="J1046">
        <v>11</v>
      </c>
      <c r="K1046">
        <v>0</v>
      </c>
      <c r="L1046" s="1">
        <v>44136</v>
      </c>
      <c r="M1046">
        <v>40</v>
      </c>
      <c r="N1046" s="8" cm="1">
        <f t="array" ref="N1046">_xlfn.SWITCH(Sales[[#This Row],[Subscription Type]],"Basic",10,"Premium",10,"Business",25,"Enterprise",27)</f>
        <v>10</v>
      </c>
      <c r="O1046">
        <f>IF(Sales[[#This Row],[Number of Users]]-Sales[[#This Row],[Licenses Bought]]&lt;0,0,Sales[[#This Row],[Number of Users]]-Sales[[#This Row],[Licenses Bought]])</f>
        <v>1</v>
      </c>
      <c r="P1046" s="8">
        <f>IF(Sales[[#This Row],[Sales Month]]=MAX(Sales[Sales Month]),Sales[[#This Row],[Non-Paying Users]]*Sales[[#This Row],[Upsell $ per Non-Paying User]],0)</f>
        <v>0</v>
      </c>
      <c r="Q1046" t="str" cm="1">
        <f t="array" ref="Q1046">_xlfn.IFS(Sales[[#This Row],[Current Upsell $]]=0,"",Sales[[#This Row],[Current Upsell $]]&gt;=400,"High",Sales[[#This Row],[Current Upsell $]]&gt;=100,"Medium",Sales[[#This Row],[Current Upsell $]]&lt;100,"Low")</f>
        <v/>
      </c>
      <c r="R1046" t="str">
        <f>IF(Sales[[#This Row],[Current Upsell $]]&gt;0,_xlfn.CONCAT(Sales[[#This Row],[Subscription Type]]," ",Sales[[#This Row],[Upsell Priority]]," ",TEXT(Sales[[#This Row],[Current Upsell $]],"$#,#")),"")</f>
        <v/>
      </c>
    </row>
    <row r="1047" spans="1:18" x14ac:dyDescent="0.25">
      <c r="A1047">
        <v>100096</v>
      </c>
      <c r="B1047" t="s">
        <v>0</v>
      </c>
      <c r="D1047" s="1"/>
      <c r="E1047" s="1"/>
      <c r="F1047">
        <v>4</v>
      </c>
      <c r="G1047">
        <v>5</v>
      </c>
      <c r="H1047" s="1">
        <v>44044</v>
      </c>
      <c r="I1047" s="1">
        <v>44378</v>
      </c>
      <c r="J1047">
        <v>11</v>
      </c>
      <c r="K1047">
        <v>0</v>
      </c>
      <c r="L1047" s="1">
        <v>44166</v>
      </c>
      <c r="M1047">
        <v>40</v>
      </c>
      <c r="N1047" s="8" cm="1">
        <f t="array" ref="N1047">_xlfn.SWITCH(Sales[[#This Row],[Subscription Type]],"Basic",10,"Premium",10,"Business",25,"Enterprise",27)</f>
        <v>10</v>
      </c>
      <c r="O1047">
        <f>IF(Sales[[#This Row],[Number of Users]]-Sales[[#This Row],[Licenses Bought]]&lt;0,0,Sales[[#This Row],[Number of Users]]-Sales[[#This Row],[Licenses Bought]])</f>
        <v>1</v>
      </c>
      <c r="P1047" s="8">
        <f>IF(Sales[[#This Row],[Sales Month]]=MAX(Sales[Sales Month]),Sales[[#This Row],[Non-Paying Users]]*Sales[[#This Row],[Upsell $ per Non-Paying User]],0)</f>
        <v>0</v>
      </c>
      <c r="Q1047" t="str" cm="1">
        <f t="array" ref="Q1047">_xlfn.IFS(Sales[[#This Row],[Current Upsell $]]=0,"",Sales[[#This Row],[Current Upsell $]]&gt;=400,"High",Sales[[#This Row],[Current Upsell $]]&gt;=100,"Medium",Sales[[#This Row],[Current Upsell $]]&lt;100,"Low")</f>
        <v/>
      </c>
      <c r="R1047" t="str">
        <f>IF(Sales[[#This Row],[Current Upsell $]]&gt;0,_xlfn.CONCAT(Sales[[#This Row],[Subscription Type]]," ",Sales[[#This Row],[Upsell Priority]]," ",TEXT(Sales[[#This Row],[Current Upsell $]],"$#,#")),"")</f>
        <v/>
      </c>
    </row>
    <row r="1048" spans="1:18" x14ac:dyDescent="0.25">
      <c r="A1048">
        <v>100096</v>
      </c>
      <c r="B1048" t="s">
        <v>0</v>
      </c>
      <c r="D1048" s="1"/>
      <c r="E1048" s="1"/>
      <c r="F1048">
        <v>4</v>
      </c>
      <c r="G1048">
        <v>6</v>
      </c>
      <c r="H1048" s="1">
        <v>44044</v>
      </c>
      <c r="I1048" s="1">
        <v>44378</v>
      </c>
      <c r="J1048">
        <v>11</v>
      </c>
      <c r="K1048">
        <v>0</v>
      </c>
      <c r="L1048" s="1">
        <v>44197</v>
      </c>
      <c r="M1048">
        <v>40</v>
      </c>
      <c r="N1048" s="8" cm="1">
        <f t="array" ref="N1048">_xlfn.SWITCH(Sales[[#This Row],[Subscription Type]],"Basic",10,"Premium",10,"Business",25,"Enterprise",27)</f>
        <v>10</v>
      </c>
      <c r="O1048">
        <f>IF(Sales[[#This Row],[Number of Users]]-Sales[[#This Row],[Licenses Bought]]&lt;0,0,Sales[[#This Row],[Number of Users]]-Sales[[#This Row],[Licenses Bought]])</f>
        <v>2</v>
      </c>
      <c r="P1048" s="8">
        <f>IF(Sales[[#This Row],[Sales Month]]=MAX(Sales[Sales Month]),Sales[[#This Row],[Non-Paying Users]]*Sales[[#This Row],[Upsell $ per Non-Paying User]],0)</f>
        <v>0</v>
      </c>
      <c r="Q1048" t="str" cm="1">
        <f t="array" ref="Q1048">_xlfn.IFS(Sales[[#This Row],[Current Upsell $]]=0,"",Sales[[#This Row],[Current Upsell $]]&gt;=400,"High",Sales[[#This Row],[Current Upsell $]]&gt;=100,"Medium",Sales[[#This Row],[Current Upsell $]]&lt;100,"Low")</f>
        <v/>
      </c>
      <c r="R1048" t="str">
        <f>IF(Sales[[#This Row],[Current Upsell $]]&gt;0,_xlfn.CONCAT(Sales[[#This Row],[Subscription Type]]," ",Sales[[#This Row],[Upsell Priority]]," ",TEXT(Sales[[#This Row],[Current Upsell $]],"$#,#")),"")</f>
        <v/>
      </c>
    </row>
    <row r="1049" spans="1:18" x14ac:dyDescent="0.25">
      <c r="A1049">
        <v>100096</v>
      </c>
      <c r="B1049" t="s">
        <v>0</v>
      </c>
      <c r="D1049" s="1"/>
      <c r="E1049" s="1"/>
      <c r="F1049">
        <v>4</v>
      </c>
      <c r="G1049">
        <v>7</v>
      </c>
      <c r="H1049" s="1">
        <v>44044</v>
      </c>
      <c r="I1049" s="1">
        <v>44378</v>
      </c>
      <c r="J1049">
        <v>11</v>
      </c>
      <c r="K1049">
        <v>0</v>
      </c>
      <c r="L1049" s="1">
        <v>44228</v>
      </c>
      <c r="M1049">
        <v>40</v>
      </c>
      <c r="N1049" s="8" cm="1">
        <f t="array" ref="N1049">_xlfn.SWITCH(Sales[[#This Row],[Subscription Type]],"Basic",10,"Premium",10,"Business",25,"Enterprise",27)</f>
        <v>10</v>
      </c>
      <c r="O1049">
        <f>IF(Sales[[#This Row],[Number of Users]]-Sales[[#This Row],[Licenses Bought]]&lt;0,0,Sales[[#This Row],[Number of Users]]-Sales[[#This Row],[Licenses Bought]])</f>
        <v>3</v>
      </c>
      <c r="P1049" s="8">
        <f>IF(Sales[[#This Row],[Sales Month]]=MAX(Sales[Sales Month]),Sales[[#This Row],[Non-Paying Users]]*Sales[[#This Row],[Upsell $ per Non-Paying User]],0)</f>
        <v>0</v>
      </c>
      <c r="Q1049" t="str" cm="1">
        <f t="array" ref="Q1049">_xlfn.IFS(Sales[[#This Row],[Current Upsell $]]=0,"",Sales[[#This Row],[Current Upsell $]]&gt;=400,"High",Sales[[#This Row],[Current Upsell $]]&gt;=100,"Medium",Sales[[#This Row],[Current Upsell $]]&lt;100,"Low")</f>
        <v/>
      </c>
      <c r="R1049" t="str">
        <f>IF(Sales[[#This Row],[Current Upsell $]]&gt;0,_xlfn.CONCAT(Sales[[#This Row],[Subscription Type]]," ",Sales[[#This Row],[Upsell Priority]]," ",TEXT(Sales[[#This Row],[Current Upsell $]],"$#,#")),"")</f>
        <v/>
      </c>
    </row>
    <row r="1050" spans="1:18" x14ac:dyDescent="0.25">
      <c r="A1050">
        <v>100096</v>
      </c>
      <c r="B1050" t="s">
        <v>0</v>
      </c>
      <c r="D1050" s="1"/>
      <c r="E1050" s="1"/>
      <c r="F1050">
        <v>4</v>
      </c>
      <c r="G1050">
        <v>6</v>
      </c>
      <c r="H1050" s="1">
        <v>44044</v>
      </c>
      <c r="I1050" s="1">
        <v>44378</v>
      </c>
      <c r="J1050">
        <v>11</v>
      </c>
      <c r="K1050">
        <v>0</v>
      </c>
      <c r="L1050" s="1">
        <v>44256</v>
      </c>
      <c r="M1050">
        <v>40</v>
      </c>
      <c r="N1050" s="8" cm="1">
        <f t="array" ref="N1050">_xlfn.SWITCH(Sales[[#This Row],[Subscription Type]],"Basic",10,"Premium",10,"Business",25,"Enterprise",27)</f>
        <v>10</v>
      </c>
      <c r="O1050">
        <f>IF(Sales[[#This Row],[Number of Users]]-Sales[[#This Row],[Licenses Bought]]&lt;0,0,Sales[[#This Row],[Number of Users]]-Sales[[#This Row],[Licenses Bought]])</f>
        <v>2</v>
      </c>
      <c r="P1050" s="8">
        <f>IF(Sales[[#This Row],[Sales Month]]=MAX(Sales[Sales Month]),Sales[[#This Row],[Non-Paying Users]]*Sales[[#This Row],[Upsell $ per Non-Paying User]],0)</f>
        <v>0</v>
      </c>
      <c r="Q1050" t="str" cm="1">
        <f t="array" ref="Q1050">_xlfn.IFS(Sales[[#This Row],[Current Upsell $]]=0,"",Sales[[#This Row],[Current Upsell $]]&gt;=400,"High",Sales[[#This Row],[Current Upsell $]]&gt;=100,"Medium",Sales[[#This Row],[Current Upsell $]]&lt;100,"Low")</f>
        <v/>
      </c>
      <c r="R1050" t="str">
        <f>IF(Sales[[#This Row],[Current Upsell $]]&gt;0,_xlfn.CONCAT(Sales[[#This Row],[Subscription Type]]," ",Sales[[#This Row],[Upsell Priority]]," ",TEXT(Sales[[#This Row],[Current Upsell $]],"$#,#")),"")</f>
        <v/>
      </c>
    </row>
    <row r="1051" spans="1:18" x14ac:dyDescent="0.25">
      <c r="A1051">
        <v>100096</v>
      </c>
      <c r="B1051" t="s">
        <v>0</v>
      </c>
      <c r="D1051" s="1"/>
      <c r="E1051" s="1"/>
      <c r="F1051">
        <v>4</v>
      </c>
      <c r="G1051">
        <v>5</v>
      </c>
      <c r="H1051" s="1">
        <v>44044</v>
      </c>
      <c r="I1051" s="1">
        <v>44378</v>
      </c>
      <c r="J1051">
        <v>11</v>
      </c>
      <c r="K1051">
        <v>0</v>
      </c>
      <c r="L1051" s="1">
        <v>44287</v>
      </c>
      <c r="M1051">
        <v>40</v>
      </c>
      <c r="N1051" s="8" cm="1">
        <f t="array" ref="N1051">_xlfn.SWITCH(Sales[[#This Row],[Subscription Type]],"Basic",10,"Premium",10,"Business",25,"Enterprise",27)</f>
        <v>10</v>
      </c>
      <c r="O1051">
        <f>IF(Sales[[#This Row],[Number of Users]]-Sales[[#This Row],[Licenses Bought]]&lt;0,0,Sales[[#This Row],[Number of Users]]-Sales[[#This Row],[Licenses Bought]])</f>
        <v>1</v>
      </c>
      <c r="P1051" s="8">
        <f>IF(Sales[[#This Row],[Sales Month]]=MAX(Sales[Sales Month]),Sales[[#This Row],[Non-Paying Users]]*Sales[[#This Row],[Upsell $ per Non-Paying User]],0)</f>
        <v>0</v>
      </c>
      <c r="Q1051" t="str" cm="1">
        <f t="array" ref="Q1051">_xlfn.IFS(Sales[[#This Row],[Current Upsell $]]=0,"",Sales[[#This Row],[Current Upsell $]]&gt;=400,"High",Sales[[#This Row],[Current Upsell $]]&gt;=100,"Medium",Sales[[#This Row],[Current Upsell $]]&lt;100,"Low")</f>
        <v/>
      </c>
      <c r="R1051" t="str">
        <f>IF(Sales[[#This Row],[Current Upsell $]]&gt;0,_xlfn.CONCAT(Sales[[#This Row],[Subscription Type]]," ",Sales[[#This Row],[Upsell Priority]]," ",TEXT(Sales[[#This Row],[Current Upsell $]],"$#,#")),"")</f>
        <v/>
      </c>
    </row>
    <row r="1052" spans="1:18" x14ac:dyDescent="0.25">
      <c r="A1052">
        <v>100096</v>
      </c>
      <c r="B1052" t="s">
        <v>0</v>
      </c>
      <c r="D1052" s="1"/>
      <c r="E1052" s="1"/>
      <c r="F1052">
        <v>4</v>
      </c>
      <c r="G1052">
        <v>5</v>
      </c>
      <c r="H1052" s="1">
        <v>44044</v>
      </c>
      <c r="I1052" s="1">
        <v>44378</v>
      </c>
      <c r="J1052">
        <v>11</v>
      </c>
      <c r="K1052">
        <v>0</v>
      </c>
      <c r="L1052" s="1">
        <v>44317</v>
      </c>
      <c r="M1052">
        <v>40</v>
      </c>
      <c r="N1052" s="8" cm="1">
        <f t="array" ref="N1052">_xlfn.SWITCH(Sales[[#This Row],[Subscription Type]],"Basic",10,"Premium",10,"Business",25,"Enterprise",27)</f>
        <v>10</v>
      </c>
      <c r="O1052">
        <f>IF(Sales[[#This Row],[Number of Users]]-Sales[[#This Row],[Licenses Bought]]&lt;0,0,Sales[[#This Row],[Number of Users]]-Sales[[#This Row],[Licenses Bought]])</f>
        <v>1</v>
      </c>
      <c r="P1052" s="8">
        <f>IF(Sales[[#This Row],[Sales Month]]=MAX(Sales[Sales Month]),Sales[[#This Row],[Non-Paying Users]]*Sales[[#This Row],[Upsell $ per Non-Paying User]],0)</f>
        <v>0</v>
      </c>
      <c r="Q1052" t="str" cm="1">
        <f t="array" ref="Q1052">_xlfn.IFS(Sales[[#This Row],[Current Upsell $]]=0,"",Sales[[#This Row],[Current Upsell $]]&gt;=400,"High",Sales[[#This Row],[Current Upsell $]]&gt;=100,"Medium",Sales[[#This Row],[Current Upsell $]]&lt;100,"Low")</f>
        <v/>
      </c>
      <c r="R1052" t="str">
        <f>IF(Sales[[#This Row],[Current Upsell $]]&gt;0,_xlfn.CONCAT(Sales[[#This Row],[Subscription Type]]," ",Sales[[#This Row],[Upsell Priority]]," ",TEXT(Sales[[#This Row],[Current Upsell $]],"$#,#")),"")</f>
        <v/>
      </c>
    </row>
    <row r="1053" spans="1:18" x14ac:dyDescent="0.25">
      <c r="A1053">
        <v>100096</v>
      </c>
      <c r="B1053" t="s">
        <v>0</v>
      </c>
      <c r="D1053" s="1"/>
      <c r="E1053" s="1"/>
      <c r="F1053">
        <v>4</v>
      </c>
      <c r="G1053">
        <v>6</v>
      </c>
      <c r="H1053" s="1">
        <v>44044</v>
      </c>
      <c r="I1053" s="1">
        <v>44378</v>
      </c>
      <c r="J1053">
        <v>11</v>
      </c>
      <c r="K1053">
        <v>0</v>
      </c>
      <c r="L1053" s="1">
        <v>44348</v>
      </c>
      <c r="M1053">
        <v>40</v>
      </c>
      <c r="N1053" s="8" cm="1">
        <f t="array" ref="N1053">_xlfn.SWITCH(Sales[[#This Row],[Subscription Type]],"Basic",10,"Premium",10,"Business",25,"Enterprise",27)</f>
        <v>10</v>
      </c>
      <c r="O1053">
        <f>IF(Sales[[#This Row],[Number of Users]]-Sales[[#This Row],[Licenses Bought]]&lt;0,0,Sales[[#This Row],[Number of Users]]-Sales[[#This Row],[Licenses Bought]])</f>
        <v>2</v>
      </c>
      <c r="P1053" s="8">
        <f>IF(Sales[[#This Row],[Sales Month]]=MAX(Sales[Sales Month]),Sales[[#This Row],[Non-Paying Users]]*Sales[[#This Row],[Upsell $ per Non-Paying User]],0)</f>
        <v>20</v>
      </c>
      <c r="Q1053" t="str" cm="1">
        <f t="array" ref="Q1053">_xlfn.IFS(Sales[[#This Row],[Current Upsell $]]=0,"",Sales[[#This Row],[Current Upsell $]]&gt;=400,"High",Sales[[#This Row],[Current Upsell $]]&gt;=100,"Medium",Sales[[#This Row],[Current Upsell $]]&lt;100,"Low")</f>
        <v>Low</v>
      </c>
      <c r="R1053" t="str">
        <f>IF(Sales[[#This Row],[Current Upsell $]]&gt;0,_xlfn.CONCAT(Sales[[#This Row],[Subscription Type]]," ",Sales[[#This Row],[Upsell Priority]]," ",TEXT(Sales[[#This Row],[Current Upsell $]],"$#,#")),"")</f>
        <v>Premium Low $20</v>
      </c>
    </row>
    <row r="1054" spans="1:18" x14ac:dyDescent="0.25">
      <c r="A1054">
        <v>100097</v>
      </c>
      <c r="B1054" t="s">
        <v>3</v>
      </c>
      <c r="F1054">
        <v>0</v>
      </c>
      <c r="G1054">
        <v>4</v>
      </c>
      <c r="H1054" s="1">
        <v>44044</v>
      </c>
      <c r="I1054" s="1">
        <v>44136</v>
      </c>
      <c r="J1054">
        <v>3</v>
      </c>
      <c r="K1054">
        <v>7</v>
      </c>
      <c r="L1054" s="1">
        <v>44044</v>
      </c>
      <c r="M1054">
        <v>0</v>
      </c>
      <c r="N1054" s="8" cm="1">
        <f t="array" ref="N1054">_xlfn.SWITCH(Sales[[#This Row],[Subscription Type]],"Basic",10,"Premium",10,"Business",25,"Enterprise",27)</f>
        <v>10</v>
      </c>
      <c r="O1054">
        <f>IF(Sales[[#This Row],[Number of Users]]-Sales[[#This Row],[Licenses Bought]]&lt;0,0,Sales[[#This Row],[Number of Users]]-Sales[[#This Row],[Licenses Bought]])</f>
        <v>4</v>
      </c>
      <c r="P1054" s="8">
        <f>IF(Sales[[#This Row],[Sales Month]]=MAX(Sales[Sales Month]),Sales[[#This Row],[Non-Paying Users]]*Sales[[#This Row],[Upsell $ per Non-Paying User]],0)</f>
        <v>0</v>
      </c>
      <c r="Q1054" t="str" cm="1">
        <f t="array" ref="Q1054">_xlfn.IFS(Sales[[#This Row],[Current Upsell $]]=0,"",Sales[[#This Row],[Current Upsell $]]&gt;=400,"High",Sales[[#This Row],[Current Upsell $]]&gt;=100,"Medium",Sales[[#This Row],[Current Upsell $]]&lt;100,"Low")</f>
        <v/>
      </c>
      <c r="R1054" t="str">
        <f>IF(Sales[[#This Row],[Current Upsell $]]&gt;0,_xlfn.CONCAT(Sales[[#This Row],[Subscription Type]]," ",Sales[[#This Row],[Upsell Priority]]," ",TEXT(Sales[[#This Row],[Current Upsell $]],"$#,#")),"")</f>
        <v/>
      </c>
    </row>
    <row r="1055" spans="1:18" x14ac:dyDescent="0.25">
      <c r="A1055">
        <v>100097</v>
      </c>
      <c r="B1055" t="s">
        <v>3</v>
      </c>
      <c r="F1055">
        <v>0</v>
      </c>
      <c r="G1055">
        <v>4</v>
      </c>
      <c r="H1055" s="1">
        <v>44044</v>
      </c>
      <c r="I1055" s="1">
        <v>44136</v>
      </c>
      <c r="J1055">
        <v>3</v>
      </c>
      <c r="K1055">
        <v>7</v>
      </c>
      <c r="L1055" s="1">
        <v>44075</v>
      </c>
      <c r="M1055">
        <v>0</v>
      </c>
      <c r="N1055" s="8" cm="1">
        <f t="array" ref="N1055">_xlfn.SWITCH(Sales[[#This Row],[Subscription Type]],"Basic",10,"Premium",10,"Business",25,"Enterprise",27)</f>
        <v>10</v>
      </c>
      <c r="O1055">
        <f>IF(Sales[[#This Row],[Number of Users]]-Sales[[#This Row],[Licenses Bought]]&lt;0,0,Sales[[#This Row],[Number of Users]]-Sales[[#This Row],[Licenses Bought]])</f>
        <v>4</v>
      </c>
      <c r="P1055" s="8">
        <f>IF(Sales[[#This Row],[Sales Month]]=MAX(Sales[Sales Month]),Sales[[#This Row],[Non-Paying Users]]*Sales[[#This Row],[Upsell $ per Non-Paying User]],0)</f>
        <v>0</v>
      </c>
      <c r="Q1055" t="str" cm="1">
        <f t="array" ref="Q1055">_xlfn.IFS(Sales[[#This Row],[Current Upsell $]]=0,"",Sales[[#This Row],[Current Upsell $]]&gt;=400,"High",Sales[[#This Row],[Current Upsell $]]&gt;=100,"Medium",Sales[[#This Row],[Current Upsell $]]&lt;100,"Low")</f>
        <v/>
      </c>
      <c r="R1055" t="str">
        <f>IF(Sales[[#This Row],[Current Upsell $]]&gt;0,_xlfn.CONCAT(Sales[[#This Row],[Subscription Type]]," ",Sales[[#This Row],[Upsell Priority]]," ",TEXT(Sales[[#This Row],[Current Upsell $]],"$#,#")),"")</f>
        <v/>
      </c>
    </row>
    <row r="1056" spans="1:18" x14ac:dyDescent="0.25">
      <c r="A1056">
        <v>100097</v>
      </c>
      <c r="B1056" t="s">
        <v>3</v>
      </c>
      <c r="F1056">
        <v>0</v>
      </c>
      <c r="G1056">
        <v>3</v>
      </c>
      <c r="H1056" s="1">
        <v>44044</v>
      </c>
      <c r="I1056" s="1">
        <v>44136</v>
      </c>
      <c r="J1056">
        <v>3</v>
      </c>
      <c r="K1056">
        <v>7</v>
      </c>
      <c r="L1056" s="1">
        <v>44105</v>
      </c>
      <c r="M1056">
        <v>0</v>
      </c>
      <c r="N1056" s="8" cm="1">
        <f t="array" ref="N1056">_xlfn.SWITCH(Sales[[#This Row],[Subscription Type]],"Basic",10,"Premium",10,"Business",25,"Enterprise",27)</f>
        <v>10</v>
      </c>
      <c r="O1056">
        <f>IF(Sales[[#This Row],[Number of Users]]-Sales[[#This Row],[Licenses Bought]]&lt;0,0,Sales[[#This Row],[Number of Users]]-Sales[[#This Row],[Licenses Bought]])</f>
        <v>3</v>
      </c>
      <c r="P1056" s="8">
        <f>IF(Sales[[#This Row],[Sales Month]]=MAX(Sales[Sales Month]),Sales[[#This Row],[Non-Paying Users]]*Sales[[#This Row],[Upsell $ per Non-Paying User]],0)</f>
        <v>0</v>
      </c>
      <c r="Q1056" t="str" cm="1">
        <f t="array" ref="Q1056">_xlfn.IFS(Sales[[#This Row],[Current Upsell $]]=0,"",Sales[[#This Row],[Current Upsell $]]&gt;=400,"High",Sales[[#This Row],[Current Upsell $]]&gt;=100,"Medium",Sales[[#This Row],[Current Upsell $]]&lt;100,"Low")</f>
        <v/>
      </c>
      <c r="R1056" t="str">
        <f>IF(Sales[[#This Row],[Current Upsell $]]&gt;0,_xlfn.CONCAT(Sales[[#This Row],[Subscription Type]]," ",Sales[[#This Row],[Upsell Priority]]," ",TEXT(Sales[[#This Row],[Current Upsell $]],"$#,#")),"")</f>
        <v/>
      </c>
    </row>
    <row r="1057" spans="1:18" x14ac:dyDescent="0.25">
      <c r="A1057">
        <v>100097</v>
      </c>
      <c r="B1057" t="s">
        <v>3</v>
      </c>
      <c r="F1057">
        <v>0</v>
      </c>
      <c r="G1057">
        <v>4</v>
      </c>
      <c r="H1057" s="1">
        <v>44044</v>
      </c>
      <c r="I1057" s="1">
        <v>44136</v>
      </c>
      <c r="J1057">
        <v>3</v>
      </c>
      <c r="K1057">
        <v>7</v>
      </c>
      <c r="L1057" s="1">
        <v>44136</v>
      </c>
      <c r="M1057">
        <v>0</v>
      </c>
      <c r="N1057" s="8" cm="1">
        <f t="array" ref="N1057">_xlfn.SWITCH(Sales[[#This Row],[Subscription Type]],"Basic",10,"Premium",10,"Business",25,"Enterprise",27)</f>
        <v>10</v>
      </c>
      <c r="O1057">
        <f>IF(Sales[[#This Row],[Number of Users]]-Sales[[#This Row],[Licenses Bought]]&lt;0,0,Sales[[#This Row],[Number of Users]]-Sales[[#This Row],[Licenses Bought]])</f>
        <v>4</v>
      </c>
      <c r="P1057" s="8">
        <f>IF(Sales[[#This Row],[Sales Month]]=MAX(Sales[Sales Month]),Sales[[#This Row],[Non-Paying Users]]*Sales[[#This Row],[Upsell $ per Non-Paying User]],0)</f>
        <v>0</v>
      </c>
      <c r="Q1057" t="str" cm="1">
        <f t="array" ref="Q1057">_xlfn.IFS(Sales[[#This Row],[Current Upsell $]]=0,"",Sales[[#This Row],[Current Upsell $]]&gt;=400,"High",Sales[[#This Row],[Current Upsell $]]&gt;=100,"Medium",Sales[[#This Row],[Current Upsell $]]&lt;100,"Low")</f>
        <v/>
      </c>
      <c r="R1057" t="str">
        <f>IF(Sales[[#This Row],[Current Upsell $]]&gt;0,_xlfn.CONCAT(Sales[[#This Row],[Subscription Type]]," ",Sales[[#This Row],[Upsell Priority]]," ",TEXT(Sales[[#This Row],[Current Upsell $]],"$#,#")),"")</f>
        <v/>
      </c>
    </row>
    <row r="1058" spans="1:18" x14ac:dyDescent="0.25">
      <c r="A1058">
        <v>100098</v>
      </c>
      <c r="B1058" t="s">
        <v>3</v>
      </c>
      <c r="F1058">
        <v>0</v>
      </c>
      <c r="G1058">
        <v>3</v>
      </c>
      <c r="H1058" s="1">
        <v>44044</v>
      </c>
      <c r="I1058" s="1">
        <v>44197</v>
      </c>
      <c r="J1058">
        <v>5</v>
      </c>
      <c r="K1058">
        <v>5</v>
      </c>
      <c r="L1058" s="1">
        <v>44044</v>
      </c>
      <c r="M1058">
        <v>0</v>
      </c>
      <c r="N1058" s="8" cm="1">
        <f t="array" ref="N1058">_xlfn.SWITCH(Sales[[#This Row],[Subscription Type]],"Basic",10,"Premium",10,"Business",25,"Enterprise",27)</f>
        <v>10</v>
      </c>
      <c r="O1058">
        <f>IF(Sales[[#This Row],[Number of Users]]-Sales[[#This Row],[Licenses Bought]]&lt;0,0,Sales[[#This Row],[Number of Users]]-Sales[[#This Row],[Licenses Bought]])</f>
        <v>3</v>
      </c>
      <c r="P1058" s="8">
        <f>IF(Sales[[#This Row],[Sales Month]]=MAX(Sales[Sales Month]),Sales[[#This Row],[Non-Paying Users]]*Sales[[#This Row],[Upsell $ per Non-Paying User]],0)</f>
        <v>0</v>
      </c>
      <c r="Q1058" t="str" cm="1">
        <f t="array" ref="Q1058">_xlfn.IFS(Sales[[#This Row],[Current Upsell $]]=0,"",Sales[[#This Row],[Current Upsell $]]&gt;=400,"High",Sales[[#This Row],[Current Upsell $]]&gt;=100,"Medium",Sales[[#This Row],[Current Upsell $]]&lt;100,"Low")</f>
        <v/>
      </c>
      <c r="R1058" t="str">
        <f>IF(Sales[[#This Row],[Current Upsell $]]&gt;0,_xlfn.CONCAT(Sales[[#This Row],[Subscription Type]]," ",Sales[[#This Row],[Upsell Priority]]," ",TEXT(Sales[[#This Row],[Current Upsell $]],"$#,#")),"")</f>
        <v/>
      </c>
    </row>
    <row r="1059" spans="1:18" x14ac:dyDescent="0.25">
      <c r="A1059">
        <v>100098</v>
      </c>
      <c r="B1059" t="s">
        <v>3</v>
      </c>
      <c r="F1059">
        <v>0</v>
      </c>
      <c r="G1059">
        <v>3</v>
      </c>
      <c r="H1059" s="1">
        <v>44044</v>
      </c>
      <c r="I1059" s="1">
        <v>44197</v>
      </c>
      <c r="J1059">
        <v>5</v>
      </c>
      <c r="K1059">
        <v>5</v>
      </c>
      <c r="L1059" s="1">
        <v>44075</v>
      </c>
      <c r="M1059">
        <v>0</v>
      </c>
      <c r="N1059" s="8" cm="1">
        <f t="array" ref="N1059">_xlfn.SWITCH(Sales[[#This Row],[Subscription Type]],"Basic",10,"Premium",10,"Business",25,"Enterprise",27)</f>
        <v>10</v>
      </c>
      <c r="O1059">
        <f>IF(Sales[[#This Row],[Number of Users]]-Sales[[#This Row],[Licenses Bought]]&lt;0,0,Sales[[#This Row],[Number of Users]]-Sales[[#This Row],[Licenses Bought]])</f>
        <v>3</v>
      </c>
      <c r="P1059" s="8">
        <f>IF(Sales[[#This Row],[Sales Month]]=MAX(Sales[Sales Month]),Sales[[#This Row],[Non-Paying Users]]*Sales[[#This Row],[Upsell $ per Non-Paying User]],0)</f>
        <v>0</v>
      </c>
      <c r="Q1059" t="str" cm="1">
        <f t="array" ref="Q1059">_xlfn.IFS(Sales[[#This Row],[Current Upsell $]]=0,"",Sales[[#This Row],[Current Upsell $]]&gt;=400,"High",Sales[[#This Row],[Current Upsell $]]&gt;=100,"Medium",Sales[[#This Row],[Current Upsell $]]&lt;100,"Low")</f>
        <v/>
      </c>
      <c r="R1059" t="str">
        <f>IF(Sales[[#This Row],[Current Upsell $]]&gt;0,_xlfn.CONCAT(Sales[[#This Row],[Subscription Type]]," ",Sales[[#This Row],[Upsell Priority]]," ",TEXT(Sales[[#This Row],[Current Upsell $]],"$#,#")),"")</f>
        <v/>
      </c>
    </row>
    <row r="1060" spans="1:18" x14ac:dyDescent="0.25">
      <c r="A1060">
        <v>100098</v>
      </c>
      <c r="B1060" t="s">
        <v>3</v>
      </c>
      <c r="F1060">
        <v>0</v>
      </c>
      <c r="G1060">
        <v>3</v>
      </c>
      <c r="H1060" s="1">
        <v>44044</v>
      </c>
      <c r="I1060" s="1">
        <v>44197</v>
      </c>
      <c r="J1060">
        <v>5</v>
      </c>
      <c r="K1060">
        <v>5</v>
      </c>
      <c r="L1060" s="1">
        <v>44105</v>
      </c>
      <c r="M1060">
        <v>0</v>
      </c>
      <c r="N1060" s="8" cm="1">
        <f t="array" ref="N1060">_xlfn.SWITCH(Sales[[#This Row],[Subscription Type]],"Basic",10,"Premium",10,"Business",25,"Enterprise",27)</f>
        <v>10</v>
      </c>
      <c r="O1060">
        <f>IF(Sales[[#This Row],[Number of Users]]-Sales[[#This Row],[Licenses Bought]]&lt;0,0,Sales[[#This Row],[Number of Users]]-Sales[[#This Row],[Licenses Bought]])</f>
        <v>3</v>
      </c>
      <c r="P1060" s="8">
        <f>IF(Sales[[#This Row],[Sales Month]]=MAX(Sales[Sales Month]),Sales[[#This Row],[Non-Paying Users]]*Sales[[#This Row],[Upsell $ per Non-Paying User]],0)</f>
        <v>0</v>
      </c>
      <c r="Q1060" t="str" cm="1">
        <f t="array" ref="Q1060">_xlfn.IFS(Sales[[#This Row],[Current Upsell $]]=0,"",Sales[[#This Row],[Current Upsell $]]&gt;=400,"High",Sales[[#This Row],[Current Upsell $]]&gt;=100,"Medium",Sales[[#This Row],[Current Upsell $]]&lt;100,"Low")</f>
        <v/>
      </c>
      <c r="R1060" t="str">
        <f>IF(Sales[[#This Row],[Current Upsell $]]&gt;0,_xlfn.CONCAT(Sales[[#This Row],[Subscription Type]]," ",Sales[[#This Row],[Upsell Priority]]," ",TEXT(Sales[[#This Row],[Current Upsell $]],"$#,#")),"")</f>
        <v/>
      </c>
    </row>
    <row r="1061" spans="1:18" x14ac:dyDescent="0.25">
      <c r="A1061">
        <v>100098</v>
      </c>
      <c r="B1061" t="s">
        <v>3</v>
      </c>
      <c r="F1061">
        <v>0</v>
      </c>
      <c r="G1061">
        <v>3</v>
      </c>
      <c r="H1061" s="1">
        <v>44044</v>
      </c>
      <c r="I1061" s="1">
        <v>44197</v>
      </c>
      <c r="J1061">
        <v>5</v>
      </c>
      <c r="K1061">
        <v>5</v>
      </c>
      <c r="L1061" s="1">
        <v>44136</v>
      </c>
      <c r="M1061">
        <v>0</v>
      </c>
      <c r="N1061" s="8" cm="1">
        <f t="array" ref="N1061">_xlfn.SWITCH(Sales[[#This Row],[Subscription Type]],"Basic",10,"Premium",10,"Business",25,"Enterprise",27)</f>
        <v>10</v>
      </c>
      <c r="O1061">
        <f>IF(Sales[[#This Row],[Number of Users]]-Sales[[#This Row],[Licenses Bought]]&lt;0,0,Sales[[#This Row],[Number of Users]]-Sales[[#This Row],[Licenses Bought]])</f>
        <v>3</v>
      </c>
      <c r="P1061" s="8">
        <f>IF(Sales[[#This Row],[Sales Month]]=MAX(Sales[Sales Month]),Sales[[#This Row],[Non-Paying Users]]*Sales[[#This Row],[Upsell $ per Non-Paying User]],0)</f>
        <v>0</v>
      </c>
      <c r="Q1061" t="str" cm="1">
        <f t="array" ref="Q1061">_xlfn.IFS(Sales[[#This Row],[Current Upsell $]]=0,"",Sales[[#This Row],[Current Upsell $]]&gt;=400,"High",Sales[[#This Row],[Current Upsell $]]&gt;=100,"Medium",Sales[[#This Row],[Current Upsell $]]&lt;100,"Low")</f>
        <v/>
      </c>
      <c r="R1061" t="str">
        <f>IF(Sales[[#This Row],[Current Upsell $]]&gt;0,_xlfn.CONCAT(Sales[[#This Row],[Subscription Type]]," ",Sales[[#This Row],[Upsell Priority]]," ",TEXT(Sales[[#This Row],[Current Upsell $]],"$#,#")),"")</f>
        <v/>
      </c>
    </row>
    <row r="1062" spans="1:18" x14ac:dyDescent="0.25">
      <c r="A1062">
        <v>100098</v>
      </c>
      <c r="B1062" t="s">
        <v>3</v>
      </c>
      <c r="F1062">
        <v>0</v>
      </c>
      <c r="G1062">
        <v>3</v>
      </c>
      <c r="H1062" s="1">
        <v>44044</v>
      </c>
      <c r="I1062" s="1">
        <v>44197</v>
      </c>
      <c r="J1062">
        <v>5</v>
      </c>
      <c r="K1062">
        <v>5</v>
      </c>
      <c r="L1062" s="1">
        <v>44166</v>
      </c>
      <c r="M1062">
        <v>0</v>
      </c>
      <c r="N1062" s="8" cm="1">
        <f t="array" ref="N1062">_xlfn.SWITCH(Sales[[#This Row],[Subscription Type]],"Basic",10,"Premium",10,"Business",25,"Enterprise",27)</f>
        <v>10</v>
      </c>
      <c r="O1062">
        <f>IF(Sales[[#This Row],[Number of Users]]-Sales[[#This Row],[Licenses Bought]]&lt;0,0,Sales[[#This Row],[Number of Users]]-Sales[[#This Row],[Licenses Bought]])</f>
        <v>3</v>
      </c>
      <c r="P1062" s="8">
        <f>IF(Sales[[#This Row],[Sales Month]]=MAX(Sales[Sales Month]),Sales[[#This Row],[Non-Paying Users]]*Sales[[#This Row],[Upsell $ per Non-Paying User]],0)</f>
        <v>0</v>
      </c>
      <c r="Q1062" t="str" cm="1">
        <f t="array" ref="Q1062">_xlfn.IFS(Sales[[#This Row],[Current Upsell $]]=0,"",Sales[[#This Row],[Current Upsell $]]&gt;=400,"High",Sales[[#This Row],[Current Upsell $]]&gt;=100,"Medium",Sales[[#This Row],[Current Upsell $]]&lt;100,"Low")</f>
        <v/>
      </c>
      <c r="R1062" t="str">
        <f>IF(Sales[[#This Row],[Current Upsell $]]&gt;0,_xlfn.CONCAT(Sales[[#This Row],[Subscription Type]]," ",Sales[[#This Row],[Upsell Priority]]," ",TEXT(Sales[[#This Row],[Current Upsell $]],"$#,#")),"")</f>
        <v/>
      </c>
    </row>
    <row r="1063" spans="1:18" x14ac:dyDescent="0.25">
      <c r="A1063">
        <v>100098</v>
      </c>
      <c r="B1063" t="s">
        <v>3</v>
      </c>
      <c r="F1063">
        <v>0</v>
      </c>
      <c r="G1063">
        <v>3</v>
      </c>
      <c r="H1063" s="1">
        <v>44044</v>
      </c>
      <c r="I1063" s="1">
        <v>44197</v>
      </c>
      <c r="J1063">
        <v>5</v>
      </c>
      <c r="K1063">
        <v>5</v>
      </c>
      <c r="L1063" s="1">
        <v>44197</v>
      </c>
      <c r="M1063">
        <v>0</v>
      </c>
      <c r="N1063" s="8" cm="1">
        <f t="array" ref="N1063">_xlfn.SWITCH(Sales[[#This Row],[Subscription Type]],"Basic",10,"Premium",10,"Business",25,"Enterprise",27)</f>
        <v>10</v>
      </c>
      <c r="O1063">
        <f>IF(Sales[[#This Row],[Number of Users]]-Sales[[#This Row],[Licenses Bought]]&lt;0,0,Sales[[#This Row],[Number of Users]]-Sales[[#This Row],[Licenses Bought]])</f>
        <v>3</v>
      </c>
      <c r="P1063" s="8">
        <f>IF(Sales[[#This Row],[Sales Month]]=MAX(Sales[Sales Month]),Sales[[#This Row],[Non-Paying Users]]*Sales[[#This Row],[Upsell $ per Non-Paying User]],0)</f>
        <v>0</v>
      </c>
      <c r="Q1063" t="str" cm="1">
        <f t="array" ref="Q1063">_xlfn.IFS(Sales[[#This Row],[Current Upsell $]]=0,"",Sales[[#This Row],[Current Upsell $]]&gt;=400,"High",Sales[[#This Row],[Current Upsell $]]&gt;=100,"Medium",Sales[[#This Row],[Current Upsell $]]&lt;100,"Low")</f>
        <v/>
      </c>
      <c r="R1063" t="str">
        <f>IF(Sales[[#This Row],[Current Upsell $]]&gt;0,_xlfn.CONCAT(Sales[[#This Row],[Subscription Type]]," ",Sales[[#This Row],[Upsell Priority]]," ",TEXT(Sales[[#This Row],[Current Upsell $]],"$#,#")),"")</f>
        <v/>
      </c>
    </row>
    <row r="1064" spans="1:18" x14ac:dyDescent="0.25">
      <c r="A1064">
        <v>100099</v>
      </c>
      <c r="B1064" t="s">
        <v>3</v>
      </c>
      <c r="F1064">
        <v>0</v>
      </c>
      <c r="G1064">
        <v>3</v>
      </c>
      <c r="H1064" s="1">
        <v>44044</v>
      </c>
      <c r="I1064" s="1">
        <v>44105</v>
      </c>
      <c r="J1064">
        <v>2</v>
      </c>
      <c r="K1064">
        <v>8</v>
      </c>
      <c r="L1064" s="1">
        <v>44044</v>
      </c>
      <c r="M1064">
        <v>0</v>
      </c>
      <c r="N1064" s="8" cm="1">
        <f t="array" ref="N1064">_xlfn.SWITCH(Sales[[#This Row],[Subscription Type]],"Basic",10,"Premium",10,"Business",25,"Enterprise",27)</f>
        <v>10</v>
      </c>
      <c r="O1064">
        <f>IF(Sales[[#This Row],[Number of Users]]-Sales[[#This Row],[Licenses Bought]]&lt;0,0,Sales[[#This Row],[Number of Users]]-Sales[[#This Row],[Licenses Bought]])</f>
        <v>3</v>
      </c>
      <c r="P1064" s="8">
        <f>IF(Sales[[#This Row],[Sales Month]]=MAX(Sales[Sales Month]),Sales[[#This Row],[Non-Paying Users]]*Sales[[#This Row],[Upsell $ per Non-Paying User]],0)</f>
        <v>0</v>
      </c>
      <c r="Q1064" t="str" cm="1">
        <f t="array" ref="Q1064">_xlfn.IFS(Sales[[#This Row],[Current Upsell $]]=0,"",Sales[[#This Row],[Current Upsell $]]&gt;=400,"High",Sales[[#This Row],[Current Upsell $]]&gt;=100,"Medium",Sales[[#This Row],[Current Upsell $]]&lt;100,"Low")</f>
        <v/>
      </c>
      <c r="R1064" t="str">
        <f>IF(Sales[[#This Row],[Current Upsell $]]&gt;0,_xlfn.CONCAT(Sales[[#This Row],[Subscription Type]]," ",Sales[[#This Row],[Upsell Priority]]," ",TEXT(Sales[[#This Row],[Current Upsell $]],"$#,#")),"")</f>
        <v/>
      </c>
    </row>
    <row r="1065" spans="1:18" x14ac:dyDescent="0.25">
      <c r="A1065">
        <v>100099</v>
      </c>
      <c r="B1065" t="s">
        <v>3</v>
      </c>
      <c r="F1065">
        <v>0</v>
      </c>
      <c r="G1065">
        <v>2</v>
      </c>
      <c r="H1065" s="1">
        <v>44044</v>
      </c>
      <c r="I1065" s="1">
        <v>44105</v>
      </c>
      <c r="J1065">
        <v>2</v>
      </c>
      <c r="K1065">
        <v>8</v>
      </c>
      <c r="L1065" s="1">
        <v>44075</v>
      </c>
      <c r="M1065">
        <v>0</v>
      </c>
      <c r="N1065" s="8" cm="1">
        <f t="array" ref="N1065">_xlfn.SWITCH(Sales[[#This Row],[Subscription Type]],"Basic",10,"Premium",10,"Business",25,"Enterprise",27)</f>
        <v>10</v>
      </c>
      <c r="O1065">
        <f>IF(Sales[[#This Row],[Number of Users]]-Sales[[#This Row],[Licenses Bought]]&lt;0,0,Sales[[#This Row],[Number of Users]]-Sales[[#This Row],[Licenses Bought]])</f>
        <v>2</v>
      </c>
      <c r="P1065" s="8">
        <f>IF(Sales[[#This Row],[Sales Month]]=MAX(Sales[Sales Month]),Sales[[#This Row],[Non-Paying Users]]*Sales[[#This Row],[Upsell $ per Non-Paying User]],0)</f>
        <v>0</v>
      </c>
      <c r="Q1065" t="str" cm="1">
        <f t="array" ref="Q1065">_xlfn.IFS(Sales[[#This Row],[Current Upsell $]]=0,"",Sales[[#This Row],[Current Upsell $]]&gt;=400,"High",Sales[[#This Row],[Current Upsell $]]&gt;=100,"Medium",Sales[[#This Row],[Current Upsell $]]&lt;100,"Low")</f>
        <v/>
      </c>
      <c r="R1065" t="str">
        <f>IF(Sales[[#This Row],[Current Upsell $]]&gt;0,_xlfn.CONCAT(Sales[[#This Row],[Subscription Type]]," ",Sales[[#This Row],[Upsell Priority]]," ",TEXT(Sales[[#This Row],[Current Upsell $]],"$#,#")),"")</f>
        <v/>
      </c>
    </row>
    <row r="1066" spans="1:18" x14ac:dyDescent="0.25">
      <c r="A1066">
        <v>100099</v>
      </c>
      <c r="B1066" t="s">
        <v>3</v>
      </c>
      <c r="F1066">
        <v>0</v>
      </c>
      <c r="G1066">
        <v>3</v>
      </c>
      <c r="H1066" s="1">
        <v>44044</v>
      </c>
      <c r="I1066" s="1">
        <v>44105</v>
      </c>
      <c r="J1066">
        <v>2</v>
      </c>
      <c r="K1066">
        <v>8</v>
      </c>
      <c r="L1066" s="1">
        <v>44105</v>
      </c>
      <c r="M1066">
        <v>0</v>
      </c>
      <c r="N1066" s="8" cm="1">
        <f t="array" ref="N1066">_xlfn.SWITCH(Sales[[#This Row],[Subscription Type]],"Basic",10,"Premium",10,"Business",25,"Enterprise",27)</f>
        <v>10</v>
      </c>
      <c r="O1066">
        <f>IF(Sales[[#This Row],[Number of Users]]-Sales[[#This Row],[Licenses Bought]]&lt;0,0,Sales[[#This Row],[Number of Users]]-Sales[[#This Row],[Licenses Bought]])</f>
        <v>3</v>
      </c>
      <c r="P1066" s="8">
        <f>IF(Sales[[#This Row],[Sales Month]]=MAX(Sales[Sales Month]),Sales[[#This Row],[Non-Paying Users]]*Sales[[#This Row],[Upsell $ per Non-Paying User]],0)</f>
        <v>0</v>
      </c>
      <c r="Q1066" t="str" cm="1">
        <f t="array" ref="Q1066">_xlfn.IFS(Sales[[#This Row],[Current Upsell $]]=0,"",Sales[[#This Row],[Current Upsell $]]&gt;=400,"High",Sales[[#This Row],[Current Upsell $]]&gt;=100,"Medium",Sales[[#This Row],[Current Upsell $]]&lt;100,"Low")</f>
        <v/>
      </c>
      <c r="R1066" t="str">
        <f>IF(Sales[[#This Row],[Current Upsell $]]&gt;0,_xlfn.CONCAT(Sales[[#This Row],[Subscription Type]]," ",Sales[[#This Row],[Upsell Priority]]," ",TEXT(Sales[[#This Row],[Current Upsell $]],"$#,#")),"")</f>
        <v/>
      </c>
    </row>
    <row r="1067" spans="1:18" x14ac:dyDescent="0.25">
      <c r="A1067">
        <v>100100</v>
      </c>
      <c r="B1067" t="s">
        <v>3</v>
      </c>
      <c r="F1067">
        <v>0</v>
      </c>
      <c r="G1067">
        <v>3</v>
      </c>
      <c r="H1067" s="1">
        <v>44044</v>
      </c>
      <c r="I1067" s="1">
        <v>44256</v>
      </c>
      <c r="J1067">
        <v>7</v>
      </c>
      <c r="K1067">
        <v>3</v>
      </c>
      <c r="L1067" s="1">
        <v>44044</v>
      </c>
      <c r="M1067">
        <v>0</v>
      </c>
      <c r="N1067" s="8" cm="1">
        <f t="array" ref="N1067">_xlfn.SWITCH(Sales[[#This Row],[Subscription Type]],"Basic",10,"Premium",10,"Business",25,"Enterprise",27)</f>
        <v>10</v>
      </c>
      <c r="O1067">
        <f>IF(Sales[[#This Row],[Number of Users]]-Sales[[#This Row],[Licenses Bought]]&lt;0,0,Sales[[#This Row],[Number of Users]]-Sales[[#This Row],[Licenses Bought]])</f>
        <v>3</v>
      </c>
      <c r="P1067" s="8">
        <f>IF(Sales[[#This Row],[Sales Month]]=MAX(Sales[Sales Month]),Sales[[#This Row],[Non-Paying Users]]*Sales[[#This Row],[Upsell $ per Non-Paying User]],0)</f>
        <v>0</v>
      </c>
      <c r="Q1067" t="str" cm="1">
        <f t="array" ref="Q1067">_xlfn.IFS(Sales[[#This Row],[Current Upsell $]]=0,"",Sales[[#This Row],[Current Upsell $]]&gt;=400,"High",Sales[[#This Row],[Current Upsell $]]&gt;=100,"Medium",Sales[[#This Row],[Current Upsell $]]&lt;100,"Low")</f>
        <v/>
      </c>
      <c r="R1067" t="str">
        <f>IF(Sales[[#This Row],[Current Upsell $]]&gt;0,_xlfn.CONCAT(Sales[[#This Row],[Subscription Type]]," ",Sales[[#This Row],[Upsell Priority]]," ",TEXT(Sales[[#This Row],[Current Upsell $]],"$#,#")),"")</f>
        <v/>
      </c>
    </row>
    <row r="1068" spans="1:18" x14ac:dyDescent="0.25">
      <c r="A1068">
        <v>100100</v>
      </c>
      <c r="B1068" t="s">
        <v>3</v>
      </c>
      <c r="F1068">
        <v>0</v>
      </c>
      <c r="G1068">
        <v>3</v>
      </c>
      <c r="H1068" s="1">
        <v>44044</v>
      </c>
      <c r="I1068" s="1">
        <v>44256</v>
      </c>
      <c r="J1068">
        <v>7</v>
      </c>
      <c r="K1068">
        <v>3</v>
      </c>
      <c r="L1068" s="1">
        <v>44075</v>
      </c>
      <c r="M1068">
        <v>0</v>
      </c>
      <c r="N1068" s="8" cm="1">
        <f t="array" ref="N1068">_xlfn.SWITCH(Sales[[#This Row],[Subscription Type]],"Basic",10,"Premium",10,"Business",25,"Enterprise",27)</f>
        <v>10</v>
      </c>
      <c r="O1068">
        <f>IF(Sales[[#This Row],[Number of Users]]-Sales[[#This Row],[Licenses Bought]]&lt;0,0,Sales[[#This Row],[Number of Users]]-Sales[[#This Row],[Licenses Bought]])</f>
        <v>3</v>
      </c>
      <c r="P1068" s="8">
        <f>IF(Sales[[#This Row],[Sales Month]]=MAX(Sales[Sales Month]),Sales[[#This Row],[Non-Paying Users]]*Sales[[#This Row],[Upsell $ per Non-Paying User]],0)</f>
        <v>0</v>
      </c>
      <c r="Q1068" t="str" cm="1">
        <f t="array" ref="Q1068">_xlfn.IFS(Sales[[#This Row],[Current Upsell $]]=0,"",Sales[[#This Row],[Current Upsell $]]&gt;=400,"High",Sales[[#This Row],[Current Upsell $]]&gt;=100,"Medium",Sales[[#This Row],[Current Upsell $]]&lt;100,"Low")</f>
        <v/>
      </c>
      <c r="R1068" t="str">
        <f>IF(Sales[[#This Row],[Current Upsell $]]&gt;0,_xlfn.CONCAT(Sales[[#This Row],[Subscription Type]]," ",Sales[[#This Row],[Upsell Priority]]," ",TEXT(Sales[[#This Row],[Current Upsell $]],"$#,#")),"")</f>
        <v/>
      </c>
    </row>
    <row r="1069" spans="1:18" x14ac:dyDescent="0.25">
      <c r="A1069">
        <v>100100</v>
      </c>
      <c r="B1069" t="s">
        <v>3</v>
      </c>
      <c r="F1069">
        <v>0</v>
      </c>
      <c r="G1069">
        <v>3</v>
      </c>
      <c r="H1069" s="1">
        <v>44044</v>
      </c>
      <c r="I1069" s="1">
        <v>44256</v>
      </c>
      <c r="J1069">
        <v>7</v>
      </c>
      <c r="K1069">
        <v>3</v>
      </c>
      <c r="L1069" s="1">
        <v>44105</v>
      </c>
      <c r="M1069">
        <v>0</v>
      </c>
      <c r="N1069" s="8" cm="1">
        <f t="array" ref="N1069">_xlfn.SWITCH(Sales[[#This Row],[Subscription Type]],"Basic",10,"Premium",10,"Business",25,"Enterprise",27)</f>
        <v>10</v>
      </c>
      <c r="O1069">
        <f>IF(Sales[[#This Row],[Number of Users]]-Sales[[#This Row],[Licenses Bought]]&lt;0,0,Sales[[#This Row],[Number of Users]]-Sales[[#This Row],[Licenses Bought]])</f>
        <v>3</v>
      </c>
      <c r="P1069" s="8">
        <f>IF(Sales[[#This Row],[Sales Month]]=MAX(Sales[Sales Month]),Sales[[#This Row],[Non-Paying Users]]*Sales[[#This Row],[Upsell $ per Non-Paying User]],0)</f>
        <v>0</v>
      </c>
      <c r="Q1069" t="str" cm="1">
        <f t="array" ref="Q1069">_xlfn.IFS(Sales[[#This Row],[Current Upsell $]]=0,"",Sales[[#This Row],[Current Upsell $]]&gt;=400,"High",Sales[[#This Row],[Current Upsell $]]&gt;=100,"Medium",Sales[[#This Row],[Current Upsell $]]&lt;100,"Low")</f>
        <v/>
      </c>
      <c r="R1069" t="str">
        <f>IF(Sales[[#This Row],[Current Upsell $]]&gt;0,_xlfn.CONCAT(Sales[[#This Row],[Subscription Type]]," ",Sales[[#This Row],[Upsell Priority]]," ",TEXT(Sales[[#This Row],[Current Upsell $]],"$#,#")),"")</f>
        <v/>
      </c>
    </row>
    <row r="1070" spans="1:18" x14ac:dyDescent="0.25">
      <c r="A1070">
        <v>100100</v>
      </c>
      <c r="B1070" t="s">
        <v>3</v>
      </c>
      <c r="F1070">
        <v>0</v>
      </c>
      <c r="G1070">
        <v>3</v>
      </c>
      <c r="H1070" s="1">
        <v>44044</v>
      </c>
      <c r="I1070" s="1">
        <v>44256</v>
      </c>
      <c r="J1070">
        <v>7</v>
      </c>
      <c r="K1070">
        <v>3</v>
      </c>
      <c r="L1070" s="1">
        <v>44136</v>
      </c>
      <c r="M1070">
        <v>0</v>
      </c>
      <c r="N1070" s="8" cm="1">
        <f t="array" ref="N1070">_xlfn.SWITCH(Sales[[#This Row],[Subscription Type]],"Basic",10,"Premium",10,"Business",25,"Enterprise",27)</f>
        <v>10</v>
      </c>
      <c r="O1070">
        <f>IF(Sales[[#This Row],[Number of Users]]-Sales[[#This Row],[Licenses Bought]]&lt;0,0,Sales[[#This Row],[Number of Users]]-Sales[[#This Row],[Licenses Bought]])</f>
        <v>3</v>
      </c>
      <c r="P1070" s="8">
        <f>IF(Sales[[#This Row],[Sales Month]]=MAX(Sales[Sales Month]),Sales[[#This Row],[Non-Paying Users]]*Sales[[#This Row],[Upsell $ per Non-Paying User]],0)</f>
        <v>0</v>
      </c>
      <c r="Q1070" t="str" cm="1">
        <f t="array" ref="Q1070">_xlfn.IFS(Sales[[#This Row],[Current Upsell $]]=0,"",Sales[[#This Row],[Current Upsell $]]&gt;=400,"High",Sales[[#This Row],[Current Upsell $]]&gt;=100,"Medium",Sales[[#This Row],[Current Upsell $]]&lt;100,"Low")</f>
        <v/>
      </c>
      <c r="R1070" t="str">
        <f>IF(Sales[[#This Row],[Current Upsell $]]&gt;0,_xlfn.CONCAT(Sales[[#This Row],[Subscription Type]]," ",Sales[[#This Row],[Upsell Priority]]," ",TEXT(Sales[[#This Row],[Current Upsell $]],"$#,#")),"")</f>
        <v/>
      </c>
    </row>
    <row r="1071" spans="1:18" x14ac:dyDescent="0.25">
      <c r="A1071">
        <v>100100</v>
      </c>
      <c r="B1071" t="s">
        <v>3</v>
      </c>
      <c r="F1071">
        <v>0</v>
      </c>
      <c r="G1071">
        <v>3</v>
      </c>
      <c r="H1071" s="1">
        <v>44044</v>
      </c>
      <c r="I1071" s="1">
        <v>44256</v>
      </c>
      <c r="J1071">
        <v>7</v>
      </c>
      <c r="K1071">
        <v>3</v>
      </c>
      <c r="L1071" s="1">
        <v>44166</v>
      </c>
      <c r="M1071">
        <v>0</v>
      </c>
      <c r="N1071" s="8" cm="1">
        <f t="array" ref="N1071">_xlfn.SWITCH(Sales[[#This Row],[Subscription Type]],"Basic",10,"Premium",10,"Business",25,"Enterprise",27)</f>
        <v>10</v>
      </c>
      <c r="O1071">
        <f>IF(Sales[[#This Row],[Number of Users]]-Sales[[#This Row],[Licenses Bought]]&lt;0,0,Sales[[#This Row],[Number of Users]]-Sales[[#This Row],[Licenses Bought]])</f>
        <v>3</v>
      </c>
      <c r="P1071" s="8">
        <f>IF(Sales[[#This Row],[Sales Month]]=MAX(Sales[Sales Month]),Sales[[#This Row],[Non-Paying Users]]*Sales[[#This Row],[Upsell $ per Non-Paying User]],0)</f>
        <v>0</v>
      </c>
      <c r="Q1071" t="str" cm="1">
        <f t="array" ref="Q1071">_xlfn.IFS(Sales[[#This Row],[Current Upsell $]]=0,"",Sales[[#This Row],[Current Upsell $]]&gt;=400,"High",Sales[[#This Row],[Current Upsell $]]&gt;=100,"Medium",Sales[[#This Row],[Current Upsell $]]&lt;100,"Low")</f>
        <v/>
      </c>
      <c r="R1071" t="str">
        <f>IF(Sales[[#This Row],[Current Upsell $]]&gt;0,_xlfn.CONCAT(Sales[[#This Row],[Subscription Type]]," ",Sales[[#This Row],[Upsell Priority]]," ",TEXT(Sales[[#This Row],[Current Upsell $]],"$#,#")),"")</f>
        <v/>
      </c>
    </row>
    <row r="1072" spans="1:18" x14ac:dyDescent="0.25">
      <c r="A1072">
        <v>100100</v>
      </c>
      <c r="B1072" t="s">
        <v>3</v>
      </c>
      <c r="F1072">
        <v>0</v>
      </c>
      <c r="G1072">
        <v>3</v>
      </c>
      <c r="H1072" s="1">
        <v>44044</v>
      </c>
      <c r="I1072" s="1">
        <v>44256</v>
      </c>
      <c r="J1072">
        <v>7</v>
      </c>
      <c r="K1072">
        <v>3</v>
      </c>
      <c r="L1072" s="1">
        <v>44197</v>
      </c>
      <c r="M1072">
        <v>0</v>
      </c>
      <c r="N1072" s="8" cm="1">
        <f t="array" ref="N1072">_xlfn.SWITCH(Sales[[#This Row],[Subscription Type]],"Basic",10,"Premium",10,"Business",25,"Enterprise",27)</f>
        <v>10</v>
      </c>
      <c r="O1072">
        <f>IF(Sales[[#This Row],[Number of Users]]-Sales[[#This Row],[Licenses Bought]]&lt;0,0,Sales[[#This Row],[Number of Users]]-Sales[[#This Row],[Licenses Bought]])</f>
        <v>3</v>
      </c>
      <c r="P1072" s="8">
        <f>IF(Sales[[#This Row],[Sales Month]]=MAX(Sales[Sales Month]),Sales[[#This Row],[Non-Paying Users]]*Sales[[#This Row],[Upsell $ per Non-Paying User]],0)</f>
        <v>0</v>
      </c>
      <c r="Q1072" t="str" cm="1">
        <f t="array" ref="Q1072">_xlfn.IFS(Sales[[#This Row],[Current Upsell $]]=0,"",Sales[[#This Row],[Current Upsell $]]&gt;=400,"High",Sales[[#This Row],[Current Upsell $]]&gt;=100,"Medium",Sales[[#This Row],[Current Upsell $]]&lt;100,"Low")</f>
        <v/>
      </c>
      <c r="R1072" t="str">
        <f>IF(Sales[[#This Row],[Current Upsell $]]&gt;0,_xlfn.CONCAT(Sales[[#This Row],[Subscription Type]]," ",Sales[[#This Row],[Upsell Priority]]," ",TEXT(Sales[[#This Row],[Current Upsell $]],"$#,#")),"")</f>
        <v/>
      </c>
    </row>
    <row r="1073" spans="1:18" x14ac:dyDescent="0.25">
      <c r="A1073">
        <v>100100</v>
      </c>
      <c r="B1073" t="s">
        <v>3</v>
      </c>
      <c r="F1073">
        <v>0</v>
      </c>
      <c r="G1073">
        <v>3</v>
      </c>
      <c r="H1073" s="1">
        <v>44044</v>
      </c>
      <c r="I1073" s="1">
        <v>44256</v>
      </c>
      <c r="J1073">
        <v>7</v>
      </c>
      <c r="K1073">
        <v>3</v>
      </c>
      <c r="L1073" s="1">
        <v>44228</v>
      </c>
      <c r="M1073">
        <v>0</v>
      </c>
      <c r="N1073" s="8" cm="1">
        <f t="array" ref="N1073">_xlfn.SWITCH(Sales[[#This Row],[Subscription Type]],"Basic",10,"Premium",10,"Business",25,"Enterprise",27)</f>
        <v>10</v>
      </c>
      <c r="O1073">
        <f>IF(Sales[[#This Row],[Number of Users]]-Sales[[#This Row],[Licenses Bought]]&lt;0,0,Sales[[#This Row],[Number of Users]]-Sales[[#This Row],[Licenses Bought]])</f>
        <v>3</v>
      </c>
      <c r="P1073" s="8">
        <f>IF(Sales[[#This Row],[Sales Month]]=MAX(Sales[Sales Month]),Sales[[#This Row],[Non-Paying Users]]*Sales[[#This Row],[Upsell $ per Non-Paying User]],0)</f>
        <v>0</v>
      </c>
      <c r="Q1073" t="str" cm="1">
        <f t="array" ref="Q1073">_xlfn.IFS(Sales[[#This Row],[Current Upsell $]]=0,"",Sales[[#This Row],[Current Upsell $]]&gt;=400,"High",Sales[[#This Row],[Current Upsell $]]&gt;=100,"Medium",Sales[[#This Row],[Current Upsell $]]&lt;100,"Low")</f>
        <v/>
      </c>
      <c r="R1073" t="str">
        <f>IF(Sales[[#This Row],[Current Upsell $]]&gt;0,_xlfn.CONCAT(Sales[[#This Row],[Subscription Type]]," ",Sales[[#This Row],[Upsell Priority]]," ",TEXT(Sales[[#This Row],[Current Upsell $]],"$#,#")),"")</f>
        <v/>
      </c>
    </row>
    <row r="1074" spans="1:18" x14ac:dyDescent="0.25">
      <c r="A1074">
        <v>100100</v>
      </c>
      <c r="B1074" t="s">
        <v>3</v>
      </c>
      <c r="F1074">
        <v>0</v>
      </c>
      <c r="G1074">
        <v>3</v>
      </c>
      <c r="H1074" s="1">
        <v>44044</v>
      </c>
      <c r="I1074" s="1">
        <v>44256</v>
      </c>
      <c r="J1074">
        <v>7</v>
      </c>
      <c r="K1074">
        <v>3</v>
      </c>
      <c r="L1074" s="1">
        <v>44256</v>
      </c>
      <c r="M1074">
        <v>0</v>
      </c>
      <c r="N1074" s="8" cm="1">
        <f t="array" ref="N1074">_xlfn.SWITCH(Sales[[#This Row],[Subscription Type]],"Basic",10,"Premium",10,"Business",25,"Enterprise",27)</f>
        <v>10</v>
      </c>
      <c r="O1074">
        <f>IF(Sales[[#This Row],[Number of Users]]-Sales[[#This Row],[Licenses Bought]]&lt;0,0,Sales[[#This Row],[Number of Users]]-Sales[[#This Row],[Licenses Bought]])</f>
        <v>3</v>
      </c>
      <c r="P1074" s="8">
        <f>IF(Sales[[#This Row],[Sales Month]]=MAX(Sales[Sales Month]),Sales[[#This Row],[Non-Paying Users]]*Sales[[#This Row],[Upsell $ per Non-Paying User]],0)</f>
        <v>0</v>
      </c>
      <c r="Q1074" t="str" cm="1">
        <f t="array" ref="Q1074">_xlfn.IFS(Sales[[#This Row],[Current Upsell $]]=0,"",Sales[[#This Row],[Current Upsell $]]&gt;=400,"High",Sales[[#This Row],[Current Upsell $]]&gt;=100,"Medium",Sales[[#This Row],[Current Upsell $]]&lt;100,"Low")</f>
        <v/>
      </c>
      <c r="R1074" t="str">
        <f>IF(Sales[[#This Row],[Current Upsell $]]&gt;0,_xlfn.CONCAT(Sales[[#This Row],[Subscription Type]]," ",Sales[[#This Row],[Upsell Priority]]," ",TEXT(Sales[[#This Row],[Current Upsell $]],"$#,#")),"")</f>
        <v/>
      </c>
    </row>
    <row r="1075" spans="1:18" x14ac:dyDescent="0.25">
      <c r="A1075">
        <v>100101</v>
      </c>
      <c r="B1075" t="s">
        <v>3</v>
      </c>
      <c r="F1075">
        <v>0</v>
      </c>
      <c r="G1075">
        <v>2</v>
      </c>
      <c r="H1075" s="1">
        <v>44044</v>
      </c>
      <c r="I1075" s="1">
        <v>44105</v>
      </c>
      <c r="J1075">
        <v>2</v>
      </c>
      <c r="K1075">
        <v>8</v>
      </c>
      <c r="L1075" s="1">
        <v>44044</v>
      </c>
      <c r="M1075">
        <v>0</v>
      </c>
      <c r="N1075" s="8" cm="1">
        <f t="array" ref="N1075">_xlfn.SWITCH(Sales[[#This Row],[Subscription Type]],"Basic",10,"Premium",10,"Business",25,"Enterprise",27)</f>
        <v>10</v>
      </c>
      <c r="O1075">
        <f>IF(Sales[[#This Row],[Number of Users]]-Sales[[#This Row],[Licenses Bought]]&lt;0,0,Sales[[#This Row],[Number of Users]]-Sales[[#This Row],[Licenses Bought]])</f>
        <v>2</v>
      </c>
      <c r="P1075" s="8">
        <f>IF(Sales[[#This Row],[Sales Month]]=MAX(Sales[Sales Month]),Sales[[#This Row],[Non-Paying Users]]*Sales[[#This Row],[Upsell $ per Non-Paying User]],0)</f>
        <v>0</v>
      </c>
      <c r="Q1075" t="str" cm="1">
        <f t="array" ref="Q1075">_xlfn.IFS(Sales[[#This Row],[Current Upsell $]]=0,"",Sales[[#This Row],[Current Upsell $]]&gt;=400,"High",Sales[[#This Row],[Current Upsell $]]&gt;=100,"Medium",Sales[[#This Row],[Current Upsell $]]&lt;100,"Low")</f>
        <v/>
      </c>
      <c r="R1075" t="str">
        <f>IF(Sales[[#This Row],[Current Upsell $]]&gt;0,_xlfn.CONCAT(Sales[[#This Row],[Subscription Type]]," ",Sales[[#This Row],[Upsell Priority]]," ",TEXT(Sales[[#This Row],[Current Upsell $]],"$#,#")),"")</f>
        <v/>
      </c>
    </row>
    <row r="1076" spans="1:18" x14ac:dyDescent="0.25">
      <c r="A1076">
        <v>100101</v>
      </c>
      <c r="B1076" t="s">
        <v>3</v>
      </c>
      <c r="F1076">
        <v>0</v>
      </c>
      <c r="G1076">
        <v>2</v>
      </c>
      <c r="H1076" s="1">
        <v>44044</v>
      </c>
      <c r="I1076" s="1">
        <v>44105</v>
      </c>
      <c r="J1076">
        <v>2</v>
      </c>
      <c r="K1076">
        <v>8</v>
      </c>
      <c r="L1076" s="1">
        <v>44075</v>
      </c>
      <c r="M1076">
        <v>0</v>
      </c>
      <c r="N1076" s="8" cm="1">
        <f t="array" ref="N1076">_xlfn.SWITCH(Sales[[#This Row],[Subscription Type]],"Basic",10,"Premium",10,"Business",25,"Enterprise",27)</f>
        <v>10</v>
      </c>
      <c r="O1076">
        <f>IF(Sales[[#This Row],[Number of Users]]-Sales[[#This Row],[Licenses Bought]]&lt;0,0,Sales[[#This Row],[Number of Users]]-Sales[[#This Row],[Licenses Bought]])</f>
        <v>2</v>
      </c>
      <c r="P1076" s="8">
        <f>IF(Sales[[#This Row],[Sales Month]]=MAX(Sales[Sales Month]),Sales[[#This Row],[Non-Paying Users]]*Sales[[#This Row],[Upsell $ per Non-Paying User]],0)</f>
        <v>0</v>
      </c>
      <c r="Q1076" t="str" cm="1">
        <f t="array" ref="Q1076">_xlfn.IFS(Sales[[#This Row],[Current Upsell $]]=0,"",Sales[[#This Row],[Current Upsell $]]&gt;=400,"High",Sales[[#This Row],[Current Upsell $]]&gt;=100,"Medium",Sales[[#This Row],[Current Upsell $]]&lt;100,"Low")</f>
        <v/>
      </c>
      <c r="R1076" t="str">
        <f>IF(Sales[[#This Row],[Current Upsell $]]&gt;0,_xlfn.CONCAT(Sales[[#This Row],[Subscription Type]]," ",Sales[[#This Row],[Upsell Priority]]," ",TEXT(Sales[[#This Row],[Current Upsell $]],"$#,#")),"")</f>
        <v/>
      </c>
    </row>
    <row r="1077" spans="1:18" x14ac:dyDescent="0.25">
      <c r="A1077">
        <v>100101</v>
      </c>
      <c r="B1077" t="s">
        <v>3</v>
      </c>
      <c r="F1077">
        <v>0</v>
      </c>
      <c r="G1077">
        <v>2</v>
      </c>
      <c r="H1077" s="1">
        <v>44044</v>
      </c>
      <c r="I1077" s="1">
        <v>44105</v>
      </c>
      <c r="J1077">
        <v>2</v>
      </c>
      <c r="K1077">
        <v>8</v>
      </c>
      <c r="L1077" s="1">
        <v>44105</v>
      </c>
      <c r="M1077">
        <v>0</v>
      </c>
      <c r="N1077" s="8" cm="1">
        <f t="array" ref="N1077">_xlfn.SWITCH(Sales[[#This Row],[Subscription Type]],"Basic",10,"Premium",10,"Business",25,"Enterprise",27)</f>
        <v>10</v>
      </c>
      <c r="O1077">
        <f>IF(Sales[[#This Row],[Number of Users]]-Sales[[#This Row],[Licenses Bought]]&lt;0,0,Sales[[#This Row],[Number of Users]]-Sales[[#This Row],[Licenses Bought]])</f>
        <v>2</v>
      </c>
      <c r="P1077" s="8">
        <f>IF(Sales[[#This Row],[Sales Month]]=MAX(Sales[Sales Month]),Sales[[#This Row],[Non-Paying Users]]*Sales[[#This Row],[Upsell $ per Non-Paying User]],0)</f>
        <v>0</v>
      </c>
      <c r="Q1077" t="str" cm="1">
        <f t="array" ref="Q1077">_xlfn.IFS(Sales[[#This Row],[Current Upsell $]]=0,"",Sales[[#This Row],[Current Upsell $]]&gt;=400,"High",Sales[[#This Row],[Current Upsell $]]&gt;=100,"Medium",Sales[[#This Row],[Current Upsell $]]&lt;100,"Low")</f>
        <v/>
      </c>
      <c r="R1077" t="str">
        <f>IF(Sales[[#This Row],[Current Upsell $]]&gt;0,_xlfn.CONCAT(Sales[[#This Row],[Subscription Type]]," ",Sales[[#This Row],[Upsell Priority]]," ",TEXT(Sales[[#This Row],[Current Upsell $]],"$#,#")),"")</f>
        <v/>
      </c>
    </row>
    <row r="1078" spans="1:18" x14ac:dyDescent="0.25">
      <c r="A1078">
        <v>100102</v>
      </c>
      <c r="B1078" t="s">
        <v>3</v>
      </c>
      <c r="F1078">
        <v>0</v>
      </c>
      <c r="G1078">
        <v>2</v>
      </c>
      <c r="H1078" s="1">
        <v>44044</v>
      </c>
      <c r="I1078" s="1">
        <v>44105</v>
      </c>
      <c r="J1078">
        <v>2</v>
      </c>
      <c r="K1078">
        <v>8</v>
      </c>
      <c r="L1078" s="1">
        <v>44044</v>
      </c>
      <c r="M1078">
        <v>0</v>
      </c>
      <c r="N1078" s="8" cm="1">
        <f t="array" ref="N1078">_xlfn.SWITCH(Sales[[#This Row],[Subscription Type]],"Basic",10,"Premium",10,"Business",25,"Enterprise",27)</f>
        <v>10</v>
      </c>
      <c r="O1078">
        <f>IF(Sales[[#This Row],[Number of Users]]-Sales[[#This Row],[Licenses Bought]]&lt;0,0,Sales[[#This Row],[Number of Users]]-Sales[[#This Row],[Licenses Bought]])</f>
        <v>2</v>
      </c>
      <c r="P1078" s="8">
        <f>IF(Sales[[#This Row],[Sales Month]]=MAX(Sales[Sales Month]),Sales[[#This Row],[Non-Paying Users]]*Sales[[#This Row],[Upsell $ per Non-Paying User]],0)</f>
        <v>0</v>
      </c>
      <c r="Q1078" t="str" cm="1">
        <f t="array" ref="Q1078">_xlfn.IFS(Sales[[#This Row],[Current Upsell $]]=0,"",Sales[[#This Row],[Current Upsell $]]&gt;=400,"High",Sales[[#This Row],[Current Upsell $]]&gt;=100,"Medium",Sales[[#This Row],[Current Upsell $]]&lt;100,"Low")</f>
        <v/>
      </c>
      <c r="R1078" t="str">
        <f>IF(Sales[[#This Row],[Current Upsell $]]&gt;0,_xlfn.CONCAT(Sales[[#This Row],[Subscription Type]]," ",Sales[[#This Row],[Upsell Priority]]," ",TEXT(Sales[[#This Row],[Current Upsell $]],"$#,#")),"")</f>
        <v/>
      </c>
    </row>
    <row r="1079" spans="1:18" x14ac:dyDescent="0.25">
      <c r="A1079">
        <v>100102</v>
      </c>
      <c r="B1079" t="s">
        <v>3</v>
      </c>
      <c r="F1079">
        <v>0</v>
      </c>
      <c r="G1079">
        <v>2</v>
      </c>
      <c r="H1079" s="1">
        <v>44044</v>
      </c>
      <c r="I1079" s="1">
        <v>44105</v>
      </c>
      <c r="J1079">
        <v>2</v>
      </c>
      <c r="K1079">
        <v>8</v>
      </c>
      <c r="L1079" s="1">
        <v>44075</v>
      </c>
      <c r="M1079">
        <v>0</v>
      </c>
      <c r="N1079" s="8" cm="1">
        <f t="array" ref="N1079">_xlfn.SWITCH(Sales[[#This Row],[Subscription Type]],"Basic",10,"Premium",10,"Business",25,"Enterprise",27)</f>
        <v>10</v>
      </c>
      <c r="O1079">
        <f>IF(Sales[[#This Row],[Number of Users]]-Sales[[#This Row],[Licenses Bought]]&lt;0,0,Sales[[#This Row],[Number of Users]]-Sales[[#This Row],[Licenses Bought]])</f>
        <v>2</v>
      </c>
      <c r="P1079" s="8">
        <f>IF(Sales[[#This Row],[Sales Month]]=MAX(Sales[Sales Month]),Sales[[#This Row],[Non-Paying Users]]*Sales[[#This Row],[Upsell $ per Non-Paying User]],0)</f>
        <v>0</v>
      </c>
      <c r="Q1079" t="str" cm="1">
        <f t="array" ref="Q1079">_xlfn.IFS(Sales[[#This Row],[Current Upsell $]]=0,"",Sales[[#This Row],[Current Upsell $]]&gt;=400,"High",Sales[[#This Row],[Current Upsell $]]&gt;=100,"Medium",Sales[[#This Row],[Current Upsell $]]&lt;100,"Low")</f>
        <v/>
      </c>
      <c r="R1079" t="str">
        <f>IF(Sales[[#This Row],[Current Upsell $]]&gt;0,_xlfn.CONCAT(Sales[[#This Row],[Subscription Type]]," ",Sales[[#This Row],[Upsell Priority]]," ",TEXT(Sales[[#This Row],[Current Upsell $]],"$#,#")),"")</f>
        <v/>
      </c>
    </row>
    <row r="1080" spans="1:18" x14ac:dyDescent="0.25">
      <c r="A1080">
        <v>100102</v>
      </c>
      <c r="B1080" t="s">
        <v>3</v>
      </c>
      <c r="F1080">
        <v>0</v>
      </c>
      <c r="G1080">
        <v>2</v>
      </c>
      <c r="H1080" s="1">
        <v>44044</v>
      </c>
      <c r="I1080" s="1">
        <v>44105</v>
      </c>
      <c r="J1080">
        <v>2</v>
      </c>
      <c r="K1080">
        <v>8</v>
      </c>
      <c r="L1080" s="1">
        <v>44105</v>
      </c>
      <c r="M1080">
        <v>0</v>
      </c>
      <c r="N1080" s="8" cm="1">
        <f t="array" ref="N1080">_xlfn.SWITCH(Sales[[#This Row],[Subscription Type]],"Basic",10,"Premium",10,"Business",25,"Enterprise",27)</f>
        <v>10</v>
      </c>
      <c r="O1080">
        <f>IF(Sales[[#This Row],[Number of Users]]-Sales[[#This Row],[Licenses Bought]]&lt;0,0,Sales[[#This Row],[Number of Users]]-Sales[[#This Row],[Licenses Bought]])</f>
        <v>2</v>
      </c>
      <c r="P1080" s="8">
        <f>IF(Sales[[#This Row],[Sales Month]]=MAX(Sales[Sales Month]),Sales[[#This Row],[Non-Paying Users]]*Sales[[#This Row],[Upsell $ per Non-Paying User]],0)</f>
        <v>0</v>
      </c>
      <c r="Q1080" t="str" cm="1">
        <f t="array" ref="Q1080">_xlfn.IFS(Sales[[#This Row],[Current Upsell $]]=0,"",Sales[[#This Row],[Current Upsell $]]&gt;=400,"High",Sales[[#This Row],[Current Upsell $]]&gt;=100,"Medium",Sales[[#This Row],[Current Upsell $]]&lt;100,"Low")</f>
        <v/>
      </c>
      <c r="R1080" t="str">
        <f>IF(Sales[[#This Row],[Current Upsell $]]&gt;0,_xlfn.CONCAT(Sales[[#This Row],[Subscription Type]]," ",Sales[[#This Row],[Upsell Priority]]," ",TEXT(Sales[[#This Row],[Current Upsell $]],"$#,#")),"")</f>
        <v/>
      </c>
    </row>
    <row r="1081" spans="1:18" x14ac:dyDescent="0.25">
      <c r="A1081">
        <v>100103</v>
      </c>
      <c r="B1081" t="s">
        <v>3</v>
      </c>
      <c r="F1081">
        <v>0</v>
      </c>
      <c r="G1081">
        <v>2</v>
      </c>
      <c r="H1081" s="1">
        <v>44044</v>
      </c>
      <c r="I1081" s="1">
        <v>44256</v>
      </c>
      <c r="J1081">
        <v>7</v>
      </c>
      <c r="K1081">
        <v>3</v>
      </c>
      <c r="L1081" s="1">
        <v>44044</v>
      </c>
      <c r="M1081">
        <v>0</v>
      </c>
      <c r="N1081" s="8" cm="1">
        <f t="array" ref="N1081">_xlfn.SWITCH(Sales[[#This Row],[Subscription Type]],"Basic",10,"Premium",10,"Business",25,"Enterprise",27)</f>
        <v>10</v>
      </c>
      <c r="O1081">
        <f>IF(Sales[[#This Row],[Number of Users]]-Sales[[#This Row],[Licenses Bought]]&lt;0,0,Sales[[#This Row],[Number of Users]]-Sales[[#This Row],[Licenses Bought]])</f>
        <v>2</v>
      </c>
      <c r="P1081" s="8">
        <f>IF(Sales[[#This Row],[Sales Month]]=MAX(Sales[Sales Month]),Sales[[#This Row],[Non-Paying Users]]*Sales[[#This Row],[Upsell $ per Non-Paying User]],0)</f>
        <v>0</v>
      </c>
      <c r="Q1081" t="str" cm="1">
        <f t="array" ref="Q1081">_xlfn.IFS(Sales[[#This Row],[Current Upsell $]]=0,"",Sales[[#This Row],[Current Upsell $]]&gt;=400,"High",Sales[[#This Row],[Current Upsell $]]&gt;=100,"Medium",Sales[[#This Row],[Current Upsell $]]&lt;100,"Low")</f>
        <v/>
      </c>
      <c r="R1081" t="str">
        <f>IF(Sales[[#This Row],[Current Upsell $]]&gt;0,_xlfn.CONCAT(Sales[[#This Row],[Subscription Type]]," ",Sales[[#This Row],[Upsell Priority]]," ",TEXT(Sales[[#This Row],[Current Upsell $]],"$#,#")),"")</f>
        <v/>
      </c>
    </row>
    <row r="1082" spans="1:18" x14ac:dyDescent="0.25">
      <c r="A1082">
        <v>100103</v>
      </c>
      <c r="B1082" t="s">
        <v>3</v>
      </c>
      <c r="F1082">
        <v>0</v>
      </c>
      <c r="G1082">
        <v>1</v>
      </c>
      <c r="H1082" s="1">
        <v>44044</v>
      </c>
      <c r="I1082" s="1">
        <v>44256</v>
      </c>
      <c r="J1082">
        <v>7</v>
      </c>
      <c r="K1082">
        <v>3</v>
      </c>
      <c r="L1082" s="1">
        <v>44075</v>
      </c>
      <c r="M1082">
        <v>0</v>
      </c>
      <c r="N1082" s="8" cm="1">
        <f t="array" ref="N1082">_xlfn.SWITCH(Sales[[#This Row],[Subscription Type]],"Basic",10,"Premium",10,"Business",25,"Enterprise",27)</f>
        <v>10</v>
      </c>
      <c r="O1082">
        <f>IF(Sales[[#This Row],[Number of Users]]-Sales[[#This Row],[Licenses Bought]]&lt;0,0,Sales[[#This Row],[Number of Users]]-Sales[[#This Row],[Licenses Bought]])</f>
        <v>1</v>
      </c>
      <c r="P1082" s="8">
        <f>IF(Sales[[#This Row],[Sales Month]]=MAX(Sales[Sales Month]),Sales[[#This Row],[Non-Paying Users]]*Sales[[#This Row],[Upsell $ per Non-Paying User]],0)</f>
        <v>0</v>
      </c>
      <c r="Q1082" t="str" cm="1">
        <f t="array" ref="Q1082">_xlfn.IFS(Sales[[#This Row],[Current Upsell $]]=0,"",Sales[[#This Row],[Current Upsell $]]&gt;=400,"High",Sales[[#This Row],[Current Upsell $]]&gt;=100,"Medium",Sales[[#This Row],[Current Upsell $]]&lt;100,"Low")</f>
        <v/>
      </c>
      <c r="R1082" t="str">
        <f>IF(Sales[[#This Row],[Current Upsell $]]&gt;0,_xlfn.CONCAT(Sales[[#This Row],[Subscription Type]]," ",Sales[[#This Row],[Upsell Priority]]," ",TEXT(Sales[[#This Row],[Current Upsell $]],"$#,#")),"")</f>
        <v/>
      </c>
    </row>
    <row r="1083" spans="1:18" x14ac:dyDescent="0.25">
      <c r="A1083">
        <v>100103</v>
      </c>
      <c r="B1083" t="s">
        <v>3</v>
      </c>
      <c r="F1083">
        <v>0</v>
      </c>
      <c r="G1083">
        <v>2</v>
      </c>
      <c r="H1083" s="1">
        <v>44044</v>
      </c>
      <c r="I1083" s="1">
        <v>44256</v>
      </c>
      <c r="J1083">
        <v>7</v>
      </c>
      <c r="K1083">
        <v>3</v>
      </c>
      <c r="L1083" s="1">
        <v>44105</v>
      </c>
      <c r="M1083">
        <v>0</v>
      </c>
      <c r="N1083" s="8" cm="1">
        <f t="array" ref="N1083">_xlfn.SWITCH(Sales[[#This Row],[Subscription Type]],"Basic",10,"Premium",10,"Business",25,"Enterprise",27)</f>
        <v>10</v>
      </c>
      <c r="O1083">
        <f>IF(Sales[[#This Row],[Number of Users]]-Sales[[#This Row],[Licenses Bought]]&lt;0,0,Sales[[#This Row],[Number of Users]]-Sales[[#This Row],[Licenses Bought]])</f>
        <v>2</v>
      </c>
      <c r="P1083" s="8">
        <f>IF(Sales[[#This Row],[Sales Month]]=MAX(Sales[Sales Month]),Sales[[#This Row],[Non-Paying Users]]*Sales[[#This Row],[Upsell $ per Non-Paying User]],0)</f>
        <v>0</v>
      </c>
      <c r="Q1083" t="str" cm="1">
        <f t="array" ref="Q1083">_xlfn.IFS(Sales[[#This Row],[Current Upsell $]]=0,"",Sales[[#This Row],[Current Upsell $]]&gt;=400,"High",Sales[[#This Row],[Current Upsell $]]&gt;=100,"Medium",Sales[[#This Row],[Current Upsell $]]&lt;100,"Low")</f>
        <v/>
      </c>
      <c r="R1083" t="str">
        <f>IF(Sales[[#This Row],[Current Upsell $]]&gt;0,_xlfn.CONCAT(Sales[[#This Row],[Subscription Type]]," ",Sales[[#This Row],[Upsell Priority]]," ",TEXT(Sales[[#This Row],[Current Upsell $]],"$#,#")),"")</f>
        <v/>
      </c>
    </row>
    <row r="1084" spans="1:18" x14ac:dyDescent="0.25">
      <c r="A1084">
        <v>100103</v>
      </c>
      <c r="B1084" t="s">
        <v>3</v>
      </c>
      <c r="F1084">
        <v>0</v>
      </c>
      <c r="G1084">
        <v>2</v>
      </c>
      <c r="H1084" s="1">
        <v>44044</v>
      </c>
      <c r="I1084" s="1">
        <v>44256</v>
      </c>
      <c r="J1084">
        <v>7</v>
      </c>
      <c r="K1084">
        <v>3</v>
      </c>
      <c r="L1084" s="1">
        <v>44136</v>
      </c>
      <c r="M1084">
        <v>0</v>
      </c>
      <c r="N1084" s="8" cm="1">
        <f t="array" ref="N1084">_xlfn.SWITCH(Sales[[#This Row],[Subscription Type]],"Basic",10,"Premium",10,"Business",25,"Enterprise",27)</f>
        <v>10</v>
      </c>
      <c r="O1084">
        <f>IF(Sales[[#This Row],[Number of Users]]-Sales[[#This Row],[Licenses Bought]]&lt;0,0,Sales[[#This Row],[Number of Users]]-Sales[[#This Row],[Licenses Bought]])</f>
        <v>2</v>
      </c>
      <c r="P1084" s="8">
        <f>IF(Sales[[#This Row],[Sales Month]]=MAX(Sales[Sales Month]),Sales[[#This Row],[Non-Paying Users]]*Sales[[#This Row],[Upsell $ per Non-Paying User]],0)</f>
        <v>0</v>
      </c>
      <c r="Q1084" t="str" cm="1">
        <f t="array" ref="Q1084">_xlfn.IFS(Sales[[#This Row],[Current Upsell $]]=0,"",Sales[[#This Row],[Current Upsell $]]&gt;=400,"High",Sales[[#This Row],[Current Upsell $]]&gt;=100,"Medium",Sales[[#This Row],[Current Upsell $]]&lt;100,"Low")</f>
        <v/>
      </c>
      <c r="R1084" t="str">
        <f>IF(Sales[[#This Row],[Current Upsell $]]&gt;0,_xlfn.CONCAT(Sales[[#This Row],[Subscription Type]]," ",Sales[[#This Row],[Upsell Priority]]," ",TEXT(Sales[[#This Row],[Current Upsell $]],"$#,#")),"")</f>
        <v/>
      </c>
    </row>
    <row r="1085" spans="1:18" x14ac:dyDescent="0.25">
      <c r="A1085">
        <v>100103</v>
      </c>
      <c r="B1085" t="s">
        <v>3</v>
      </c>
      <c r="F1085">
        <v>0</v>
      </c>
      <c r="G1085">
        <v>2</v>
      </c>
      <c r="H1085" s="1">
        <v>44044</v>
      </c>
      <c r="I1085" s="1">
        <v>44256</v>
      </c>
      <c r="J1085">
        <v>7</v>
      </c>
      <c r="K1085">
        <v>3</v>
      </c>
      <c r="L1085" s="1">
        <v>44166</v>
      </c>
      <c r="M1085">
        <v>0</v>
      </c>
      <c r="N1085" s="8" cm="1">
        <f t="array" ref="N1085">_xlfn.SWITCH(Sales[[#This Row],[Subscription Type]],"Basic",10,"Premium",10,"Business",25,"Enterprise",27)</f>
        <v>10</v>
      </c>
      <c r="O1085">
        <f>IF(Sales[[#This Row],[Number of Users]]-Sales[[#This Row],[Licenses Bought]]&lt;0,0,Sales[[#This Row],[Number of Users]]-Sales[[#This Row],[Licenses Bought]])</f>
        <v>2</v>
      </c>
      <c r="P1085" s="8">
        <f>IF(Sales[[#This Row],[Sales Month]]=MAX(Sales[Sales Month]),Sales[[#This Row],[Non-Paying Users]]*Sales[[#This Row],[Upsell $ per Non-Paying User]],0)</f>
        <v>0</v>
      </c>
      <c r="Q1085" t="str" cm="1">
        <f t="array" ref="Q1085">_xlfn.IFS(Sales[[#This Row],[Current Upsell $]]=0,"",Sales[[#This Row],[Current Upsell $]]&gt;=400,"High",Sales[[#This Row],[Current Upsell $]]&gt;=100,"Medium",Sales[[#This Row],[Current Upsell $]]&lt;100,"Low")</f>
        <v/>
      </c>
      <c r="R1085" t="str">
        <f>IF(Sales[[#This Row],[Current Upsell $]]&gt;0,_xlfn.CONCAT(Sales[[#This Row],[Subscription Type]]," ",Sales[[#This Row],[Upsell Priority]]," ",TEXT(Sales[[#This Row],[Current Upsell $]],"$#,#")),"")</f>
        <v/>
      </c>
    </row>
    <row r="1086" spans="1:18" x14ac:dyDescent="0.25">
      <c r="A1086">
        <v>100103</v>
      </c>
      <c r="B1086" t="s">
        <v>3</v>
      </c>
      <c r="F1086">
        <v>0</v>
      </c>
      <c r="G1086">
        <v>1</v>
      </c>
      <c r="H1086" s="1">
        <v>44044</v>
      </c>
      <c r="I1086" s="1">
        <v>44256</v>
      </c>
      <c r="J1086">
        <v>7</v>
      </c>
      <c r="K1086">
        <v>3</v>
      </c>
      <c r="L1086" s="1">
        <v>44197</v>
      </c>
      <c r="M1086">
        <v>0</v>
      </c>
      <c r="N1086" s="8" cm="1">
        <f t="array" ref="N1086">_xlfn.SWITCH(Sales[[#This Row],[Subscription Type]],"Basic",10,"Premium",10,"Business",25,"Enterprise",27)</f>
        <v>10</v>
      </c>
      <c r="O1086">
        <f>IF(Sales[[#This Row],[Number of Users]]-Sales[[#This Row],[Licenses Bought]]&lt;0,0,Sales[[#This Row],[Number of Users]]-Sales[[#This Row],[Licenses Bought]])</f>
        <v>1</v>
      </c>
      <c r="P1086" s="8">
        <f>IF(Sales[[#This Row],[Sales Month]]=MAX(Sales[Sales Month]),Sales[[#This Row],[Non-Paying Users]]*Sales[[#This Row],[Upsell $ per Non-Paying User]],0)</f>
        <v>0</v>
      </c>
      <c r="Q1086" t="str" cm="1">
        <f t="array" ref="Q1086">_xlfn.IFS(Sales[[#This Row],[Current Upsell $]]=0,"",Sales[[#This Row],[Current Upsell $]]&gt;=400,"High",Sales[[#This Row],[Current Upsell $]]&gt;=100,"Medium",Sales[[#This Row],[Current Upsell $]]&lt;100,"Low")</f>
        <v/>
      </c>
      <c r="R1086" t="str">
        <f>IF(Sales[[#This Row],[Current Upsell $]]&gt;0,_xlfn.CONCAT(Sales[[#This Row],[Subscription Type]]," ",Sales[[#This Row],[Upsell Priority]]," ",TEXT(Sales[[#This Row],[Current Upsell $]],"$#,#")),"")</f>
        <v/>
      </c>
    </row>
    <row r="1087" spans="1:18" x14ac:dyDescent="0.25">
      <c r="A1087">
        <v>100103</v>
      </c>
      <c r="B1087" t="s">
        <v>3</v>
      </c>
      <c r="F1087">
        <v>0</v>
      </c>
      <c r="G1087">
        <v>2</v>
      </c>
      <c r="H1087" s="1">
        <v>44044</v>
      </c>
      <c r="I1087" s="1">
        <v>44256</v>
      </c>
      <c r="J1087">
        <v>7</v>
      </c>
      <c r="K1087">
        <v>3</v>
      </c>
      <c r="L1087" s="1">
        <v>44228</v>
      </c>
      <c r="M1087">
        <v>0</v>
      </c>
      <c r="N1087" s="8" cm="1">
        <f t="array" ref="N1087">_xlfn.SWITCH(Sales[[#This Row],[Subscription Type]],"Basic",10,"Premium",10,"Business",25,"Enterprise",27)</f>
        <v>10</v>
      </c>
      <c r="O1087">
        <f>IF(Sales[[#This Row],[Number of Users]]-Sales[[#This Row],[Licenses Bought]]&lt;0,0,Sales[[#This Row],[Number of Users]]-Sales[[#This Row],[Licenses Bought]])</f>
        <v>2</v>
      </c>
      <c r="P1087" s="8">
        <f>IF(Sales[[#This Row],[Sales Month]]=MAX(Sales[Sales Month]),Sales[[#This Row],[Non-Paying Users]]*Sales[[#This Row],[Upsell $ per Non-Paying User]],0)</f>
        <v>0</v>
      </c>
      <c r="Q1087" t="str" cm="1">
        <f t="array" ref="Q1087">_xlfn.IFS(Sales[[#This Row],[Current Upsell $]]=0,"",Sales[[#This Row],[Current Upsell $]]&gt;=400,"High",Sales[[#This Row],[Current Upsell $]]&gt;=100,"Medium",Sales[[#This Row],[Current Upsell $]]&lt;100,"Low")</f>
        <v/>
      </c>
      <c r="R1087" t="str">
        <f>IF(Sales[[#This Row],[Current Upsell $]]&gt;0,_xlfn.CONCAT(Sales[[#This Row],[Subscription Type]]," ",Sales[[#This Row],[Upsell Priority]]," ",TEXT(Sales[[#This Row],[Current Upsell $]],"$#,#")),"")</f>
        <v/>
      </c>
    </row>
    <row r="1088" spans="1:18" x14ac:dyDescent="0.25">
      <c r="A1088">
        <v>100103</v>
      </c>
      <c r="B1088" t="s">
        <v>3</v>
      </c>
      <c r="F1088">
        <v>0</v>
      </c>
      <c r="G1088">
        <v>2</v>
      </c>
      <c r="H1088" s="1">
        <v>44044</v>
      </c>
      <c r="I1088" s="1">
        <v>44256</v>
      </c>
      <c r="J1088">
        <v>7</v>
      </c>
      <c r="K1088">
        <v>3</v>
      </c>
      <c r="L1088" s="1">
        <v>44256</v>
      </c>
      <c r="M1088">
        <v>0</v>
      </c>
      <c r="N1088" s="8" cm="1">
        <f t="array" ref="N1088">_xlfn.SWITCH(Sales[[#This Row],[Subscription Type]],"Basic",10,"Premium",10,"Business",25,"Enterprise",27)</f>
        <v>10</v>
      </c>
      <c r="O1088">
        <f>IF(Sales[[#This Row],[Number of Users]]-Sales[[#This Row],[Licenses Bought]]&lt;0,0,Sales[[#This Row],[Number of Users]]-Sales[[#This Row],[Licenses Bought]])</f>
        <v>2</v>
      </c>
      <c r="P1088" s="8">
        <f>IF(Sales[[#This Row],[Sales Month]]=MAX(Sales[Sales Month]),Sales[[#This Row],[Non-Paying Users]]*Sales[[#This Row],[Upsell $ per Non-Paying User]],0)</f>
        <v>0</v>
      </c>
      <c r="Q1088" t="str" cm="1">
        <f t="array" ref="Q1088">_xlfn.IFS(Sales[[#This Row],[Current Upsell $]]=0,"",Sales[[#This Row],[Current Upsell $]]&gt;=400,"High",Sales[[#This Row],[Current Upsell $]]&gt;=100,"Medium",Sales[[#This Row],[Current Upsell $]]&lt;100,"Low")</f>
        <v/>
      </c>
      <c r="R1088" t="str">
        <f>IF(Sales[[#This Row],[Current Upsell $]]&gt;0,_xlfn.CONCAT(Sales[[#This Row],[Subscription Type]]," ",Sales[[#This Row],[Upsell Priority]]," ",TEXT(Sales[[#This Row],[Current Upsell $]],"$#,#")),"")</f>
        <v/>
      </c>
    </row>
    <row r="1089" spans="1:18" x14ac:dyDescent="0.25">
      <c r="A1089">
        <v>100104</v>
      </c>
      <c r="B1089" t="s">
        <v>3</v>
      </c>
      <c r="F1089">
        <v>0</v>
      </c>
      <c r="G1089">
        <v>2</v>
      </c>
      <c r="H1089" s="1">
        <v>44044</v>
      </c>
      <c r="I1089" s="1">
        <v>44075</v>
      </c>
      <c r="J1089">
        <v>1</v>
      </c>
      <c r="K1089">
        <v>9</v>
      </c>
      <c r="L1089" s="1">
        <v>44044</v>
      </c>
      <c r="M1089">
        <v>0</v>
      </c>
      <c r="N1089" s="8" cm="1">
        <f t="array" ref="N1089">_xlfn.SWITCH(Sales[[#This Row],[Subscription Type]],"Basic",10,"Premium",10,"Business",25,"Enterprise",27)</f>
        <v>10</v>
      </c>
      <c r="O1089">
        <f>IF(Sales[[#This Row],[Number of Users]]-Sales[[#This Row],[Licenses Bought]]&lt;0,0,Sales[[#This Row],[Number of Users]]-Sales[[#This Row],[Licenses Bought]])</f>
        <v>2</v>
      </c>
      <c r="P1089" s="8">
        <f>IF(Sales[[#This Row],[Sales Month]]=MAX(Sales[Sales Month]),Sales[[#This Row],[Non-Paying Users]]*Sales[[#This Row],[Upsell $ per Non-Paying User]],0)</f>
        <v>0</v>
      </c>
      <c r="Q1089" t="str" cm="1">
        <f t="array" ref="Q1089">_xlfn.IFS(Sales[[#This Row],[Current Upsell $]]=0,"",Sales[[#This Row],[Current Upsell $]]&gt;=400,"High",Sales[[#This Row],[Current Upsell $]]&gt;=100,"Medium",Sales[[#This Row],[Current Upsell $]]&lt;100,"Low")</f>
        <v/>
      </c>
      <c r="R1089" t="str">
        <f>IF(Sales[[#This Row],[Current Upsell $]]&gt;0,_xlfn.CONCAT(Sales[[#This Row],[Subscription Type]]," ",Sales[[#This Row],[Upsell Priority]]," ",TEXT(Sales[[#This Row],[Current Upsell $]],"$#,#")),"")</f>
        <v/>
      </c>
    </row>
    <row r="1090" spans="1:18" x14ac:dyDescent="0.25">
      <c r="A1090">
        <v>100104</v>
      </c>
      <c r="B1090" t="s">
        <v>3</v>
      </c>
      <c r="F1090">
        <v>0</v>
      </c>
      <c r="G1090">
        <v>2</v>
      </c>
      <c r="H1090" s="1">
        <v>44044</v>
      </c>
      <c r="I1090" s="1">
        <v>44075</v>
      </c>
      <c r="J1090">
        <v>1</v>
      </c>
      <c r="K1090">
        <v>9</v>
      </c>
      <c r="L1090" s="1">
        <v>44075</v>
      </c>
      <c r="M1090">
        <v>0</v>
      </c>
      <c r="N1090" s="8" cm="1">
        <f t="array" ref="N1090">_xlfn.SWITCH(Sales[[#This Row],[Subscription Type]],"Basic",10,"Premium",10,"Business",25,"Enterprise",27)</f>
        <v>10</v>
      </c>
      <c r="O1090">
        <f>IF(Sales[[#This Row],[Number of Users]]-Sales[[#This Row],[Licenses Bought]]&lt;0,0,Sales[[#This Row],[Number of Users]]-Sales[[#This Row],[Licenses Bought]])</f>
        <v>2</v>
      </c>
      <c r="P1090" s="8">
        <f>IF(Sales[[#This Row],[Sales Month]]=MAX(Sales[Sales Month]),Sales[[#This Row],[Non-Paying Users]]*Sales[[#This Row],[Upsell $ per Non-Paying User]],0)</f>
        <v>0</v>
      </c>
      <c r="Q1090" t="str" cm="1">
        <f t="array" ref="Q1090">_xlfn.IFS(Sales[[#This Row],[Current Upsell $]]=0,"",Sales[[#This Row],[Current Upsell $]]&gt;=400,"High",Sales[[#This Row],[Current Upsell $]]&gt;=100,"Medium",Sales[[#This Row],[Current Upsell $]]&lt;100,"Low")</f>
        <v/>
      </c>
      <c r="R1090" t="str">
        <f>IF(Sales[[#This Row],[Current Upsell $]]&gt;0,_xlfn.CONCAT(Sales[[#This Row],[Subscription Type]]," ",Sales[[#This Row],[Upsell Priority]]," ",TEXT(Sales[[#This Row],[Current Upsell $]],"$#,#")),"")</f>
        <v/>
      </c>
    </row>
    <row r="1091" spans="1:18" x14ac:dyDescent="0.25">
      <c r="A1091">
        <v>100105</v>
      </c>
      <c r="B1091" t="s">
        <v>3</v>
      </c>
      <c r="F1091">
        <v>0</v>
      </c>
      <c r="G1091">
        <v>2</v>
      </c>
      <c r="H1091" s="1">
        <v>44044</v>
      </c>
      <c r="I1091" s="1">
        <v>44166</v>
      </c>
      <c r="J1091">
        <v>4</v>
      </c>
      <c r="K1091">
        <v>6</v>
      </c>
      <c r="L1091" s="1">
        <v>44044</v>
      </c>
      <c r="M1091">
        <v>0</v>
      </c>
      <c r="N1091" s="8" cm="1">
        <f t="array" ref="N1091">_xlfn.SWITCH(Sales[[#This Row],[Subscription Type]],"Basic",10,"Premium",10,"Business",25,"Enterprise",27)</f>
        <v>10</v>
      </c>
      <c r="O1091">
        <f>IF(Sales[[#This Row],[Number of Users]]-Sales[[#This Row],[Licenses Bought]]&lt;0,0,Sales[[#This Row],[Number of Users]]-Sales[[#This Row],[Licenses Bought]])</f>
        <v>2</v>
      </c>
      <c r="P1091" s="8">
        <f>IF(Sales[[#This Row],[Sales Month]]=MAX(Sales[Sales Month]),Sales[[#This Row],[Non-Paying Users]]*Sales[[#This Row],[Upsell $ per Non-Paying User]],0)</f>
        <v>0</v>
      </c>
      <c r="Q1091" t="str" cm="1">
        <f t="array" ref="Q1091">_xlfn.IFS(Sales[[#This Row],[Current Upsell $]]=0,"",Sales[[#This Row],[Current Upsell $]]&gt;=400,"High",Sales[[#This Row],[Current Upsell $]]&gt;=100,"Medium",Sales[[#This Row],[Current Upsell $]]&lt;100,"Low")</f>
        <v/>
      </c>
      <c r="R1091" t="str">
        <f>IF(Sales[[#This Row],[Current Upsell $]]&gt;0,_xlfn.CONCAT(Sales[[#This Row],[Subscription Type]]," ",Sales[[#This Row],[Upsell Priority]]," ",TEXT(Sales[[#This Row],[Current Upsell $]],"$#,#")),"")</f>
        <v/>
      </c>
    </row>
    <row r="1092" spans="1:18" x14ac:dyDescent="0.25">
      <c r="A1092">
        <v>100105</v>
      </c>
      <c r="B1092" t="s">
        <v>3</v>
      </c>
      <c r="F1092">
        <v>0</v>
      </c>
      <c r="G1092">
        <v>2</v>
      </c>
      <c r="H1092" s="1">
        <v>44044</v>
      </c>
      <c r="I1092" s="1">
        <v>44166</v>
      </c>
      <c r="J1092">
        <v>4</v>
      </c>
      <c r="K1092">
        <v>6</v>
      </c>
      <c r="L1092" s="1">
        <v>44075</v>
      </c>
      <c r="M1092">
        <v>0</v>
      </c>
      <c r="N1092" s="8" cm="1">
        <f t="array" ref="N1092">_xlfn.SWITCH(Sales[[#This Row],[Subscription Type]],"Basic",10,"Premium",10,"Business",25,"Enterprise",27)</f>
        <v>10</v>
      </c>
      <c r="O1092">
        <f>IF(Sales[[#This Row],[Number of Users]]-Sales[[#This Row],[Licenses Bought]]&lt;0,0,Sales[[#This Row],[Number of Users]]-Sales[[#This Row],[Licenses Bought]])</f>
        <v>2</v>
      </c>
      <c r="P1092" s="8">
        <f>IF(Sales[[#This Row],[Sales Month]]=MAX(Sales[Sales Month]),Sales[[#This Row],[Non-Paying Users]]*Sales[[#This Row],[Upsell $ per Non-Paying User]],0)</f>
        <v>0</v>
      </c>
      <c r="Q1092" t="str" cm="1">
        <f t="array" ref="Q1092">_xlfn.IFS(Sales[[#This Row],[Current Upsell $]]=0,"",Sales[[#This Row],[Current Upsell $]]&gt;=400,"High",Sales[[#This Row],[Current Upsell $]]&gt;=100,"Medium",Sales[[#This Row],[Current Upsell $]]&lt;100,"Low")</f>
        <v/>
      </c>
      <c r="R1092" t="str">
        <f>IF(Sales[[#This Row],[Current Upsell $]]&gt;0,_xlfn.CONCAT(Sales[[#This Row],[Subscription Type]]," ",Sales[[#This Row],[Upsell Priority]]," ",TEXT(Sales[[#This Row],[Current Upsell $]],"$#,#")),"")</f>
        <v/>
      </c>
    </row>
    <row r="1093" spans="1:18" x14ac:dyDescent="0.25">
      <c r="A1093">
        <v>100105</v>
      </c>
      <c r="B1093" t="s">
        <v>3</v>
      </c>
      <c r="F1093">
        <v>0</v>
      </c>
      <c r="G1093">
        <v>2</v>
      </c>
      <c r="H1093" s="1">
        <v>44044</v>
      </c>
      <c r="I1093" s="1">
        <v>44166</v>
      </c>
      <c r="J1093">
        <v>4</v>
      </c>
      <c r="K1093">
        <v>6</v>
      </c>
      <c r="L1093" s="1">
        <v>44105</v>
      </c>
      <c r="M1093">
        <v>0</v>
      </c>
      <c r="N1093" s="8" cm="1">
        <f t="array" ref="N1093">_xlfn.SWITCH(Sales[[#This Row],[Subscription Type]],"Basic",10,"Premium",10,"Business",25,"Enterprise",27)</f>
        <v>10</v>
      </c>
      <c r="O1093">
        <f>IF(Sales[[#This Row],[Number of Users]]-Sales[[#This Row],[Licenses Bought]]&lt;0,0,Sales[[#This Row],[Number of Users]]-Sales[[#This Row],[Licenses Bought]])</f>
        <v>2</v>
      </c>
      <c r="P1093" s="8">
        <f>IF(Sales[[#This Row],[Sales Month]]=MAX(Sales[Sales Month]),Sales[[#This Row],[Non-Paying Users]]*Sales[[#This Row],[Upsell $ per Non-Paying User]],0)</f>
        <v>0</v>
      </c>
      <c r="Q1093" t="str" cm="1">
        <f t="array" ref="Q1093">_xlfn.IFS(Sales[[#This Row],[Current Upsell $]]=0,"",Sales[[#This Row],[Current Upsell $]]&gt;=400,"High",Sales[[#This Row],[Current Upsell $]]&gt;=100,"Medium",Sales[[#This Row],[Current Upsell $]]&lt;100,"Low")</f>
        <v/>
      </c>
      <c r="R1093" t="str">
        <f>IF(Sales[[#This Row],[Current Upsell $]]&gt;0,_xlfn.CONCAT(Sales[[#This Row],[Subscription Type]]," ",Sales[[#This Row],[Upsell Priority]]," ",TEXT(Sales[[#This Row],[Current Upsell $]],"$#,#")),"")</f>
        <v/>
      </c>
    </row>
    <row r="1094" spans="1:18" x14ac:dyDescent="0.25">
      <c r="A1094">
        <v>100105</v>
      </c>
      <c r="B1094" t="s">
        <v>3</v>
      </c>
      <c r="F1094">
        <v>0</v>
      </c>
      <c r="G1094">
        <v>2</v>
      </c>
      <c r="H1094" s="1">
        <v>44044</v>
      </c>
      <c r="I1094" s="1">
        <v>44166</v>
      </c>
      <c r="J1094">
        <v>4</v>
      </c>
      <c r="K1094">
        <v>6</v>
      </c>
      <c r="L1094" s="1">
        <v>44136</v>
      </c>
      <c r="M1094">
        <v>0</v>
      </c>
      <c r="N1094" s="8" cm="1">
        <f t="array" ref="N1094">_xlfn.SWITCH(Sales[[#This Row],[Subscription Type]],"Basic",10,"Premium",10,"Business",25,"Enterprise",27)</f>
        <v>10</v>
      </c>
      <c r="O1094">
        <f>IF(Sales[[#This Row],[Number of Users]]-Sales[[#This Row],[Licenses Bought]]&lt;0,0,Sales[[#This Row],[Number of Users]]-Sales[[#This Row],[Licenses Bought]])</f>
        <v>2</v>
      </c>
      <c r="P1094" s="8">
        <f>IF(Sales[[#This Row],[Sales Month]]=MAX(Sales[Sales Month]),Sales[[#This Row],[Non-Paying Users]]*Sales[[#This Row],[Upsell $ per Non-Paying User]],0)</f>
        <v>0</v>
      </c>
      <c r="Q1094" t="str" cm="1">
        <f t="array" ref="Q1094">_xlfn.IFS(Sales[[#This Row],[Current Upsell $]]=0,"",Sales[[#This Row],[Current Upsell $]]&gt;=400,"High",Sales[[#This Row],[Current Upsell $]]&gt;=100,"Medium",Sales[[#This Row],[Current Upsell $]]&lt;100,"Low")</f>
        <v/>
      </c>
      <c r="R1094" t="str">
        <f>IF(Sales[[#This Row],[Current Upsell $]]&gt;0,_xlfn.CONCAT(Sales[[#This Row],[Subscription Type]]," ",Sales[[#This Row],[Upsell Priority]]," ",TEXT(Sales[[#This Row],[Current Upsell $]],"$#,#")),"")</f>
        <v/>
      </c>
    </row>
    <row r="1095" spans="1:18" x14ac:dyDescent="0.25">
      <c r="A1095">
        <v>100105</v>
      </c>
      <c r="B1095" t="s">
        <v>3</v>
      </c>
      <c r="F1095">
        <v>0</v>
      </c>
      <c r="G1095">
        <v>2</v>
      </c>
      <c r="H1095" s="1">
        <v>44044</v>
      </c>
      <c r="I1095" s="1">
        <v>44166</v>
      </c>
      <c r="J1095">
        <v>4</v>
      </c>
      <c r="K1095">
        <v>6</v>
      </c>
      <c r="L1095" s="1">
        <v>44166</v>
      </c>
      <c r="M1095">
        <v>0</v>
      </c>
      <c r="N1095" s="8" cm="1">
        <f t="array" ref="N1095">_xlfn.SWITCH(Sales[[#This Row],[Subscription Type]],"Basic",10,"Premium",10,"Business",25,"Enterprise",27)</f>
        <v>10</v>
      </c>
      <c r="O1095">
        <f>IF(Sales[[#This Row],[Number of Users]]-Sales[[#This Row],[Licenses Bought]]&lt;0,0,Sales[[#This Row],[Number of Users]]-Sales[[#This Row],[Licenses Bought]])</f>
        <v>2</v>
      </c>
      <c r="P1095" s="8">
        <f>IF(Sales[[#This Row],[Sales Month]]=MAX(Sales[Sales Month]),Sales[[#This Row],[Non-Paying Users]]*Sales[[#This Row],[Upsell $ per Non-Paying User]],0)</f>
        <v>0</v>
      </c>
      <c r="Q1095" t="str" cm="1">
        <f t="array" ref="Q1095">_xlfn.IFS(Sales[[#This Row],[Current Upsell $]]=0,"",Sales[[#This Row],[Current Upsell $]]&gt;=400,"High",Sales[[#This Row],[Current Upsell $]]&gt;=100,"Medium",Sales[[#This Row],[Current Upsell $]]&lt;100,"Low")</f>
        <v/>
      </c>
      <c r="R1095" t="str">
        <f>IF(Sales[[#This Row],[Current Upsell $]]&gt;0,_xlfn.CONCAT(Sales[[#This Row],[Subscription Type]]," ",Sales[[#This Row],[Upsell Priority]]," ",TEXT(Sales[[#This Row],[Current Upsell $]],"$#,#")),"")</f>
        <v/>
      </c>
    </row>
    <row r="1096" spans="1:18" x14ac:dyDescent="0.25">
      <c r="A1096">
        <v>100106</v>
      </c>
      <c r="B1096" t="s">
        <v>3</v>
      </c>
      <c r="F1096">
        <v>0</v>
      </c>
      <c r="G1096">
        <v>2</v>
      </c>
      <c r="H1096" s="1">
        <v>44044</v>
      </c>
      <c r="I1096" s="1">
        <v>44228</v>
      </c>
      <c r="J1096">
        <v>6</v>
      </c>
      <c r="K1096">
        <v>4</v>
      </c>
      <c r="L1096" s="1">
        <v>44044</v>
      </c>
      <c r="M1096">
        <v>0</v>
      </c>
      <c r="N1096" s="8" cm="1">
        <f t="array" ref="N1096">_xlfn.SWITCH(Sales[[#This Row],[Subscription Type]],"Basic",10,"Premium",10,"Business",25,"Enterprise",27)</f>
        <v>10</v>
      </c>
      <c r="O1096">
        <f>IF(Sales[[#This Row],[Number of Users]]-Sales[[#This Row],[Licenses Bought]]&lt;0,0,Sales[[#This Row],[Number of Users]]-Sales[[#This Row],[Licenses Bought]])</f>
        <v>2</v>
      </c>
      <c r="P1096" s="8">
        <f>IF(Sales[[#This Row],[Sales Month]]=MAX(Sales[Sales Month]),Sales[[#This Row],[Non-Paying Users]]*Sales[[#This Row],[Upsell $ per Non-Paying User]],0)</f>
        <v>0</v>
      </c>
      <c r="Q1096" t="str" cm="1">
        <f t="array" ref="Q1096">_xlfn.IFS(Sales[[#This Row],[Current Upsell $]]=0,"",Sales[[#This Row],[Current Upsell $]]&gt;=400,"High",Sales[[#This Row],[Current Upsell $]]&gt;=100,"Medium",Sales[[#This Row],[Current Upsell $]]&lt;100,"Low")</f>
        <v/>
      </c>
      <c r="R1096" t="str">
        <f>IF(Sales[[#This Row],[Current Upsell $]]&gt;0,_xlfn.CONCAT(Sales[[#This Row],[Subscription Type]]," ",Sales[[#This Row],[Upsell Priority]]," ",TEXT(Sales[[#This Row],[Current Upsell $]],"$#,#")),"")</f>
        <v/>
      </c>
    </row>
    <row r="1097" spans="1:18" x14ac:dyDescent="0.25">
      <c r="A1097">
        <v>100106</v>
      </c>
      <c r="B1097" t="s">
        <v>3</v>
      </c>
      <c r="F1097">
        <v>0</v>
      </c>
      <c r="G1097">
        <v>2</v>
      </c>
      <c r="H1097" s="1">
        <v>44044</v>
      </c>
      <c r="I1097" s="1">
        <v>44228</v>
      </c>
      <c r="J1097">
        <v>6</v>
      </c>
      <c r="K1097">
        <v>4</v>
      </c>
      <c r="L1097" s="1">
        <v>44075</v>
      </c>
      <c r="M1097">
        <v>0</v>
      </c>
      <c r="N1097" s="8" cm="1">
        <f t="array" ref="N1097">_xlfn.SWITCH(Sales[[#This Row],[Subscription Type]],"Basic",10,"Premium",10,"Business",25,"Enterprise",27)</f>
        <v>10</v>
      </c>
      <c r="O1097">
        <f>IF(Sales[[#This Row],[Number of Users]]-Sales[[#This Row],[Licenses Bought]]&lt;0,0,Sales[[#This Row],[Number of Users]]-Sales[[#This Row],[Licenses Bought]])</f>
        <v>2</v>
      </c>
      <c r="P1097" s="8">
        <f>IF(Sales[[#This Row],[Sales Month]]=MAX(Sales[Sales Month]),Sales[[#This Row],[Non-Paying Users]]*Sales[[#This Row],[Upsell $ per Non-Paying User]],0)</f>
        <v>0</v>
      </c>
      <c r="Q1097" t="str" cm="1">
        <f t="array" ref="Q1097">_xlfn.IFS(Sales[[#This Row],[Current Upsell $]]=0,"",Sales[[#This Row],[Current Upsell $]]&gt;=400,"High",Sales[[#This Row],[Current Upsell $]]&gt;=100,"Medium",Sales[[#This Row],[Current Upsell $]]&lt;100,"Low")</f>
        <v/>
      </c>
      <c r="R1097" t="str">
        <f>IF(Sales[[#This Row],[Current Upsell $]]&gt;0,_xlfn.CONCAT(Sales[[#This Row],[Subscription Type]]," ",Sales[[#This Row],[Upsell Priority]]," ",TEXT(Sales[[#This Row],[Current Upsell $]],"$#,#")),"")</f>
        <v/>
      </c>
    </row>
    <row r="1098" spans="1:18" x14ac:dyDescent="0.25">
      <c r="A1098">
        <v>100106</v>
      </c>
      <c r="B1098" t="s">
        <v>3</v>
      </c>
      <c r="F1098">
        <v>0</v>
      </c>
      <c r="G1098">
        <v>2</v>
      </c>
      <c r="H1098" s="1">
        <v>44044</v>
      </c>
      <c r="I1098" s="1">
        <v>44228</v>
      </c>
      <c r="J1098">
        <v>6</v>
      </c>
      <c r="K1098">
        <v>4</v>
      </c>
      <c r="L1098" s="1">
        <v>44105</v>
      </c>
      <c r="M1098">
        <v>0</v>
      </c>
      <c r="N1098" s="8" cm="1">
        <f t="array" ref="N1098">_xlfn.SWITCH(Sales[[#This Row],[Subscription Type]],"Basic",10,"Premium",10,"Business",25,"Enterprise",27)</f>
        <v>10</v>
      </c>
      <c r="O1098">
        <f>IF(Sales[[#This Row],[Number of Users]]-Sales[[#This Row],[Licenses Bought]]&lt;0,0,Sales[[#This Row],[Number of Users]]-Sales[[#This Row],[Licenses Bought]])</f>
        <v>2</v>
      </c>
      <c r="P1098" s="8">
        <f>IF(Sales[[#This Row],[Sales Month]]=MAX(Sales[Sales Month]),Sales[[#This Row],[Non-Paying Users]]*Sales[[#This Row],[Upsell $ per Non-Paying User]],0)</f>
        <v>0</v>
      </c>
      <c r="Q1098" t="str" cm="1">
        <f t="array" ref="Q1098">_xlfn.IFS(Sales[[#This Row],[Current Upsell $]]=0,"",Sales[[#This Row],[Current Upsell $]]&gt;=400,"High",Sales[[#This Row],[Current Upsell $]]&gt;=100,"Medium",Sales[[#This Row],[Current Upsell $]]&lt;100,"Low")</f>
        <v/>
      </c>
      <c r="R1098" t="str">
        <f>IF(Sales[[#This Row],[Current Upsell $]]&gt;0,_xlfn.CONCAT(Sales[[#This Row],[Subscription Type]]," ",Sales[[#This Row],[Upsell Priority]]," ",TEXT(Sales[[#This Row],[Current Upsell $]],"$#,#")),"")</f>
        <v/>
      </c>
    </row>
    <row r="1099" spans="1:18" x14ac:dyDescent="0.25">
      <c r="A1099">
        <v>100106</v>
      </c>
      <c r="B1099" t="s">
        <v>3</v>
      </c>
      <c r="F1099">
        <v>0</v>
      </c>
      <c r="G1099">
        <v>2</v>
      </c>
      <c r="H1099" s="1">
        <v>44044</v>
      </c>
      <c r="I1099" s="1">
        <v>44228</v>
      </c>
      <c r="J1099">
        <v>6</v>
      </c>
      <c r="K1099">
        <v>4</v>
      </c>
      <c r="L1099" s="1">
        <v>44136</v>
      </c>
      <c r="M1099">
        <v>0</v>
      </c>
      <c r="N1099" s="8" cm="1">
        <f t="array" ref="N1099">_xlfn.SWITCH(Sales[[#This Row],[Subscription Type]],"Basic",10,"Premium",10,"Business",25,"Enterprise",27)</f>
        <v>10</v>
      </c>
      <c r="O1099">
        <f>IF(Sales[[#This Row],[Number of Users]]-Sales[[#This Row],[Licenses Bought]]&lt;0,0,Sales[[#This Row],[Number of Users]]-Sales[[#This Row],[Licenses Bought]])</f>
        <v>2</v>
      </c>
      <c r="P1099" s="8">
        <f>IF(Sales[[#This Row],[Sales Month]]=MAX(Sales[Sales Month]),Sales[[#This Row],[Non-Paying Users]]*Sales[[#This Row],[Upsell $ per Non-Paying User]],0)</f>
        <v>0</v>
      </c>
      <c r="Q1099" t="str" cm="1">
        <f t="array" ref="Q1099">_xlfn.IFS(Sales[[#This Row],[Current Upsell $]]=0,"",Sales[[#This Row],[Current Upsell $]]&gt;=400,"High",Sales[[#This Row],[Current Upsell $]]&gt;=100,"Medium",Sales[[#This Row],[Current Upsell $]]&lt;100,"Low")</f>
        <v/>
      </c>
      <c r="R1099" t="str">
        <f>IF(Sales[[#This Row],[Current Upsell $]]&gt;0,_xlfn.CONCAT(Sales[[#This Row],[Subscription Type]]," ",Sales[[#This Row],[Upsell Priority]]," ",TEXT(Sales[[#This Row],[Current Upsell $]],"$#,#")),"")</f>
        <v/>
      </c>
    </row>
    <row r="1100" spans="1:18" x14ac:dyDescent="0.25">
      <c r="A1100">
        <v>100106</v>
      </c>
      <c r="B1100" t="s">
        <v>3</v>
      </c>
      <c r="F1100">
        <v>0</v>
      </c>
      <c r="G1100">
        <v>2</v>
      </c>
      <c r="H1100" s="1">
        <v>44044</v>
      </c>
      <c r="I1100" s="1">
        <v>44228</v>
      </c>
      <c r="J1100">
        <v>6</v>
      </c>
      <c r="K1100">
        <v>4</v>
      </c>
      <c r="L1100" s="1">
        <v>44166</v>
      </c>
      <c r="M1100">
        <v>0</v>
      </c>
      <c r="N1100" s="8" cm="1">
        <f t="array" ref="N1100">_xlfn.SWITCH(Sales[[#This Row],[Subscription Type]],"Basic",10,"Premium",10,"Business",25,"Enterprise",27)</f>
        <v>10</v>
      </c>
      <c r="O1100">
        <f>IF(Sales[[#This Row],[Number of Users]]-Sales[[#This Row],[Licenses Bought]]&lt;0,0,Sales[[#This Row],[Number of Users]]-Sales[[#This Row],[Licenses Bought]])</f>
        <v>2</v>
      </c>
      <c r="P1100" s="8">
        <f>IF(Sales[[#This Row],[Sales Month]]=MAX(Sales[Sales Month]),Sales[[#This Row],[Non-Paying Users]]*Sales[[#This Row],[Upsell $ per Non-Paying User]],0)</f>
        <v>0</v>
      </c>
      <c r="Q1100" t="str" cm="1">
        <f t="array" ref="Q1100">_xlfn.IFS(Sales[[#This Row],[Current Upsell $]]=0,"",Sales[[#This Row],[Current Upsell $]]&gt;=400,"High",Sales[[#This Row],[Current Upsell $]]&gt;=100,"Medium",Sales[[#This Row],[Current Upsell $]]&lt;100,"Low")</f>
        <v/>
      </c>
      <c r="R1100" t="str">
        <f>IF(Sales[[#This Row],[Current Upsell $]]&gt;0,_xlfn.CONCAT(Sales[[#This Row],[Subscription Type]]," ",Sales[[#This Row],[Upsell Priority]]," ",TEXT(Sales[[#This Row],[Current Upsell $]],"$#,#")),"")</f>
        <v/>
      </c>
    </row>
    <row r="1101" spans="1:18" x14ac:dyDescent="0.25">
      <c r="A1101">
        <v>100106</v>
      </c>
      <c r="B1101" t="s">
        <v>3</v>
      </c>
      <c r="F1101">
        <v>0</v>
      </c>
      <c r="G1101">
        <v>2</v>
      </c>
      <c r="H1101" s="1">
        <v>44044</v>
      </c>
      <c r="I1101" s="1">
        <v>44228</v>
      </c>
      <c r="J1101">
        <v>6</v>
      </c>
      <c r="K1101">
        <v>4</v>
      </c>
      <c r="L1101" s="1">
        <v>44197</v>
      </c>
      <c r="M1101">
        <v>0</v>
      </c>
      <c r="N1101" s="8" cm="1">
        <f t="array" ref="N1101">_xlfn.SWITCH(Sales[[#This Row],[Subscription Type]],"Basic",10,"Premium",10,"Business",25,"Enterprise",27)</f>
        <v>10</v>
      </c>
      <c r="O1101">
        <f>IF(Sales[[#This Row],[Number of Users]]-Sales[[#This Row],[Licenses Bought]]&lt;0,0,Sales[[#This Row],[Number of Users]]-Sales[[#This Row],[Licenses Bought]])</f>
        <v>2</v>
      </c>
      <c r="P1101" s="8">
        <f>IF(Sales[[#This Row],[Sales Month]]=MAX(Sales[Sales Month]),Sales[[#This Row],[Non-Paying Users]]*Sales[[#This Row],[Upsell $ per Non-Paying User]],0)</f>
        <v>0</v>
      </c>
      <c r="Q1101" t="str" cm="1">
        <f t="array" ref="Q1101">_xlfn.IFS(Sales[[#This Row],[Current Upsell $]]=0,"",Sales[[#This Row],[Current Upsell $]]&gt;=400,"High",Sales[[#This Row],[Current Upsell $]]&gt;=100,"Medium",Sales[[#This Row],[Current Upsell $]]&lt;100,"Low")</f>
        <v/>
      </c>
      <c r="R1101" t="str">
        <f>IF(Sales[[#This Row],[Current Upsell $]]&gt;0,_xlfn.CONCAT(Sales[[#This Row],[Subscription Type]]," ",Sales[[#This Row],[Upsell Priority]]," ",TEXT(Sales[[#This Row],[Current Upsell $]],"$#,#")),"")</f>
        <v/>
      </c>
    </row>
    <row r="1102" spans="1:18" x14ac:dyDescent="0.25">
      <c r="A1102">
        <v>100106</v>
      </c>
      <c r="B1102" t="s">
        <v>3</v>
      </c>
      <c r="F1102">
        <v>0</v>
      </c>
      <c r="G1102">
        <v>2</v>
      </c>
      <c r="H1102" s="1">
        <v>44044</v>
      </c>
      <c r="I1102" s="1">
        <v>44228</v>
      </c>
      <c r="J1102">
        <v>6</v>
      </c>
      <c r="K1102">
        <v>4</v>
      </c>
      <c r="L1102" s="1">
        <v>44228</v>
      </c>
      <c r="M1102">
        <v>0</v>
      </c>
      <c r="N1102" s="8" cm="1">
        <f t="array" ref="N1102">_xlfn.SWITCH(Sales[[#This Row],[Subscription Type]],"Basic",10,"Premium",10,"Business",25,"Enterprise",27)</f>
        <v>10</v>
      </c>
      <c r="O1102">
        <f>IF(Sales[[#This Row],[Number of Users]]-Sales[[#This Row],[Licenses Bought]]&lt;0,0,Sales[[#This Row],[Number of Users]]-Sales[[#This Row],[Licenses Bought]])</f>
        <v>2</v>
      </c>
      <c r="P1102" s="8">
        <f>IF(Sales[[#This Row],[Sales Month]]=MAX(Sales[Sales Month]),Sales[[#This Row],[Non-Paying Users]]*Sales[[#This Row],[Upsell $ per Non-Paying User]],0)</f>
        <v>0</v>
      </c>
      <c r="Q1102" t="str" cm="1">
        <f t="array" ref="Q1102">_xlfn.IFS(Sales[[#This Row],[Current Upsell $]]=0,"",Sales[[#This Row],[Current Upsell $]]&gt;=400,"High",Sales[[#This Row],[Current Upsell $]]&gt;=100,"Medium",Sales[[#This Row],[Current Upsell $]]&lt;100,"Low")</f>
        <v/>
      </c>
      <c r="R1102" t="str">
        <f>IF(Sales[[#This Row],[Current Upsell $]]&gt;0,_xlfn.CONCAT(Sales[[#This Row],[Subscription Type]]," ",Sales[[#This Row],[Upsell Priority]]," ",TEXT(Sales[[#This Row],[Current Upsell $]],"$#,#")),"")</f>
        <v/>
      </c>
    </row>
    <row r="1103" spans="1:18" x14ac:dyDescent="0.25">
      <c r="A1103">
        <v>100107</v>
      </c>
      <c r="B1103" t="s">
        <v>3</v>
      </c>
      <c r="F1103">
        <v>0</v>
      </c>
      <c r="G1103">
        <v>2</v>
      </c>
      <c r="H1103" s="1">
        <v>44044</v>
      </c>
      <c r="I1103" s="1">
        <v>44105</v>
      </c>
      <c r="J1103">
        <v>2</v>
      </c>
      <c r="K1103">
        <v>8</v>
      </c>
      <c r="L1103" s="1">
        <v>44044</v>
      </c>
      <c r="M1103">
        <v>0</v>
      </c>
      <c r="N1103" s="8" cm="1">
        <f t="array" ref="N1103">_xlfn.SWITCH(Sales[[#This Row],[Subscription Type]],"Basic",10,"Premium",10,"Business",25,"Enterprise",27)</f>
        <v>10</v>
      </c>
      <c r="O1103">
        <f>IF(Sales[[#This Row],[Number of Users]]-Sales[[#This Row],[Licenses Bought]]&lt;0,0,Sales[[#This Row],[Number of Users]]-Sales[[#This Row],[Licenses Bought]])</f>
        <v>2</v>
      </c>
      <c r="P1103" s="8">
        <f>IF(Sales[[#This Row],[Sales Month]]=MAX(Sales[Sales Month]),Sales[[#This Row],[Non-Paying Users]]*Sales[[#This Row],[Upsell $ per Non-Paying User]],0)</f>
        <v>0</v>
      </c>
      <c r="Q1103" t="str" cm="1">
        <f t="array" ref="Q1103">_xlfn.IFS(Sales[[#This Row],[Current Upsell $]]=0,"",Sales[[#This Row],[Current Upsell $]]&gt;=400,"High",Sales[[#This Row],[Current Upsell $]]&gt;=100,"Medium",Sales[[#This Row],[Current Upsell $]]&lt;100,"Low")</f>
        <v/>
      </c>
      <c r="R1103" t="str">
        <f>IF(Sales[[#This Row],[Current Upsell $]]&gt;0,_xlfn.CONCAT(Sales[[#This Row],[Subscription Type]]," ",Sales[[#This Row],[Upsell Priority]]," ",TEXT(Sales[[#This Row],[Current Upsell $]],"$#,#")),"")</f>
        <v/>
      </c>
    </row>
    <row r="1104" spans="1:18" x14ac:dyDescent="0.25">
      <c r="A1104">
        <v>100107</v>
      </c>
      <c r="B1104" t="s">
        <v>3</v>
      </c>
      <c r="F1104">
        <v>0</v>
      </c>
      <c r="G1104">
        <v>2</v>
      </c>
      <c r="H1104" s="1">
        <v>44044</v>
      </c>
      <c r="I1104" s="1">
        <v>44105</v>
      </c>
      <c r="J1104">
        <v>2</v>
      </c>
      <c r="K1104">
        <v>8</v>
      </c>
      <c r="L1104" s="1">
        <v>44075</v>
      </c>
      <c r="M1104">
        <v>0</v>
      </c>
      <c r="N1104" s="8" cm="1">
        <f t="array" ref="N1104">_xlfn.SWITCH(Sales[[#This Row],[Subscription Type]],"Basic",10,"Premium",10,"Business",25,"Enterprise",27)</f>
        <v>10</v>
      </c>
      <c r="O1104">
        <f>IF(Sales[[#This Row],[Number of Users]]-Sales[[#This Row],[Licenses Bought]]&lt;0,0,Sales[[#This Row],[Number of Users]]-Sales[[#This Row],[Licenses Bought]])</f>
        <v>2</v>
      </c>
      <c r="P1104" s="8">
        <f>IF(Sales[[#This Row],[Sales Month]]=MAX(Sales[Sales Month]),Sales[[#This Row],[Non-Paying Users]]*Sales[[#This Row],[Upsell $ per Non-Paying User]],0)</f>
        <v>0</v>
      </c>
      <c r="Q1104" t="str" cm="1">
        <f t="array" ref="Q1104">_xlfn.IFS(Sales[[#This Row],[Current Upsell $]]=0,"",Sales[[#This Row],[Current Upsell $]]&gt;=400,"High",Sales[[#This Row],[Current Upsell $]]&gt;=100,"Medium",Sales[[#This Row],[Current Upsell $]]&lt;100,"Low")</f>
        <v/>
      </c>
      <c r="R1104" t="str">
        <f>IF(Sales[[#This Row],[Current Upsell $]]&gt;0,_xlfn.CONCAT(Sales[[#This Row],[Subscription Type]]," ",Sales[[#This Row],[Upsell Priority]]," ",TEXT(Sales[[#This Row],[Current Upsell $]],"$#,#")),"")</f>
        <v/>
      </c>
    </row>
    <row r="1105" spans="1:18" x14ac:dyDescent="0.25">
      <c r="A1105">
        <v>100107</v>
      </c>
      <c r="B1105" t="s">
        <v>3</v>
      </c>
      <c r="F1105">
        <v>0</v>
      </c>
      <c r="G1105">
        <v>2</v>
      </c>
      <c r="H1105" s="1">
        <v>44044</v>
      </c>
      <c r="I1105" s="1">
        <v>44105</v>
      </c>
      <c r="J1105">
        <v>2</v>
      </c>
      <c r="K1105">
        <v>8</v>
      </c>
      <c r="L1105" s="1">
        <v>44105</v>
      </c>
      <c r="M1105">
        <v>0</v>
      </c>
      <c r="N1105" s="8" cm="1">
        <f t="array" ref="N1105">_xlfn.SWITCH(Sales[[#This Row],[Subscription Type]],"Basic",10,"Premium",10,"Business",25,"Enterprise",27)</f>
        <v>10</v>
      </c>
      <c r="O1105">
        <f>IF(Sales[[#This Row],[Number of Users]]-Sales[[#This Row],[Licenses Bought]]&lt;0,0,Sales[[#This Row],[Number of Users]]-Sales[[#This Row],[Licenses Bought]])</f>
        <v>2</v>
      </c>
      <c r="P1105" s="8">
        <f>IF(Sales[[#This Row],[Sales Month]]=MAX(Sales[Sales Month]),Sales[[#This Row],[Non-Paying Users]]*Sales[[#This Row],[Upsell $ per Non-Paying User]],0)</f>
        <v>0</v>
      </c>
      <c r="Q1105" t="str" cm="1">
        <f t="array" ref="Q1105">_xlfn.IFS(Sales[[#This Row],[Current Upsell $]]=0,"",Sales[[#This Row],[Current Upsell $]]&gt;=400,"High",Sales[[#This Row],[Current Upsell $]]&gt;=100,"Medium",Sales[[#This Row],[Current Upsell $]]&lt;100,"Low")</f>
        <v/>
      </c>
      <c r="R1105" t="str">
        <f>IF(Sales[[#This Row],[Current Upsell $]]&gt;0,_xlfn.CONCAT(Sales[[#This Row],[Subscription Type]]," ",Sales[[#This Row],[Upsell Priority]]," ",TEXT(Sales[[#This Row],[Current Upsell $]],"$#,#")),"")</f>
        <v/>
      </c>
    </row>
    <row r="1106" spans="1:18" x14ac:dyDescent="0.25">
      <c r="A1106">
        <v>100108</v>
      </c>
      <c r="B1106" t="s">
        <v>3</v>
      </c>
      <c r="D1106" s="1"/>
      <c r="E1106" s="1"/>
      <c r="F1106">
        <v>0</v>
      </c>
      <c r="G1106">
        <v>2</v>
      </c>
      <c r="H1106" s="1">
        <v>44044</v>
      </c>
      <c r="I1106" s="1">
        <v>44378</v>
      </c>
      <c r="J1106">
        <v>11</v>
      </c>
      <c r="K1106">
        <v>0</v>
      </c>
      <c r="L1106" s="1">
        <v>44044</v>
      </c>
      <c r="M1106">
        <v>0</v>
      </c>
      <c r="N1106" s="8" cm="1">
        <f t="array" ref="N1106">_xlfn.SWITCH(Sales[[#This Row],[Subscription Type]],"Basic",10,"Premium",10,"Business",25,"Enterprise",27)</f>
        <v>10</v>
      </c>
      <c r="O1106">
        <f>IF(Sales[[#This Row],[Number of Users]]-Sales[[#This Row],[Licenses Bought]]&lt;0,0,Sales[[#This Row],[Number of Users]]-Sales[[#This Row],[Licenses Bought]])</f>
        <v>2</v>
      </c>
      <c r="P1106" s="8">
        <f>IF(Sales[[#This Row],[Sales Month]]=MAX(Sales[Sales Month]),Sales[[#This Row],[Non-Paying Users]]*Sales[[#This Row],[Upsell $ per Non-Paying User]],0)</f>
        <v>0</v>
      </c>
      <c r="Q1106" t="str" cm="1">
        <f t="array" ref="Q1106">_xlfn.IFS(Sales[[#This Row],[Current Upsell $]]=0,"",Sales[[#This Row],[Current Upsell $]]&gt;=400,"High",Sales[[#This Row],[Current Upsell $]]&gt;=100,"Medium",Sales[[#This Row],[Current Upsell $]]&lt;100,"Low")</f>
        <v/>
      </c>
      <c r="R1106" t="str">
        <f>IF(Sales[[#This Row],[Current Upsell $]]&gt;0,_xlfn.CONCAT(Sales[[#This Row],[Subscription Type]]," ",Sales[[#This Row],[Upsell Priority]]," ",TEXT(Sales[[#This Row],[Current Upsell $]],"$#,#")),"")</f>
        <v/>
      </c>
    </row>
    <row r="1107" spans="1:18" x14ac:dyDescent="0.25">
      <c r="A1107">
        <v>100108</v>
      </c>
      <c r="B1107" t="s">
        <v>0</v>
      </c>
      <c r="D1107" s="1"/>
      <c r="E1107" s="1"/>
      <c r="F1107">
        <v>1</v>
      </c>
      <c r="G1107">
        <v>2</v>
      </c>
      <c r="H1107" s="1">
        <v>44044</v>
      </c>
      <c r="I1107" s="1">
        <v>44378</v>
      </c>
      <c r="J1107">
        <v>11</v>
      </c>
      <c r="K1107">
        <v>0</v>
      </c>
      <c r="L1107" s="1">
        <v>44075</v>
      </c>
      <c r="M1107">
        <v>10</v>
      </c>
      <c r="N1107" s="8" cm="1">
        <f t="array" ref="N1107">_xlfn.SWITCH(Sales[[#This Row],[Subscription Type]],"Basic",10,"Premium",10,"Business",25,"Enterprise",27)</f>
        <v>10</v>
      </c>
      <c r="O1107">
        <f>IF(Sales[[#This Row],[Number of Users]]-Sales[[#This Row],[Licenses Bought]]&lt;0,0,Sales[[#This Row],[Number of Users]]-Sales[[#This Row],[Licenses Bought]])</f>
        <v>1</v>
      </c>
      <c r="P1107" s="8">
        <f>IF(Sales[[#This Row],[Sales Month]]=MAX(Sales[Sales Month]),Sales[[#This Row],[Non-Paying Users]]*Sales[[#This Row],[Upsell $ per Non-Paying User]],0)</f>
        <v>0</v>
      </c>
      <c r="Q1107" t="str" cm="1">
        <f t="array" ref="Q1107">_xlfn.IFS(Sales[[#This Row],[Current Upsell $]]=0,"",Sales[[#This Row],[Current Upsell $]]&gt;=400,"High",Sales[[#This Row],[Current Upsell $]]&gt;=100,"Medium",Sales[[#This Row],[Current Upsell $]]&lt;100,"Low")</f>
        <v/>
      </c>
      <c r="R1107" t="str">
        <f>IF(Sales[[#This Row],[Current Upsell $]]&gt;0,_xlfn.CONCAT(Sales[[#This Row],[Subscription Type]]," ",Sales[[#This Row],[Upsell Priority]]," ",TEXT(Sales[[#This Row],[Current Upsell $]],"$#,#")),"")</f>
        <v/>
      </c>
    </row>
    <row r="1108" spans="1:18" x14ac:dyDescent="0.25">
      <c r="A1108">
        <v>100108</v>
      </c>
      <c r="B1108" t="s">
        <v>0</v>
      </c>
      <c r="D1108" s="1"/>
      <c r="E1108" s="1"/>
      <c r="F1108">
        <v>1</v>
      </c>
      <c r="G1108">
        <v>2</v>
      </c>
      <c r="H1108" s="1">
        <v>44044</v>
      </c>
      <c r="I1108" s="1">
        <v>44378</v>
      </c>
      <c r="J1108">
        <v>11</v>
      </c>
      <c r="K1108">
        <v>0</v>
      </c>
      <c r="L1108" s="1">
        <v>44105</v>
      </c>
      <c r="M1108">
        <v>10</v>
      </c>
      <c r="N1108" s="8" cm="1">
        <f t="array" ref="N1108">_xlfn.SWITCH(Sales[[#This Row],[Subscription Type]],"Basic",10,"Premium",10,"Business",25,"Enterprise",27)</f>
        <v>10</v>
      </c>
      <c r="O1108">
        <f>IF(Sales[[#This Row],[Number of Users]]-Sales[[#This Row],[Licenses Bought]]&lt;0,0,Sales[[#This Row],[Number of Users]]-Sales[[#This Row],[Licenses Bought]])</f>
        <v>1</v>
      </c>
      <c r="P1108" s="8">
        <f>IF(Sales[[#This Row],[Sales Month]]=MAX(Sales[Sales Month]),Sales[[#This Row],[Non-Paying Users]]*Sales[[#This Row],[Upsell $ per Non-Paying User]],0)</f>
        <v>0</v>
      </c>
      <c r="Q1108" t="str" cm="1">
        <f t="array" ref="Q1108">_xlfn.IFS(Sales[[#This Row],[Current Upsell $]]=0,"",Sales[[#This Row],[Current Upsell $]]&gt;=400,"High",Sales[[#This Row],[Current Upsell $]]&gt;=100,"Medium",Sales[[#This Row],[Current Upsell $]]&lt;100,"Low")</f>
        <v/>
      </c>
      <c r="R1108" t="str">
        <f>IF(Sales[[#This Row],[Current Upsell $]]&gt;0,_xlfn.CONCAT(Sales[[#This Row],[Subscription Type]]," ",Sales[[#This Row],[Upsell Priority]]," ",TEXT(Sales[[#This Row],[Current Upsell $]],"$#,#")),"")</f>
        <v/>
      </c>
    </row>
    <row r="1109" spans="1:18" x14ac:dyDescent="0.25">
      <c r="A1109">
        <v>100108</v>
      </c>
      <c r="B1109" t="s">
        <v>0</v>
      </c>
      <c r="D1109" s="1"/>
      <c r="E1109" s="1"/>
      <c r="F1109">
        <v>1</v>
      </c>
      <c r="G1109">
        <v>2</v>
      </c>
      <c r="H1109" s="1">
        <v>44044</v>
      </c>
      <c r="I1109" s="1">
        <v>44378</v>
      </c>
      <c r="J1109">
        <v>11</v>
      </c>
      <c r="K1109">
        <v>0</v>
      </c>
      <c r="L1109" s="1">
        <v>44136</v>
      </c>
      <c r="M1109">
        <v>10</v>
      </c>
      <c r="N1109" s="8" cm="1">
        <f t="array" ref="N1109">_xlfn.SWITCH(Sales[[#This Row],[Subscription Type]],"Basic",10,"Premium",10,"Business",25,"Enterprise",27)</f>
        <v>10</v>
      </c>
      <c r="O1109">
        <f>IF(Sales[[#This Row],[Number of Users]]-Sales[[#This Row],[Licenses Bought]]&lt;0,0,Sales[[#This Row],[Number of Users]]-Sales[[#This Row],[Licenses Bought]])</f>
        <v>1</v>
      </c>
      <c r="P1109" s="8">
        <f>IF(Sales[[#This Row],[Sales Month]]=MAX(Sales[Sales Month]),Sales[[#This Row],[Non-Paying Users]]*Sales[[#This Row],[Upsell $ per Non-Paying User]],0)</f>
        <v>0</v>
      </c>
      <c r="Q1109" t="str" cm="1">
        <f t="array" ref="Q1109">_xlfn.IFS(Sales[[#This Row],[Current Upsell $]]=0,"",Sales[[#This Row],[Current Upsell $]]&gt;=400,"High",Sales[[#This Row],[Current Upsell $]]&gt;=100,"Medium",Sales[[#This Row],[Current Upsell $]]&lt;100,"Low")</f>
        <v/>
      </c>
      <c r="R1109" t="str">
        <f>IF(Sales[[#This Row],[Current Upsell $]]&gt;0,_xlfn.CONCAT(Sales[[#This Row],[Subscription Type]]," ",Sales[[#This Row],[Upsell Priority]]," ",TEXT(Sales[[#This Row],[Current Upsell $]],"$#,#")),"")</f>
        <v/>
      </c>
    </row>
    <row r="1110" spans="1:18" x14ac:dyDescent="0.25">
      <c r="A1110">
        <v>100108</v>
      </c>
      <c r="B1110" t="s">
        <v>0</v>
      </c>
      <c r="D1110" s="1"/>
      <c r="E1110" s="1"/>
      <c r="F1110">
        <v>1</v>
      </c>
      <c r="G1110">
        <v>2</v>
      </c>
      <c r="H1110" s="1">
        <v>44044</v>
      </c>
      <c r="I1110" s="1">
        <v>44378</v>
      </c>
      <c r="J1110">
        <v>11</v>
      </c>
      <c r="K1110">
        <v>0</v>
      </c>
      <c r="L1110" s="1">
        <v>44166</v>
      </c>
      <c r="M1110">
        <v>10</v>
      </c>
      <c r="N1110" s="8" cm="1">
        <f t="array" ref="N1110">_xlfn.SWITCH(Sales[[#This Row],[Subscription Type]],"Basic",10,"Premium",10,"Business",25,"Enterprise",27)</f>
        <v>10</v>
      </c>
      <c r="O1110">
        <f>IF(Sales[[#This Row],[Number of Users]]-Sales[[#This Row],[Licenses Bought]]&lt;0,0,Sales[[#This Row],[Number of Users]]-Sales[[#This Row],[Licenses Bought]])</f>
        <v>1</v>
      </c>
      <c r="P1110" s="8">
        <f>IF(Sales[[#This Row],[Sales Month]]=MAX(Sales[Sales Month]),Sales[[#This Row],[Non-Paying Users]]*Sales[[#This Row],[Upsell $ per Non-Paying User]],0)</f>
        <v>0</v>
      </c>
      <c r="Q1110" t="str" cm="1">
        <f t="array" ref="Q1110">_xlfn.IFS(Sales[[#This Row],[Current Upsell $]]=0,"",Sales[[#This Row],[Current Upsell $]]&gt;=400,"High",Sales[[#This Row],[Current Upsell $]]&gt;=100,"Medium",Sales[[#This Row],[Current Upsell $]]&lt;100,"Low")</f>
        <v/>
      </c>
      <c r="R1110" t="str">
        <f>IF(Sales[[#This Row],[Current Upsell $]]&gt;0,_xlfn.CONCAT(Sales[[#This Row],[Subscription Type]]," ",Sales[[#This Row],[Upsell Priority]]," ",TEXT(Sales[[#This Row],[Current Upsell $]],"$#,#")),"")</f>
        <v/>
      </c>
    </row>
    <row r="1111" spans="1:18" x14ac:dyDescent="0.25">
      <c r="A1111">
        <v>100108</v>
      </c>
      <c r="B1111" t="s">
        <v>0</v>
      </c>
      <c r="D1111" s="1"/>
      <c r="E1111" s="1"/>
      <c r="F1111">
        <v>1</v>
      </c>
      <c r="G1111">
        <v>2</v>
      </c>
      <c r="H1111" s="1">
        <v>44044</v>
      </c>
      <c r="I1111" s="1">
        <v>44378</v>
      </c>
      <c r="J1111">
        <v>11</v>
      </c>
      <c r="K1111">
        <v>0</v>
      </c>
      <c r="L1111" s="1">
        <v>44197</v>
      </c>
      <c r="M1111">
        <v>10</v>
      </c>
      <c r="N1111" s="8" cm="1">
        <f t="array" ref="N1111">_xlfn.SWITCH(Sales[[#This Row],[Subscription Type]],"Basic",10,"Premium",10,"Business",25,"Enterprise",27)</f>
        <v>10</v>
      </c>
      <c r="O1111">
        <f>IF(Sales[[#This Row],[Number of Users]]-Sales[[#This Row],[Licenses Bought]]&lt;0,0,Sales[[#This Row],[Number of Users]]-Sales[[#This Row],[Licenses Bought]])</f>
        <v>1</v>
      </c>
      <c r="P1111" s="8">
        <f>IF(Sales[[#This Row],[Sales Month]]=MAX(Sales[Sales Month]),Sales[[#This Row],[Non-Paying Users]]*Sales[[#This Row],[Upsell $ per Non-Paying User]],0)</f>
        <v>0</v>
      </c>
      <c r="Q1111" t="str" cm="1">
        <f t="array" ref="Q1111">_xlfn.IFS(Sales[[#This Row],[Current Upsell $]]=0,"",Sales[[#This Row],[Current Upsell $]]&gt;=400,"High",Sales[[#This Row],[Current Upsell $]]&gt;=100,"Medium",Sales[[#This Row],[Current Upsell $]]&lt;100,"Low")</f>
        <v/>
      </c>
      <c r="R1111" t="str">
        <f>IF(Sales[[#This Row],[Current Upsell $]]&gt;0,_xlfn.CONCAT(Sales[[#This Row],[Subscription Type]]," ",Sales[[#This Row],[Upsell Priority]]," ",TEXT(Sales[[#This Row],[Current Upsell $]],"$#,#")),"")</f>
        <v/>
      </c>
    </row>
    <row r="1112" spans="1:18" x14ac:dyDescent="0.25">
      <c r="A1112">
        <v>100108</v>
      </c>
      <c r="B1112" t="s">
        <v>0</v>
      </c>
      <c r="D1112" s="1"/>
      <c r="E1112" s="1"/>
      <c r="F1112">
        <v>1</v>
      </c>
      <c r="G1112">
        <v>2</v>
      </c>
      <c r="H1112" s="1">
        <v>44044</v>
      </c>
      <c r="I1112" s="1">
        <v>44378</v>
      </c>
      <c r="J1112">
        <v>11</v>
      </c>
      <c r="K1112">
        <v>0</v>
      </c>
      <c r="L1112" s="1">
        <v>44228</v>
      </c>
      <c r="M1112">
        <v>10</v>
      </c>
      <c r="N1112" s="8" cm="1">
        <f t="array" ref="N1112">_xlfn.SWITCH(Sales[[#This Row],[Subscription Type]],"Basic",10,"Premium",10,"Business",25,"Enterprise",27)</f>
        <v>10</v>
      </c>
      <c r="O1112">
        <f>IF(Sales[[#This Row],[Number of Users]]-Sales[[#This Row],[Licenses Bought]]&lt;0,0,Sales[[#This Row],[Number of Users]]-Sales[[#This Row],[Licenses Bought]])</f>
        <v>1</v>
      </c>
      <c r="P1112" s="8">
        <f>IF(Sales[[#This Row],[Sales Month]]=MAX(Sales[Sales Month]),Sales[[#This Row],[Non-Paying Users]]*Sales[[#This Row],[Upsell $ per Non-Paying User]],0)</f>
        <v>0</v>
      </c>
      <c r="Q1112" t="str" cm="1">
        <f t="array" ref="Q1112">_xlfn.IFS(Sales[[#This Row],[Current Upsell $]]=0,"",Sales[[#This Row],[Current Upsell $]]&gt;=400,"High",Sales[[#This Row],[Current Upsell $]]&gt;=100,"Medium",Sales[[#This Row],[Current Upsell $]]&lt;100,"Low")</f>
        <v/>
      </c>
      <c r="R1112" t="str">
        <f>IF(Sales[[#This Row],[Current Upsell $]]&gt;0,_xlfn.CONCAT(Sales[[#This Row],[Subscription Type]]," ",Sales[[#This Row],[Upsell Priority]]," ",TEXT(Sales[[#This Row],[Current Upsell $]],"$#,#")),"")</f>
        <v/>
      </c>
    </row>
    <row r="1113" spans="1:18" x14ac:dyDescent="0.25">
      <c r="A1113">
        <v>100108</v>
      </c>
      <c r="B1113" t="s">
        <v>0</v>
      </c>
      <c r="D1113" s="1"/>
      <c r="E1113" s="1"/>
      <c r="F1113">
        <v>1</v>
      </c>
      <c r="G1113">
        <v>2</v>
      </c>
      <c r="H1113" s="1">
        <v>44044</v>
      </c>
      <c r="I1113" s="1">
        <v>44378</v>
      </c>
      <c r="J1113">
        <v>11</v>
      </c>
      <c r="K1113">
        <v>0</v>
      </c>
      <c r="L1113" s="1">
        <v>44256</v>
      </c>
      <c r="M1113">
        <v>10</v>
      </c>
      <c r="N1113" s="8" cm="1">
        <f t="array" ref="N1113">_xlfn.SWITCH(Sales[[#This Row],[Subscription Type]],"Basic",10,"Premium",10,"Business",25,"Enterprise",27)</f>
        <v>10</v>
      </c>
      <c r="O1113">
        <f>IF(Sales[[#This Row],[Number of Users]]-Sales[[#This Row],[Licenses Bought]]&lt;0,0,Sales[[#This Row],[Number of Users]]-Sales[[#This Row],[Licenses Bought]])</f>
        <v>1</v>
      </c>
      <c r="P1113" s="8">
        <f>IF(Sales[[#This Row],[Sales Month]]=MAX(Sales[Sales Month]),Sales[[#This Row],[Non-Paying Users]]*Sales[[#This Row],[Upsell $ per Non-Paying User]],0)</f>
        <v>0</v>
      </c>
      <c r="Q1113" t="str" cm="1">
        <f t="array" ref="Q1113">_xlfn.IFS(Sales[[#This Row],[Current Upsell $]]=0,"",Sales[[#This Row],[Current Upsell $]]&gt;=400,"High",Sales[[#This Row],[Current Upsell $]]&gt;=100,"Medium",Sales[[#This Row],[Current Upsell $]]&lt;100,"Low")</f>
        <v/>
      </c>
      <c r="R1113" t="str">
        <f>IF(Sales[[#This Row],[Current Upsell $]]&gt;0,_xlfn.CONCAT(Sales[[#This Row],[Subscription Type]]," ",Sales[[#This Row],[Upsell Priority]]," ",TEXT(Sales[[#This Row],[Current Upsell $]],"$#,#")),"")</f>
        <v/>
      </c>
    </row>
    <row r="1114" spans="1:18" x14ac:dyDescent="0.25">
      <c r="A1114">
        <v>100108</v>
      </c>
      <c r="B1114" t="s">
        <v>0</v>
      </c>
      <c r="D1114" s="1"/>
      <c r="E1114" s="1"/>
      <c r="F1114">
        <v>1</v>
      </c>
      <c r="G1114">
        <v>2</v>
      </c>
      <c r="H1114" s="1">
        <v>44044</v>
      </c>
      <c r="I1114" s="1">
        <v>44378</v>
      </c>
      <c r="J1114">
        <v>11</v>
      </c>
      <c r="K1114">
        <v>0</v>
      </c>
      <c r="L1114" s="1">
        <v>44287</v>
      </c>
      <c r="M1114">
        <v>10</v>
      </c>
      <c r="N1114" s="8" cm="1">
        <f t="array" ref="N1114">_xlfn.SWITCH(Sales[[#This Row],[Subscription Type]],"Basic",10,"Premium",10,"Business",25,"Enterprise",27)</f>
        <v>10</v>
      </c>
      <c r="O1114">
        <f>IF(Sales[[#This Row],[Number of Users]]-Sales[[#This Row],[Licenses Bought]]&lt;0,0,Sales[[#This Row],[Number of Users]]-Sales[[#This Row],[Licenses Bought]])</f>
        <v>1</v>
      </c>
      <c r="P1114" s="8">
        <f>IF(Sales[[#This Row],[Sales Month]]=MAX(Sales[Sales Month]),Sales[[#This Row],[Non-Paying Users]]*Sales[[#This Row],[Upsell $ per Non-Paying User]],0)</f>
        <v>0</v>
      </c>
      <c r="Q1114" t="str" cm="1">
        <f t="array" ref="Q1114">_xlfn.IFS(Sales[[#This Row],[Current Upsell $]]=0,"",Sales[[#This Row],[Current Upsell $]]&gt;=400,"High",Sales[[#This Row],[Current Upsell $]]&gt;=100,"Medium",Sales[[#This Row],[Current Upsell $]]&lt;100,"Low")</f>
        <v/>
      </c>
      <c r="R1114" t="str">
        <f>IF(Sales[[#This Row],[Current Upsell $]]&gt;0,_xlfn.CONCAT(Sales[[#This Row],[Subscription Type]]," ",Sales[[#This Row],[Upsell Priority]]," ",TEXT(Sales[[#This Row],[Current Upsell $]],"$#,#")),"")</f>
        <v/>
      </c>
    </row>
    <row r="1115" spans="1:18" x14ac:dyDescent="0.25">
      <c r="A1115">
        <v>100108</v>
      </c>
      <c r="B1115" t="s">
        <v>0</v>
      </c>
      <c r="D1115" s="1"/>
      <c r="E1115" s="1"/>
      <c r="F1115">
        <v>1</v>
      </c>
      <c r="G1115">
        <v>2</v>
      </c>
      <c r="H1115" s="1">
        <v>44044</v>
      </c>
      <c r="I1115" s="1">
        <v>44378</v>
      </c>
      <c r="J1115">
        <v>11</v>
      </c>
      <c r="K1115">
        <v>0</v>
      </c>
      <c r="L1115" s="1">
        <v>44317</v>
      </c>
      <c r="M1115">
        <v>10</v>
      </c>
      <c r="N1115" s="8" cm="1">
        <f t="array" ref="N1115">_xlfn.SWITCH(Sales[[#This Row],[Subscription Type]],"Basic",10,"Premium",10,"Business",25,"Enterprise",27)</f>
        <v>10</v>
      </c>
      <c r="O1115">
        <f>IF(Sales[[#This Row],[Number of Users]]-Sales[[#This Row],[Licenses Bought]]&lt;0,0,Sales[[#This Row],[Number of Users]]-Sales[[#This Row],[Licenses Bought]])</f>
        <v>1</v>
      </c>
      <c r="P1115" s="8">
        <f>IF(Sales[[#This Row],[Sales Month]]=MAX(Sales[Sales Month]),Sales[[#This Row],[Non-Paying Users]]*Sales[[#This Row],[Upsell $ per Non-Paying User]],0)</f>
        <v>0</v>
      </c>
      <c r="Q1115" t="str" cm="1">
        <f t="array" ref="Q1115">_xlfn.IFS(Sales[[#This Row],[Current Upsell $]]=0,"",Sales[[#This Row],[Current Upsell $]]&gt;=400,"High",Sales[[#This Row],[Current Upsell $]]&gt;=100,"Medium",Sales[[#This Row],[Current Upsell $]]&lt;100,"Low")</f>
        <v/>
      </c>
      <c r="R1115" t="str">
        <f>IF(Sales[[#This Row],[Current Upsell $]]&gt;0,_xlfn.CONCAT(Sales[[#This Row],[Subscription Type]]," ",Sales[[#This Row],[Upsell Priority]]," ",TEXT(Sales[[#This Row],[Current Upsell $]],"$#,#")),"")</f>
        <v/>
      </c>
    </row>
    <row r="1116" spans="1:18" x14ac:dyDescent="0.25">
      <c r="A1116">
        <v>100108</v>
      </c>
      <c r="B1116" t="s">
        <v>0</v>
      </c>
      <c r="D1116" s="1"/>
      <c r="E1116" s="1"/>
      <c r="F1116">
        <v>1</v>
      </c>
      <c r="G1116">
        <v>2</v>
      </c>
      <c r="H1116" s="1">
        <v>44044</v>
      </c>
      <c r="I1116" s="1">
        <v>44378</v>
      </c>
      <c r="J1116">
        <v>11</v>
      </c>
      <c r="K1116">
        <v>0</v>
      </c>
      <c r="L1116" s="1">
        <v>44348</v>
      </c>
      <c r="M1116">
        <v>10</v>
      </c>
      <c r="N1116" s="8" cm="1">
        <f t="array" ref="N1116">_xlfn.SWITCH(Sales[[#This Row],[Subscription Type]],"Basic",10,"Premium",10,"Business",25,"Enterprise",27)</f>
        <v>10</v>
      </c>
      <c r="O1116">
        <f>IF(Sales[[#This Row],[Number of Users]]-Sales[[#This Row],[Licenses Bought]]&lt;0,0,Sales[[#This Row],[Number of Users]]-Sales[[#This Row],[Licenses Bought]])</f>
        <v>1</v>
      </c>
      <c r="P1116" s="8">
        <f>IF(Sales[[#This Row],[Sales Month]]=MAX(Sales[Sales Month]),Sales[[#This Row],[Non-Paying Users]]*Sales[[#This Row],[Upsell $ per Non-Paying User]],0)</f>
        <v>10</v>
      </c>
      <c r="Q1116" t="str" cm="1">
        <f t="array" ref="Q1116">_xlfn.IFS(Sales[[#This Row],[Current Upsell $]]=0,"",Sales[[#This Row],[Current Upsell $]]&gt;=400,"High",Sales[[#This Row],[Current Upsell $]]&gt;=100,"Medium",Sales[[#This Row],[Current Upsell $]]&lt;100,"Low")</f>
        <v>Low</v>
      </c>
      <c r="R1116" t="str">
        <f>IF(Sales[[#This Row],[Current Upsell $]]&gt;0,_xlfn.CONCAT(Sales[[#This Row],[Subscription Type]]," ",Sales[[#This Row],[Upsell Priority]]," ",TEXT(Sales[[#This Row],[Current Upsell $]],"$#,#")),"")</f>
        <v>Premium Low $10</v>
      </c>
    </row>
    <row r="1117" spans="1:18" x14ac:dyDescent="0.25">
      <c r="A1117">
        <v>100109</v>
      </c>
      <c r="B1117" t="s">
        <v>3</v>
      </c>
      <c r="D1117" s="1"/>
      <c r="E1117" s="1"/>
      <c r="F1117">
        <v>0</v>
      </c>
      <c r="G1117">
        <v>2</v>
      </c>
      <c r="H1117" s="1">
        <v>44044</v>
      </c>
      <c r="I1117" s="1">
        <v>44378</v>
      </c>
      <c r="J1117">
        <v>11</v>
      </c>
      <c r="K1117">
        <v>0</v>
      </c>
      <c r="L1117" s="1">
        <v>44044</v>
      </c>
      <c r="M1117">
        <v>0</v>
      </c>
      <c r="N1117" s="8" cm="1">
        <f t="array" ref="N1117">_xlfn.SWITCH(Sales[[#This Row],[Subscription Type]],"Basic",10,"Premium",10,"Business",25,"Enterprise",27)</f>
        <v>10</v>
      </c>
      <c r="O1117">
        <f>IF(Sales[[#This Row],[Number of Users]]-Sales[[#This Row],[Licenses Bought]]&lt;0,0,Sales[[#This Row],[Number of Users]]-Sales[[#This Row],[Licenses Bought]])</f>
        <v>2</v>
      </c>
      <c r="P1117" s="8">
        <f>IF(Sales[[#This Row],[Sales Month]]=MAX(Sales[Sales Month]),Sales[[#This Row],[Non-Paying Users]]*Sales[[#This Row],[Upsell $ per Non-Paying User]],0)</f>
        <v>0</v>
      </c>
      <c r="Q1117" t="str" cm="1">
        <f t="array" ref="Q1117">_xlfn.IFS(Sales[[#This Row],[Current Upsell $]]=0,"",Sales[[#This Row],[Current Upsell $]]&gt;=400,"High",Sales[[#This Row],[Current Upsell $]]&gt;=100,"Medium",Sales[[#This Row],[Current Upsell $]]&lt;100,"Low")</f>
        <v/>
      </c>
      <c r="R1117" t="str">
        <f>IF(Sales[[#This Row],[Current Upsell $]]&gt;0,_xlfn.CONCAT(Sales[[#This Row],[Subscription Type]]," ",Sales[[#This Row],[Upsell Priority]]," ",TEXT(Sales[[#This Row],[Current Upsell $]],"$#,#")),"")</f>
        <v/>
      </c>
    </row>
    <row r="1118" spans="1:18" x14ac:dyDescent="0.25">
      <c r="A1118">
        <v>100109</v>
      </c>
      <c r="B1118" t="s">
        <v>0</v>
      </c>
      <c r="D1118" s="1"/>
      <c r="E1118" s="1"/>
      <c r="F1118">
        <v>1</v>
      </c>
      <c r="G1118">
        <v>2</v>
      </c>
      <c r="H1118" s="1">
        <v>44044</v>
      </c>
      <c r="I1118" s="1">
        <v>44378</v>
      </c>
      <c r="J1118">
        <v>11</v>
      </c>
      <c r="K1118">
        <v>0</v>
      </c>
      <c r="L1118" s="1">
        <v>44075</v>
      </c>
      <c r="M1118">
        <v>10</v>
      </c>
      <c r="N1118" s="8" cm="1">
        <f t="array" ref="N1118">_xlfn.SWITCH(Sales[[#This Row],[Subscription Type]],"Basic",10,"Premium",10,"Business",25,"Enterprise",27)</f>
        <v>10</v>
      </c>
      <c r="O1118">
        <f>IF(Sales[[#This Row],[Number of Users]]-Sales[[#This Row],[Licenses Bought]]&lt;0,0,Sales[[#This Row],[Number of Users]]-Sales[[#This Row],[Licenses Bought]])</f>
        <v>1</v>
      </c>
      <c r="P1118" s="8">
        <f>IF(Sales[[#This Row],[Sales Month]]=MAX(Sales[Sales Month]),Sales[[#This Row],[Non-Paying Users]]*Sales[[#This Row],[Upsell $ per Non-Paying User]],0)</f>
        <v>0</v>
      </c>
      <c r="Q1118" t="str" cm="1">
        <f t="array" ref="Q1118">_xlfn.IFS(Sales[[#This Row],[Current Upsell $]]=0,"",Sales[[#This Row],[Current Upsell $]]&gt;=400,"High",Sales[[#This Row],[Current Upsell $]]&gt;=100,"Medium",Sales[[#This Row],[Current Upsell $]]&lt;100,"Low")</f>
        <v/>
      </c>
      <c r="R1118" t="str">
        <f>IF(Sales[[#This Row],[Current Upsell $]]&gt;0,_xlfn.CONCAT(Sales[[#This Row],[Subscription Type]]," ",Sales[[#This Row],[Upsell Priority]]," ",TEXT(Sales[[#This Row],[Current Upsell $]],"$#,#")),"")</f>
        <v/>
      </c>
    </row>
    <row r="1119" spans="1:18" x14ac:dyDescent="0.25">
      <c r="A1119">
        <v>100109</v>
      </c>
      <c r="B1119" t="s">
        <v>0</v>
      </c>
      <c r="D1119" s="1"/>
      <c r="E1119" s="1"/>
      <c r="F1119">
        <v>1</v>
      </c>
      <c r="G1119">
        <v>2</v>
      </c>
      <c r="H1119" s="1">
        <v>44044</v>
      </c>
      <c r="I1119" s="1">
        <v>44378</v>
      </c>
      <c r="J1119">
        <v>11</v>
      </c>
      <c r="K1119">
        <v>0</v>
      </c>
      <c r="L1119" s="1">
        <v>44105</v>
      </c>
      <c r="M1119">
        <v>10</v>
      </c>
      <c r="N1119" s="8" cm="1">
        <f t="array" ref="N1119">_xlfn.SWITCH(Sales[[#This Row],[Subscription Type]],"Basic",10,"Premium",10,"Business",25,"Enterprise",27)</f>
        <v>10</v>
      </c>
      <c r="O1119">
        <f>IF(Sales[[#This Row],[Number of Users]]-Sales[[#This Row],[Licenses Bought]]&lt;0,0,Sales[[#This Row],[Number of Users]]-Sales[[#This Row],[Licenses Bought]])</f>
        <v>1</v>
      </c>
      <c r="P1119" s="8">
        <f>IF(Sales[[#This Row],[Sales Month]]=MAX(Sales[Sales Month]),Sales[[#This Row],[Non-Paying Users]]*Sales[[#This Row],[Upsell $ per Non-Paying User]],0)</f>
        <v>0</v>
      </c>
      <c r="Q1119" t="str" cm="1">
        <f t="array" ref="Q1119">_xlfn.IFS(Sales[[#This Row],[Current Upsell $]]=0,"",Sales[[#This Row],[Current Upsell $]]&gt;=400,"High",Sales[[#This Row],[Current Upsell $]]&gt;=100,"Medium",Sales[[#This Row],[Current Upsell $]]&lt;100,"Low")</f>
        <v/>
      </c>
      <c r="R1119" t="str">
        <f>IF(Sales[[#This Row],[Current Upsell $]]&gt;0,_xlfn.CONCAT(Sales[[#This Row],[Subscription Type]]," ",Sales[[#This Row],[Upsell Priority]]," ",TEXT(Sales[[#This Row],[Current Upsell $]],"$#,#")),"")</f>
        <v/>
      </c>
    </row>
    <row r="1120" spans="1:18" x14ac:dyDescent="0.25">
      <c r="A1120">
        <v>100109</v>
      </c>
      <c r="B1120" t="s">
        <v>0</v>
      </c>
      <c r="D1120" s="1"/>
      <c r="E1120" s="1"/>
      <c r="F1120">
        <v>1</v>
      </c>
      <c r="G1120">
        <v>2</v>
      </c>
      <c r="H1120" s="1">
        <v>44044</v>
      </c>
      <c r="I1120" s="1">
        <v>44378</v>
      </c>
      <c r="J1120">
        <v>11</v>
      </c>
      <c r="K1120">
        <v>0</v>
      </c>
      <c r="L1120" s="1">
        <v>44136</v>
      </c>
      <c r="M1120">
        <v>10</v>
      </c>
      <c r="N1120" s="8" cm="1">
        <f t="array" ref="N1120">_xlfn.SWITCH(Sales[[#This Row],[Subscription Type]],"Basic",10,"Premium",10,"Business",25,"Enterprise",27)</f>
        <v>10</v>
      </c>
      <c r="O1120">
        <f>IF(Sales[[#This Row],[Number of Users]]-Sales[[#This Row],[Licenses Bought]]&lt;0,0,Sales[[#This Row],[Number of Users]]-Sales[[#This Row],[Licenses Bought]])</f>
        <v>1</v>
      </c>
      <c r="P1120" s="8">
        <f>IF(Sales[[#This Row],[Sales Month]]=MAX(Sales[Sales Month]),Sales[[#This Row],[Non-Paying Users]]*Sales[[#This Row],[Upsell $ per Non-Paying User]],0)</f>
        <v>0</v>
      </c>
      <c r="Q1120" t="str" cm="1">
        <f t="array" ref="Q1120">_xlfn.IFS(Sales[[#This Row],[Current Upsell $]]=0,"",Sales[[#This Row],[Current Upsell $]]&gt;=400,"High",Sales[[#This Row],[Current Upsell $]]&gt;=100,"Medium",Sales[[#This Row],[Current Upsell $]]&lt;100,"Low")</f>
        <v/>
      </c>
      <c r="R1120" t="str">
        <f>IF(Sales[[#This Row],[Current Upsell $]]&gt;0,_xlfn.CONCAT(Sales[[#This Row],[Subscription Type]]," ",Sales[[#This Row],[Upsell Priority]]," ",TEXT(Sales[[#This Row],[Current Upsell $]],"$#,#")),"")</f>
        <v/>
      </c>
    </row>
    <row r="1121" spans="1:18" x14ac:dyDescent="0.25">
      <c r="A1121">
        <v>100109</v>
      </c>
      <c r="B1121" t="s">
        <v>0</v>
      </c>
      <c r="D1121" s="1"/>
      <c r="E1121" s="1"/>
      <c r="F1121">
        <v>1</v>
      </c>
      <c r="G1121">
        <v>2</v>
      </c>
      <c r="H1121" s="1">
        <v>44044</v>
      </c>
      <c r="I1121" s="1">
        <v>44378</v>
      </c>
      <c r="J1121">
        <v>11</v>
      </c>
      <c r="K1121">
        <v>0</v>
      </c>
      <c r="L1121" s="1">
        <v>44166</v>
      </c>
      <c r="M1121">
        <v>10</v>
      </c>
      <c r="N1121" s="8" cm="1">
        <f t="array" ref="N1121">_xlfn.SWITCH(Sales[[#This Row],[Subscription Type]],"Basic",10,"Premium",10,"Business",25,"Enterprise",27)</f>
        <v>10</v>
      </c>
      <c r="O1121">
        <f>IF(Sales[[#This Row],[Number of Users]]-Sales[[#This Row],[Licenses Bought]]&lt;0,0,Sales[[#This Row],[Number of Users]]-Sales[[#This Row],[Licenses Bought]])</f>
        <v>1</v>
      </c>
      <c r="P1121" s="8">
        <f>IF(Sales[[#This Row],[Sales Month]]=MAX(Sales[Sales Month]),Sales[[#This Row],[Non-Paying Users]]*Sales[[#This Row],[Upsell $ per Non-Paying User]],0)</f>
        <v>0</v>
      </c>
      <c r="Q1121" t="str" cm="1">
        <f t="array" ref="Q1121">_xlfn.IFS(Sales[[#This Row],[Current Upsell $]]=0,"",Sales[[#This Row],[Current Upsell $]]&gt;=400,"High",Sales[[#This Row],[Current Upsell $]]&gt;=100,"Medium",Sales[[#This Row],[Current Upsell $]]&lt;100,"Low")</f>
        <v/>
      </c>
      <c r="R1121" t="str">
        <f>IF(Sales[[#This Row],[Current Upsell $]]&gt;0,_xlfn.CONCAT(Sales[[#This Row],[Subscription Type]]," ",Sales[[#This Row],[Upsell Priority]]," ",TEXT(Sales[[#This Row],[Current Upsell $]],"$#,#")),"")</f>
        <v/>
      </c>
    </row>
    <row r="1122" spans="1:18" x14ac:dyDescent="0.25">
      <c r="A1122">
        <v>100109</v>
      </c>
      <c r="B1122" t="s">
        <v>0</v>
      </c>
      <c r="D1122" s="1"/>
      <c r="E1122" s="1"/>
      <c r="F1122">
        <v>1</v>
      </c>
      <c r="G1122">
        <v>2</v>
      </c>
      <c r="H1122" s="1">
        <v>44044</v>
      </c>
      <c r="I1122" s="1">
        <v>44378</v>
      </c>
      <c r="J1122">
        <v>11</v>
      </c>
      <c r="K1122">
        <v>0</v>
      </c>
      <c r="L1122" s="1">
        <v>44197</v>
      </c>
      <c r="M1122">
        <v>10</v>
      </c>
      <c r="N1122" s="8" cm="1">
        <f t="array" ref="N1122">_xlfn.SWITCH(Sales[[#This Row],[Subscription Type]],"Basic",10,"Premium",10,"Business",25,"Enterprise",27)</f>
        <v>10</v>
      </c>
      <c r="O1122">
        <f>IF(Sales[[#This Row],[Number of Users]]-Sales[[#This Row],[Licenses Bought]]&lt;0,0,Sales[[#This Row],[Number of Users]]-Sales[[#This Row],[Licenses Bought]])</f>
        <v>1</v>
      </c>
      <c r="P1122" s="8">
        <f>IF(Sales[[#This Row],[Sales Month]]=MAX(Sales[Sales Month]),Sales[[#This Row],[Non-Paying Users]]*Sales[[#This Row],[Upsell $ per Non-Paying User]],0)</f>
        <v>0</v>
      </c>
      <c r="Q1122" t="str" cm="1">
        <f t="array" ref="Q1122">_xlfn.IFS(Sales[[#This Row],[Current Upsell $]]=0,"",Sales[[#This Row],[Current Upsell $]]&gt;=400,"High",Sales[[#This Row],[Current Upsell $]]&gt;=100,"Medium",Sales[[#This Row],[Current Upsell $]]&lt;100,"Low")</f>
        <v/>
      </c>
      <c r="R1122" t="str">
        <f>IF(Sales[[#This Row],[Current Upsell $]]&gt;0,_xlfn.CONCAT(Sales[[#This Row],[Subscription Type]]," ",Sales[[#This Row],[Upsell Priority]]," ",TEXT(Sales[[#This Row],[Current Upsell $]],"$#,#")),"")</f>
        <v/>
      </c>
    </row>
    <row r="1123" spans="1:18" x14ac:dyDescent="0.25">
      <c r="A1123">
        <v>100109</v>
      </c>
      <c r="B1123" t="s">
        <v>0</v>
      </c>
      <c r="D1123" s="1"/>
      <c r="E1123" s="1"/>
      <c r="F1123">
        <v>1</v>
      </c>
      <c r="G1123">
        <v>1</v>
      </c>
      <c r="H1123" s="1">
        <v>44044</v>
      </c>
      <c r="I1123" s="1">
        <v>44378</v>
      </c>
      <c r="J1123">
        <v>11</v>
      </c>
      <c r="K1123">
        <v>0</v>
      </c>
      <c r="L1123" s="1">
        <v>44228</v>
      </c>
      <c r="M1123">
        <v>10</v>
      </c>
      <c r="N1123" s="8" cm="1">
        <f t="array" ref="N1123">_xlfn.SWITCH(Sales[[#This Row],[Subscription Type]],"Basic",10,"Premium",10,"Business",25,"Enterprise",27)</f>
        <v>10</v>
      </c>
      <c r="O1123">
        <f>IF(Sales[[#This Row],[Number of Users]]-Sales[[#This Row],[Licenses Bought]]&lt;0,0,Sales[[#This Row],[Number of Users]]-Sales[[#This Row],[Licenses Bought]])</f>
        <v>0</v>
      </c>
      <c r="P1123" s="8">
        <f>IF(Sales[[#This Row],[Sales Month]]=MAX(Sales[Sales Month]),Sales[[#This Row],[Non-Paying Users]]*Sales[[#This Row],[Upsell $ per Non-Paying User]],0)</f>
        <v>0</v>
      </c>
      <c r="Q1123" t="str" cm="1">
        <f t="array" ref="Q1123">_xlfn.IFS(Sales[[#This Row],[Current Upsell $]]=0,"",Sales[[#This Row],[Current Upsell $]]&gt;=400,"High",Sales[[#This Row],[Current Upsell $]]&gt;=100,"Medium",Sales[[#This Row],[Current Upsell $]]&lt;100,"Low")</f>
        <v/>
      </c>
      <c r="R1123" t="str">
        <f>IF(Sales[[#This Row],[Current Upsell $]]&gt;0,_xlfn.CONCAT(Sales[[#This Row],[Subscription Type]]," ",Sales[[#This Row],[Upsell Priority]]," ",TEXT(Sales[[#This Row],[Current Upsell $]],"$#,#")),"")</f>
        <v/>
      </c>
    </row>
    <row r="1124" spans="1:18" x14ac:dyDescent="0.25">
      <c r="A1124">
        <v>100109</v>
      </c>
      <c r="B1124" t="s">
        <v>0</v>
      </c>
      <c r="D1124" s="1"/>
      <c r="E1124" s="1"/>
      <c r="F1124">
        <v>1</v>
      </c>
      <c r="G1124">
        <v>2</v>
      </c>
      <c r="H1124" s="1">
        <v>44044</v>
      </c>
      <c r="I1124" s="1">
        <v>44378</v>
      </c>
      <c r="J1124">
        <v>11</v>
      </c>
      <c r="K1124">
        <v>0</v>
      </c>
      <c r="L1124" s="1">
        <v>44256</v>
      </c>
      <c r="M1124">
        <v>10</v>
      </c>
      <c r="N1124" s="8" cm="1">
        <f t="array" ref="N1124">_xlfn.SWITCH(Sales[[#This Row],[Subscription Type]],"Basic",10,"Premium",10,"Business",25,"Enterprise",27)</f>
        <v>10</v>
      </c>
      <c r="O1124">
        <f>IF(Sales[[#This Row],[Number of Users]]-Sales[[#This Row],[Licenses Bought]]&lt;0,0,Sales[[#This Row],[Number of Users]]-Sales[[#This Row],[Licenses Bought]])</f>
        <v>1</v>
      </c>
      <c r="P1124" s="8">
        <f>IF(Sales[[#This Row],[Sales Month]]=MAX(Sales[Sales Month]),Sales[[#This Row],[Non-Paying Users]]*Sales[[#This Row],[Upsell $ per Non-Paying User]],0)</f>
        <v>0</v>
      </c>
      <c r="Q1124" t="str" cm="1">
        <f t="array" ref="Q1124">_xlfn.IFS(Sales[[#This Row],[Current Upsell $]]=0,"",Sales[[#This Row],[Current Upsell $]]&gt;=400,"High",Sales[[#This Row],[Current Upsell $]]&gt;=100,"Medium",Sales[[#This Row],[Current Upsell $]]&lt;100,"Low")</f>
        <v/>
      </c>
      <c r="R1124" t="str">
        <f>IF(Sales[[#This Row],[Current Upsell $]]&gt;0,_xlfn.CONCAT(Sales[[#This Row],[Subscription Type]]," ",Sales[[#This Row],[Upsell Priority]]," ",TEXT(Sales[[#This Row],[Current Upsell $]],"$#,#")),"")</f>
        <v/>
      </c>
    </row>
    <row r="1125" spans="1:18" x14ac:dyDescent="0.25">
      <c r="A1125">
        <v>100109</v>
      </c>
      <c r="B1125" t="s">
        <v>0</v>
      </c>
      <c r="D1125" s="1"/>
      <c r="E1125" s="1"/>
      <c r="F1125">
        <v>1</v>
      </c>
      <c r="G1125">
        <v>2</v>
      </c>
      <c r="H1125" s="1">
        <v>44044</v>
      </c>
      <c r="I1125" s="1">
        <v>44378</v>
      </c>
      <c r="J1125">
        <v>11</v>
      </c>
      <c r="K1125">
        <v>0</v>
      </c>
      <c r="L1125" s="1">
        <v>44287</v>
      </c>
      <c r="M1125">
        <v>10</v>
      </c>
      <c r="N1125" s="8" cm="1">
        <f t="array" ref="N1125">_xlfn.SWITCH(Sales[[#This Row],[Subscription Type]],"Basic",10,"Premium",10,"Business",25,"Enterprise",27)</f>
        <v>10</v>
      </c>
      <c r="O1125">
        <f>IF(Sales[[#This Row],[Number of Users]]-Sales[[#This Row],[Licenses Bought]]&lt;0,0,Sales[[#This Row],[Number of Users]]-Sales[[#This Row],[Licenses Bought]])</f>
        <v>1</v>
      </c>
      <c r="P1125" s="8">
        <f>IF(Sales[[#This Row],[Sales Month]]=MAX(Sales[Sales Month]),Sales[[#This Row],[Non-Paying Users]]*Sales[[#This Row],[Upsell $ per Non-Paying User]],0)</f>
        <v>0</v>
      </c>
      <c r="Q1125" t="str" cm="1">
        <f t="array" ref="Q1125">_xlfn.IFS(Sales[[#This Row],[Current Upsell $]]=0,"",Sales[[#This Row],[Current Upsell $]]&gt;=400,"High",Sales[[#This Row],[Current Upsell $]]&gt;=100,"Medium",Sales[[#This Row],[Current Upsell $]]&lt;100,"Low")</f>
        <v/>
      </c>
      <c r="R1125" t="str">
        <f>IF(Sales[[#This Row],[Current Upsell $]]&gt;0,_xlfn.CONCAT(Sales[[#This Row],[Subscription Type]]," ",Sales[[#This Row],[Upsell Priority]]," ",TEXT(Sales[[#This Row],[Current Upsell $]],"$#,#")),"")</f>
        <v/>
      </c>
    </row>
    <row r="1126" spans="1:18" x14ac:dyDescent="0.25">
      <c r="A1126">
        <v>100109</v>
      </c>
      <c r="B1126" t="s">
        <v>0</v>
      </c>
      <c r="D1126" s="1"/>
      <c r="E1126" s="1"/>
      <c r="F1126">
        <v>1</v>
      </c>
      <c r="G1126">
        <v>2</v>
      </c>
      <c r="H1126" s="1">
        <v>44044</v>
      </c>
      <c r="I1126" s="1">
        <v>44378</v>
      </c>
      <c r="J1126">
        <v>11</v>
      </c>
      <c r="K1126">
        <v>0</v>
      </c>
      <c r="L1126" s="1">
        <v>44317</v>
      </c>
      <c r="M1126">
        <v>10</v>
      </c>
      <c r="N1126" s="8" cm="1">
        <f t="array" ref="N1126">_xlfn.SWITCH(Sales[[#This Row],[Subscription Type]],"Basic",10,"Premium",10,"Business",25,"Enterprise",27)</f>
        <v>10</v>
      </c>
      <c r="O1126">
        <f>IF(Sales[[#This Row],[Number of Users]]-Sales[[#This Row],[Licenses Bought]]&lt;0,0,Sales[[#This Row],[Number of Users]]-Sales[[#This Row],[Licenses Bought]])</f>
        <v>1</v>
      </c>
      <c r="P1126" s="8">
        <f>IF(Sales[[#This Row],[Sales Month]]=MAX(Sales[Sales Month]),Sales[[#This Row],[Non-Paying Users]]*Sales[[#This Row],[Upsell $ per Non-Paying User]],0)</f>
        <v>0</v>
      </c>
      <c r="Q1126" t="str" cm="1">
        <f t="array" ref="Q1126">_xlfn.IFS(Sales[[#This Row],[Current Upsell $]]=0,"",Sales[[#This Row],[Current Upsell $]]&gt;=400,"High",Sales[[#This Row],[Current Upsell $]]&gt;=100,"Medium",Sales[[#This Row],[Current Upsell $]]&lt;100,"Low")</f>
        <v/>
      </c>
      <c r="R1126" t="str">
        <f>IF(Sales[[#This Row],[Current Upsell $]]&gt;0,_xlfn.CONCAT(Sales[[#This Row],[Subscription Type]]," ",Sales[[#This Row],[Upsell Priority]]," ",TEXT(Sales[[#This Row],[Current Upsell $]],"$#,#")),"")</f>
        <v/>
      </c>
    </row>
    <row r="1127" spans="1:18" x14ac:dyDescent="0.25">
      <c r="A1127">
        <v>100109</v>
      </c>
      <c r="B1127" t="s">
        <v>0</v>
      </c>
      <c r="D1127" s="1"/>
      <c r="E1127" s="1"/>
      <c r="F1127">
        <v>1</v>
      </c>
      <c r="G1127">
        <v>2</v>
      </c>
      <c r="H1127" s="1">
        <v>44044</v>
      </c>
      <c r="I1127" s="1">
        <v>44378</v>
      </c>
      <c r="J1127">
        <v>11</v>
      </c>
      <c r="K1127">
        <v>0</v>
      </c>
      <c r="L1127" s="1">
        <v>44348</v>
      </c>
      <c r="M1127">
        <v>10</v>
      </c>
      <c r="N1127" s="8" cm="1">
        <f t="array" ref="N1127">_xlfn.SWITCH(Sales[[#This Row],[Subscription Type]],"Basic",10,"Premium",10,"Business",25,"Enterprise",27)</f>
        <v>10</v>
      </c>
      <c r="O1127">
        <f>IF(Sales[[#This Row],[Number of Users]]-Sales[[#This Row],[Licenses Bought]]&lt;0,0,Sales[[#This Row],[Number of Users]]-Sales[[#This Row],[Licenses Bought]])</f>
        <v>1</v>
      </c>
      <c r="P1127" s="8">
        <f>IF(Sales[[#This Row],[Sales Month]]=MAX(Sales[Sales Month]),Sales[[#This Row],[Non-Paying Users]]*Sales[[#This Row],[Upsell $ per Non-Paying User]],0)</f>
        <v>10</v>
      </c>
      <c r="Q1127" t="str" cm="1">
        <f t="array" ref="Q1127">_xlfn.IFS(Sales[[#This Row],[Current Upsell $]]=0,"",Sales[[#This Row],[Current Upsell $]]&gt;=400,"High",Sales[[#This Row],[Current Upsell $]]&gt;=100,"Medium",Sales[[#This Row],[Current Upsell $]]&lt;100,"Low")</f>
        <v>Low</v>
      </c>
      <c r="R1127" t="str">
        <f>IF(Sales[[#This Row],[Current Upsell $]]&gt;0,_xlfn.CONCAT(Sales[[#This Row],[Subscription Type]]," ",Sales[[#This Row],[Upsell Priority]]," ",TEXT(Sales[[#This Row],[Current Upsell $]],"$#,#")),"")</f>
        <v>Premium Low $10</v>
      </c>
    </row>
    <row r="1128" spans="1:18" x14ac:dyDescent="0.25">
      <c r="A1128">
        <v>100110</v>
      </c>
      <c r="B1128" t="s">
        <v>3</v>
      </c>
      <c r="D1128" s="1"/>
      <c r="E1128" s="1"/>
      <c r="F1128">
        <v>0</v>
      </c>
      <c r="G1128">
        <v>74</v>
      </c>
      <c r="H1128" s="1">
        <v>44075</v>
      </c>
      <c r="I1128" s="1">
        <v>44378</v>
      </c>
      <c r="J1128">
        <v>10</v>
      </c>
      <c r="K1128">
        <v>0</v>
      </c>
      <c r="L1128" s="1">
        <v>44075</v>
      </c>
      <c r="M1128">
        <v>0</v>
      </c>
      <c r="N1128" s="8" cm="1">
        <f t="array" ref="N1128">_xlfn.SWITCH(Sales[[#This Row],[Subscription Type]],"Basic",10,"Premium",10,"Business",25,"Enterprise",27)</f>
        <v>10</v>
      </c>
      <c r="O1128">
        <f>IF(Sales[[#This Row],[Number of Users]]-Sales[[#This Row],[Licenses Bought]]&lt;0,0,Sales[[#This Row],[Number of Users]]-Sales[[#This Row],[Licenses Bought]])</f>
        <v>74</v>
      </c>
      <c r="P1128" s="8">
        <f>IF(Sales[[#This Row],[Sales Month]]=MAX(Sales[Sales Month]),Sales[[#This Row],[Non-Paying Users]]*Sales[[#This Row],[Upsell $ per Non-Paying User]],0)</f>
        <v>0</v>
      </c>
      <c r="Q1128" t="str" cm="1">
        <f t="array" ref="Q1128">_xlfn.IFS(Sales[[#This Row],[Current Upsell $]]=0,"",Sales[[#This Row],[Current Upsell $]]&gt;=400,"High",Sales[[#This Row],[Current Upsell $]]&gt;=100,"Medium",Sales[[#This Row],[Current Upsell $]]&lt;100,"Low")</f>
        <v/>
      </c>
      <c r="R1128" t="str">
        <f>IF(Sales[[#This Row],[Current Upsell $]]&gt;0,_xlfn.CONCAT(Sales[[#This Row],[Subscription Type]]," ",Sales[[#This Row],[Upsell Priority]]," ",TEXT(Sales[[#This Row],[Current Upsell $]],"$#,#")),"")</f>
        <v/>
      </c>
    </row>
    <row r="1129" spans="1:18" x14ac:dyDescent="0.25">
      <c r="A1129">
        <v>100110</v>
      </c>
      <c r="B1129" t="s">
        <v>0</v>
      </c>
      <c r="D1129" s="1"/>
      <c r="E1129" s="1"/>
      <c r="F1129">
        <v>16</v>
      </c>
      <c r="G1129">
        <v>75</v>
      </c>
      <c r="H1129" s="1">
        <v>44075</v>
      </c>
      <c r="I1129" s="1">
        <v>44378</v>
      </c>
      <c r="J1129">
        <v>10</v>
      </c>
      <c r="K1129">
        <v>0</v>
      </c>
      <c r="L1129" s="1">
        <v>44105</v>
      </c>
      <c r="M1129">
        <v>160</v>
      </c>
      <c r="N1129" s="8" cm="1">
        <f t="array" ref="N1129">_xlfn.SWITCH(Sales[[#This Row],[Subscription Type]],"Basic",10,"Premium",10,"Business",25,"Enterprise",27)</f>
        <v>10</v>
      </c>
      <c r="O1129">
        <f>IF(Sales[[#This Row],[Number of Users]]-Sales[[#This Row],[Licenses Bought]]&lt;0,0,Sales[[#This Row],[Number of Users]]-Sales[[#This Row],[Licenses Bought]])</f>
        <v>59</v>
      </c>
      <c r="P1129" s="8">
        <f>IF(Sales[[#This Row],[Sales Month]]=MAX(Sales[Sales Month]),Sales[[#This Row],[Non-Paying Users]]*Sales[[#This Row],[Upsell $ per Non-Paying User]],0)</f>
        <v>0</v>
      </c>
      <c r="Q1129" t="str" cm="1">
        <f t="array" ref="Q1129">_xlfn.IFS(Sales[[#This Row],[Current Upsell $]]=0,"",Sales[[#This Row],[Current Upsell $]]&gt;=400,"High",Sales[[#This Row],[Current Upsell $]]&gt;=100,"Medium",Sales[[#This Row],[Current Upsell $]]&lt;100,"Low")</f>
        <v/>
      </c>
      <c r="R1129" t="str">
        <f>IF(Sales[[#This Row],[Current Upsell $]]&gt;0,_xlfn.CONCAT(Sales[[#This Row],[Subscription Type]]," ",Sales[[#This Row],[Upsell Priority]]," ",TEXT(Sales[[#This Row],[Current Upsell $]],"$#,#")),"")</f>
        <v/>
      </c>
    </row>
    <row r="1130" spans="1:18" x14ac:dyDescent="0.25">
      <c r="A1130">
        <v>100110</v>
      </c>
      <c r="B1130" t="s">
        <v>0</v>
      </c>
      <c r="D1130" s="1"/>
      <c r="E1130" s="1"/>
      <c r="F1130">
        <v>54</v>
      </c>
      <c r="G1130">
        <v>66</v>
      </c>
      <c r="H1130" s="1">
        <v>44075</v>
      </c>
      <c r="I1130" s="1">
        <v>44378</v>
      </c>
      <c r="J1130">
        <v>10</v>
      </c>
      <c r="K1130">
        <v>0</v>
      </c>
      <c r="L1130" s="1">
        <v>44136</v>
      </c>
      <c r="M1130">
        <v>540</v>
      </c>
      <c r="N1130" s="8" cm="1">
        <f t="array" ref="N1130">_xlfn.SWITCH(Sales[[#This Row],[Subscription Type]],"Basic",10,"Premium",10,"Business",25,"Enterprise",27)</f>
        <v>10</v>
      </c>
      <c r="O1130">
        <f>IF(Sales[[#This Row],[Number of Users]]-Sales[[#This Row],[Licenses Bought]]&lt;0,0,Sales[[#This Row],[Number of Users]]-Sales[[#This Row],[Licenses Bought]])</f>
        <v>12</v>
      </c>
      <c r="P1130" s="8">
        <f>IF(Sales[[#This Row],[Sales Month]]=MAX(Sales[Sales Month]),Sales[[#This Row],[Non-Paying Users]]*Sales[[#This Row],[Upsell $ per Non-Paying User]],0)</f>
        <v>0</v>
      </c>
      <c r="Q1130" t="str" cm="1">
        <f t="array" ref="Q1130">_xlfn.IFS(Sales[[#This Row],[Current Upsell $]]=0,"",Sales[[#This Row],[Current Upsell $]]&gt;=400,"High",Sales[[#This Row],[Current Upsell $]]&gt;=100,"Medium",Sales[[#This Row],[Current Upsell $]]&lt;100,"Low")</f>
        <v/>
      </c>
      <c r="R1130" t="str">
        <f>IF(Sales[[#This Row],[Current Upsell $]]&gt;0,_xlfn.CONCAT(Sales[[#This Row],[Subscription Type]]," ",Sales[[#This Row],[Upsell Priority]]," ",TEXT(Sales[[#This Row],[Current Upsell $]],"$#,#")),"")</f>
        <v/>
      </c>
    </row>
    <row r="1131" spans="1:18" x14ac:dyDescent="0.25">
      <c r="A1131">
        <v>100110</v>
      </c>
      <c r="B1131" t="s">
        <v>0</v>
      </c>
      <c r="D1131" s="1"/>
      <c r="E1131" s="1"/>
      <c r="F1131">
        <v>62</v>
      </c>
      <c r="G1131">
        <v>72</v>
      </c>
      <c r="H1131" s="1">
        <v>44075</v>
      </c>
      <c r="I1131" s="1">
        <v>44378</v>
      </c>
      <c r="J1131">
        <v>10</v>
      </c>
      <c r="K1131">
        <v>0</v>
      </c>
      <c r="L1131" s="1">
        <v>44166</v>
      </c>
      <c r="M1131">
        <v>620</v>
      </c>
      <c r="N1131" s="8" cm="1">
        <f t="array" ref="N1131">_xlfn.SWITCH(Sales[[#This Row],[Subscription Type]],"Basic",10,"Premium",10,"Business",25,"Enterprise",27)</f>
        <v>10</v>
      </c>
      <c r="O1131">
        <f>IF(Sales[[#This Row],[Number of Users]]-Sales[[#This Row],[Licenses Bought]]&lt;0,0,Sales[[#This Row],[Number of Users]]-Sales[[#This Row],[Licenses Bought]])</f>
        <v>10</v>
      </c>
      <c r="P1131" s="8">
        <f>IF(Sales[[#This Row],[Sales Month]]=MAX(Sales[Sales Month]),Sales[[#This Row],[Non-Paying Users]]*Sales[[#This Row],[Upsell $ per Non-Paying User]],0)</f>
        <v>0</v>
      </c>
      <c r="Q1131" t="str" cm="1">
        <f t="array" ref="Q1131">_xlfn.IFS(Sales[[#This Row],[Current Upsell $]]=0,"",Sales[[#This Row],[Current Upsell $]]&gt;=400,"High",Sales[[#This Row],[Current Upsell $]]&gt;=100,"Medium",Sales[[#This Row],[Current Upsell $]]&lt;100,"Low")</f>
        <v/>
      </c>
      <c r="R1131" t="str">
        <f>IF(Sales[[#This Row],[Current Upsell $]]&gt;0,_xlfn.CONCAT(Sales[[#This Row],[Subscription Type]]," ",Sales[[#This Row],[Upsell Priority]]," ",TEXT(Sales[[#This Row],[Current Upsell $]],"$#,#")),"")</f>
        <v/>
      </c>
    </row>
    <row r="1132" spans="1:18" x14ac:dyDescent="0.25">
      <c r="A1132">
        <v>100110</v>
      </c>
      <c r="B1132" t="s">
        <v>0</v>
      </c>
      <c r="D1132" s="1"/>
      <c r="E1132" s="1"/>
      <c r="F1132">
        <v>62</v>
      </c>
      <c r="G1132">
        <v>69</v>
      </c>
      <c r="H1132" s="1">
        <v>44075</v>
      </c>
      <c r="I1132" s="1">
        <v>44378</v>
      </c>
      <c r="J1132">
        <v>10</v>
      </c>
      <c r="K1132">
        <v>0</v>
      </c>
      <c r="L1132" s="1">
        <v>44197</v>
      </c>
      <c r="M1132">
        <v>620</v>
      </c>
      <c r="N1132" s="8" cm="1">
        <f t="array" ref="N1132">_xlfn.SWITCH(Sales[[#This Row],[Subscription Type]],"Basic",10,"Premium",10,"Business",25,"Enterprise",27)</f>
        <v>10</v>
      </c>
      <c r="O1132">
        <f>IF(Sales[[#This Row],[Number of Users]]-Sales[[#This Row],[Licenses Bought]]&lt;0,0,Sales[[#This Row],[Number of Users]]-Sales[[#This Row],[Licenses Bought]])</f>
        <v>7</v>
      </c>
      <c r="P1132" s="8">
        <f>IF(Sales[[#This Row],[Sales Month]]=MAX(Sales[Sales Month]),Sales[[#This Row],[Non-Paying Users]]*Sales[[#This Row],[Upsell $ per Non-Paying User]],0)</f>
        <v>0</v>
      </c>
      <c r="Q1132" t="str" cm="1">
        <f t="array" ref="Q1132">_xlfn.IFS(Sales[[#This Row],[Current Upsell $]]=0,"",Sales[[#This Row],[Current Upsell $]]&gt;=400,"High",Sales[[#This Row],[Current Upsell $]]&gt;=100,"Medium",Sales[[#This Row],[Current Upsell $]]&lt;100,"Low")</f>
        <v/>
      </c>
      <c r="R1132" t="str">
        <f>IF(Sales[[#This Row],[Current Upsell $]]&gt;0,_xlfn.CONCAT(Sales[[#This Row],[Subscription Type]]," ",Sales[[#This Row],[Upsell Priority]]," ",TEXT(Sales[[#This Row],[Current Upsell $]],"$#,#")),"")</f>
        <v/>
      </c>
    </row>
    <row r="1133" spans="1:18" x14ac:dyDescent="0.25">
      <c r="A1133">
        <v>100110</v>
      </c>
      <c r="B1133" t="s">
        <v>0</v>
      </c>
      <c r="D1133" s="1"/>
      <c r="E1133" s="1"/>
      <c r="F1133">
        <v>62</v>
      </c>
      <c r="G1133">
        <v>64</v>
      </c>
      <c r="H1133" s="1">
        <v>44075</v>
      </c>
      <c r="I1133" s="1">
        <v>44378</v>
      </c>
      <c r="J1133">
        <v>10</v>
      </c>
      <c r="K1133">
        <v>0</v>
      </c>
      <c r="L1133" s="1">
        <v>44228</v>
      </c>
      <c r="M1133">
        <v>620</v>
      </c>
      <c r="N1133" s="8" cm="1">
        <f t="array" ref="N1133">_xlfn.SWITCH(Sales[[#This Row],[Subscription Type]],"Basic",10,"Premium",10,"Business",25,"Enterprise",27)</f>
        <v>10</v>
      </c>
      <c r="O1133">
        <f>IF(Sales[[#This Row],[Number of Users]]-Sales[[#This Row],[Licenses Bought]]&lt;0,0,Sales[[#This Row],[Number of Users]]-Sales[[#This Row],[Licenses Bought]])</f>
        <v>2</v>
      </c>
      <c r="P1133" s="8">
        <f>IF(Sales[[#This Row],[Sales Month]]=MAX(Sales[Sales Month]),Sales[[#This Row],[Non-Paying Users]]*Sales[[#This Row],[Upsell $ per Non-Paying User]],0)</f>
        <v>0</v>
      </c>
      <c r="Q1133" t="str" cm="1">
        <f t="array" ref="Q1133">_xlfn.IFS(Sales[[#This Row],[Current Upsell $]]=0,"",Sales[[#This Row],[Current Upsell $]]&gt;=400,"High",Sales[[#This Row],[Current Upsell $]]&gt;=100,"Medium",Sales[[#This Row],[Current Upsell $]]&lt;100,"Low")</f>
        <v/>
      </c>
      <c r="R1133" t="str">
        <f>IF(Sales[[#This Row],[Current Upsell $]]&gt;0,_xlfn.CONCAT(Sales[[#This Row],[Subscription Type]]," ",Sales[[#This Row],[Upsell Priority]]," ",TEXT(Sales[[#This Row],[Current Upsell $]],"$#,#")),"")</f>
        <v/>
      </c>
    </row>
    <row r="1134" spans="1:18" x14ac:dyDescent="0.25">
      <c r="A1134">
        <v>100110</v>
      </c>
      <c r="B1134" t="s">
        <v>0</v>
      </c>
      <c r="D1134" s="1"/>
      <c r="E1134" s="1"/>
      <c r="F1134">
        <v>62</v>
      </c>
      <c r="G1134">
        <v>69</v>
      </c>
      <c r="H1134" s="1">
        <v>44075</v>
      </c>
      <c r="I1134" s="1">
        <v>44378</v>
      </c>
      <c r="J1134">
        <v>10</v>
      </c>
      <c r="K1134">
        <v>0</v>
      </c>
      <c r="L1134" s="1">
        <v>44256</v>
      </c>
      <c r="M1134">
        <v>620</v>
      </c>
      <c r="N1134" s="8" cm="1">
        <f t="array" ref="N1134">_xlfn.SWITCH(Sales[[#This Row],[Subscription Type]],"Basic",10,"Premium",10,"Business",25,"Enterprise",27)</f>
        <v>10</v>
      </c>
      <c r="O1134">
        <f>IF(Sales[[#This Row],[Number of Users]]-Sales[[#This Row],[Licenses Bought]]&lt;0,0,Sales[[#This Row],[Number of Users]]-Sales[[#This Row],[Licenses Bought]])</f>
        <v>7</v>
      </c>
      <c r="P1134" s="8">
        <f>IF(Sales[[#This Row],[Sales Month]]=MAX(Sales[Sales Month]),Sales[[#This Row],[Non-Paying Users]]*Sales[[#This Row],[Upsell $ per Non-Paying User]],0)</f>
        <v>0</v>
      </c>
      <c r="Q1134" t="str" cm="1">
        <f t="array" ref="Q1134">_xlfn.IFS(Sales[[#This Row],[Current Upsell $]]=0,"",Sales[[#This Row],[Current Upsell $]]&gt;=400,"High",Sales[[#This Row],[Current Upsell $]]&gt;=100,"Medium",Sales[[#This Row],[Current Upsell $]]&lt;100,"Low")</f>
        <v/>
      </c>
      <c r="R1134" t="str">
        <f>IF(Sales[[#This Row],[Current Upsell $]]&gt;0,_xlfn.CONCAT(Sales[[#This Row],[Subscription Type]]," ",Sales[[#This Row],[Upsell Priority]]," ",TEXT(Sales[[#This Row],[Current Upsell $]],"$#,#")),"")</f>
        <v/>
      </c>
    </row>
    <row r="1135" spans="1:18" x14ac:dyDescent="0.25">
      <c r="A1135">
        <v>100110</v>
      </c>
      <c r="B1135" t="s">
        <v>0</v>
      </c>
      <c r="D1135" s="1"/>
      <c r="E1135" s="1"/>
      <c r="F1135">
        <v>62</v>
      </c>
      <c r="G1135">
        <v>84</v>
      </c>
      <c r="H1135" s="1">
        <v>44075</v>
      </c>
      <c r="I1135" s="1">
        <v>44378</v>
      </c>
      <c r="J1135">
        <v>10</v>
      </c>
      <c r="K1135">
        <v>0</v>
      </c>
      <c r="L1135" s="1">
        <v>44287</v>
      </c>
      <c r="M1135">
        <v>620</v>
      </c>
      <c r="N1135" s="8" cm="1">
        <f t="array" ref="N1135">_xlfn.SWITCH(Sales[[#This Row],[Subscription Type]],"Basic",10,"Premium",10,"Business",25,"Enterprise",27)</f>
        <v>10</v>
      </c>
      <c r="O1135">
        <f>IF(Sales[[#This Row],[Number of Users]]-Sales[[#This Row],[Licenses Bought]]&lt;0,0,Sales[[#This Row],[Number of Users]]-Sales[[#This Row],[Licenses Bought]])</f>
        <v>22</v>
      </c>
      <c r="P1135" s="8">
        <f>IF(Sales[[#This Row],[Sales Month]]=MAX(Sales[Sales Month]),Sales[[#This Row],[Non-Paying Users]]*Sales[[#This Row],[Upsell $ per Non-Paying User]],0)</f>
        <v>0</v>
      </c>
      <c r="Q1135" t="str" cm="1">
        <f t="array" ref="Q1135">_xlfn.IFS(Sales[[#This Row],[Current Upsell $]]=0,"",Sales[[#This Row],[Current Upsell $]]&gt;=400,"High",Sales[[#This Row],[Current Upsell $]]&gt;=100,"Medium",Sales[[#This Row],[Current Upsell $]]&lt;100,"Low")</f>
        <v/>
      </c>
      <c r="R1135" t="str">
        <f>IF(Sales[[#This Row],[Current Upsell $]]&gt;0,_xlfn.CONCAT(Sales[[#This Row],[Subscription Type]]," ",Sales[[#This Row],[Upsell Priority]]," ",TEXT(Sales[[#This Row],[Current Upsell $]],"$#,#")),"")</f>
        <v/>
      </c>
    </row>
    <row r="1136" spans="1:18" x14ac:dyDescent="0.25">
      <c r="A1136">
        <v>100110</v>
      </c>
      <c r="B1136" t="s">
        <v>0</v>
      </c>
      <c r="D1136" s="1"/>
      <c r="E1136" s="1"/>
      <c r="F1136">
        <v>62</v>
      </c>
      <c r="G1136">
        <v>67</v>
      </c>
      <c r="H1136" s="1">
        <v>44075</v>
      </c>
      <c r="I1136" s="1">
        <v>44378</v>
      </c>
      <c r="J1136">
        <v>10</v>
      </c>
      <c r="K1136">
        <v>0</v>
      </c>
      <c r="L1136" s="1">
        <v>44317</v>
      </c>
      <c r="M1136">
        <v>620</v>
      </c>
      <c r="N1136" s="8" cm="1">
        <f t="array" ref="N1136">_xlfn.SWITCH(Sales[[#This Row],[Subscription Type]],"Basic",10,"Premium",10,"Business",25,"Enterprise",27)</f>
        <v>10</v>
      </c>
      <c r="O1136">
        <f>IF(Sales[[#This Row],[Number of Users]]-Sales[[#This Row],[Licenses Bought]]&lt;0,0,Sales[[#This Row],[Number of Users]]-Sales[[#This Row],[Licenses Bought]])</f>
        <v>5</v>
      </c>
      <c r="P1136" s="8">
        <f>IF(Sales[[#This Row],[Sales Month]]=MAX(Sales[Sales Month]),Sales[[#This Row],[Non-Paying Users]]*Sales[[#This Row],[Upsell $ per Non-Paying User]],0)</f>
        <v>0</v>
      </c>
      <c r="Q1136" t="str" cm="1">
        <f t="array" ref="Q1136">_xlfn.IFS(Sales[[#This Row],[Current Upsell $]]=0,"",Sales[[#This Row],[Current Upsell $]]&gt;=400,"High",Sales[[#This Row],[Current Upsell $]]&gt;=100,"Medium",Sales[[#This Row],[Current Upsell $]]&lt;100,"Low")</f>
        <v/>
      </c>
      <c r="R1136" t="str">
        <f>IF(Sales[[#This Row],[Current Upsell $]]&gt;0,_xlfn.CONCAT(Sales[[#This Row],[Subscription Type]]," ",Sales[[#This Row],[Upsell Priority]]," ",TEXT(Sales[[#This Row],[Current Upsell $]],"$#,#")),"")</f>
        <v/>
      </c>
    </row>
    <row r="1137" spans="1:18" x14ac:dyDescent="0.25">
      <c r="A1137">
        <v>100110</v>
      </c>
      <c r="B1137" t="s">
        <v>0</v>
      </c>
      <c r="D1137" s="1"/>
      <c r="E1137" s="1"/>
      <c r="F1137">
        <v>62</v>
      </c>
      <c r="G1137">
        <v>82</v>
      </c>
      <c r="H1137" s="1">
        <v>44075</v>
      </c>
      <c r="I1137" s="1">
        <v>44378</v>
      </c>
      <c r="J1137">
        <v>10</v>
      </c>
      <c r="K1137">
        <v>0</v>
      </c>
      <c r="L1137" s="1">
        <v>44348</v>
      </c>
      <c r="M1137">
        <v>620</v>
      </c>
      <c r="N1137" s="8" cm="1">
        <f t="array" ref="N1137">_xlfn.SWITCH(Sales[[#This Row],[Subscription Type]],"Basic",10,"Premium",10,"Business",25,"Enterprise",27)</f>
        <v>10</v>
      </c>
      <c r="O1137">
        <f>IF(Sales[[#This Row],[Number of Users]]-Sales[[#This Row],[Licenses Bought]]&lt;0,0,Sales[[#This Row],[Number of Users]]-Sales[[#This Row],[Licenses Bought]])</f>
        <v>20</v>
      </c>
      <c r="P1137" s="8">
        <f>IF(Sales[[#This Row],[Sales Month]]=MAX(Sales[Sales Month]),Sales[[#This Row],[Non-Paying Users]]*Sales[[#This Row],[Upsell $ per Non-Paying User]],0)</f>
        <v>200</v>
      </c>
      <c r="Q1137" t="str" cm="1">
        <f t="array" ref="Q1137">_xlfn.IFS(Sales[[#This Row],[Current Upsell $]]=0,"",Sales[[#This Row],[Current Upsell $]]&gt;=400,"High",Sales[[#This Row],[Current Upsell $]]&gt;=100,"Medium",Sales[[#This Row],[Current Upsell $]]&lt;100,"Low")</f>
        <v>Medium</v>
      </c>
      <c r="R1137" t="str">
        <f>IF(Sales[[#This Row],[Current Upsell $]]&gt;0,_xlfn.CONCAT(Sales[[#This Row],[Subscription Type]]," ",Sales[[#This Row],[Upsell Priority]]," ",TEXT(Sales[[#This Row],[Current Upsell $]],"$#,#")),"")</f>
        <v>Premium Medium $200</v>
      </c>
    </row>
    <row r="1138" spans="1:18" x14ac:dyDescent="0.25">
      <c r="A1138">
        <v>100111</v>
      </c>
      <c r="B1138" t="s">
        <v>3</v>
      </c>
      <c r="D1138" s="1"/>
      <c r="E1138" s="1"/>
      <c r="F1138">
        <v>0</v>
      </c>
      <c r="G1138">
        <v>73</v>
      </c>
      <c r="H1138" s="1">
        <v>44075</v>
      </c>
      <c r="I1138" s="1">
        <v>44378</v>
      </c>
      <c r="J1138">
        <v>10</v>
      </c>
      <c r="K1138">
        <v>0</v>
      </c>
      <c r="L1138" s="1">
        <v>44075</v>
      </c>
      <c r="M1138">
        <v>0</v>
      </c>
      <c r="N1138" s="8" cm="1">
        <f t="array" ref="N1138">_xlfn.SWITCH(Sales[[#This Row],[Subscription Type]],"Basic",10,"Premium",10,"Business",25,"Enterprise",27)</f>
        <v>10</v>
      </c>
      <c r="O1138">
        <f>IF(Sales[[#This Row],[Number of Users]]-Sales[[#This Row],[Licenses Bought]]&lt;0,0,Sales[[#This Row],[Number of Users]]-Sales[[#This Row],[Licenses Bought]])</f>
        <v>73</v>
      </c>
      <c r="P1138" s="8">
        <f>IF(Sales[[#This Row],[Sales Month]]=MAX(Sales[Sales Month]),Sales[[#This Row],[Non-Paying Users]]*Sales[[#This Row],[Upsell $ per Non-Paying User]],0)</f>
        <v>0</v>
      </c>
      <c r="Q1138" t="str" cm="1">
        <f t="array" ref="Q1138">_xlfn.IFS(Sales[[#This Row],[Current Upsell $]]=0,"",Sales[[#This Row],[Current Upsell $]]&gt;=400,"High",Sales[[#This Row],[Current Upsell $]]&gt;=100,"Medium",Sales[[#This Row],[Current Upsell $]]&lt;100,"Low")</f>
        <v/>
      </c>
      <c r="R1138" t="str">
        <f>IF(Sales[[#This Row],[Current Upsell $]]&gt;0,_xlfn.CONCAT(Sales[[#This Row],[Subscription Type]]," ",Sales[[#This Row],[Upsell Priority]]," ",TEXT(Sales[[#This Row],[Current Upsell $]],"$#,#")),"")</f>
        <v/>
      </c>
    </row>
    <row r="1139" spans="1:18" x14ac:dyDescent="0.25">
      <c r="A1139">
        <v>100111</v>
      </c>
      <c r="B1139" t="s">
        <v>1</v>
      </c>
      <c r="D1139" s="1"/>
      <c r="E1139" s="1"/>
      <c r="F1139">
        <v>25</v>
      </c>
      <c r="G1139">
        <v>70</v>
      </c>
      <c r="H1139" s="1">
        <v>44075</v>
      </c>
      <c r="I1139" s="1">
        <v>44378</v>
      </c>
      <c r="J1139">
        <v>10</v>
      </c>
      <c r="K1139">
        <v>0</v>
      </c>
      <c r="L1139" s="1">
        <v>44105</v>
      </c>
      <c r="M1139">
        <v>625</v>
      </c>
      <c r="N1139" s="8" cm="1">
        <f t="array" ref="N1139">_xlfn.SWITCH(Sales[[#This Row],[Subscription Type]],"Basic",10,"Premium",10,"Business",25,"Enterprise",27)</f>
        <v>25</v>
      </c>
      <c r="O1139">
        <f>IF(Sales[[#This Row],[Number of Users]]-Sales[[#This Row],[Licenses Bought]]&lt;0,0,Sales[[#This Row],[Number of Users]]-Sales[[#This Row],[Licenses Bought]])</f>
        <v>45</v>
      </c>
      <c r="P1139" s="8">
        <f>IF(Sales[[#This Row],[Sales Month]]=MAX(Sales[Sales Month]),Sales[[#This Row],[Non-Paying Users]]*Sales[[#This Row],[Upsell $ per Non-Paying User]],0)</f>
        <v>0</v>
      </c>
      <c r="Q1139" t="str" cm="1">
        <f t="array" ref="Q1139">_xlfn.IFS(Sales[[#This Row],[Current Upsell $]]=0,"",Sales[[#This Row],[Current Upsell $]]&gt;=400,"High",Sales[[#This Row],[Current Upsell $]]&gt;=100,"Medium",Sales[[#This Row],[Current Upsell $]]&lt;100,"Low")</f>
        <v/>
      </c>
      <c r="R1139" t="str">
        <f>IF(Sales[[#This Row],[Current Upsell $]]&gt;0,_xlfn.CONCAT(Sales[[#This Row],[Subscription Type]]," ",Sales[[#This Row],[Upsell Priority]]," ",TEXT(Sales[[#This Row],[Current Upsell $]],"$#,#")),"")</f>
        <v/>
      </c>
    </row>
    <row r="1140" spans="1:18" x14ac:dyDescent="0.25">
      <c r="A1140">
        <v>100111</v>
      </c>
      <c r="B1140" t="s">
        <v>1</v>
      </c>
      <c r="D1140" s="1"/>
      <c r="E1140" s="1"/>
      <c r="F1140">
        <v>48</v>
      </c>
      <c r="G1140">
        <v>64</v>
      </c>
      <c r="H1140" s="1">
        <v>44075</v>
      </c>
      <c r="I1140" s="1">
        <v>44378</v>
      </c>
      <c r="J1140">
        <v>10</v>
      </c>
      <c r="K1140">
        <v>0</v>
      </c>
      <c r="L1140" s="1">
        <v>44136</v>
      </c>
      <c r="M1140">
        <v>1200</v>
      </c>
      <c r="N1140" s="8" cm="1">
        <f t="array" ref="N1140">_xlfn.SWITCH(Sales[[#This Row],[Subscription Type]],"Basic",10,"Premium",10,"Business",25,"Enterprise",27)</f>
        <v>25</v>
      </c>
      <c r="O1140">
        <f>IF(Sales[[#This Row],[Number of Users]]-Sales[[#This Row],[Licenses Bought]]&lt;0,0,Sales[[#This Row],[Number of Users]]-Sales[[#This Row],[Licenses Bought]])</f>
        <v>16</v>
      </c>
      <c r="P1140" s="8">
        <f>IF(Sales[[#This Row],[Sales Month]]=MAX(Sales[Sales Month]),Sales[[#This Row],[Non-Paying Users]]*Sales[[#This Row],[Upsell $ per Non-Paying User]],0)</f>
        <v>0</v>
      </c>
      <c r="Q1140" t="str" cm="1">
        <f t="array" ref="Q1140">_xlfn.IFS(Sales[[#This Row],[Current Upsell $]]=0,"",Sales[[#This Row],[Current Upsell $]]&gt;=400,"High",Sales[[#This Row],[Current Upsell $]]&gt;=100,"Medium",Sales[[#This Row],[Current Upsell $]]&lt;100,"Low")</f>
        <v/>
      </c>
      <c r="R1140" t="str">
        <f>IF(Sales[[#This Row],[Current Upsell $]]&gt;0,_xlfn.CONCAT(Sales[[#This Row],[Subscription Type]]," ",Sales[[#This Row],[Upsell Priority]]," ",TEXT(Sales[[#This Row],[Current Upsell $]],"$#,#")),"")</f>
        <v/>
      </c>
    </row>
    <row r="1141" spans="1:18" x14ac:dyDescent="0.25">
      <c r="A1141">
        <v>100111</v>
      </c>
      <c r="B1141" t="s">
        <v>1</v>
      </c>
      <c r="D1141" s="1"/>
      <c r="E1141" s="1"/>
      <c r="F1141">
        <v>48</v>
      </c>
      <c r="G1141">
        <v>60</v>
      </c>
      <c r="H1141" s="1">
        <v>44075</v>
      </c>
      <c r="I1141" s="1">
        <v>44378</v>
      </c>
      <c r="J1141">
        <v>10</v>
      </c>
      <c r="K1141">
        <v>0</v>
      </c>
      <c r="L1141" s="1">
        <v>44166</v>
      </c>
      <c r="M1141">
        <v>1200</v>
      </c>
      <c r="N1141" s="8" cm="1">
        <f t="array" ref="N1141">_xlfn.SWITCH(Sales[[#This Row],[Subscription Type]],"Basic",10,"Premium",10,"Business",25,"Enterprise",27)</f>
        <v>25</v>
      </c>
      <c r="O1141">
        <f>IF(Sales[[#This Row],[Number of Users]]-Sales[[#This Row],[Licenses Bought]]&lt;0,0,Sales[[#This Row],[Number of Users]]-Sales[[#This Row],[Licenses Bought]])</f>
        <v>12</v>
      </c>
      <c r="P1141" s="8">
        <f>IF(Sales[[#This Row],[Sales Month]]=MAX(Sales[Sales Month]),Sales[[#This Row],[Non-Paying Users]]*Sales[[#This Row],[Upsell $ per Non-Paying User]],0)</f>
        <v>0</v>
      </c>
      <c r="Q1141" t="str" cm="1">
        <f t="array" ref="Q1141">_xlfn.IFS(Sales[[#This Row],[Current Upsell $]]=0,"",Sales[[#This Row],[Current Upsell $]]&gt;=400,"High",Sales[[#This Row],[Current Upsell $]]&gt;=100,"Medium",Sales[[#This Row],[Current Upsell $]]&lt;100,"Low")</f>
        <v/>
      </c>
      <c r="R1141" t="str">
        <f>IF(Sales[[#This Row],[Current Upsell $]]&gt;0,_xlfn.CONCAT(Sales[[#This Row],[Subscription Type]]," ",Sales[[#This Row],[Upsell Priority]]," ",TEXT(Sales[[#This Row],[Current Upsell $]],"$#,#")),"")</f>
        <v/>
      </c>
    </row>
    <row r="1142" spans="1:18" x14ac:dyDescent="0.25">
      <c r="A1142">
        <v>100111</v>
      </c>
      <c r="B1142" t="s">
        <v>1</v>
      </c>
      <c r="D1142" s="1"/>
      <c r="E1142" s="1"/>
      <c r="F1142">
        <v>48</v>
      </c>
      <c r="G1142">
        <v>61</v>
      </c>
      <c r="H1142" s="1">
        <v>44075</v>
      </c>
      <c r="I1142" s="1">
        <v>44378</v>
      </c>
      <c r="J1142">
        <v>10</v>
      </c>
      <c r="K1142">
        <v>0</v>
      </c>
      <c r="L1142" s="1">
        <v>44197</v>
      </c>
      <c r="M1142">
        <v>1200</v>
      </c>
      <c r="N1142" s="8" cm="1">
        <f t="array" ref="N1142">_xlfn.SWITCH(Sales[[#This Row],[Subscription Type]],"Basic",10,"Premium",10,"Business",25,"Enterprise",27)</f>
        <v>25</v>
      </c>
      <c r="O1142">
        <f>IF(Sales[[#This Row],[Number of Users]]-Sales[[#This Row],[Licenses Bought]]&lt;0,0,Sales[[#This Row],[Number of Users]]-Sales[[#This Row],[Licenses Bought]])</f>
        <v>13</v>
      </c>
      <c r="P1142" s="8">
        <f>IF(Sales[[#This Row],[Sales Month]]=MAX(Sales[Sales Month]),Sales[[#This Row],[Non-Paying Users]]*Sales[[#This Row],[Upsell $ per Non-Paying User]],0)</f>
        <v>0</v>
      </c>
      <c r="Q1142" t="str" cm="1">
        <f t="array" ref="Q1142">_xlfn.IFS(Sales[[#This Row],[Current Upsell $]]=0,"",Sales[[#This Row],[Current Upsell $]]&gt;=400,"High",Sales[[#This Row],[Current Upsell $]]&gt;=100,"Medium",Sales[[#This Row],[Current Upsell $]]&lt;100,"Low")</f>
        <v/>
      </c>
      <c r="R1142" t="str">
        <f>IF(Sales[[#This Row],[Current Upsell $]]&gt;0,_xlfn.CONCAT(Sales[[#This Row],[Subscription Type]]," ",Sales[[#This Row],[Upsell Priority]]," ",TEXT(Sales[[#This Row],[Current Upsell $]],"$#,#")),"")</f>
        <v/>
      </c>
    </row>
    <row r="1143" spans="1:18" x14ac:dyDescent="0.25">
      <c r="A1143">
        <v>100111</v>
      </c>
      <c r="B1143" t="s">
        <v>1</v>
      </c>
      <c r="D1143" s="1"/>
      <c r="E1143" s="1"/>
      <c r="F1143">
        <v>48</v>
      </c>
      <c r="G1143">
        <v>67</v>
      </c>
      <c r="H1143" s="1">
        <v>44075</v>
      </c>
      <c r="I1143" s="1">
        <v>44378</v>
      </c>
      <c r="J1143">
        <v>10</v>
      </c>
      <c r="K1143">
        <v>0</v>
      </c>
      <c r="L1143" s="1">
        <v>44228</v>
      </c>
      <c r="M1143">
        <v>1200</v>
      </c>
      <c r="N1143" s="8" cm="1">
        <f t="array" ref="N1143">_xlfn.SWITCH(Sales[[#This Row],[Subscription Type]],"Basic",10,"Premium",10,"Business",25,"Enterprise",27)</f>
        <v>25</v>
      </c>
      <c r="O1143">
        <f>IF(Sales[[#This Row],[Number of Users]]-Sales[[#This Row],[Licenses Bought]]&lt;0,0,Sales[[#This Row],[Number of Users]]-Sales[[#This Row],[Licenses Bought]])</f>
        <v>19</v>
      </c>
      <c r="P1143" s="8">
        <f>IF(Sales[[#This Row],[Sales Month]]=MAX(Sales[Sales Month]),Sales[[#This Row],[Non-Paying Users]]*Sales[[#This Row],[Upsell $ per Non-Paying User]],0)</f>
        <v>0</v>
      </c>
      <c r="Q1143" t="str" cm="1">
        <f t="array" ref="Q1143">_xlfn.IFS(Sales[[#This Row],[Current Upsell $]]=0,"",Sales[[#This Row],[Current Upsell $]]&gt;=400,"High",Sales[[#This Row],[Current Upsell $]]&gt;=100,"Medium",Sales[[#This Row],[Current Upsell $]]&lt;100,"Low")</f>
        <v/>
      </c>
      <c r="R1143" t="str">
        <f>IF(Sales[[#This Row],[Current Upsell $]]&gt;0,_xlfn.CONCAT(Sales[[#This Row],[Subscription Type]]," ",Sales[[#This Row],[Upsell Priority]]," ",TEXT(Sales[[#This Row],[Current Upsell $]],"$#,#")),"")</f>
        <v/>
      </c>
    </row>
    <row r="1144" spans="1:18" x14ac:dyDescent="0.25">
      <c r="A1144">
        <v>100111</v>
      </c>
      <c r="B1144" t="s">
        <v>1</v>
      </c>
      <c r="D1144" s="1"/>
      <c r="E1144" s="1"/>
      <c r="F1144">
        <v>48</v>
      </c>
      <c r="G1144">
        <v>54</v>
      </c>
      <c r="H1144" s="1">
        <v>44075</v>
      </c>
      <c r="I1144" s="1">
        <v>44378</v>
      </c>
      <c r="J1144">
        <v>10</v>
      </c>
      <c r="K1144">
        <v>0</v>
      </c>
      <c r="L1144" s="1">
        <v>44256</v>
      </c>
      <c r="M1144">
        <v>1200</v>
      </c>
      <c r="N1144" s="8" cm="1">
        <f t="array" ref="N1144">_xlfn.SWITCH(Sales[[#This Row],[Subscription Type]],"Basic",10,"Premium",10,"Business",25,"Enterprise",27)</f>
        <v>25</v>
      </c>
      <c r="O1144">
        <f>IF(Sales[[#This Row],[Number of Users]]-Sales[[#This Row],[Licenses Bought]]&lt;0,0,Sales[[#This Row],[Number of Users]]-Sales[[#This Row],[Licenses Bought]])</f>
        <v>6</v>
      </c>
      <c r="P1144" s="8">
        <f>IF(Sales[[#This Row],[Sales Month]]=MAX(Sales[Sales Month]),Sales[[#This Row],[Non-Paying Users]]*Sales[[#This Row],[Upsell $ per Non-Paying User]],0)</f>
        <v>0</v>
      </c>
      <c r="Q1144" t="str" cm="1">
        <f t="array" ref="Q1144">_xlfn.IFS(Sales[[#This Row],[Current Upsell $]]=0,"",Sales[[#This Row],[Current Upsell $]]&gt;=400,"High",Sales[[#This Row],[Current Upsell $]]&gt;=100,"Medium",Sales[[#This Row],[Current Upsell $]]&lt;100,"Low")</f>
        <v/>
      </c>
      <c r="R1144" t="str">
        <f>IF(Sales[[#This Row],[Current Upsell $]]&gt;0,_xlfn.CONCAT(Sales[[#This Row],[Subscription Type]]," ",Sales[[#This Row],[Upsell Priority]]," ",TEXT(Sales[[#This Row],[Current Upsell $]],"$#,#")),"")</f>
        <v/>
      </c>
    </row>
    <row r="1145" spans="1:18" x14ac:dyDescent="0.25">
      <c r="A1145">
        <v>100111</v>
      </c>
      <c r="B1145" t="s">
        <v>1</v>
      </c>
      <c r="D1145" s="1"/>
      <c r="E1145" s="1"/>
      <c r="F1145">
        <v>48</v>
      </c>
      <c r="G1145">
        <v>58</v>
      </c>
      <c r="H1145" s="1">
        <v>44075</v>
      </c>
      <c r="I1145" s="1">
        <v>44378</v>
      </c>
      <c r="J1145">
        <v>10</v>
      </c>
      <c r="K1145">
        <v>0</v>
      </c>
      <c r="L1145" s="1">
        <v>44287</v>
      </c>
      <c r="M1145">
        <v>1200</v>
      </c>
      <c r="N1145" s="8" cm="1">
        <f t="array" ref="N1145">_xlfn.SWITCH(Sales[[#This Row],[Subscription Type]],"Basic",10,"Premium",10,"Business",25,"Enterprise",27)</f>
        <v>25</v>
      </c>
      <c r="O1145">
        <f>IF(Sales[[#This Row],[Number of Users]]-Sales[[#This Row],[Licenses Bought]]&lt;0,0,Sales[[#This Row],[Number of Users]]-Sales[[#This Row],[Licenses Bought]])</f>
        <v>10</v>
      </c>
      <c r="P1145" s="8">
        <f>IF(Sales[[#This Row],[Sales Month]]=MAX(Sales[Sales Month]),Sales[[#This Row],[Non-Paying Users]]*Sales[[#This Row],[Upsell $ per Non-Paying User]],0)</f>
        <v>0</v>
      </c>
      <c r="Q1145" t="str" cm="1">
        <f t="array" ref="Q1145">_xlfn.IFS(Sales[[#This Row],[Current Upsell $]]=0,"",Sales[[#This Row],[Current Upsell $]]&gt;=400,"High",Sales[[#This Row],[Current Upsell $]]&gt;=100,"Medium",Sales[[#This Row],[Current Upsell $]]&lt;100,"Low")</f>
        <v/>
      </c>
      <c r="R1145" t="str">
        <f>IF(Sales[[#This Row],[Current Upsell $]]&gt;0,_xlfn.CONCAT(Sales[[#This Row],[Subscription Type]]," ",Sales[[#This Row],[Upsell Priority]]," ",TEXT(Sales[[#This Row],[Current Upsell $]],"$#,#")),"")</f>
        <v/>
      </c>
    </row>
    <row r="1146" spans="1:18" x14ac:dyDescent="0.25">
      <c r="A1146">
        <v>100111</v>
      </c>
      <c r="B1146" t="s">
        <v>1</v>
      </c>
      <c r="D1146" s="1"/>
      <c r="E1146" s="1"/>
      <c r="F1146">
        <v>48</v>
      </c>
      <c r="G1146">
        <v>51</v>
      </c>
      <c r="H1146" s="1">
        <v>44075</v>
      </c>
      <c r="I1146" s="1">
        <v>44378</v>
      </c>
      <c r="J1146">
        <v>10</v>
      </c>
      <c r="K1146">
        <v>0</v>
      </c>
      <c r="L1146" s="1">
        <v>44317</v>
      </c>
      <c r="M1146">
        <v>1200</v>
      </c>
      <c r="N1146" s="8" cm="1">
        <f t="array" ref="N1146">_xlfn.SWITCH(Sales[[#This Row],[Subscription Type]],"Basic",10,"Premium",10,"Business",25,"Enterprise",27)</f>
        <v>25</v>
      </c>
      <c r="O1146">
        <f>IF(Sales[[#This Row],[Number of Users]]-Sales[[#This Row],[Licenses Bought]]&lt;0,0,Sales[[#This Row],[Number of Users]]-Sales[[#This Row],[Licenses Bought]])</f>
        <v>3</v>
      </c>
      <c r="P1146" s="8">
        <f>IF(Sales[[#This Row],[Sales Month]]=MAX(Sales[Sales Month]),Sales[[#This Row],[Non-Paying Users]]*Sales[[#This Row],[Upsell $ per Non-Paying User]],0)</f>
        <v>0</v>
      </c>
      <c r="Q1146" t="str" cm="1">
        <f t="array" ref="Q1146">_xlfn.IFS(Sales[[#This Row],[Current Upsell $]]=0,"",Sales[[#This Row],[Current Upsell $]]&gt;=400,"High",Sales[[#This Row],[Current Upsell $]]&gt;=100,"Medium",Sales[[#This Row],[Current Upsell $]]&lt;100,"Low")</f>
        <v/>
      </c>
      <c r="R1146" t="str">
        <f>IF(Sales[[#This Row],[Current Upsell $]]&gt;0,_xlfn.CONCAT(Sales[[#This Row],[Subscription Type]]," ",Sales[[#This Row],[Upsell Priority]]," ",TEXT(Sales[[#This Row],[Current Upsell $]],"$#,#")),"")</f>
        <v/>
      </c>
    </row>
    <row r="1147" spans="1:18" x14ac:dyDescent="0.25">
      <c r="A1147">
        <v>100111</v>
      </c>
      <c r="B1147" t="s">
        <v>1</v>
      </c>
      <c r="D1147" s="1"/>
      <c r="E1147" s="1"/>
      <c r="F1147">
        <v>48</v>
      </c>
      <c r="G1147">
        <v>59</v>
      </c>
      <c r="H1147" s="1">
        <v>44075</v>
      </c>
      <c r="I1147" s="1">
        <v>44378</v>
      </c>
      <c r="J1147">
        <v>10</v>
      </c>
      <c r="K1147">
        <v>0</v>
      </c>
      <c r="L1147" s="1">
        <v>44348</v>
      </c>
      <c r="M1147">
        <v>1200</v>
      </c>
      <c r="N1147" s="8" cm="1">
        <f t="array" ref="N1147">_xlfn.SWITCH(Sales[[#This Row],[Subscription Type]],"Basic",10,"Premium",10,"Business",25,"Enterprise",27)</f>
        <v>25</v>
      </c>
      <c r="O1147">
        <f>IF(Sales[[#This Row],[Number of Users]]-Sales[[#This Row],[Licenses Bought]]&lt;0,0,Sales[[#This Row],[Number of Users]]-Sales[[#This Row],[Licenses Bought]])</f>
        <v>11</v>
      </c>
      <c r="P1147" s="8">
        <f>IF(Sales[[#This Row],[Sales Month]]=MAX(Sales[Sales Month]),Sales[[#This Row],[Non-Paying Users]]*Sales[[#This Row],[Upsell $ per Non-Paying User]],0)</f>
        <v>275</v>
      </c>
      <c r="Q1147" t="str" cm="1">
        <f t="array" ref="Q1147">_xlfn.IFS(Sales[[#This Row],[Current Upsell $]]=0,"",Sales[[#This Row],[Current Upsell $]]&gt;=400,"High",Sales[[#This Row],[Current Upsell $]]&gt;=100,"Medium",Sales[[#This Row],[Current Upsell $]]&lt;100,"Low")</f>
        <v>Medium</v>
      </c>
      <c r="R1147" t="str">
        <f>IF(Sales[[#This Row],[Current Upsell $]]&gt;0,_xlfn.CONCAT(Sales[[#This Row],[Subscription Type]]," ",Sales[[#This Row],[Upsell Priority]]," ",TEXT(Sales[[#This Row],[Current Upsell $]],"$#,#")),"")</f>
        <v>Business Medium $275</v>
      </c>
    </row>
    <row r="1148" spans="1:18" x14ac:dyDescent="0.25">
      <c r="A1148">
        <v>100112</v>
      </c>
      <c r="B1148" t="s">
        <v>3</v>
      </c>
      <c r="D1148" s="1"/>
      <c r="E1148" s="1"/>
      <c r="F1148">
        <v>0</v>
      </c>
      <c r="G1148">
        <v>58</v>
      </c>
      <c r="H1148" s="1">
        <v>44075</v>
      </c>
      <c r="I1148" s="1">
        <v>44378</v>
      </c>
      <c r="J1148">
        <v>10</v>
      </c>
      <c r="K1148">
        <v>0</v>
      </c>
      <c r="L1148" s="1">
        <v>44075</v>
      </c>
      <c r="M1148">
        <v>0</v>
      </c>
      <c r="N1148" s="8" cm="1">
        <f t="array" ref="N1148">_xlfn.SWITCH(Sales[[#This Row],[Subscription Type]],"Basic",10,"Premium",10,"Business",25,"Enterprise",27)</f>
        <v>10</v>
      </c>
      <c r="O1148">
        <f>IF(Sales[[#This Row],[Number of Users]]-Sales[[#This Row],[Licenses Bought]]&lt;0,0,Sales[[#This Row],[Number of Users]]-Sales[[#This Row],[Licenses Bought]])</f>
        <v>58</v>
      </c>
      <c r="P1148" s="8">
        <f>IF(Sales[[#This Row],[Sales Month]]=MAX(Sales[Sales Month]),Sales[[#This Row],[Non-Paying Users]]*Sales[[#This Row],[Upsell $ per Non-Paying User]],0)</f>
        <v>0</v>
      </c>
      <c r="Q1148" t="str" cm="1">
        <f t="array" ref="Q1148">_xlfn.IFS(Sales[[#This Row],[Current Upsell $]]=0,"",Sales[[#This Row],[Current Upsell $]]&gt;=400,"High",Sales[[#This Row],[Current Upsell $]]&gt;=100,"Medium",Sales[[#This Row],[Current Upsell $]]&lt;100,"Low")</f>
        <v/>
      </c>
      <c r="R1148" t="str">
        <f>IF(Sales[[#This Row],[Current Upsell $]]&gt;0,_xlfn.CONCAT(Sales[[#This Row],[Subscription Type]]," ",Sales[[#This Row],[Upsell Priority]]," ",TEXT(Sales[[#This Row],[Current Upsell $]],"$#,#")),"")</f>
        <v/>
      </c>
    </row>
    <row r="1149" spans="1:18" x14ac:dyDescent="0.25">
      <c r="A1149">
        <v>100112</v>
      </c>
      <c r="B1149" t="s">
        <v>1</v>
      </c>
      <c r="D1149" s="1"/>
      <c r="E1149" s="1"/>
      <c r="F1149">
        <v>15</v>
      </c>
      <c r="G1149">
        <v>65</v>
      </c>
      <c r="H1149" s="1">
        <v>44075</v>
      </c>
      <c r="I1149" s="1">
        <v>44378</v>
      </c>
      <c r="J1149">
        <v>10</v>
      </c>
      <c r="K1149">
        <v>0</v>
      </c>
      <c r="L1149" s="1">
        <v>44105</v>
      </c>
      <c r="M1149">
        <v>375</v>
      </c>
      <c r="N1149" s="8" cm="1">
        <f t="array" ref="N1149">_xlfn.SWITCH(Sales[[#This Row],[Subscription Type]],"Basic",10,"Premium",10,"Business",25,"Enterprise",27)</f>
        <v>25</v>
      </c>
      <c r="O1149">
        <f>IF(Sales[[#This Row],[Number of Users]]-Sales[[#This Row],[Licenses Bought]]&lt;0,0,Sales[[#This Row],[Number of Users]]-Sales[[#This Row],[Licenses Bought]])</f>
        <v>50</v>
      </c>
      <c r="P1149" s="8">
        <f>IF(Sales[[#This Row],[Sales Month]]=MAX(Sales[Sales Month]),Sales[[#This Row],[Non-Paying Users]]*Sales[[#This Row],[Upsell $ per Non-Paying User]],0)</f>
        <v>0</v>
      </c>
      <c r="Q1149" t="str" cm="1">
        <f t="array" ref="Q1149">_xlfn.IFS(Sales[[#This Row],[Current Upsell $]]=0,"",Sales[[#This Row],[Current Upsell $]]&gt;=400,"High",Sales[[#This Row],[Current Upsell $]]&gt;=100,"Medium",Sales[[#This Row],[Current Upsell $]]&lt;100,"Low")</f>
        <v/>
      </c>
      <c r="R1149" t="str">
        <f>IF(Sales[[#This Row],[Current Upsell $]]&gt;0,_xlfn.CONCAT(Sales[[#This Row],[Subscription Type]]," ",Sales[[#This Row],[Upsell Priority]]," ",TEXT(Sales[[#This Row],[Current Upsell $]],"$#,#")),"")</f>
        <v/>
      </c>
    </row>
    <row r="1150" spans="1:18" x14ac:dyDescent="0.25">
      <c r="A1150">
        <v>100112</v>
      </c>
      <c r="B1150" t="s">
        <v>1</v>
      </c>
      <c r="D1150" s="1"/>
      <c r="E1150" s="1"/>
      <c r="F1150">
        <v>47</v>
      </c>
      <c r="G1150">
        <v>47</v>
      </c>
      <c r="H1150" s="1">
        <v>44075</v>
      </c>
      <c r="I1150" s="1">
        <v>44378</v>
      </c>
      <c r="J1150">
        <v>10</v>
      </c>
      <c r="K1150">
        <v>0</v>
      </c>
      <c r="L1150" s="1">
        <v>44136</v>
      </c>
      <c r="M1150">
        <v>1175</v>
      </c>
      <c r="N1150" s="8" cm="1">
        <f t="array" ref="N1150">_xlfn.SWITCH(Sales[[#This Row],[Subscription Type]],"Basic",10,"Premium",10,"Business",25,"Enterprise",27)</f>
        <v>25</v>
      </c>
      <c r="O1150">
        <f>IF(Sales[[#This Row],[Number of Users]]-Sales[[#This Row],[Licenses Bought]]&lt;0,0,Sales[[#This Row],[Number of Users]]-Sales[[#This Row],[Licenses Bought]])</f>
        <v>0</v>
      </c>
      <c r="P1150" s="8">
        <f>IF(Sales[[#This Row],[Sales Month]]=MAX(Sales[Sales Month]),Sales[[#This Row],[Non-Paying Users]]*Sales[[#This Row],[Upsell $ per Non-Paying User]],0)</f>
        <v>0</v>
      </c>
      <c r="Q1150" t="str" cm="1">
        <f t="array" ref="Q1150">_xlfn.IFS(Sales[[#This Row],[Current Upsell $]]=0,"",Sales[[#This Row],[Current Upsell $]]&gt;=400,"High",Sales[[#This Row],[Current Upsell $]]&gt;=100,"Medium",Sales[[#This Row],[Current Upsell $]]&lt;100,"Low")</f>
        <v/>
      </c>
      <c r="R1150" t="str">
        <f>IF(Sales[[#This Row],[Current Upsell $]]&gt;0,_xlfn.CONCAT(Sales[[#This Row],[Subscription Type]]," ",Sales[[#This Row],[Upsell Priority]]," ",TEXT(Sales[[#This Row],[Current Upsell $]],"$#,#")),"")</f>
        <v/>
      </c>
    </row>
    <row r="1151" spans="1:18" x14ac:dyDescent="0.25">
      <c r="A1151">
        <v>100112</v>
      </c>
      <c r="B1151" t="s">
        <v>1</v>
      </c>
      <c r="D1151" s="1"/>
      <c r="E1151" s="1"/>
      <c r="F1151">
        <v>47</v>
      </c>
      <c r="G1151">
        <v>54</v>
      </c>
      <c r="H1151" s="1">
        <v>44075</v>
      </c>
      <c r="I1151" s="1">
        <v>44378</v>
      </c>
      <c r="J1151">
        <v>10</v>
      </c>
      <c r="K1151">
        <v>0</v>
      </c>
      <c r="L1151" s="1">
        <v>44166</v>
      </c>
      <c r="M1151">
        <v>1175</v>
      </c>
      <c r="N1151" s="8" cm="1">
        <f t="array" ref="N1151">_xlfn.SWITCH(Sales[[#This Row],[Subscription Type]],"Basic",10,"Premium",10,"Business",25,"Enterprise",27)</f>
        <v>25</v>
      </c>
      <c r="O1151">
        <f>IF(Sales[[#This Row],[Number of Users]]-Sales[[#This Row],[Licenses Bought]]&lt;0,0,Sales[[#This Row],[Number of Users]]-Sales[[#This Row],[Licenses Bought]])</f>
        <v>7</v>
      </c>
      <c r="P1151" s="8">
        <f>IF(Sales[[#This Row],[Sales Month]]=MAX(Sales[Sales Month]),Sales[[#This Row],[Non-Paying Users]]*Sales[[#This Row],[Upsell $ per Non-Paying User]],0)</f>
        <v>0</v>
      </c>
      <c r="Q1151" t="str" cm="1">
        <f t="array" ref="Q1151">_xlfn.IFS(Sales[[#This Row],[Current Upsell $]]=0,"",Sales[[#This Row],[Current Upsell $]]&gt;=400,"High",Sales[[#This Row],[Current Upsell $]]&gt;=100,"Medium",Sales[[#This Row],[Current Upsell $]]&lt;100,"Low")</f>
        <v/>
      </c>
      <c r="R1151" t="str">
        <f>IF(Sales[[#This Row],[Current Upsell $]]&gt;0,_xlfn.CONCAT(Sales[[#This Row],[Subscription Type]]," ",Sales[[#This Row],[Upsell Priority]]," ",TEXT(Sales[[#This Row],[Current Upsell $]],"$#,#")),"")</f>
        <v/>
      </c>
    </row>
    <row r="1152" spans="1:18" x14ac:dyDescent="0.25">
      <c r="A1152">
        <v>100112</v>
      </c>
      <c r="B1152" t="s">
        <v>1</v>
      </c>
      <c r="D1152" s="1"/>
      <c r="E1152" s="1"/>
      <c r="F1152">
        <v>47</v>
      </c>
      <c r="G1152">
        <v>70</v>
      </c>
      <c r="H1152" s="1">
        <v>44075</v>
      </c>
      <c r="I1152" s="1">
        <v>44378</v>
      </c>
      <c r="J1152">
        <v>10</v>
      </c>
      <c r="K1152">
        <v>0</v>
      </c>
      <c r="L1152" s="1">
        <v>44197</v>
      </c>
      <c r="M1152">
        <v>1175</v>
      </c>
      <c r="N1152" s="8" cm="1">
        <f t="array" ref="N1152">_xlfn.SWITCH(Sales[[#This Row],[Subscription Type]],"Basic",10,"Premium",10,"Business",25,"Enterprise",27)</f>
        <v>25</v>
      </c>
      <c r="O1152">
        <f>IF(Sales[[#This Row],[Number of Users]]-Sales[[#This Row],[Licenses Bought]]&lt;0,0,Sales[[#This Row],[Number of Users]]-Sales[[#This Row],[Licenses Bought]])</f>
        <v>23</v>
      </c>
      <c r="P1152" s="8">
        <f>IF(Sales[[#This Row],[Sales Month]]=MAX(Sales[Sales Month]),Sales[[#This Row],[Non-Paying Users]]*Sales[[#This Row],[Upsell $ per Non-Paying User]],0)</f>
        <v>0</v>
      </c>
      <c r="Q1152" t="str" cm="1">
        <f t="array" ref="Q1152">_xlfn.IFS(Sales[[#This Row],[Current Upsell $]]=0,"",Sales[[#This Row],[Current Upsell $]]&gt;=400,"High",Sales[[#This Row],[Current Upsell $]]&gt;=100,"Medium",Sales[[#This Row],[Current Upsell $]]&lt;100,"Low")</f>
        <v/>
      </c>
      <c r="R1152" t="str">
        <f>IF(Sales[[#This Row],[Current Upsell $]]&gt;0,_xlfn.CONCAT(Sales[[#This Row],[Subscription Type]]," ",Sales[[#This Row],[Upsell Priority]]," ",TEXT(Sales[[#This Row],[Current Upsell $]],"$#,#")),"")</f>
        <v/>
      </c>
    </row>
    <row r="1153" spans="1:18" x14ac:dyDescent="0.25">
      <c r="A1153">
        <v>100112</v>
      </c>
      <c r="B1153" t="s">
        <v>1</v>
      </c>
      <c r="D1153" s="1"/>
      <c r="E1153" s="1"/>
      <c r="F1153">
        <v>47</v>
      </c>
      <c r="G1153">
        <v>53</v>
      </c>
      <c r="H1153" s="1">
        <v>44075</v>
      </c>
      <c r="I1153" s="1">
        <v>44378</v>
      </c>
      <c r="J1153">
        <v>10</v>
      </c>
      <c r="K1153">
        <v>0</v>
      </c>
      <c r="L1153" s="1">
        <v>44228</v>
      </c>
      <c r="M1153">
        <v>1175</v>
      </c>
      <c r="N1153" s="8" cm="1">
        <f t="array" ref="N1153">_xlfn.SWITCH(Sales[[#This Row],[Subscription Type]],"Basic",10,"Premium",10,"Business",25,"Enterprise",27)</f>
        <v>25</v>
      </c>
      <c r="O1153">
        <f>IF(Sales[[#This Row],[Number of Users]]-Sales[[#This Row],[Licenses Bought]]&lt;0,0,Sales[[#This Row],[Number of Users]]-Sales[[#This Row],[Licenses Bought]])</f>
        <v>6</v>
      </c>
      <c r="P1153" s="8">
        <f>IF(Sales[[#This Row],[Sales Month]]=MAX(Sales[Sales Month]),Sales[[#This Row],[Non-Paying Users]]*Sales[[#This Row],[Upsell $ per Non-Paying User]],0)</f>
        <v>0</v>
      </c>
      <c r="Q1153" t="str" cm="1">
        <f t="array" ref="Q1153">_xlfn.IFS(Sales[[#This Row],[Current Upsell $]]=0,"",Sales[[#This Row],[Current Upsell $]]&gt;=400,"High",Sales[[#This Row],[Current Upsell $]]&gt;=100,"Medium",Sales[[#This Row],[Current Upsell $]]&lt;100,"Low")</f>
        <v/>
      </c>
      <c r="R1153" t="str">
        <f>IF(Sales[[#This Row],[Current Upsell $]]&gt;0,_xlfn.CONCAT(Sales[[#This Row],[Subscription Type]]," ",Sales[[#This Row],[Upsell Priority]]," ",TEXT(Sales[[#This Row],[Current Upsell $]],"$#,#")),"")</f>
        <v/>
      </c>
    </row>
    <row r="1154" spans="1:18" x14ac:dyDescent="0.25">
      <c r="A1154">
        <v>100112</v>
      </c>
      <c r="B1154" t="s">
        <v>1</v>
      </c>
      <c r="D1154" s="1"/>
      <c r="E1154" s="1"/>
      <c r="F1154">
        <v>47</v>
      </c>
      <c r="G1154">
        <v>49</v>
      </c>
      <c r="H1154" s="1">
        <v>44075</v>
      </c>
      <c r="I1154" s="1">
        <v>44378</v>
      </c>
      <c r="J1154">
        <v>10</v>
      </c>
      <c r="K1154">
        <v>0</v>
      </c>
      <c r="L1154" s="1">
        <v>44256</v>
      </c>
      <c r="M1154">
        <v>1175</v>
      </c>
      <c r="N1154" s="8" cm="1">
        <f t="array" ref="N1154">_xlfn.SWITCH(Sales[[#This Row],[Subscription Type]],"Basic",10,"Premium",10,"Business",25,"Enterprise",27)</f>
        <v>25</v>
      </c>
      <c r="O1154">
        <f>IF(Sales[[#This Row],[Number of Users]]-Sales[[#This Row],[Licenses Bought]]&lt;0,0,Sales[[#This Row],[Number of Users]]-Sales[[#This Row],[Licenses Bought]])</f>
        <v>2</v>
      </c>
      <c r="P1154" s="8">
        <f>IF(Sales[[#This Row],[Sales Month]]=MAX(Sales[Sales Month]),Sales[[#This Row],[Non-Paying Users]]*Sales[[#This Row],[Upsell $ per Non-Paying User]],0)</f>
        <v>0</v>
      </c>
      <c r="Q1154" t="str" cm="1">
        <f t="array" ref="Q1154">_xlfn.IFS(Sales[[#This Row],[Current Upsell $]]=0,"",Sales[[#This Row],[Current Upsell $]]&gt;=400,"High",Sales[[#This Row],[Current Upsell $]]&gt;=100,"Medium",Sales[[#This Row],[Current Upsell $]]&lt;100,"Low")</f>
        <v/>
      </c>
      <c r="R1154" t="str">
        <f>IF(Sales[[#This Row],[Current Upsell $]]&gt;0,_xlfn.CONCAT(Sales[[#This Row],[Subscription Type]]," ",Sales[[#This Row],[Upsell Priority]]," ",TEXT(Sales[[#This Row],[Current Upsell $]],"$#,#")),"")</f>
        <v/>
      </c>
    </row>
    <row r="1155" spans="1:18" x14ac:dyDescent="0.25">
      <c r="A1155">
        <v>100112</v>
      </c>
      <c r="B1155" t="s">
        <v>1</v>
      </c>
      <c r="D1155" s="1"/>
      <c r="E1155" s="1"/>
      <c r="F1155">
        <v>47</v>
      </c>
      <c r="G1155">
        <v>47</v>
      </c>
      <c r="H1155" s="1">
        <v>44075</v>
      </c>
      <c r="I1155" s="1">
        <v>44378</v>
      </c>
      <c r="J1155">
        <v>10</v>
      </c>
      <c r="K1155">
        <v>0</v>
      </c>
      <c r="L1155" s="1">
        <v>44287</v>
      </c>
      <c r="M1155">
        <v>1175</v>
      </c>
      <c r="N1155" s="8" cm="1">
        <f t="array" ref="N1155">_xlfn.SWITCH(Sales[[#This Row],[Subscription Type]],"Basic",10,"Premium",10,"Business",25,"Enterprise",27)</f>
        <v>25</v>
      </c>
      <c r="O1155">
        <f>IF(Sales[[#This Row],[Number of Users]]-Sales[[#This Row],[Licenses Bought]]&lt;0,0,Sales[[#This Row],[Number of Users]]-Sales[[#This Row],[Licenses Bought]])</f>
        <v>0</v>
      </c>
      <c r="P1155" s="8">
        <f>IF(Sales[[#This Row],[Sales Month]]=MAX(Sales[Sales Month]),Sales[[#This Row],[Non-Paying Users]]*Sales[[#This Row],[Upsell $ per Non-Paying User]],0)</f>
        <v>0</v>
      </c>
      <c r="Q1155" t="str" cm="1">
        <f t="array" ref="Q1155">_xlfn.IFS(Sales[[#This Row],[Current Upsell $]]=0,"",Sales[[#This Row],[Current Upsell $]]&gt;=400,"High",Sales[[#This Row],[Current Upsell $]]&gt;=100,"Medium",Sales[[#This Row],[Current Upsell $]]&lt;100,"Low")</f>
        <v/>
      </c>
      <c r="R1155" t="str">
        <f>IF(Sales[[#This Row],[Current Upsell $]]&gt;0,_xlfn.CONCAT(Sales[[#This Row],[Subscription Type]]," ",Sales[[#This Row],[Upsell Priority]]," ",TEXT(Sales[[#This Row],[Current Upsell $]],"$#,#")),"")</f>
        <v/>
      </c>
    </row>
    <row r="1156" spans="1:18" x14ac:dyDescent="0.25">
      <c r="A1156">
        <v>100112</v>
      </c>
      <c r="B1156" t="s">
        <v>1</v>
      </c>
      <c r="D1156" s="1"/>
      <c r="E1156" s="1"/>
      <c r="F1156">
        <v>47</v>
      </c>
      <c r="G1156">
        <v>55</v>
      </c>
      <c r="H1156" s="1">
        <v>44075</v>
      </c>
      <c r="I1156" s="1">
        <v>44378</v>
      </c>
      <c r="J1156">
        <v>10</v>
      </c>
      <c r="K1156">
        <v>0</v>
      </c>
      <c r="L1156" s="1">
        <v>44317</v>
      </c>
      <c r="M1156">
        <v>1175</v>
      </c>
      <c r="N1156" s="8" cm="1">
        <f t="array" ref="N1156">_xlfn.SWITCH(Sales[[#This Row],[Subscription Type]],"Basic",10,"Premium",10,"Business",25,"Enterprise",27)</f>
        <v>25</v>
      </c>
      <c r="O1156">
        <f>IF(Sales[[#This Row],[Number of Users]]-Sales[[#This Row],[Licenses Bought]]&lt;0,0,Sales[[#This Row],[Number of Users]]-Sales[[#This Row],[Licenses Bought]])</f>
        <v>8</v>
      </c>
      <c r="P1156" s="8">
        <f>IF(Sales[[#This Row],[Sales Month]]=MAX(Sales[Sales Month]),Sales[[#This Row],[Non-Paying Users]]*Sales[[#This Row],[Upsell $ per Non-Paying User]],0)</f>
        <v>0</v>
      </c>
      <c r="Q1156" t="str" cm="1">
        <f t="array" ref="Q1156">_xlfn.IFS(Sales[[#This Row],[Current Upsell $]]=0,"",Sales[[#This Row],[Current Upsell $]]&gt;=400,"High",Sales[[#This Row],[Current Upsell $]]&gt;=100,"Medium",Sales[[#This Row],[Current Upsell $]]&lt;100,"Low")</f>
        <v/>
      </c>
      <c r="R1156" t="str">
        <f>IF(Sales[[#This Row],[Current Upsell $]]&gt;0,_xlfn.CONCAT(Sales[[#This Row],[Subscription Type]]," ",Sales[[#This Row],[Upsell Priority]]," ",TEXT(Sales[[#This Row],[Current Upsell $]],"$#,#")),"")</f>
        <v/>
      </c>
    </row>
    <row r="1157" spans="1:18" x14ac:dyDescent="0.25">
      <c r="A1157">
        <v>100112</v>
      </c>
      <c r="B1157" t="s">
        <v>1</v>
      </c>
      <c r="D1157" s="1"/>
      <c r="E1157" s="1"/>
      <c r="F1157">
        <v>47</v>
      </c>
      <c r="G1157">
        <v>54</v>
      </c>
      <c r="H1157" s="1">
        <v>44075</v>
      </c>
      <c r="I1157" s="1">
        <v>44378</v>
      </c>
      <c r="J1157">
        <v>10</v>
      </c>
      <c r="K1157">
        <v>0</v>
      </c>
      <c r="L1157" s="1">
        <v>44348</v>
      </c>
      <c r="M1157">
        <v>1175</v>
      </c>
      <c r="N1157" s="8" cm="1">
        <f t="array" ref="N1157">_xlfn.SWITCH(Sales[[#This Row],[Subscription Type]],"Basic",10,"Premium",10,"Business",25,"Enterprise",27)</f>
        <v>25</v>
      </c>
      <c r="O1157">
        <f>IF(Sales[[#This Row],[Number of Users]]-Sales[[#This Row],[Licenses Bought]]&lt;0,0,Sales[[#This Row],[Number of Users]]-Sales[[#This Row],[Licenses Bought]])</f>
        <v>7</v>
      </c>
      <c r="P1157" s="8">
        <f>IF(Sales[[#This Row],[Sales Month]]=MAX(Sales[Sales Month]),Sales[[#This Row],[Non-Paying Users]]*Sales[[#This Row],[Upsell $ per Non-Paying User]],0)</f>
        <v>175</v>
      </c>
      <c r="Q1157" t="str" cm="1">
        <f t="array" ref="Q1157">_xlfn.IFS(Sales[[#This Row],[Current Upsell $]]=0,"",Sales[[#This Row],[Current Upsell $]]&gt;=400,"High",Sales[[#This Row],[Current Upsell $]]&gt;=100,"Medium",Sales[[#This Row],[Current Upsell $]]&lt;100,"Low")</f>
        <v>Medium</v>
      </c>
      <c r="R1157" t="str">
        <f>IF(Sales[[#This Row],[Current Upsell $]]&gt;0,_xlfn.CONCAT(Sales[[#This Row],[Subscription Type]]," ",Sales[[#This Row],[Upsell Priority]]," ",TEXT(Sales[[#This Row],[Current Upsell $]],"$#,#")),"")</f>
        <v>Business Medium $175</v>
      </c>
    </row>
    <row r="1158" spans="1:18" x14ac:dyDescent="0.25">
      <c r="A1158">
        <v>100113</v>
      </c>
      <c r="B1158" t="s">
        <v>3</v>
      </c>
      <c r="D1158" s="1"/>
      <c r="E1158" s="1"/>
      <c r="F1158">
        <v>0</v>
      </c>
      <c r="G1158">
        <v>54</v>
      </c>
      <c r="H1158" s="1">
        <v>44075</v>
      </c>
      <c r="I1158" s="1">
        <v>44378</v>
      </c>
      <c r="J1158">
        <v>10</v>
      </c>
      <c r="K1158">
        <v>0</v>
      </c>
      <c r="L1158" s="1">
        <v>44075</v>
      </c>
      <c r="M1158">
        <v>0</v>
      </c>
      <c r="N1158" s="8" cm="1">
        <f t="array" ref="N1158">_xlfn.SWITCH(Sales[[#This Row],[Subscription Type]],"Basic",10,"Premium",10,"Business",25,"Enterprise",27)</f>
        <v>10</v>
      </c>
      <c r="O1158">
        <f>IF(Sales[[#This Row],[Number of Users]]-Sales[[#This Row],[Licenses Bought]]&lt;0,0,Sales[[#This Row],[Number of Users]]-Sales[[#This Row],[Licenses Bought]])</f>
        <v>54</v>
      </c>
      <c r="P1158" s="8">
        <f>IF(Sales[[#This Row],[Sales Month]]=MAX(Sales[Sales Month]),Sales[[#This Row],[Non-Paying Users]]*Sales[[#This Row],[Upsell $ per Non-Paying User]],0)</f>
        <v>0</v>
      </c>
      <c r="Q1158" t="str" cm="1">
        <f t="array" ref="Q1158">_xlfn.IFS(Sales[[#This Row],[Current Upsell $]]=0,"",Sales[[#This Row],[Current Upsell $]]&gt;=400,"High",Sales[[#This Row],[Current Upsell $]]&gt;=100,"Medium",Sales[[#This Row],[Current Upsell $]]&lt;100,"Low")</f>
        <v/>
      </c>
      <c r="R1158" t="str">
        <f>IF(Sales[[#This Row],[Current Upsell $]]&gt;0,_xlfn.CONCAT(Sales[[#This Row],[Subscription Type]]," ",Sales[[#This Row],[Upsell Priority]]," ",TEXT(Sales[[#This Row],[Current Upsell $]],"$#,#")),"")</f>
        <v/>
      </c>
    </row>
    <row r="1159" spans="1:18" x14ac:dyDescent="0.25">
      <c r="A1159">
        <v>100113</v>
      </c>
      <c r="B1159" t="s">
        <v>1</v>
      </c>
      <c r="D1159" s="1"/>
      <c r="E1159" s="1"/>
      <c r="F1159">
        <v>14</v>
      </c>
      <c r="G1159">
        <v>58</v>
      </c>
      <c r="H1159" s="1">
        <v>44075</v>
      </c>
      <c r="I1159" s="1">
        <v>44378</v>
      </c>
      <c r="J1159">
        <v>10</v>
      </c>
      <c r="K1159">
        <v>0</v>
      </c>
      <c r="L1159" s="1">
        <v>44105</v>
      </c>
      <c r="M1159">
        <v>350</v>
      </c>
      <c r="N1159" s="8" cm="1">
        <f t="array" ref="N1159">_xlfn.SWITCH(Sales[[#This Row],[Subscription Type]],"Basic",10,"Premium",10,"Business",25,"Enterprise",27)</f>
        <v>25</v>
      </c>
      <c r="O1159">
        <f>IF(Sales[[#This Row],[Number of Users]]-Sales[[#This Row],[Licenses Bought]]&lt;0,0,Sales[[#This Row],[Number of Users]]-Sales[[#This Row],[Licenses Bought]])</f>
        <v>44</v>
      </c>
      <c r="P1159" s="8">
        <f>IF(Sales[[#This Row],[Sales Month]]=MAX(Sales[Sales Month]),Sales[[#This Row],[Non-Paying Users]]*Sales[[#This Row],[Upsell $ per Non-Paying User]],0)</f>
        <v>0</v>
      </c>
      <c r="Q1159" t="str" cm="1">
        <f t="array" ref="Q1159">_xlfn.IFS(Sales[[#This Row],[Current Upsell $]]=0,"",Sales[[#This Row],[Current Upsell $]]&gt;=400,"High",Sales[[#This Row],[Current Upsell $]]&gt;=100,"Medium",Sales[[#This Row],[Current Upsell $]]&lt;100,"Low")</f>
        <v/>
      </c>
      <c r="R1159" t="str">
        <f>IF(Sales[[#This Row],[Current Upsell $]]&gt;0,_xlfn.CONCAT(Sales[[#This Row],[Subscription Type]]," ",Sales[[#This Row],[Upsell Priority]]," ",TEXT(Sales[[#This Row],[Current Upsell $]],"$#,#")),"")</f>
        <v/>
      </c>
    </row>
    <row r="1160" spans="1:18" x14ac:dyDescent="0.25">
      <c r="A1160">
        <v>100113</v>
      </c>
      <c r="B1160" t="s">
        <v>1</v>
      </c>
      <c r="D1160" s="1"/>
      <c r="E1160" s="1"/>
      <c r="F1160">
        <v>27</v>
      </c>
      <c r="G1160">
        <v>48</v>
      </c>
      <c r="H1160" s="1">
        <v>44075</v>
      </c>
      <c r="I1160" s="1">
        <v>44378</v>
      </c>
      <c r="J1160">
        <v>10</v>
      </c>
      <c r="K1160">
        <v>0</v>
      </c>
      <c r="L1160" s="1">
        <v>44136</v>
      </c>
      <c r="M1160">
        <v>675</v>
      </c>
      <c r="N1160" s="8" cm="1">
        <f t="array" ref="N1160">_xlfn.SWITCH(Sales[[#This Row],[Subscription Type]],"Basic",10,"Premium",10,"Business",25,"Enterprise",27)</f>
        <v>25</v>
      </c>
      <c r="O1160">
        <f>IF(Sales[[#This Row],[Number of Users]]-Sales[[#This Row],[Licenses Bought]]&lt;0,0,Sales[[#This Row],[Number of Users]]-Sales[[#This Row],[Licenses Bought]])</f>
        <v>21</v>
      </c>
      <c r="P1160" s="8">
        <f>IF(Sales[[#This Row],[Sales Month]]=MAX(Sales[Sales Month]),Sales[[#This Row],[Non-Paying Users]]*Sales[[#This Row],[Upsell $ per Non-Paying User]],0)</f>
        <v>0</v>
      </c>
      <c r="Q1160" t="str" cm="1">
        <f t="array" ref="Q1160">_xlfn.IFS(Sales[[#This Row],[Current Upsell $]]=0,"",Sales[[#This Row],[Current Upsell $]]&gt;=400,"High",Sales[[#This Row],[Current Upsell $]]&gt;=100,"Medium",Sales[[#This Row],[Current Upsell $]]&lt;100,"Low")</f>
        <v/>
      </c>
      <c r="R1160" t="str">
        <f>IF(Sales[[#This Row],[Current Upsell $]]&gt;0,_xlfn.CONCAT(Sales[[#This Row],[Subscription Type]]," ",Sales[[#This Row],[Upsell Priority]]," ",TEXT(Sales[[#This Row],[Current Upsell $]],"$#,#")),"")</f>
        <v/>
      </c>
    </row>
    <row r="1161" spans="1:18" x14ac:dyDescent="0.25">
      <c r="A1161">
        <v>100113</v>
      </c>
      <c r="B1161" t="s">
        <v>1</v>
      </c>
      <c r="D1161" s="1"/>
      <c r="E1161" s="1"/>
      <c r="F1161">
        <v>45</v>
      </c>
      <c r="G1161">
        <v>47</v>
      </c>
      <c r="H1161" s="1">
        <v>44075</v>
      </c>
      <c r="I1161" s="1">
        <v>44378</v>
      </c>
      <c r="J1161">
        <v>10</v>
      </c>
      <c r="K1161">
        <v>0</v>
      </c>
      <c r="L1161" s="1">
        <v>44166</v>
      </c>
      <c r="M1161">
        <v>1125</v>
      </c>
      <c r="N1161" s="8" cm="1">
        <f t="array" ref="N1161">_xlfn.SWITCH(Sales[[#This Row],[Subscription Type]],"Basic",10,"Premium",10,"Business",25,"Enterprise",27)</f>
        <v>25</v>
      </c>
      <c r="O1161">
        <f>IF(Sales[[#This Row],[Number of Users]]-Sales[[#This Row],[Licenses Bought]]&lt;0,0,Sales[[#This Row],[Number of Users]]-Sales[[#This Row],[Licenses Bought]])</f>
        <v>2</v>
      </c>
      <c r="P1161" s="8">
        <f>IF(Sales[[#This Row],[Sales Month]]=MAX(Sales[Sales Month]),Sales[[#This Row],[Non-Paying Users]]*Sales[[#This Row],[Upsell $ per Non-Paying User]],0)</f>
        <v>0</v>
      </c>
      <c r="Q1161" t="str" cm="1">
        <f t="array" ref="Q1161">_xlfn.IFS(Sales[[#This Row],[Current Upsell $]]=0,"",Sales[[#This Row],[Current Upsell $]]&gt;=400,"High",Sales[[#This Row],[Current Upsell $]]&gt;=100,"Medium",Sales[[#This Row],[Current Upsell $]]&lt;100,"Low")</f>
        <v/>
      </c>
      <c r="R1161" t="str">
        <f>IF(Sales[[#This Row],[Current Upsell $]]&gt;0,_xlfn.CONCAT(Sales[[#This Row],[Subscription Type]]," ",Sales[[#This Row],[Upsell Priority]]," ",TEXT(Sales[[#This Row],[Current Upsell $]],"$#,#")),"")</f>
        <v/>
      </c>
    </row>
    <row r="1162" spans="1:18" x14ac:dyDescent="0.25">
      <c r="A1162">
        <v>100113</v>
      </c>
      <c r="B1162" t="s">
        <v>1</v>
      </c>
      <c r="D1162" s="1"/>
      <c r="E1162" s="1"/>
      <c r="F1162">
        <v>45</v>
      </c>
      <c r="G1162">
        <v>58</v>
      </c>
      <c r="H1162" s="1">
        <v>44075</v>
      </c>
      <c r="I1162" s="1">
        <v>44378</v>
      </c>
      <c r="J1162">
        <v>10</v>
      </c>
      <c r="K1162">
        <v>0</v>
      </c>
      <c r="L1162" s="1">
        <v>44197</v>
      </c>
      <c r="M1162">
        <v>1125</v>
      </c>
      <c r="N1162" s="8" cm="1">
        <f t="array" ref="N1162">_xlfn.SWITCH(Sales[[#This Row],[Subscription Type]],"Basic",10,"Premium",10,"Business",25,"Enterprise",27)</f>
        <v>25</v>
      </c>
      <c r="O1162">
        <f>IF(Sales[[#This Row],[Number of Users]]-Sales[[#This Row],[Licenses Bought]]&lt;0,0,Sales[[#This Row],[Number of Users]]-Sales[[#This Row],[Licenses Bought]])</f>
        <v>13</v>
      </c>
      <c r="P1162" s="8">
        <f>IF(Sales[[#This Row],[Sales Month]]=MAX(Sales[Sales Month]),Sales[[#This Row],[Non-Paying Users]]*Sales[[#This Row],[Upsell $ per Non-Paying User]],0)</f>
        <v>0</v>
      </c>
      <c r="Q1162" t="str" cm="1">
        <f t="array" ref="Q1162">_xlfn.IFS(Sales[[#This Row],[Current Upsell $]]=0,"",Sales[[#This Row],[Current Upsell $]]&gt;=400,"High",Sales[[#This Row],[Current Upsell $]]&gt;=100,"Medium",Sales[[#This Row],[Current Upsell $]]&lt;100,"Low")</f>
        <v/>
      </c>
      <c r="R1162" t="str">
        <f>IF(Sales[[#This Row],[Current Upsell $]]&gt;0,_xlfn.CONCAT(Sales[[#This Row],[Subscription Type]]," ",Sales[[#This Row],[Upsell Priority]]," ",TEXT(Sales[[#This Row],[Current Upsell $]],"$#,#")),"")</f>
        <v/>
      </c>
    </row>
    <row r="1163" spans="1:18" x14ac:dyDescent="0.25">
      <c r="A1163">
        <v>100113</v>
      </c>
      <c r="B1163" t="s">
        <v>1</v>
      </c>
      <c r="D1163" s="1"/>
      <c r="E1163" s="1"/>
      <c r="F1163">
        <v>45</v>
      </c>
      <c r="G1163">
        <v>51</v>
      </c>
      <c r="H1163" s="1">
        <v>44075</v>
      </c>
      <c r="I1163" s="1">
        <v>44378</v>
      </c>
      <c r="J1163">
        <v>10</v>
      </c>
      <c r="K1163">
        <v>0</v>
      </c>
      <c r="L1163" s="1">
        <v>44228</v>
      </c>
      <c r="M1163">
        <v>1125</v>
      </c>
      <c r="N1163" s="8" cm="1">
        <f t="array" ref="N1163">_xlfn.SWITCH(Sales[[#This Row],[Subscription Type]],"Basic",10,"Premium",10,"Business",25,"Enterprise",27)</f>
        <v>25</v>
      </c>
      <c r="O1163">
        <f>IF(Sales[[#This Row],[Number of Users]]-Sales[[#This Row],[Licenses Bought]]&lt;0,0,Sales[[#This Row],[Number of Users]]-Sales[[#This Row],[Licenses Bought]])</f>
        <v>6</v>
      </c>
      <c r="P1163" s="8">
        <f>IF(Sales[[#This Row],[Sales Month]]=MAX(Sales[Sales Month]),Sales[[#This Row],[Non-Paying Users]]*Sales[[#This Row],[Upsell $ per Non-Paying User]],0)</f>
        <v>0</v>
      </c>
      <c r="Q1163" t="str" cm="1">
        <f t="array" ref="Q1163">_xlfn.IFS(Sales[[#This Row],[Current Upsell $]]=0,"",Sales[[#This Row],[Current Upsell $]]&gt;=400,"High",Sales[[#This Row],[Current Upsell $]]&gt;=100,"Medium",Sales[[#This Row],[Current Upsell $]]&lt;100,"Low")</f>
        <v/>
      </c>
      <c r="R1163" t="str">
        <f>IF(Sales[[#This Row],[Current Upsell $]]&gt;0,_xlfn.CONCAT(Sales[[#This Row],[Subscription Type]]," ",Sales[[#This Row],[Upsell Priority]]," ",TEXT(Sales[[#This Row],[Current Upsell $]],"$#,#")),"")</f>
        <v/>
      </c>
    </row>
    <row r="1164" spans="1:18" x14ac:dyDescent="0.25">
      <c r="A1164">
        <v>100113</v>
      </c>
      <c r="B1164" t="s">
        <v>1</v>
      </c>
      <c r="D1164" s="1"/>
      <c r="E1164" s="1"/>
      <c r="F1164">
        <v>45</v>
      </c>
      <c r="G1164">
        <v>61</v>
      </c>
      <c r="H1164" s="1">
        <v>44075</v>
      </c>
      <c r="I1164" s="1">
        <v>44378</v>
      </c>
      <c r="J1164">
        <v>10</v>
      </c>
      <c r="K1164">
        <v>0</v>
      </c>
      <c r="L1164" s="1">
        <v>44256</v>
      </c>
      <c r="M1164">
        <v>1125</v>
      </c>
      <c r="N1164" s="8" cm="1">
        <f t="array" ref="N1164">_xlfn.SWITCH(Sales[[#This Row],[Subscription Type]],"Basic",10,"Premium",10,"Business",25,"Enterprise",27)</f>
        <v>25</v>
      </c>
      <c r="O1164">
        <f>IF(Sales[[#This Row],[Number of Users]]-Sales[[#This Row],[Licenses Bought]]&lt;0,0,Sales[[#This Row],[Number of Users]]-Sales[[#This Row],[Licenses Bought]])</f>
        <v>16</v>
      </c>
      <c r="P1164" s="8">
        <f>IF(Sales[[#This Row],[Sales Month]]=MAX(Sales[Sales Month]),Sales[[#This Row],[Non-Paying Users]]*Sales[[#This Row],[Upsell $ per Non-Paying User]],0)</f>
        <v>0</v>
      </c>
      <c r="Q1164" t="str" cm="1">
        <f t="array" ref="Q1164">_xlfn.IFS(Sales[[#This Row],[Current Upsell $]]=0,"",Sales[[#This Row],[Current Upsell $]]&gt;=400,"High",Sales[[#This Row],[Current Upsell $]]&gt;=100,"Medium",Sales[[#This Row],[Current Upsell $]]&lt;100,"Low")</f>
        <v/>
      </c>
      <c r="R1164" t="str">
        <f>IF(Sales[[#This Row],[Current Upsell $]]&gt;0,_xlfn.CONCAT(Sales[[#This Row],[Subscription Type]]," ",Sales[[#This Row],[Upsell Priority]]," ",TEXT(Sales[[#This Row],[Current Upsell $]],"$#,#")),"")</f>
        <v/>
      </c>
    </row>
    <row r="1165" spans="1:18" x14ac:dyDescent="0.25">
      <c r="A1165">
        <v>100113</v>
      </c>
      <c r="B1165" t="s">
        <v>1</v>
      </c>
      <c r="D1165" s="1"/>
      <c r="E1165" s="1"/>
      <c r="F1165">
        <v>45</v>
      </c>
      <c r="G1165">
        <v>46</v>
      </c>
      <c r="H1165" s="1">
        <v>44075</v>
      </c>
      <c r="I1165" s="1">
        <v>44378</v>
      </c>
      <c r="J1165">
        <v>10</v>
      </c>
      <c r="K1165">
        <v>0</v>
      </c>
      <c r="L1165" s="1">
        <v>44287</v>
      </c>
      <c r="M1165">
        <v>1125</v>
      </c>
      <c r="N1165" s="8" cm="1">
        <f t="array" ref="N1165">_xlfn.SWITCH(Sales[[#This Row],[Subscription Type]],"Basic",10,"Premium",10,"Business",25,"Enterprise",27)</f>
        <v>25</v>
      </c>
      <c r="O1165">
        <f>IF(Sales[[#This Row],[Number of Users]]-Sales[[#This Row],[Licenses Bought]]&lt;0,0,Sales[[#This Row],[Number of Users]]-Sales[[#This Row],[Licenses Bought]])</f>
        <v>1</v>
      </c>
      <c r="P1165" s="8">
        <f>IF(Sales[[#This Row],[Sales Month]]=MAX(Sales[Sales Month]),Sales[[#This Row],[Non-Paying Users]]*Sales[[#This Row],[Upsell $ per Non-Paying User]],0)</f>
        <v>0</v>
      </c>
      <c r="Q1165" t="str" cm="1">
        <f t="array" ref="Q1165">_xlfn.IFS(Sales[[#This Row],[Current Upsell $]]=0,"",Sales[[#This Row],[Current Upsell $]]&gt;=400,"High",Sales[[#This Row],[Current Upsell $]]&gt;=100,"Medium",Sales[[#This Row],[Current Upsell $]]&lt;100,"Low")</f>
        <v/>
      </c>
      <c r="R1165" t="str">
        <f>IF(Sales[[#This Row],[Current Upsell $]]&gt;0,_xlfn.CONCAT(Sales[[#This Row],[Subscription Type]]," ",Sales[[#This Row],[Upsell Priority]]," ",TEXT(Sales[[#This Row],[Current Upsell $]],"$#,#")),"")</f>
        <v/>
      </c>
    </row>
    <row r="1166" spans="1:18" x14ac:dyDescent="0.25">
      <c r="A1166">
        <v>100113</v>
      </c>
      <c r="B1166" t="s">
        <v>1</v>
      </c>
      <c r="D1166" s="1"/>
      <c r="E1166" s="1"/>
      <c r="F1166">
        <v>45</v>
      </c>
      <c r="G1166">
        <v>58</v>
      </c>
      <c r="H1166" s="1">
        <v>44075</v>
      </c>
      <c r="I1166" s="1">
        <v>44378</v>
      </c>
      <c r="J1166">
        <v>10</v>
      </c>
      <c r="K1166">
        <v>0</v>
      </c>
      <c r="L1166" s="1">
        <v>44317</v>
      </c>
      <c r="M1166">
        <v>1125</v>
      </c>
      <c r="N1166" s="8" cm="1">
        <f t="array" ref="N1166">_xlfn.SWITCH(Sales[[#This Row],[Subscription Type]],"Basic",10,"Premium",10,"Business",25,"Enterprise",27)</f>
        <v>25</v>
      </c>
      <c r="O1166">
        <f>IF(Sales[[#This Row],[Number of Users]]-Sales[[#This Row],[Licenses Bought]]&lt;0,0,Sales[[#This Row],[Number of Users]]-Sales[[#This Row],[Licenses Bought]])</f>
        <v>13</v>
      </c>
      <c r="P1166" s="8">
        <f>IF(Sales[[#This Row],[Sales Month]]=MAX(Sales[Sales Month]),Sales[[#This Row],[Non-Paying Users]]*Sales[[#This Row],[Upsell $ per Non-Paying User]],0)</f>
        <v>0</v>
      </c>
      <c r="Q1166" t="str" cm="1">
        <f t="array" ref="Q1166">_xlfn.IFS(Sales[[#This Row],[Current Upsell $]]=0,"",Sales[[#This Row],[Current Upsell $]]&gt;=400,"High",Sales[[#This Row],[Current Upsell $]]&gt;=100,"Medium",Sales[[#This Row],[Current Upsell $]]&lt;100,"Low")</f>
        <v/>
      </c>
      <c r="R1166" t="str">
        <f>IF(Sales[[#This Row],[Current Upsell $]]&gt;0,_xlfn.CONCAT(Sales[[#This Row],[Subscription Type]]," ",Sales[[#This Row],[Upsell Priority]]," ",TEXT(Sales[[#This Row],[Current Upsell $]],"$#,#")),"")</f>
        <v/>
      </c>
    </row>
    <row r="1167" spans="1:18" x14ac:dyDescent="0.25">
      <c r="A1167">
        <v>100113</v>
      </c>
      <c r="B1167" t="s">
        <v>1</v>
      </c>
      <c r="D1167" s="1"/>
      <c r="E1167" s="1"/>
      <c r="F1167">
        <v>45</v>
      </c>
      <c r="G1167">
        <v>63</v>
      </c>
      <c r="H1167" s="1">
        <v>44075</v>
      </c>
      <c r="I1167" s="1">
        <v>44378</v>
      </c>
      <c r="J1167">
        <v>10</v>
      </c>
      <c r="K1167">
        <v>0</v>
      </c>
      <c r="L1167" s="1">
        <v>44348</v>
      </c>
      <c r="M1167">
        <v>1125</v>
      </c>
      <c r="N1167" s="8" cm="1">
        <f t="array" ref="N1167">_xlfn.SWITCH(Sales[[#This Row],[Subscription Type]],"Basic",10,"Premium",10,"Business",25,"Enterprise",27)</f>
        <v>25</v>
      </c>
      <c r="O1167">
        <f>IF(Sales[[#This Row],[Number of Users]]-Sales[[#This Row],[Licenses Bought]]&lt;0,0,Sales[[#This Row],[Number of Users]]-Sales[[#This Row],[Licenses Bought]])</f>
        <v>18</v>
      </c>
      <c r="P1167" s="8">
        <f>IF(Sales[[#This Row],[Sales Month]]=MAX(Sales[Sales Month]),Sales[[#This Row],[Non-Paying Users]]*Sales[[#This Row],[Upsell $ per Non-Paying User]],0)</f>
        <v>450</v>
      </c>
      <c r="Q1167" t="str" cm="1">
        <f t="array" ref="Q1167">_xlfn.IFS(Sales[[#This Row],[Current Upsell $]]=0,"",Sales[[#This Row],[Current Upsell $]]&gt;=400,"High",Sales[[#This Row],[Current Upsell $]]&gt;=100,"Medium",Sales[[#This Row],[Current Upsell $]]&lt;100,"Low")</f>
        <v>High</v>
      </c>
      <c r="R1167" t="str">
        <f>IF(Sales[[#This Row],[Current Upsell $]]&gt;0,_xlfn.CONCAT(Sales[[#This Row],[Subscription Type]]," ",Sales[[#This Row],[Upsell Priority]]," ",TEXT(Sales[[#This Row],[Current Upsell $]],"$#,#")),"")</f>
        <v>Business High $450</v>
      </c>
    </row>
    <row r="1168" spans="1:18" x14ac:dyDescent="0.25">
      <c r="A1168">
        <v>100114</v>
      </c>
      <c r="B1168" t="s">
        <v>3</v>
      </c>
      <c r="D1168" s="1"/>
      <c r="E1168" s="1"/>
      <c r="F1168">
        <v>0</v>
      </c>
      <c r="G1168">
        <v>61</v>
      </c>
      <c r="H1168" s="1">
        <v>44075</v>
      </c>
      <c r="I1168" s="1">
        <v>44378</v>
      </c>
      <c r="J1168">
        <v>10</v>
      </c>
      <c r="K1168">
        <v>0</v>
      </c>
      <c r="L1168" s="1">
        <v>44075</v>
      </c>
      <c r="M1168">
        <v>0</v>
      </c>
      <c r="N1168" s="8" cm="1">
        <f t="array" ref="N1168">_xlfn.SWITCH(Sales[[#This Row],[Subscription Type]],"Basic",10,"Premium",10,"Business",25,"Enterprise",27)</f>
        <v>10</v>
      </c>
      <c r="O1168">
        <f>IF(Sales[[#This Row],[Number of Users]]-Sales[[#This Row],[Licenses Bought]]&lt;0,0,Sales[[#This Row],[Number of Users]]-Sales[[#This Row],[Licenses Bought]])</f>
        <v>61</v>
      </c>
      <c r="P1168" s="8">
        <f>IF(Sales[[#This Row],[Sales Month]]=MAX(Sales[Sales Month]),Sales[[#This Row],[Non-Paying Users]]*Sales[[#This Row],[Upsell $ per Non-Paying User]],0)</f>
        <v>0</v>
      </c>
      <c r="Q1168" t="str" cm="1">
        <f t="array" ref="Q1168">_xlfn.IFS(Sales[[#This Row],[Current Upsell $]]=0,"",Sales[[#This Row],[Current Upsell $]]&gt;=400,"High",Sales[[#This Row],[Current Upsell $]]&gt;=100,"Medium",Sales[[#This Row],[Current Upsell $]]&lt;100,"Low")</f>
        <v/>
      </c>
      <c r="R1168" t="str">
        <f>IF(Sales[[#This Row],[Current Upsell $]]&gt;0,_xlfn.CONCAT(Sales[[#This Row],[Subscription Type]]," ",Sales[[#This Row],[Upsell Priority]]," ",TEXT(Sales[[#This Row],[Current Upsell $]],"$#,#")),"")</f>
        <v/>
      </c>
    </row>
    <row r="1169" spans="1:18" x14ac:dyDescent="0.25">
      <c r="A1169">
        <v>100114</v>
      </c>
      <c r="B1169" t="s">
        <v>1</v>
      </c>
      <c r="D1169" s="1"/>
      <c r="E1169" s="1"/>
      <c r="F1169">
        <v>16</v>
      </c>
      <c r="G1169">
        <v>63</v>
      </c>
      <c r="H1169" s="1">
        <v>44075</v>
      </c>
      <c r="I1169" s="1">
        <v>44378</v>
      </c>
      <c r="J1169">
        <v>10</v>
      </c>
      <c r="K1169">
        <v>0</v>
      </c>
      <c r="L1169" s="1">
        <v>44105</v>
      </c>
      <c r="M1169">
        <v>400</v>
      </c>
      <c r="N1169" s="8" cm="1">
        <f t="array" ref="N1169">_xlfn.SWITCH(Sales[[#This Row],[Subscription Type]],"Basic",10,"Premium",10,"Business",25,"Enterprise",27)</f>
        <v>25</v>
      </c>
      <c r="O1169">
        <f>IF(Sales[[#This Row],[Number of Users]]-Sales[[#This Row],[Licenses Bought]]&lt;0,0,Sales[[#This Row],[Number of Users]]-Sales[[#This Row],[Licenses Bought]])</f>
        <v>47</v>
      </c>
      <c r="P1169" s="8">
        <f>IF(Sales[[#This Row],[Sales Month]]=MAX(Sales[Sales Month]),Sales[[#This Row],[Non-Paying Users]]*Sales[[#This Row],[Upsell $ per Non-Paying User]],0)</f>
        <v>0</v>
      </c>
      <c r="Q1169" t="str" cm="1">
        <f t="array" ref="Q1169">_xlfn.IFS(Sales[[#This Row],[Current Upsell $]]=0,"",Sales[[#This Row],[Current Upsell $]]&gt;=400,"High",Sales[[#This Row],[Current Upsell $]]&gt;=100,"Medium",Sales[[#This Row],[Current Upsell $]]&lt;100,"Low")</f>
        <v/>
      </c>
      <c r="R1169" t="str">
        <f>IF(Sales[[#This Row],[Current Upsell $]]&gt;0,_xlfn.CONCAT(Sales[[#This Row],[Subscription Type]]," ",Sales[[#This Row],[Upsell Priority]]," ",TEXT(Sales[[#This Row],[Current Upsell $]],"$#,#")),"")</f>
        <v/>
      </c>
    </row>
    <row r="1170" spans="1:18" x14ac:dyDescent="0.25">
      <c r="A1170">
        <v>100114</v>
      </c>
      <c r="B1170" t="s">
        <v>1</v>
      </c>
      <c r="D1170" s="1"/>
      <c r="E1170" s="1"/>
      <c r="F1170">
        <v>29</v>
      </c>
      <c r="G1170">
        <v>46</v>
      </c>
      <c r="H1170" s="1">
        <v>44075</v>
      </c>
      <c r="I1170" s="1">
        <v>44378</v>
      </c>
      <c r="J1170">
        <v>10</v>
      </c>
      <c r="K1170">
        <v>0</v>
      </c>
      <c r="L1170" s="1">
        <v>44136</v>
      </c>
      <c r="M1170">
        <v>725</v>
      </c>
      <c r="N1170" s="8" cm="1">
        <f t="array" ref="N1170">_xlfn.SWITCH(Sales[[#This Row],[Subscription Type]],"Basic",10,"Premium",10,"Business",25,"Enterprise",27)</f>
        <v>25</v>
      </c>
      <c r="O1170">
        <f>IF(Sales[[#This Row],[Number of Users]]-Sales[[#This Row],[Licenses Bought]]&lt;0,0,Sales[[#This Row],[Number of Users]]-Sales[[#This Row],[Licenses Bought]])</f>
        <v>17</v>
      </c>
      <c r="P1170" s="8">
        <f>IF(Sales[[#This Row],[Sales Month]]=MAX(Sales[Sales Month]),Sales[[#This Row],[Non-Paying Users]]*Sales[[#This Row],[Upsell $ per Non-Paying User]],0)</f>
        <v>0</v>
      </c>
      <c r="Q1170" t="str" cm="1">
        <f t="array" ref="Q1170">_xlfn.IFS(Sales[[#This Row],[Current Upsell $]]=0,"",Sales[[#This Row],[Current Upsell $]]&gt;=400,"High",Sales[[#This Row],[Current Upsell $]]&gt;=100,"Medium",Sales[[#This Row],[Current Upsell $]]&lt;100,"Low")</f>
        <v/>
      </c>
      <c r="R1170" t="str">
        <f>IF(Sales[[#This Row],[Current Upsell $]]&gt;0,_xlfn.CONCAT(Sales[[#This Row],[Subscription Type]]," ",Sales[[#This Row],[Upsell Priority]]," ",TEXT(Sales[[#This Row],[Current Upsell $]],"$#,#")),"")</f>
        <v/>
      </c>
    </row>
    <row r="1171" spans="1:18" x14ac:dyDescent="0.25">
      <c r="A1171">
        <v>100114</v>
      </c>
      <c r="B1171" t="s">
        <v>1</v>
      </c>
      <c r="D1171" s="1"/>
      <c r="E1171" s="1"/>
      <c r="F1171">
        <v>43</v>
      </c>
      <c r="G1171">
        <v>46</v>
      </c>
      <c r="H1171" s="1">
        <v>44075</v>
      </c>
      <c r="I1171" s="1">
        <v>44378</v>
      </c>
      <c r="J1171">
        <v>10</v>
      </c>
      <c r="K1171">
        <v>0</v>
      </c>
      <c r="L1171" s="1">
        <v>44166</v>
      </c>
      <c r="M1171">
        <v>1075</v>
      </c>
      <c r="N1171" s="8" cm="1">
        <f t="array" ref="N1171">_xlfn.SWITCH(Sales[[#This Row],[Subscription Type]],"Basic",10,"Premium",10,"Business",25,"Enterprise",27)</f>
        <v>25</v>
      </c>
      <c r="O1171">
        <f>IF(Sales[[#This Row],[Number of Users]]-Sales[[#This Row],[Licenses Bought]]&lt;0,0,Sales[[#This Row],[Number of Users]]-Sales[[#This Row],[Licenses Bought]])</f>
        <v>3</v>
      </c>
      <c r="P1171" s="8">
        <f>IF(Sales[[#This Row],[Sales Month]]=MAX(Sales[Sales Month]),Sales[[#This Row],[Non-Paying Users]]*Sales[[#This Row],[Upsell $ per Non-Paying User]],0)</f>
        <v>0</v>
      </c>
      <c r="Q1171" t="str" cm="1">
        <f t="array" ref="Q1171">_xlfn.IFS(Sales[[#This Row],[Current Upsell $]]=0,"",Sales[[#This Row],[Current Upsell $]]&gt;=400,"High",Sales[[#This Row],[Current Upsell $]]&gt;=100,"Medium",Sales[[#This Row],[Current Upsell $]]&lt;100,"Low")</f>
        <v/>
      </c>
      <c r="R1171" t="str">
        <f>IF(Sales[[#This Row],[Current Upsell $]]&gt;0,_xlfn.CONCAT(Sales[[#This Row],[Subscription Type]]," ",Sales[[#This Row],[Upsell Priority]]," ",TEXT(Sales[[#This Row],[Current Upsell $]],"$#,#")),"")</f>
        <v/>
      </c>
    </row>
    <row r="1172" spans="1:18" x14ac:dyDescent="0.25">
      <c r="A1172">
        <v>100114</v>
      </c>
      <c r="B1172" t="s">
        <v>1</v>
      </c>
      <c r="D1172" s="1"/>
      <c r="E1172" s="1"/>
      <c r="F1172">
        <v>43</v>
      </c>
      <c r="G1172">
        <v>60</v>
      </c>
      <c r="H1172" s="1">
        <v>44075</v>
      </c>
      <c r="I1172" s="1">
        <v>44378</v>
      </c>
      <c r="J1172">
        <v>10</v>
      </c>
      <c r="K1172">
        <v>0</v>
      </c>
      <c r="L1172" s="1">
        <v>44197</v>
      </c>
      <c r="M1172">
        <v>1075</v>
      </c>
      <c r="N1172" s="8" cm="1">
        <f t="array" ref="N1172">_xlfn.SWITCH(Sales[[#This Row],[Subscription Type]],"Basic",10,"Premium",10,"Business",25,"Enterprise",27)</f>
        <v>25</v>
      </c>
      <c r="O1172">
        <f>IF(Sales[[#This Row],[Number of Users]]-Sales[[#This Row],[Licenses Bought]]&lt;0,0,Sales[[#This Row],[Number of Users]]-Sales[[#This Row],[Licenses Bought]])</f>
        <v>17</v>
      </c>
      <c r="P1172" s="8">
        <f>IF(Sales[[#This Row],[Sales Month]]=MAX(Sales[Sales Month]),Sales[[#This Row],[Non-Paying Users]]*Sales[[#This Row],[Upsell $ per Non-Paying User]],0)</f>
        <v>0</v>
      </c>
      <c r="Q1172" t="str" cm="1">
        <f t="array" ref="Q1172">_xlfn.IFS(Sales[[#This Row],[Current Upsell $]]=0,"",Sales[[#This Row],[Current Upsell $]]&gt;=400,"High",Sales[[#This Row],[Current Upsell $]]&gt;=100,"Medium",Sales[[#This Row],[Current Upsell $]]&lt;100,"Low")</f>
        <v/>
      </c>
      <c r="R1172" t="str">
        <f>IF(Sales[[#This Row],[Current Upsell $]]&gt;0,_xlfn.CONCAT(Sales[[#This Row],[Subscription Type]]," ",Sales[[#This Row],[Upsell Priority]]," ",TEXT(Sales[[#This Row],[Current Upsell $]],"$#,#")),"")</f>
        <v/>
      </c>
    </row>
    <row r="1173" spans="1:18" x14ac:dyDescent="0.25">
      <c r="A1173">
        <v>100114</v>
      </c>
      <c r="B1173" t="s">
        <v>1</v>
      </c>
      <c r="D1173" s="1"/>
      <c r="E1173" s="1"/>
      <c r="F1173">
        <v>43</v>
      </c>
      <c r="G1173">
        <v>54</v>
      </c>
      <c r="H1173" s="1">
        <v>44075</v>
      </c>
      <c r="I1173" s="1">
        <v>44378</v>
      </c>
      <c r="J1173">
        <v>10</v>
      </c>
      <c r="K1173">
        <v>0</v>
      </c>
      <c r="L1173" s="1">
        <v>44228</v>
      </c>
      <c r="M1173">
        <v>1075</v>
      </c>
      <c r="N1173" s="8" cm="1">
        <f t="array" ref="N1173">_xlfn.SWITCH(Sales[[#This Row],[Subscription Type]],"Basic",10,"Premium",10,"Business",25,"Enterprise",27)</f>
        <v>25</v>
      </c>
      <c r="O1173">
        <f>IF(Sales[[#This Row],[Number of Users]]-Sales[[#This Row],[Licenses Bought]]&lt;0,0,Sales[[#This Row],[Number of Users]]-Sales[[#This Row],[Licenses Bought]])</f>
        <v>11</v>
      </c>
      <c r="P1173" s="8">
        <f>IF(Sales[[#This Row],[Sales Month]]=MAX(Sales[Sales Month]),Sales[[#This Row],[Non-Paying Users]]*Sales[[#This Row],[Upsell $ per Non-Paying User]],0)</f>
        <v>0</v>
      </c>
      <c r="Q1173" t="str" cm="1">
        <f t="array" ref="Q1173">_xlfn.IFS(Sales[[#This Row],[Current Upsell $]]=0,"",Sales[[#This Row],[Current Upsell $]]&gt;=400,"High",Sales[[#This Row],[Current Upsell $]]&gt;=100,"Medium",Sales[[#This Row],[Current Upsell $]]&lt;100,"Low")</f>
        <v/>
      </c>
      <c r="R1173" t="str">
        <f>IF(Sales[[#This Row],[Current Upsell $]]&gt;0,_xlfn.CONCAT(Sales[[#This Row],[Subscription Type]]," ",Sales[[#This Row],[Upsell Priority]]," ",TEXT(Sales[[#This Row],[Current Upsell $]],"$#,#")),"")</f>
        <v/>
      </c>
    </row>
    <row r="1174" spans="1:18" x14ac:dyDescent="0.25">
      <c r="A1174">
        <v>100114</v>
      </c>
      <c r="B1174" t="s">
        <v>1</v>
      </c>
      <c r="D1174" s="1"/>
      <c r="E1174" s="1"/>
      <c r="F1174">
        <v>43</v>
      </c>
      <c r="G1174">
        <v>48</v>
      </c>
      <c r="H1174" s="1">
        <v>44075</v>
      </c>
      <c r="I1174" s="1">
        <v>44378</v>
      </c>
      <c r="J1174">
        <v>10</v>
      </c>
      <c r="K1174">
        <v>0</v>
      </c>
      <c r="L1174" s="1">
        <v>44256</v>
      </c>
      <c r="M1174">
        <v>1075</v>
      </c>
      <c r="N1174" s="8" cm="1">
        <f t="array" ref="N1174">_xlfn.SWITCH(Sales[[#This Row],[Subscription Type]],"Basic",10,"Premium",10,"Business",25,"Enterprise",27)</f>
        <v>25</v>
      </c>
      <c r="O1174">
        <f>IF(Sales[[#This Row],[Number of Users]]-Sales[[#This Row],[Licenses Bought]]&lt;0,0,Sales[[#This Row],[Number of Users]]-Sales[[#This Row],[Licenses Bought]])</f>
        <v>5</v>
      </c>
      <c r="P1174" s="8">
        <f>IF(Sales[[#This Row],[Sales Month]]=MAX(Sales[Sales Month]),Sales[[#This Row],[Non-Paying Users]]*Sales[[#This Row],[Upsell $ per Non-Paying User]],0)</f>
        <v>0</v>
      </c>
      <c r="Q1174" t="str" cm="1">
        <f t="array" ref="Q1174">_xlfn.IFS(Sales[[#This Row],[Current Upsell $]]=0,"",Sales[[#This Row],[Current Upsell $]]&gt;=400,"High",Sales[[#This Row],[Current Upsell $]]&gt;=100,"Medium",Sales[[#This Row],[Current Upsell $]]&lt;100,"Low")</f>
        <v/>
      </c>
      <c r="R1174" t="str">
        <f>IF(Sales[[#This Row],[Current Upsell $]]&gt;0,_xlfn.CONCAT(Sales[[#This Row],[Subscription Type]]," ",Sales[[#This Row],[Upsell Priority]]," ",TEXT(Sales[[#This Row],[Current Upsell $]],"$#,#")),"")</f>
        <v/>
      </c>
    </row>
    <row r="1175" spans="1:18" x14ac:dyDescent="0.25">
      <c r="A1175">
        <v>100114</v>
      </c>
      <c r="B1175" t="s">
        <v>1</v>
      </c>
      <c r="D1175" s="1"/>
      <c r="E1175" s="1"/>
      <c r="F1175">
        <v>43</v>
      </c>
      <c r="G1175">
        <v>53</v>
      </c>
      <c r="H1175" s="1">
        <v>44075</v>
      </c>
      <c r="I1175" s="1">
        <v>44378</v>
      </c>
      <c r="J1175">
        <v>10</v>
      </c>
      <c r="K1175">
        <v>0</v>
      </c>
      <c r="L1175" s="1">
        <v>44287</v>
      </c>
      <c r="M1175">
        <v>1075</v>
      </c>
      <c r="N1175" s="8" cm="1">
        <f t="array" ref="N1175">_xlfn.SWITCH(Sales[[#This Row],[Subscription Type]],"Basic",10,"Premium",10,"Business",25,"Enterprise",27)</f>
        <v>25</v>
      </c>
      <c r="O1175">
        <f>IF(Sales[[#This Row],[Number of Users]]-Sales[[#This Row],[Licenses Bought]]&lt;0,0,Sales[[#This Row],[Number of Users]]-Sales[[#This Row],[Licenses Bought]])</f>
        <v>10</v>
      </c>
      <c r="P1175" s="8">
        <f>IF(Sales[[#This Row],[Sales Month]]=MAX(Sales[Sales Month]),Sales[[#This Row],[Non-Paying Users]]*Sales[[#This Row],[Upsell $ per Non-Paying User]],0)</f>
        <v>0</v>
      </c>
      <c r="Q1175" t="str" cm="1">
        <f t="array" ref="Q1175">_xlfn.IFS(Sales[[#This Row],[Current Upsell $]]=0,"",Sales[[#This Row],[Current Upsell $]]&gt;=400,"High",Sales[[#This Row],[Current Upsell $]]&gt;=100,"Medium",Sales[[#This Row],[Current Upsell $]]&lt;100,"Low")</f>
        <v/>
      </c>
      <c r="R1175" t="str">
        <f>IF(Sales[[#This Row],[Current Upsell $]]&gt;0,_xlfn.CONCAT(Sales[[#This Row],[Subscription Type]]," ",Sales[[#This Row],[Upsell Priority]]," ",TEXT(Sales[[#This Row],[Current Upsell $]],"$#,#")),"")</f>
        <v/>
      </c>
    </row>
    <row r="1176" spans="1:18" x14ac:dyDescent="0.25">
      <c r="A1176">
        <v>100114</v>
      </c>
      <c r="B1176" t="s">
        <v>1</v>
      </c>
      <c r="D1176" s="1"/>
      <c r="E1176" s="1"/>
      <c r="F1176">
        <v>43</v>
      </c>
      <c r="G1176">
        <v>49</v>
      </c>
      <c r="H1176" s="1">
        <v>44075</v>
      </c>
      <c r="I1176" s="1">
        <v>44378</v>
      </c>
      <c r="J1176">
        <v>10</v>
      </c>
      <c r="K1176">
        <v>0</v>
      </c>
      <c r="L1176" s="1">
        <v>44317</v>
      </c>
      <c r="M1176">
        <v>1075</v>
      </c>
      <c r="N1176" s="8" cm="1">
        <f t="array" ref="N1176">_xlfn.SWITCH(Sales[[#This Row],[Subscription Type]],"Basic",10,"Premium",10,"Business",25,"Enterprise",27)</f>
        <v>25</v>
      </c>
      <c r="O1176">
        <f>IF(Sales[[#This Row],[Number of Users]]-Sales[[#This Row],[Licenses Bought]]&lt;0,0,Sales[[#This Row],[Number of Users]]-Sales[[#This Row],[Licenses Bought]])</f>
        <v>6</v>
      </c>
      <c r="P1176" s="8">
        <f>IF(Sales[[#This Row],[Sales Month]]=MAX(Sales[Sales Month]),Sales[[#This Row],[Non-Paying Users]]*Sales[[#This Row],[Upsell $ per Non-Paying User]],0)</f>
        <v>0</v>
      </c>
      <c r="Q1176" t="str" cm="1">
        <f t="array" ref="Q1176">_xlfn.IFS(Sales[[#This Row],[Current Upsell $]]=0,"",Sales[[#This Row],[Current Upsell $]]&gt;=400,"High",Sales[[#This Row],[Current Upsell $]]&gt;=100,"Medium",Sales[[#This Row],[Current Upsell $]]&lt;100,"Low")</f>
        <v/>
      </c>
      <c r="R1176" t="str">
        <f>IF(Sales[[#This Row],[Current Upsell $]]&gt;0,_xlfn.CONCAT(Sales[[#This Row],[Subscription Type]]," ",Sales[[#This Row],[Upsell Priority]]," ",TEXT(Sales[[#This Row],[Current Upsell $]],"$#,#")),"")</f>
        <v/>
      </c>
    </row>
    <row r="1177" spans="1:18" x14ac:dyDescent="0.25">
      <c r="A1177">
        <v>100114</v>
      </c>
      <c r="B1177" t="s">
        <v>1</v>
      </c>
      <c r="D1177" s="1"/>
      <c r="E1177" s="1"/>
      <c r="F1177">
        <v>43</v>
      </c>
      <c r="G1177">
        <v>53</v>
      </c>
      <c r="H1177" s="1">
        <v>44075</v>
      </c>
      <c r="I1177" s="1">
        <v>44378</v>
      </c>
      <c r="J1177">
        <v>10</v>
      </c>
      <c r="K1177">
        <v>0</v>
      </c>
      <c r="L1177" s="1">
        <v>44348</v>
      </c>
      <c r="M1177">
        <v>1075</v>
      </c>
      <c r="N1177" s="8" cm="1">
        <f t="array" ref="N1177">_xlfn.SWITCH(Sales[[#This Row],[Subscription Type]],"Basic",10,"Premium",10,"Business",25,"Enterprise",27)</f>
        <v>25</v>
      </c>
      <c r="O1177">
        <f>IF(Sales[[#This Row],[Number of Users]]-Sales[[#This Row],[Licenses Bought]]&lt;0,0,Sales[[#This Row],[Number of Users]]-Sales[[#This Row],[Licenses Bought]])</f>
        <v>10</v>
      </c>
      <c r="P1177" s="8">
        <f>IF(Sales[[#This Row],[Sales Month]]=MAX(Sales[Sales Month]),Sales[[#This Row],[Non-Paying Users]]*Sales[[#This Row],[Upsell $ per Non-Paying User]],0)</f>
        <v>250</v>
      </c>
      <c r="Q1177" t="str" cm="1">
        <f t="array" ref="Q1177">_xlfn.IFS(Sales[[#This Row],[Current Upsell $]]=0,"",Sales[[#This Row],[Current Upsell $]]&gt;=400,"High",Sales[[#This Row],[Current Upsell $]]&gt;=100,"Medium",Sales[[#This Row],[Current Upsell $]]&lt;100,"Low")</f>
        <v>Medium</v>
      </c>
      <c r="R1177" t="str">
        <f>IF(Sales[[#This Row],[Current Upsell $]]&gt;0,_xlfn.CONCAT(Sales[[#This Row],[Subscription Type]]," ",Sales[[#This Row],[Upsell Priority]]," ",TEXT(Sales[[#This Row],[Current Upsell $]],"$#,#")),"")</f>
        <v>Business Medium $250</v>
      </c>
    </row>
    <row r="1178" spans="1:18" x14ac:dyDescent="0.25">
      <c r="A1178">
        <v>100115</v>
      </c>
      <c r="B1178" t="s">
        <v>3</v>
      </c>
      <c r="D1178" s="1"/>
      <c r="E1178" s="1"/>
      <c r="F1178">
        <v>0</v>
      </c>
      <c r="G1178">
        <v>43</v>
      </c>
      <c r="H1178" s="1">
        <v>44075</v>
      </c>
      <c r="I1178" s="1">
        <v>44378</v>
      </c>
      <c r="J1178">
        <v>10</v>
      </c>
      <c r="K1178">
        <v>0</v>
      </c>
      <c r="L1178" s="1">
        <v>44075</v>
      </c>
      <c r="M1178">
        <v>0</v>
      </c>
      <c r="N1178" s="8" cm="1">
        <f t="array" ref="N1178">_xlfn.SWITCH(Sales[[#This Row],[Subscription Type]],"Basic",10,"Premium",10,"Business",25,"Enterprise",27)</f>
        <v>10</v>
      </c>
      <c r="O1178">
        <f>IF(Sales[[#This Row],[Number of Users]]-Sales[[#This Row],[Licenses Bought]]&lt;0,0,Sales[[#This Row],[Number of Users]]-Sales[[#This Row],[Licenses Bought]])</f>
        <v>43</v>
      </c>
      <c r="P1178" s="8">
        <f>IF(Sales[[#This Row],[Sales Month]]=MAX(Sales[Sales Month]),Sales[[#This Row],[Non-Paying Users]]*Sales[[#This Row],[Upsell $ per Non-Paying User]],0)</f>
        <v>0</v>
      </c>
      <c r="Q1178" t="str" cm="1">
        <f t="array" ref="Q1178">_xlfn.IFS(Sales[[#This Row],[Current Upsell $]]=0,"",Sales[[#This Row],[Current Upsell $]]&gt;=400,"High",Sales[[#This Row],[Current Upsell $]]&gt;=100,"Medium",Sales[[#This Row],[Current Upsell $]]&lt;100,"Low")</f>
        <v/>
      </c>
      <c r="R1178" t="str">
        <f>IF(Sales[[#This Row],[Current Upsell $]]&gt;0,_xlfn.CONCAT(Sales[[#This Row],[Subscription Type]]," ",Sales[[#This Row],[Upsell Priority]]," ",TEXT(Sales[[#This Row],[Current Upsell $]],"$#,#")),"")</f>
        <v/>
      </c>
    </row>
    <row r="1179" spans="1:18" x14ac:dyDescent="0.25">
      <c r="A1179">
        <v>100115</v>
      </c>
      <c r="B1179" t="s">
        <v>0</v>
      </c>
      <c r="D1179" s="1"/>
      <c r="E1179" s="1"/>
      <c r="F1179">
        <v>13</v>
      </c>
      <c r="G1179">
        <v>29</v>
      </c>
      <c r="H1179" s="1">
        <v>44075</v>
      </c>
      <c r="I1179" s="1">
        <v>44378</v>
      </c>
      <c r="J1179">
        <v>10</v>
      </c>
      <c r="K1179">
        <v>0</v>
      </c>
      <c r="L1179" s="1">
        <v>44105</v>
      </c>
      <c r="M1179">
        <v>130</v>
      </c>
      <c r="N1179" s="8" cm="1">
        <f t="array" ref="N1179">_xlfn.SWITCH(Sales[[#This Row],[Subscription Type]],"Basic",10,"Premium",10,"Business",25,"Enterprise",27)</f>
        <v>10</v>
      </c>
      <c r="O1179">
        <f>IF(Sales[[#This Row],[Number of Users]]-Sales[[#This Row],[Licenses Bought]]&lt;0,0,Sales[[#This Row],[Number of Users]]-Sales[[#This Row],[Licenses Bought]])</f>
        <v>16</v>
      </c>
      <c r="P1179" s="8">
        <f>IF(Sales[[#This Row],[Sales Month]]=MAX(Sales[Sales Month]),Sales[[#This Row],[Non-Paying Users]]*Sales[[#This Row],[Upsell $ per Non-Paying User]],0)</f>
        <v>0</v>
      </c>
      <c r="Q1179" t="str" cm="1">
        <f t="array" ref="Q1179">_xlfn.IFS(Sales[[#This Row],[Current Upsell $]]=0,"",Sales[[#This Row],[Current Upsell $]]&gt;=400,"High",Sales[[#This Row],[Current Upsell $]]&gt;=100,"Medium",Sales[[#This Row],[Current Upsell $]]&lt;100,"Low")</f>
        <v/>
      </c>
      <c r="R1179" t="str">
        <f>IF(Sales[[#This Row],[Current Upsell $]]&gt;0,_xlfn.CONCAT(Sales[[#This Row],[Subscription Type]]," ",Sales[[#This Row],[Upsell Priority]]," ",TEXT(Sales[[#This Row],[Current Upsell $]],"$#,#")),"")</f>
        <v/>
      </c>
    </row>
    <row r="1180" spans="1:18" x14ac:dyDescent="0.25">
      <c r="A1180">
        <v>100115</v>
      </c>
      <c r="B1180" t="s">
        <v>0</v>
      </c>
      <c r="D1180" s="1"/>
      <c r="E1180" s="1"/>
      <c r="F1180">
        <v>33</v>
      </c>
      <c r="G1180">
        <v>45</v>
      </c>
      <c r="H1180" s="1">
        <v>44075</v>
      </c>
      <c r="I1180" s="1">
        <v>44378</v>
      </c>
      <c r="J1180">
        <v>10</v>
      </c>
      <c r="K1180">
        <v>0</v>
      </c>
      <c r="L1180" s="1">
        <v>44136</v>
      </c>
      <c r="M1180">
        <v>330</v>
      </c>
      <c r="N1180" s="8" cm="1">
        <f t="array" ref="N1180">_xlfn.SWITCH(Sales[[#This Row],[Subscription Type]],"Basic",10,"Premium",10,"Business",25,"Enterprise",27)</f>
        <v>10</v>
      </c>
      <c r="O1180">
        <f>IF(Sales[[#This Row],[Number of Users]]-Sales[[#This Row],[Licenses Bought]]&lt;0,0,Sales[[#This Row],[Number of Users]]-Sales[[#This Row],[Licenses Bought]])</f>
        <v>12</v>
      </c>
      <c r="P1180" s="8">
        <f>IF(Sales[[#This Row],[Sales Month]]=MAX(Sales[Sales Month]),Sales[[#This Row],[Non-Paying Users]]*Sales[[#This Row],[Upsell $ per Non-Paying User]],0)</f>
        <v>0</v>
      </c>
      <c r="Q1180" t="str" cm="1">
        <f t="array" ref="Q1180">_xlfn.IFS(Sales[[#This Row],[Current Upsell $]]=0,"",Sales[[#This Row],[Current Upsell $]]&gt;=400,"High",Sales[[#This Row],[Current Upsell $]]&gt;=100,"Medium",Sales[[#This Row],[Current Upsell $]]&lt;100,"Low")</f>
        <v/>
      </c>
      <c r="R1180" t="str">
        <f>IF(Sales[[#This Row],[Current Upsell $]]&gt;0,_xlfn.CONCAT(Sales[[#This Row],[Subscription Type]]," ",Sales[[#This Row],[Upsell Priority]]," ",TEXT(Sales[[#This Row],[Current Upsell $]],"$#,#")),"")</f>
        <v/>
      </c>
    </row>
    <row r="1181" spans="1:18" x14ac:dyDescent="0.25">
      <c r="A1181">
        <v>100115</v>
      </c>
      <c r="B1181" t="s">
        <v>0</v>
      </c>
      <c r="D1181" s="1"/>
      <c r="E1181" s="1"/>
      <c r="F1181">
        <v>33</v>
      </c>
      <c r="G1181">
        <v>43</v>
      </c>
      <c r="H1181" s="1">
        <v>44075</v>
      </c>
      <c r="I1181" s="1">
        <v>44378</v>
      </c>
      <c r="J1181">
        <v>10</v>
      </c>
      <c r="K1181">
        <v>0</v>
      </c>
      <c r="L1181" s="1">
        <v>44166</v>
      </c>
      <c r="M1181">
        <v>330</v>
      </c>
      <c r="N1181" s="8" cm="1">
        <f t="array" ref="N1181">_xlfn.SWITCH(Sales[[#This Row],[Subscription Type]],"Basic",10,"Premium",10,"Business",25,"Enterprise",27)</f>
        <v>10</v>
      </c>
      <c r="O1181">
        <f>IF(Sales[[#This Row],[Number of Users]]-Sales[[#This Row],[Licenses Bought]]&lt;0,0,Sales[[#This Row],[Number of Users]]-Sales[[#This Row],[Licenses Bought]])</f>
        <v>10</v>
      </c>
      <c r="P1181" s="8">
        <f>IF(Sales[[#This Row],[Sales Month]]=MAX(Sales[Sales Month]),Sales[[#This Row],[Non-Paying Users]]*Sales[[#This Row],[Upsell $ per Non-Paying User]],0)</f>
        <v>0</v>
      </c>
      <c r="Q1181" t="str" cm="1">
        <f t="array" ref="Q1181">_xlfn.IFS(Sales[[#This Row],[Current Upsell $]]=0,"",Sales[[#This Row],[Current Upsell $]]&gt;=400,"High",Sales[[#This Row],[Current Upsell $]]&gt;=100,"Medium",Sales[[#This Row],[Current Upsell $]]&lt;100,"Low")</f>
        <v/>
      </c>
      <c r="R1181" t="str">
        <f>IF(Sales[[#This Row],[Current Upsell $]]&gt;0,_xlfn.CONCAT(Sales[[#This Row],[Subscription Type]]," ",Sales[[#This Row],[Upsell Priority]]," ",TEXT(Sales[[#This Row],[Current Upsell $]],"$#,#")),"")</f>
        <v/>
      </c>
    </row>
    <row r="1182" spans="1:18" x14ac:dyDescent="0.25">
      <c r="A1182">
        <v>100115</v>
      </c>
      <c r="B1182" t="s">
        <v>0</v>
      </c>
      <c r="D1182" s="1"/>
      <c r="E1182" s="1"/>
      <c r="F1182">
        <v>33</v>
      </c>
      <c r="G1182">
        <v>39</v>
      </c>
      <c r="H1182" s="1">
        <v>44075</v>
      </c>
      <c r="I1182" s="1">
        <v>44378</v>
      </c>
      <c r="J1182">
        <v>10</v>
      </c>
      <c r="K1182">
        <v>0</v>
      </c>
      <c r="L1182" s="1">
        <v>44197</v>
      </c>
      <c r="M1182">
        <v>330</v>
      </c>
      <c r="N1182" s="8" cm="1">
        <f t="array" ref="N1182">_xlfn.SWITCH(Sales[[#This Row],[Subscription Type]],"Basic",10,"Premium",10,"Business",25,"Enterprise",27)</f>
        <v>10</v>
      </c>
      <c r="O1182">
        <f>IF(Sales[[#This Row],[Number of Users]]-Sales[[#This Row],[Licenses Bought]]&lt;0,0,Sales[[#This Row],[Number of Users]]-Sales[[#This Row],[Licenses Bought]])</f>
        <v>6</v>
      </c>
      <c r="P1182" s="8">
        <f>IF(Sales[[#This Row],[Sales Month]]=MAX(Sales[Sales Month]),Sales[[#This Row],[Non-Paying Users]]*Sales[[#This Row],[Upsell $ per Non-Paying User]],0)</f>
        <v>0</v>
      </c>
      <c r="Q1182" t="str" cm="1">
        <f t="array" ref="Q1182">_xlfn.IFS(Sales[[#This Row],[Current Upsell $]]=0,"",Sales[[#This Row],[Current Upsell $]]&gt;=400,"High",Sales[[#This Row],[Current Upsell $]]&gt;=100,"Medium",Sales[[#This Row],[Current Upsell $]]&lt;100,"Low")</f>
        <v/>
      </c>
      <c r="R1182" t="str">
        <f>IF(Sales[[#This Row],[Current Upsell $]]&gt;0,_xlfn.CONCAT(Sales[[#This Row],[Subscription Type]]," ",Sales[[#This Row],[Upsell Priority]]," ",TEXT(Sales[[#This Row],[Current Upsell $]],"$#,#")),"")</f>
        <v/>
      </c>
    </row>
    <row r="1183" spans="1:18" x14ac:dyDescent="0.25">
      <c r="A1183">
        <v>100115</v>
      </c>
      <c r="B1183" t="s">
        <v>0</v>
      </c>
      <c r="D1183" s="1"/>
      <c r="E1183" s="1"/>
      <c r="F1183">
        <v>33</v>
      </c>
      <c r="G1183">
        <v>43</v>
      </c>
      <c r="H1183" s="1">
        <v>44075</v>
      </c>
      <c r="I1183" s="1">
        <v>44378</v>
      </c>
      <c r="J1183">
        <v>10</v>
      </c>
      <c r="K1183">
        <v>0</v>
      </c>
      <c r="L1183" s="1">
        <v>44228</v>
      </c>
      <c r="M1183">
        <v>330</v>
      </c>
      <c r="N1183" s="8" cm="1">
        <f t="array" ref="N1183">_xlfn.SWITCH(Sales[[#This Row],[Subscription Type]],"Basic",10,"Premium",10,"Business",25,"Enterprise",27)</f>
        <v>10</v>
      </c>
      <c r="O1183">
        <f>IF(Sales[[#This Row],[Number of Users]]-Sales[[#This Row],[Licenses Bought]]&lt;0,0,Sales[[#This Row],[Number of Users]]-Sales[[#This Row],[Licenses Bought]])</f>
        <v>10</v>
      </c>
      <c r="P1183" s="8">
        <f>IF(Sales[[#This Row],[Sales Month]]=MAX(Sales[Sales Month]),Sales[[#This Row],[Non-Paying Users]]*Sales[[#This Row],[Upsell $ per Non-Paying User]],0)</f>
        <v>0</v>
      </c>
      <c r="Q1183" t="str" cm="1">
        <f t="array" ref="Q1183">_xlfn.IFS(Sales[[#This Row],[Current Upsell $]]=0,"",Sales[[#This Row],[Current Upsell $]]&gt;=400,"High",Sales[[#This Row],[Current Upsell $]]&gt;=100,"Medium",Sales[[#This Row],[Current Upsell $]]&lt;100,"Low")</f>
        <v/>
      </c>
      <c r="R1183" t="str">
        <f>IF(Sales[[#This Row],[Current Upsell $]]&gt;0,_xlfn.CONCAT(Sales[[#This Row],[Subscription Type]]," ",Sales[[#This Row],[Upsell Priority]]," ",TEXT(Sales[[#This Row],[Current Upsell $]],"$#,#")),"")</f>
        <v/>
      </c>
    </row>
    <row r="1184" spans="1:18" x14ac:dyDescent="0.25">
      <c r="A1184">
        <v>100115</v>
      </c>
      <c r="B1184" t="s">
        <v>0</v>
      </c>
      <c r="D1184" s="1"/>
      <c r="E1184" s="1"/>
      <c r="F1184">
        <v>33</v>
      </c>
      <c r="G1184">
        <v>50</v>
      </c>
      <c r="H1184" s="1">
        <v>44075</v>
      </c>
      <c r="I1184" s="1">
        <v>44378</v>
      </c>
      <c r="J1184">
        <v>10</v>
      </c>
      <c r="K1184">
        <v>0</v>
      </c>
      <c r="L1184" s="1">
        <v>44256</v>
      </c>
      <c r="M1184">
        <v>330</v>
      </c>
      <c r="N1184" s="8" cm="1">
        <f t="array" ref="N1184">_xlfn.SWITCH(Sales[[#This Row],[Subscription Type]],"Basic",10,"Premium",10,"Business",25,"Enterprise",27)</f>
        <v>10</v>
      </c>
      <c r="O1184">
        <f>IF(Sales[[#This Row],[Number of Users]]-Sales[[#This Row],[Licenses Bought]]&lt;0,0,Sales[[#This Row],[Number of Users]]-Sales[[#This Row],[Licenses Bought]])</f>
        <v>17</v>
      </c>
      <c r="P1184" s="8">
        <f>IF(Sales[[#This Row],[Sales Month]]=MAX(Sales[Sales Month]),Sales[[#This Row],[Non-Paying Users]]*Sales[[#This Row],[Upsell $ per Non-Paying User]],0)</f>
        <v>0</v>
      </c>
      <c r="Q1184" t="str" cm="1">
        <f t="array" ref="Q1184">_xlfn.IFS(Sales[[#This Row],[Current Upsell $]]=0,"",Sales[[#This Row],[Current Upsell $]]&gt;=400,"High",Sales[[#This Row],[Current Upsell $]]&gt;=100,"Medium",Sales[[#This Row],[Current Upsell $]]&lt;100,"Low")</f>
        <v/>
      </c>
      <c r="R1184" t="str">
        <f>IF(Sales[[#This Row],[Current Upsell $]]&gt;0,_xlfn.CONCAT(Sales[[#This Row],[Subscription Type]]," ",Sales[[#This Row],[Upsell Priority]]," ",TEXT(Sales[[#This Row],[Current Upsell $]],"$#,#")),"")</f>
        <v/>
      </c>
    </row>
    <row r="1185" spans="1:18" x14ac:dyDescent="0.25">
      <c r="A1185">
        <v>100115</v>
      </c>
      <c r="B1185" t="s">
        <v>0</v>
      </c>
      <c r="D1185" s="1"/>
      <c r="E1185" s="1"/>
      <c r="F1185">
        <v>33</v>
      </c>
      <c r="G1185">
        <v>41</v>
      </c>
      <c r="H1185" s="1">
        <v>44075</v>
      </c>
      <c r="I1185" s="1">
        <v>44378</v>
      </c>
      <c r="J1185">
        <v>10</v>
      </c>
      <c r="K1185">
        <v>0</v>
      </c>
      <c r="L1185" s="1">
        <v>44287</v>
      </c>
      <c r="M1185">
        <v>330</v>
      </c>
      <c r="N1185" s="8" cm="1">
        <f t="array" ref="N1185">_xlfn.SWITCH(Sales[[#This Row],[Subscription Type]],"Basic",10,"Premium",10,"Business",25,"Enterprise",27)</f>
        <v>10</v>
      </c>
      <c r="O1185">
        <f>IF(Sales[[#This Row],[Number of Users]]-Sales[[#This Row],[Licenses Bought]]&lt;0,0,Sales[[#This Row],[Number of Users]]-Sales[[#This Row],[Licenses Bought]])</f>
        <v>8</v>
      </c>
      <c r="P1185" s="8">
        <f>IF(Sales[[#This Row],[Sales Month]]=MAX(Sales[Sales Month]),Sales[[#This Row],[Non-Paying Users]]*Sales[[#This Row],[Upsell $ per Non-Paying User]],0)</f>
        <v>0</v>
      </c>
      <c r="Q1185" t="str" cm="1">
        <f t="array" ref="Q1185">_xlfn.IFS(Sales[[#This Row],[Current Upsell $]]=0,"",Sales[[#This Row],[Current Upsell $]]&gt;=400,"High",Sales[[#This Row],[Current Upsell $]]&gt;=100,"Medium",Sales[[#This Row],[Current Upsell $]]&lt;100,"Low")</f>
        <v/>
      </c>
      <c r="R1185" t="str">
        <f>IF(Sales[[#This Row],[Current Upsell $]]&gt;0,_xlfn.CONCAT(Sales[[#This Row],[Subscription Type]]," ",Sales[[#This Row],[Upsell Priority]]," ",TEXT(Sales[[#This Row],[Current Upsell $]],"$#,#")),"")</f>
        <v/>
      </c>
    </row>
    <row r="1186" spans="1:18" x14ac:dyDescent="0.25">
      <c r="A1186">
        <v>100115</v>
      </c>
      <c r="B1186" t="s">
        <v>0</v>
      </c>
      <c r="D1186" s="1"/>
      <c r="E1186" s="1"/>
      <c r="F1186">
        <v>33</v>
      </c>
      <c r="G1186">
        <v>39</v>
      </c>
      <c r="H1186" s="1">
        <v>44075</v>
      </c>
      <c r="I1186" s="1">
        <v>44378</v>
      </c>
      <c r="J1186">
        <v>10</v>
      </c>
      <c r="K1186">
        <v>0</v>
      </c>
      <c r="L1186" s="1">
        <v>44317</v>
      </c>
      <c r="M1186">
        <v>330</v>
      </c>
      <c r="N1186" s="8" cm="1">
        <f t="array" ref="N1186">_xlfn.SWITCH(Sales[[#This Row],[Subscription Type]],"Basic",10,"Premium",10,"Business",25,"Enterprise",27)</f>
        <v>10</v>
      </c>
      <c r="O1186">
        <f>IF(Sales[[#This Row],[Number of Users]]-Sales[[#This Row],[Licenses Bought]]&lt;0,0,Sales[[#This Row],[Number of Users]]-Sales[[#This Row],[Licenses Bought]])</f>
        <v>6</v>
      </c>
      <c r="P1186" s="8">
        <f>IF(Sales[[#This Row],[Sales Month]]=MAX(Sales[Sales Month]),Sales[[#This Row],[Non-Paying Users]]*Sales[[#This Row],[Upsell $ per Non-Paying User]],0)</f>
        <v>0</v>
      </c>
      <c r="Q1186" t="str" cm="1">
        <f t="array" ref="Q1186">_xlfn.IFS(Sales[[#This Row],[Current Upsell $]]=0,"",Sales[[#This Row],[Current Upsell $]]&gt;=400,"High",Sales[[#This Row],[Current Upsell $]]&gt;=100,"Medium",Sales[[#This Row],[Current Upsell $]]&lt;100,"Low")</f>
        <v/>
      </c>
      <c r="R1186" t="str">
        <f>IF(Sales[[#This Row],[Current Upsell $]]&gt;0,_xlfn.CONCAT(Sales[[#This Row],[Subscription Type]]," ",Sales[[#This Row],[Upsell Priority]]," ",TEXT(Sales[[#This Row],[Current Upsell $]],"$#,#")),"")</f>
        <v/>
      </c>
    </row>
    <row r="1187" spans="1:18" x14ac:dyDescent="0.25">
      <c r="A1187">
        <v>100115</v>
      </c>
      <c r="B1187" t="s">
        <v>0</v>
      </c>
      <c r="D1187" s="1"/>
      <c r="E1187" s="1"/>
      <c r="F1187">
        <v>33</v>
      </c>
      <c r="G1187">
        <v>38</v>
      </c>
      <c r="H1187" s="1">
        <v>44075</v>
      </c>
      <c r="I1187" s="1">
        <v>44378</v>
      </c>
      <c r="J1187">
        <v>10</v>
      </c>
      <c r="K1187">
        <v>0</v>
      </c>
      <c r="L1187" s="1">
        <v>44348</v>
      </c>
      <c r="M1187">
        <v>330</v>
      </c>
      <c r="N1187" s="8" cm="1">
        <f t="array" ref="N1187">_xlfn.SWITCH(Sales[[#This Row],[Subscription Type]],"Basic",10,"Premium",10,"Business",25,"Enterprise",27)</f>
        <v>10</v>
      </c>
      <c r="O1187">
        <f>IF(Sales[[#This Row],[Number of Users]]-Sales[[#This Row],[Licenses Bought]]&lt;0,0,Sales[[#This Row],[Number of Users]]-Sales[[#This Row],[Licenses Bought]])</f>
        <v>5</v>
      </c>
      <c r="P1187" s="8">
        <f>IF(Sales[[#This Row],[Sales Month]]=MAX(Sales[Sales Month]),Sales[[#This Row],[Non-Paying Users]]*Sales[[#This Row],[Upsell $ per Non-Paying User]],0)</f>
        <v>50</v>
      </c>
      <c r="Q1187" t="str" cm="1">
        <f t="array" ref="Q1187">_xlfn.IFS(Sales[[#This Row],[Current Upsell $]]=0,"",Sales[[#This Row],[Current Upsell $]]&gt;=400,"High",Sales[[#This Row],[Current Upsell $]]&gt;=100,"Medium",Sales[[#This Row],[Current Upsell $]]&lt;100,"Low")</f>
        <v>Low</v>
      </c>
      <c r="R1187" t="str">
        <f>IF(Sales[[#This Row],[Current Upsell $]]&gt;0,_xlfn.CONCAT(Sales[[#This Row],[Subscription Type]]," ",Sales[[#This Row],[Upsell Priority]]," ",TEXT(Sales[[#This Row],[Current Upsell $]],"$#,#")),"")</f>
        <v>Premium Low $50</v>
      </c>
    </row>
    <row r="1188" spans="1:18" x14ac:dyDescent="0.25">
      <c r="A1188">
        <v>100116</v>
      </c>
      <c r="B1188" t="s">
        <v>3</v>
      </c>
      <c r="D1188" s="1"/>
      <c r="E1188" s="1"/>
      <c r="F1188">
        <v>0</v>
      </c>
      <c r="G1188">
        <v>41</v>
      </c>
      <c r="H1188" s="1">
        <v>44075</v>
      </c>
      <c r="I1188" s="1">
        <v>44378</v>
      </c>
      <c r="J1188">
        <v>10</v>
      </c>
      <c r="K1188">
        <v>0</v>
      </c>
      <c r="L1188" s="1">
        <v>44075</v>
      </c>
      <c r="M1188">
        <v>0</v>
      </c>
      <c r="N1188" s="8" cm="1">
        <f t="array" ref="N1188">_xlfn.SWITCH(Sales[[#This Row],[Subscription Type]],"Basic",10,"Premium",10,"Business",25,"Enterprise",27)</f>
        <v>10</v>
      </c>
      <c r="O1188">
        <f>IF(Sales[[#This Row],[Number of Users]]-Sales[[#This Row],[Licenses Bought]]&lt;0,0,Sales[[#This Row],[Number of Users]]-Sales[[#This Row],[Licenses Bought]])</f>
        <v>41</v>
      </c>
      <c r="P1188" s="8">
        <f>IF(Sales[[#This Row],[Sales Month]]=MAX(Sales[Sales Month]),Sales[[#This Row],[Non-Paying Users]]*Sales[[#This Row],[Upsell $ per Non-Paying User]],0)</f>
        <v>0</v>
      </c>
      <c r="Q1188" t="str" cm="1">
        <f t="array" ref="Q1188">_xlfn.IFS(Sales[[#This Row],[Current Upsell $]]=0,"",Sales[[#This Row],[Current Upsell $]]&gt;=400,"High",Sales[[#This Row],[Current Upsell $]]&gt;=100,"Medium",Sales[[#This Row],[Current Upsell $]]&lt;100,"Low")</f>
        <v/>
      </c>
      <c r="R1188" t="str">
        <f>IF(Sales[[#This Row],[Current Upsell $]]&gt;0,_xlfn.CONCAT(Sales[[#This Row],[Subscription Type]]," ",Sales[[#This Row],[Upsell Priority]]," ",TEXT(Sales[[#This Row],[Current Upsell $]],"$#,#")),"")</f>
        <v/>
      </c>
    </row>
    <row r="1189" spans="1:18" x14ac:dyDescent="0.25">
      <c r="A1189">
        <v>100116</v>
      </c>
      <c r="B1189" t="s">
        <v>0</v>
      </c>
      <c r="D1189" s="1"/>
      <c r="E1189" s="1"/>
      <c r="F1189">
        <v>18</v>
      </c>
      <c r="G1189">
        <v>44</v>
      </c>
      <c r="H1189" s="1">
        <v>44075</v>
      </c>
      <c r="I1189" s="1">
        <v>44378</v>
      </c>
      <c r="J1189">
        <v>10</v>
      </c>
      <c r="K1189">
        <v>0</v>
      </c>
      <c r="L1189" s="1">
        <v>44105</v>
      </c>
      <c r="M1189">
        <v>180</v>
      </c>
      <c r="N1189" s="8" cm="1">
        <f t="array" ref="N1189">_xlfn.SWITCH(Sales[[#This Row],[Subscription Type]],"Basic",10,"Premium",10,"Business",25,"Enterprise",27)</f>
        <v>10</v>
      </c>
      <c r="O1189">
        <f>IF(Sales[[#This Row],[Number of Users]]-Sales[[#This Row],[Licenses Bought]]&lt;0,0,Sales[[#This Row],[Number of Users]]-Sales[[#This Row],[Licenses Bought]])</f>
        <v>26</v>
      </c>
      <c r="P1189" s="8">
        <f>IF(Sales[[#This Row],[Sales Month]]=MAX(Sales[Sales Month]),Sales[[#This Row],[Non-Paying Users]]*Sales[[#This Row],[Upsell $ per Non-Paying User]],0)</f>
        <v>0</v>
      </c>
      <c r="Q1189" t="str" cm="1">
        <f t="array" ref="Q1189">_xlfn.IFS(Sales[[#This Row],[Current Upsell $]]=0,"",Sales[[#This Row],[Current Upsell $]]&gt;=400,"High",Sales[[#This Row],[Current Upsell $]]&gt;=100,"Medium",Sales[[#This Row],[Current Upsell $]]&lt;100,"Low")</f>
        <v/>
      </c>
      <c r="R1189" t="str">
        <f>IF(Sales[[#This Row],[Current Upsell $]]&gt;0,_xlfn.CONCAT(Sales[[#This Row],[Subscription Type]]," ",Sales[[#This Row],[Upsell Priority]]," ",TEXT(Sales[[#This Row],[Current Upsell $]],"$#,#")),"")</f>
        <v/>
      </c>
    </row>
    <row r="1190" spans="1:18" x14ac:dyDescent="0.25">
      <c r="A1190">
        <v>100116</v>
      </c>
      <c r="B1190" t="s">
        <v>0</v>
      </c>
      <c r="D1190" s="1"/>
      <c r="E1190" s="1"/>
      <c r="F1190">
        <v>25</v>
      </c>
      <c r="G1190">
        <v>43</v>
      </c>
      <c r="H1190" s="1">
        <v>44075</v>
      </c>
      <c r="I1190" s="1">
        <v>44378</v>
      </c>
      <c r="J1190">
        <v>10</v>
      </c>
      <c r="K1190">
        <v>0</v>
      </c>
      <c r="L1190" s="1">
        <v>44136</v>
      </c>
      <c r="M1190">
        <v>250</v>
      </c>
      <c r="N1190" s="8" cm="1">
        <f t="array" ref="N1190">_xlfn.SWITCH(Sales[[#This Row],[Subscription Type]],"Basic",10,"Premium",10,"Business",25,"Enterprise",27)</f>
        <v>10</v>
      </c>
      <c r="O1190">
        <f>IF(Sales[[#This Row],[Number of Users]]-Sales[[#This Row],[Licenses Bought]]&lt;0,0,Sales[[#This Row],[Number of Users]]-Sales[[#This Row],[Licenses Bought]])</f>
        <v>18</v>
      </c>
      <c r="P1190" s="8">
        <f>IF(Sales[[#This Row],[Sales Month]]=MAX(Sales[Sales Month]),Sales[[#This Row],[Non-Paying Users]]*Sales[[#This Row],[Upsell $ per Non-Paying User]],0)</f>
        <v>0</v>
      </c>
      <c r="Q1190" t="str" cm="1">
        <f t="array" ref="Q1190">_xlfn.IFS(Sales[[#This Row],[Current Upsell $]]=0,"",Sales[[#This Row],[Current Upsell $]]&gt;=400,"High",Sales[[#This Row],[Current Upsell $]]&gt;=100,"Medium",Sales[[#This Row],[Current Upsell $]]&lt;100,"Low")</f>
        <v/>
      </c>
      <c r="R1190" t="str">
        <f>IF(Sales[[#This Row],[Current Upsell $]]&gt;0,_xlfn.CONCAT(Sales[[#This Row],[Subscription Type]]," ",Sales[[#This Row],[Upsell Priority]]," ",TEXT(Sales[[#This Row],[Current Upsell $]],"$#,#")),"")</f>
        <v/>
      </c>
    </row>
    <row r="1191" spans="1:18" x14ac:dyDescent="0.25">
      <c r="A1191">
        <v>100116</v>
      </c>
      <c r="B1191" t="s">
        <v>0</v>
      </c>
      <c r="D1191" s="1"/>
      <c r="E1191" s="1"/>
      <c r="F1191">
        <v>32</v>
      </c>
      <c r="G1191">
        <v>36</v>
      </c>
      <c r="H1191" s="1">
        <v>44075</v>
      </c>
      <c r="I1191" s="1">
        <v>44378</v>
      </c>
      <c r="J1191">
        <v>10</v>
      </c>
      <c r="K1191">
        <v>0</v>
      </c>
      <c r="L1191" s="1">
        <v>44166</v>
      </c>
      <c r="M1191">
        <v>320</v>
      </c>
      <c r="N1191" s="8" cm="1">
        <f t="array" ref="N1191">_xlfn.SWITCH(Sales[[#This Row],[Subscription Type]],"Basic",10,"Premium",10,"Business",25,"Enterprise",27)</f>
        <v>10</v>
      </c>
      <c r="O1191">
        <f>IF(Sales[[#This Row],[Number of Users]]-Sales[[#This Row],[Licenses Bought]]&lt;0,0,Sales[[#This Row],[Number of Users]]-Sales[[#This Row],[Licenses Bought]])</f>
        <v>4</v>
      </c>
      <c r="P1191" s="8">
        <f>IF(Sales[[#This Row],[Sales Month]]=MAX(Sales[Sales Month]),Sales[[#This Row],[Non-Paying Users]]*Sales[[#This Row],[Upsell $ per Non-Paying User]],0)</f>
        <v>0</v>
      </c>
      <c r="Q1191" t="str" cm="1">
        <f t="array" ref="Q1191">_xlfn.IFS(Sales[[#This Row],[Current Upsell $]]=0,"",Sales[[#This Row],[Current Upsell $]]&gt;=400,"High",Sales[[#This Row],[Current Upsell $]]&gt;=100,"Medium",Sales[[#This Row],[Current Upsell $]]&lt;100,"Low")</f>
        <v/>
      </c>
      <c r="R1191" t="str">
        <f>IF(Sales[[#This Row],[Current Upsell $]]&gt;0,_xlfn.CONCAT(Sales[[#This Row],[Subscription Type]]," ",Sales[[#This Row],[Upsell Priority]]," ",TEXT(Sales[[#This Row],[Current Upsell $]],"$#,#")),"")</f>
        <v/>
      </c>
    </row>
    <row r="1192" spans="1:18" x14ac:dyDescent="0.25">
      <c r="A1192">
        <v>100116</v>
      </c>
      <c r="B1192" t="s">
        <v>0</v>
      </c>
      <c r="D1192" s="1"/>
      <c r="E1192" s="1"/>
      <c r="F1192">
        <v>32</v>
      </c>
      <c r="G1192">
        <v>44</v>
      </c>
      <c r="H1192" s="1">
        <v>44075</v>
      </c>
      <c r="I1192" s="1">
        <v>44378</v>
      </c>
      <c r="J1192">
        <v>10</v>
      </c>
      <c r="K1192">
        <v>0</v>
      </c>
      <c r="L1192" s="1">
        <v>44197</v>
      </c>
      <c r="M1192">
        <v>320</v>
      </c>
      <c r="N1192" s="8" cm="1">
        <f t="array" ref="N1192">_xlfn.SWITCH(Sales[[#This Row],[Subscription Type]],"Basic",10,"Premium",10,"Business",25,"Enterprise",27)</f>
        <v>10</v>
      </c>
      <c r="O1192">
        <f>IF(Sales[[#This Row],[Number of Users]]-Sales[[#This Row],[Licenses Bought]]&lt;0,0,Sales[[#This Row],[Number of Users]]-Sales[[#This Row],[Licenses Bought]])</f>
        <v>12</v>
      </c>
      <c r="P1192" s="8">
        <f>IF(Sales[[#This Row],[Sales Month]]=MAX(Sales[Sales Month]),Sales[[#This Row],[Non-Paying Users]]*Sales[[#This Row],[Upsell $ per Non-Paying User]],0)</f>
        <v>0</v>
      </c>
      <c r="Q1192" t="str" cm="1">
        <f t="array" ref="Q1192">_xlfn.IFS(Sales[[#This Row],[Current Upsell $]]=0,"",Sales[[#This Row],[Current Upsell $]]&gt;=400,"High",Sales[[#This Row],[Current Upsell $]]&gt;=100,"Medium",Sales[[#This Row],[Current Upsell $]]&lt;100,"Low")</f>
        <v/>
      </c>
      <c r="R1192" t="str">
        <f>IF(Sales[[#This Row],[Current Upsell $]]&gt;0,_xlfn.CONCAT(Sales[[#This Row],[Subscription Type]]," ",Sales[[#This Row],[Upsell Priority]]," ",TEXT(Sales[[#This Row],[Current Upsell $]],"$#,#")),"")</f>
        <v/>
      </c>
    </row>
    <row r="1193" spans="1:18" x14ac:dyDescent="0.25">
      <c r="A1193">
        <v>100116</v>
      </c>
      <c r="B1193" t="s">
        <v>0</v>
      </c>
      <c r="D1193" s="1"/>
      <c r="E1193" s="1"/>
      <c r="F1193">
        <v>32</v>
      </c>
      <c r="G1193">
        <v>40</v>
      </c>
      <c r="H1193" s="1">
        <v>44075</v>
      </c>
      <c r="I1193" s="1">
        <v>44378</v>
      </c>
      <c r="J1193">
        <v>10</v>
      </c>
      <c r="K1193">
        <v>0</v>
      </c>
      <c r="L1193" s="1">
        <v>44228</v>
      </c>
      <c r="M1193">
        <v>320</v>
      </c>
      <c r="N1193" s="8" cm="1">
        <f t="array" ref="N1193">_xlfn.SWITCH(Sales[[#This Row],[Subscription Type]],"Basic",10,"Premium",10,"Business",25,"Enterprise",27)</f>
        <v>10</v>
      </c>
      <c r="O1193">
        <f>IF(Sales[[#This Row],[Number of Users]]-Sales[[#This Row],[Licenses Bought]]&lt;0,0,Sales[[#This Row],[Number of Users]]-Sales[[#This Row],[Licenses Bought]])</f>
        <v>8</v>
      </c>
      <c r="P1193" s="8">
        <f>IF(Sales[[#This Row],[Sales Month]]=MAX(Sales[Sales Month]),Sales[[#This Row],[Non-Paying Users]]*Sales[[#This Row],[Upsell $ per Non-Paying User]],0)</f>
        <v>0</v>
      </c>
      <c r="Q1193" t="str" cm="1">
        <f t="array" ref="Q1193">_xlfn.IFS(Sales[[#This Row],[Current Upsell $]]=0,"",Sales[[#This Row],[Current Upsell $]]&gt;=400,"High",Sales[[#This Row],[Current Upsell $]]&gt;=100,"Medium",Sales[[#This Row],[Current Upsell $]]&lt;100,"Low")</f>
        <v/>
      </c>
      <c r="R1193" t="str">
        <f>IF(Sales[[#This Row],[Current Upsell $]]&gt;0,_xlfn.CONCAT(Sales[[#This Row],[Subscription Type]]," ",Sales[[#This Row],[Upsell Priority]]," ",TEXT(Sales[[#This Row],[Current Upsell $]],"$#,#")),"")</f>
        <v/>
      </c>
    </row>
    <row r="1194" spans="1:18" x14ac:dyDescent="0.25">
      <c r="A1194">
        <v>100116</v>
      </c>
      <c r="B1194" t="s">
        <v>0</v>
      </c>
      <c r="D1194" s="1"/>
      <c r="E1194" s="1"/>
      <c r="F1194">
        <v>32</v>
      </c>
      <c r="G1194">
        <v>46</v>
      </c>
      <c r="H1194" s="1">
        <v>44075</v>
      </c>
      <c r="I1194" s="1">
        <v>44378</v>
      </c>
      <c r="J1194">
        <v>10</v>
      </c>
      <c r="K1194">
        <v>0</v>
      </c>
      <c r="L1194" s="1">
        <v>44256</v>
      </c>
      <c r="M1194">
        <v>320</v>
      </c>
      <c r="N1194" s="8" cm="1">
        <f t="array" ref="N1194">_xlfn.SWITCH(Sales[[#This Row],[Subscription Type]],"Basic",10,"Premium",10,"Business",25,"Enterprise",27)</f>
        <v>10</v>
      </c>
      <c r="O1194">
        <f>IF(Sales[[#This Row],[Number of Users]]-Sales[[#This Row],[Licenses Bought]]&lt;0,0,Sales[[#This Row],[Number of Users]]-Sales[[#This Row],[Licenses Bought]])</f>
        <v>14</v>
      </c>
      <c r="P1194" s="8">
        <f>IF(Sales[[#This Row],[Sales Month]]=MAX(Sales[Sales Month]),Sales[[#This Row],[Non-Paying Users]]*Sales[[#This Row],[Upsell $ per Non-Paying User]],0)</f>
        <v>0</v>
      </c>
      <c r="Q1194" t="str" cm="1">
        <f t="array" ref="Q1194">_xlfn.IFS(Sales[[#This Row],[Current Upsell $]]=0,"",Sales[[#This Row],[Current Upsell $]]&gt;=400,"High",Sales[[#This Row],[Current Upsell $]]&gt;=100,"Medium",Sales[[#This Row],[Current Upsell $]]&lt;100,"Low")</f>
        <v/>
      </c>
      <c r="R1194" t="str">
        <f>IF(Sales[[#This Row],[Current Upsell $]]&gt;0,_xlfn.CONCAT(Sales[[#This Row],[Subscription Type]]," ",Sales[[#This Row],[Upsell Priority]]," ",TEXT(Sales[[#This Row],[Current Upsell $]],"$#,#")),"")</f>
        <v/>
      </c>
    </row>
    <row r="1195" spans="1:18" x14ac:dyDescent="0.25">
      <c r="A1195">
        <v>100116</v>
      </c>
      <c r="B1195" t="s">
        <v>0</v>
      </c>
      <c r="D1195" s="1"/>
      <c r="E1195" s="1"/>
      <c r="F1195">
        <v>32</v>
      </c>
      <c r="G1195">
        <v>40</v>
      </c>
      <c r="H1195" s="1">
        <v>44075</v>
      </c>
      <c r="I1195" s="1">
        <v>44378</v>
      </c>
      <c r="J1195">
        <v>10</v>
      </c>
      <c r="K1195">
        <v>0</v>
      </c>
      <c r="L1195" s="1">
        <v>44287</v>
      </c>
      <c r="M1195">
        <v>320</v>
      </c>
      <c r="N1195" s="8" cm="1">
        <f t="array" ref="N1195">_xlfn.SWITCH(Sales[[#This Row],[Subscription Type]],"Basic",10,"Premium",10,"Business",25,"Enterprise",27)</f>
        <v>10</v>
      </c>
      <c r="O1195">
        <f>IF(Sales[[#This Row],[Number of Users]]-Sales[[#This Row],[Licenses Bought]]&lt;0,0,Sales[[#This Row],[Number of Users]]-Sales[[#This Row],[Licenses Bought]])</f>
        <v>8</v>
      </c>
      <c r="P1195" s="8">
        <f>IF(Sales[[#This Row],[Sales Month]]=MAX(Sales[Sales Month]),Sales[[#This Row],[Non-Paying Users]]*Sales[[#This Row],[Upsell $ per Non-Paying User]],0)</f>
        <v>0</v>
      </c>
      <c r="Q1195" t="str" cm="1">
        <f t="array" ref="Q1195">_xlfn.IFS(Sales[[#This Row],[Current Upsell $]]=0,"",Sales[[#This Row],[Current Upsell $]]&gt;=400,"High",Sales[[#This Row],[Current Upsell $]]&gt;=100,"Medium",Sales[[#This Row],[Current Upsell $]]&lt;100,"Low")</f>
        <v/>
      </c>
      <c r="R1195" t="str">
        <f>IF(Sales[[#This Row],[Current Upsell $]]&gt;0,_xlfn.CONCAT(Sales[[#This Row],[Subscription Type]]," ",Sales[[#This Row],[Upsell Priority]]," ",TEXT(Sales[[#This Row],[Current Upsell $]],"$#,#")),"")</f>
        <v/>
      </c>
    </row>
    <row r="1196" spans="1:18" x14ac:dyDescent="0.25">
      <c r="A1196">
        <v>100116</v>
      </c>
      <c r="B1196" t="s">
        <v>0</v>
      </c>
      <c r="D1196" s="1"/>
      <c r="E1196" s="1"/>
      <c r="F1196">
        <v>32</v>
      </c>
      <c r="G1196">
        <v>48</v>
      </c>
      <c r="H1196" s="1">
        <v>44075</v>
      </c>
      <c r="I1196" s="1">
        <v>44378</v>
      </c>
      <c r="J1196">
        <v>10</v>
      </c>
      <c r="K1196">
        <v>0</v>
      </c>
      <c r="L1196" s="1">
        <v>44317</v>
      </c>
      <c r="M1196">
        <v>320</v>
      </c>
      <c r="N1196" s="8" cm="1">
        <f t="array" ref="N1196">_xlfn.SWITCH(Sales[[#This Row],[Subscription Type]],"Basic",10,"Premium",10,"Business",25,"Enterprise",27)</f>
        <v>10</v>
      </c>
      <c r="O1196">
        <f>IF(Sales[[#This Row],[Number of Users]]-Sales[[#This Row],[Licenses Bought]]&lt;0,0,Sales[[#This Row],[Number of Users]]-Sales[[#This Row],[Licenses Bought]])</f>
        <v>16</v>
      </c>
      <c r="P1196" s="8">
        <f>IF(Sales[[#This Row],[Sales Month]]=MAX(Sales[Sales Month]),Sales[[#This Row],[Non-Paying Users]]*Sales[[#This Row],[Upsell $ per Non-Paying User]],0)</f>
        <v>0</v>
      </c>
      <c r="Q1196" t="str" cm="1">
        <f t="array" ref="Q1196">_xlfn.IFS(Sales[[#This Row],[Current Upsell $]]=0,"",Sales[[#This Row],[Current Upsell $]]&gt;=400,"High",Sales[[#This Row],[Current Upsell $]]&gt;=100,"Medium",Sales[[#This Row],[Current Upsell $]]&lt;100,"Low")</f>
        <v/>
      </c>
      <c r="R1196" t="str">
        <f>IF(Sales[[#This Row],[Current Upsell $]]&gt;0,_xlfn.CONCAT(Sales[[#This Row],[Subscription Type]]," ",Sales[[#This Row],[Upsell Priority]]," ",TEXT(Sales[[#This Row],[Current Upsell $]],"$#,#")),"")</f>
        <v/>
      </c>
    </row>
    <row r="1197" spans="1:18" x14ac:dyDescent="0.25">
      <c r="A1197">
        <v>100116</v>
      </c>
      <c r="B1197" t="s">
        <v>0</v>
      </c>
      <c r="D1197" s="1"/>
      <c r="E1197" s="1"/>
      <c r="F1197">
        <v>32</v>
      </c>
      <c r="G1197">
        <v>42</v>
      </c>
      <c r="H1197" s="1">
        <v>44075</v>
      </c>
      <c r="I1197" s="1">
        <v>44378</v>
      </c>
      <c r="J1197">
        <v>10</v>
      </c>
      <c r="K1197">
        <v>0</v>
      </c>
      <c r="L1197" s="1">
        <v>44348</v>
      </c>
      <c r="M1197">
        <v>320</v>
      </c>
      <c r="N1197" s="8" cm="1">
        <f t="array" ref="N1197">_xlfn.SWITCH(Sales[[#This Row],[Subscription Type]],"Basic",10,"Premium",10,"Business",25,"Enterprise",27)</f>
        <v>10</v>
      </c>
      <c r="O1197">
        <f>IF(Sales[[#This Row],[Number of Users]]-Sales[[#This Row],[Licenses Bought]]&lt;0,0,Sales[[#This Row],[Number of Users]]-Sales[[#This Row],[Licenses Bought]])</f>
        <v>10</v>
      </c>
      <c r="P1197" s="8">
        <f>IF(Sales[[#This Row],[Sales Month]]=MAX(Sales[Sales Month]),Sales[[#This Row],[Non-Paying Users]]*Sales[[#This Row],[Upsell $ per Non-Paying User]],0)</f>
        <v>100</v>
      </c>
      <c r="Q1197" t="str" cm="1">
        <f t="array" ref="Q1197">_xlfn.IFS(Sales[[#This Row],[Current Upsell $]]=0,"",Sales[[#This Row],[Current Upsell $]]&gt;=400,"High",Sales[[#This Row],[Current Upsell $]]&gt;=100,"Medium",Sales[[#This Row],[Current Upsell $]]&lt;100,"Low")</f>
        <v>Medium</v>
      </c>
      <c r="R1197" t="str">
        <f>IF(Sales[[#This Row],[Current Upsell $]]&gt;0,_xlfn.CONCAT(Sales[[#This Row],[Subscription Type]]," ",Sales[[#This Row],[Upsell Priority]]," ",TEXT(Sales[[#This Row],[Current Upsell $]],"$#,#")),"")</f>
        <v>Premium Medium $100</v>
      </c>
    </row>
    <row r="1198" spans="1:18" x14ac:dyDescent="0.25">
      <c r="A1198">
        <v>100117</v>
      </c>
      <c r="B1198" t="s">
        <v>3</v>
      </c>
      <c r="D1198" s="1"/>
      <c r="E1198" s="1"/>
      <c r="F1198">
        <v>0</v>
      </c>
      <c r="G1198">
        <v>41</v>
      </c>
      <c r="H1198" s="1">
        <v>44075</v>
      </c>
      <c r="I1198" s="1">
        <v>44378</v>
      </c>
      <c r="J1198">
        <v>10</v>
      </c>
      <c r="K1198">
        <v>0</v>
      </c>
      <c r="L1198" s="1">
        <v>44075</v>
      </c>
      <c r="M1198">
        <v>0</v>
      </c>
      <c r="N1198" s="8" cm="1">
        <f t="array" ref="N1198">_xlfn.SWITCH(Sales[[#This Row],[Subscription Type]],"Basic",10,"Premium",10,"Business",25,"Enterprise",27)</f>
        <v>10</v>
      </c>
      <c r="O1198">
        <f>IF(Sales[[#This Row],[Number of Users]]-Sales[[#This Row],[Licenses Bought]]&lt;0,0,Sales[[#This Row],[Number of Users]]-Sales[[#This Row],[Licenses Bought]])</f>
        <v>41</v>
      </c>
      <c r="P1198" s="8">
        <f>IF(Sales[[#This Row],[Sales Month]]=MAX(Sales[Sales Month]),Sales[[#This Row],[Non-Paying Users]]*Sales[[#This Row],[Upsell $ per Non-Paying User]],0)</f>
        <v>0</v>
      </c>
      <c r="Q1198" t="str" cm="1">
        <f t="array" ref="Q1198">_xlfn.IFS(Sales[[#This Row],[Current Upsell $]]=0,"",Sales[[#This Row],[Current Upsell $]]&gt;=400,"High",Sales[[#This Row],[Current Upsell $]]&gt;=100,"Medium",Sales[[#This Row],[Current Upsell $]]&lt;100,"Low")</f>
        <v/>
      </c>
      <c r="R1198" t="str">
        <f>IF(Sales[[#This Row],[Current Upsell $]]&gt;0,_xlfn.CONCAT(Sales[[#This Row],[Subscription Type]]," ",Sales[[#This Row],[Upsell Priority]]," ",TEXT(Sales[[#This Row],[Current Upsell $]],"$#,#")),"")</f>
        <v/>
      </c>
    </row>
    <row r="1199" spans="1:18" x14ac:dyDescent="0.25">
      <c r="A1199">
        <v>100117</v>
      </c>
      <c r="B1199" t="s">
        <v>1</v>
      </c>
      <c r="D1199" s="1"/>
      <c r="E1199" s="1"/>
      <c r="F1199">
        <v>10</v>
      </c>
      <c r="G1199">
        <v>43</v>
      </c>
      <c r="H1199" s="1">
        <v>44075</v>
      </c>
      <c r="I1199" s="1">
        <v>44378</v>
      </c>
      <c r="J1199">
        <v>10</v>
      </c>
      <c r="K1199">
        <v>0</v>
      </c>
      <c r="L1199" s="1">
        <v>44105</v>
      </c>
      <c r="M1199">
        <v>250</v>
      </c>
      <c r="N1199" s="8" cm="1">
        <f t="array" ref="N1199">_xlfn.SWITCH(Sales[[#This Row],[Subscription Type]],"Basic",10,"Premium",10,"Business",25,"Enterprise",27)</f>
        <v>25</v>
      </c>
      <c r="O1199">
        <f>IF(Sales[[#This Row],[Number of Users]]-Sales[[#This Row],[Licenses Bought]]&lt;0,0,Sales[[#This Row],[Number of Users]]-Sales[[#This Row],[Licenses Bought]])</f>
        <v>33</v>
      </c>
      <c r="P1199" s="8">
        <f>IF(Sales[[#This Row],[Sales Month]]=MAX(Sales[Sales Month]),Sales[[#This Row],[Non-Paying Users]]*Sales[[#This Row],[Upsell $ per Non-Paying User]],0)</f>
        <v>0</v>
      </c>
      <c r="Q1199" t="str" cm="1">
        <f t="array" ref="Q1199">_xlfn.IFS(Sales[[#This Row],[Current Upsell $]]=0,"",Sales[[#This Row],[Current Upsell $]]&gt;=400,"High",Sales[[#This Row],[Current Upsell $]]&gt;=100,"Medium",Sales[[#This Row],[Current Upsell $]]&lt;100,"Low")</f>
        <v/>
      </c>
      <c r="R1199" t="str">
        <f>IF(Sales[[#This Row],[Current Upsell $]]&gt;0,_xlfn.CONCAT(Sales[[#This Row],[Subscription Type]]," ",Sales[[#This Row],[Upsell Priority]]," ",TEXT(Sales[[#This Row],[Current Upsell $]],"$#,#")),"")</f>
        <v/>
      </c>
    </row>
    <row r="1200" spans="1:18" x14ac:dyDescent="0.25">
      <c r="A1200">
        <v>100117</v>
      </c>
      <c r="B1200" t="s">
        <v>1</v>
      </c>
      <c r="D1200" s="1"/>
      <c r="E1200" s="1"/>
      <c r="F1200">
        <v>23</v>
      </c>
      <c r="G1200">
        <v>41</v>
      </c>
      <c r="H1200" s="1">
        <v>44075</v>
      </c>
      <c r="I1200" s="1">
        <v>44378</v>
      </c>
      <c r="J1200">
        <v>10</v>
      </c>
      <c r="K1200">
        <v>0</v>
      </c>
      <c r="L1200" s="1">
        <v>44136</v>
      </c>
      <c r="M1200">
        <v>575</v>
      </c>
      <c r="N1200" s="8" cm="1">
        <f t="array" ref="N1200">_xlfn.SWITCH(Sales[[#This Row],[Subscription Type]],"Basic",10,"Premium",10,"Business",25,"Enterprise",27)</f>
        <v>25</v>
      </c>
      <c r="O1200">
        <f>IF(Sales[[#This Row],[Number of Users]]-Sales[[#This Row],[Licenses Bought]]&lt;0,0,Sales[[#This Row],[Number of Users]]-Sales[[#This Row],[Licenses Bought]])</f>
        <v>18</v>
      </c>
      <c r="P1200" s="8">
        <f>IF(Sales[[#This Row],[Sales Month]]=MAX(Sales[Sales Month]),Sales[[#This Row],[Non-Paying Users]]*Sales[[#This Row],[Upsell $ per Non-Paying User]],0)</f>
        <v>0</v>
      </c>
      <c r="Q1200" t="str" cm="1">
        <f t="array" ref="Q1200">_xlfn.IFS(Sales[[#This Row],[Current Upsell $]]=0,"",Sales[[#This Row],[Current Upsell $]]&gt;=400,"High",Sales[[#This Row],[Current Upsell $]]&gt;=100,"Medium",Sales[[#This Row],[Current Upsell $]]&lt;100,"Low")</f>
        <v/>
      </c>
      <c r="R1200" t="str">
        <f>IF(Sales[[#This Row],[Current Upsell $]]&gt;0,_xlfn.CONCAT(Sales[[#This Row],[Subscription Type]]," ",Sales[[#This Row],[Upsell Priority]]," ",TEXT(Sales[[#This Row],[Current Upsell $]],"$#,#")),"")</f>
        <v/>
      </c>
    </row>
    <row r="1201" spans="1:18" x14ac:dyDescent="0.25">
      <c r="A1201">
        <v>100117</v>
      </c>
      <c r="B1201" t="s">
        <v>1</v>
      </c>
      <c r="D1201" s="1"/>
      <c r="E1201" s="1"/>
      <c r="F1201">
        <v>31</v>
      </c>
      <c r="G1201">
        <v>39</v>
      </c>
      <c r="H1201" s="1">
        <v>44075</v>
      </c>
      <c r="I1201" s="1">
        <v>44378</v>
      </c>
      <c r="J1201">
        <v>10</v>
      </c>
      <c r="K1201">
        <v>0</v>
      </c>
      <c r="L1201" s="1">
        <v>44166</v>
      </c>
      <c r="M1201">
        <v>775</v>
      </c>
      <c r="N1201" s="8" cm="1">
        <f t="array" ref="N1201">_xlfn.SWITCH(Sales[[#This Row],[Subscription Type]],"Basic",10,"Premium",10,"Business",25,"Enterprise",27)</f>
        <v>25</v>
      </c>
      <c r="O1201">
        <f>IF(Sales[[#This Row],[Number of Users]]-Sales[[#This Row],[Licenses Bought]]&lt;0,0,Sales[[#This Row],[Number of Users]]-Sales[[#This Row],[Licenses Bought]])</f>
        <v>8</v>
      </c>
      <c r="P1201" s="8">
        <f>IF(Sales[[#This Row],[Sales Month]]=MAX(Sales[Sales Month]),Sales[[#This Row],[Non-Paying Users]]*Sales[[#This Row],[Upsell $ per Non-Paying User]],0)</f>
        <v>0</v>
      </c>
      <c r="Q1201" t="str" cm="1">
        <f t="array" ref="Q1201">_xlfn.IFS(Sales[[#This Row],[Current Upsell $]]=0,"",Sales[[#This Row],[Current Upsell $]]&gt;=400,"High",Sales[[#This Row],[Current Upsell $]]&gt;=100,"Medium",Sales[[#This Row],[Current Upsell $]]&lt;100,"Low")</f>
        <v/>
      </c>
      <c r="R1201" t="str">
        <f>IF(Sales[[#This Row],[Current Upsell $]]&gt;0,_xlfn.CONCAT(Sales[[#This Row],[Subscription Type]]," ",Sales[[#This Row],[Upsell Priority]]," ",TEXT(Sales[[#This Row],[Current Upsell $]],"$#,#")),"")</f>
        <v/>
      </c>
    </row>
    <row r="1202" spans="1:18" x14ac:dyDescent="0.25">
      <c r="A1202">
        <v>100117</v>
      </c>
      <c r="B1202" t="s">
        <v>1</v>
      </c>
      <c r="D1202" s="1"/>
      <c r="E1202" s="1"/>
      <c r="F1202">
        <v>31</v>
      </c>
      <c r="G1202">
        <v>39</v>
      </c>
      <c r="H1202" s="1">
        <v>44075</v>
      </c>
      <c r="I1202" s="1">
        <v>44378</v>
      </c>
      <c r="J1202">
        <v>10</v>
      </c>
      <c r="K1202">
        <v>0</v>
      </c>
      <c r="L1202" s="1">
        <v>44197</v>
      </c>
      <c r="M1202">
        <v>775</v>
      </c>
      <c r="N1202" s="8" cm="1">
        <f t="array" ref="N1202">_xlfn.SWITCH(Sales[[#This Row],[Subscription Type]],"Basic",10,"Premium",10,"Business",25,"Enterprise",27)</f>
        <v>25</v>
      </c>
      <c r="O1202">
        <f>IF(Sales[[#This Row],[Number of Users]]-Sales[[#This Row],[Licenses Bought]]&lt;0,0,Sales[[#This Row],[Number of Users]]-Sales[[#This Row],[Licenses Bought]])</f>
        <v>8</v>
      </c>
      <c r="P1202" s="8">
        <f>IF(Sales[[#This Row],[Sales Month]]=MAX(Sales[Sales Month]),Sales[[#This Row],[Non-Paying Users]]*Sales[[#This Row],[Upsell $ per Non-Paying User]],0)</f>
        <v>0</v>
      </c>
      <c r="Q1202" t="str" cm="1">
        <f t="array" ref="Q1202">_xlfn.IFS(Sales[[#This Row],[Current Upsell $]]=0,"",Sales[[#This Row],[Current Upsell $]]&gt;=400,"High",Sales[[#This Row],[Current Upsell $]]&gt;=100,"Medium",Sales[[#This Row],[Current Upsell $]]&lt;100,"Low")</f>
        <v/>
      </c>
      <c r="R1202" t="str">
        <f>IF(Sales[[#This Row],[Current Upsell $]]&gt;0,_xlfn.CONCAT(Sales[[#This Row],[Subscription Type]]," ",Sales[[#This Row],[Upsell Priority]]," ",TEXT(Sales[[#This Row],[Current Upsell $]],"$#,#")),"")</f>
        <v/>
      </c>
    </row>
    <row r="1203" spans="1:18" x14ac:dyDescent="0.25">
      <c r="A1203">
        <v>100117</v>
      </c>
      <c r="B1203" t="s">
        <v>1</v>
      </c>
      <c r="D1203" s="1"/>
      <c r="E1203" s="1"/>
      <c r="F1203">
        <v>31</v>
      </c>
      <c r="G1203">
        <v>34</v>
      </c>
      <c r="H1203" s="1">
        <v>44075</v>
      </c>
      <c r="I1203" s="1">
        <v>44378</v>
      </c>
      <c r="J1203">
        <v>10</v>
      </c>
      <c r="K1203">
        <v>0</v>
      </c>
      <c r="L1203" s="1">
        <v>44228</v>
      </c>
      <c r="M1203">
        <v>775</v>
      </c>
      <c r="N1203" s="8" cm="1">
        <f t="array" ref="N1203">_xlfn.SWITCH(Sales[[#This Row],[Subscription Type]],"Basic",10,"Premium",10,"Business",25,"Enterprise",27)</f>
        <v>25</v>
      </c>
      <c r="O1203">
        <f>IF(Sales[[#This Row],[Number of Users]]-Sales[[#This Row],[Licenses Bought]]&lt;0,0,Sales[[#This Row],[Number of Users]]-Sales[[#This Row],[Licenses Bought]])</f>
        <v>3</v>
      </c>
      <c r="P1203" s="8">
        <f>IF(Sales[[#This Row],[Sales Month]]=MAX(Sales[Sales Month]),Sales[[#This Row],[Non-Paying Users]]*Sales[[#This Row],[Upsell $ per Non-Paying User]],0)</f>
        <v>0</v>
      </c>
      <c r="Q1203" t="str" cm="1">
        <f t="array" ref="Q1203">_xlfn.IFS(Sales[[#This Row],[Current Upsell $]]=0,"",Sales[[#This Row],[Current Upsell $]]&gt;=400,"High",Sales[[#This Row],[Current Upsell $]]&gt;=100,"Medium",Sales[[#This Row],[Current Upsell $]]&lt;100,"Low")</f>
        <v/>
      </c>
      <c r="R1203" t="str">
        <f>IF(Sales[[#This Row],[Current Upsell $]]&gt;0,_xlfn.CONCAT(Sales[[#This Row],[Subscription Type]]," ",Sales[[#This Row],[Upsell Priority]]," ",TEXT(Sales[[#This Row],[Current Upsell $]],"$#,#")),"")</f>
        <v/>
      </c>
    </row>
    <row r="1204" spans="1:18" x14ac:dyDescent="0.25">
      <c r="A1204">
        <v>100117</v>
      </c>
      <c r="B1204" t="s">
        <v>1</v>
      </c>
      <c r="D1204" s="1"/>
      <c r="E1204" s="1"/>
      <c r="F1204">
        <v>31</v>
      </c>
      <c r="G1204">
        <v>43</v>
      </c>
      <c r="H1204" s="1">
        <v>44075</v>
      </c>
      <c r="I1204" s="1">
        <v>44378</v>
      </c>
      <c r="J1204">
        <v>10</v>
      </c>
      <c r="K1204">
        <v>0</v>
      </c>
      <c r="L1204" s="1">
        <v>44256</v>
      </c>
      <c r="M1204">
        <v>775</v>
      </c>
      <c r="N1204" s="8" cm="1">
        <f t="array" ref="N1204">_xlfn.SWITCH(Sales[[#This Row],[Subscription Type]],"Basic",10,"Premium",10,"Business",25,"Enterprise",27)</f>
        <v>25</v>
      </c>
      <c r="O1204">
        <f>IF(Sales[[#This Row],[Number of Users]]-Sales[[#This Row],[Licenses Bought]]&lt;0,0,Sales[[#This Row],[Number of Users]]-Sales[[#This Row],[Licenses Bought]])</f>
        <v>12</v>
      </c>
      <c r="P1204" s="8">
        <f>IF(Sales[[#This Row],[Sales Month]]=MAX(Sales[Sales Month]),Sales[[#This Row],[Non-Paying Users]]*Sales[[#This Row],[Upsell $ per Non-Paying User]],0)</f>
        <v>0</v>
      </c>
      <c r="Q1204" t="str" cm="1">
        <f t="array" ref="Q1204">_xlfn.IFS(Sales[[#This Row],[Current Upsell $]]=0,"",Sales[[#This Row],[Current Upsell $]]&gt;=400,"High",Sales[[#This Row],[Current Upsell $]]&gt;=100,"Medium",Sales[[#This Row],[Current Upsell $]]&lt;100,"Low")</f>
        <v/>
      </c>
      <c r="R1204" t="str">
        <f>IF(Sales[[#This Row],[Current Upsell $]]&gt;0,_xlfn.CONCAT(Sales[[#This Row],[Subscription Type]]," ",Sales[[#This Row],[Upsell Priority]]," ",TEXT(Sales[[#This Row],[Current Upsell $]],"$#,#")),"")</f>
        <v/>
      </c>
    </row>
    <row r="1205" spans="1:18" x14ac:dyDescent="0.25">
      <c r="A1205">
        <v>100117</v>
      </c>
      <c r="B1205" t="s">
        <v>1</v>
      </c>
      <c r="D1205" s="1"/>
      <c r="E1205" s="1"/>
      <c r="F1205">
        <v>31</v>
      </c>
      <c r="G1205">
        <v>32</v>
      </c>
      <c r="H1205" s="1">
        <v>44075</v>
      </c>
      <c r="I1205" s="1">
        <v>44378</v>
      </c>
      <c r="J1205">
        <v>10</v>
      </c>
      <c r="K1205">
        <v>0</v>
      </c>
      <c r="L1205" s="1">
        <v>44287</v>
      </c>
      <c r="M1205">
        <v>775</v>
      </c>
      <c r="N1205" s="8" cm="1">
        <f t="array" ref="N1205">_xlfn.SWITCH(Sales[[#This Row],[Subscription Type]],"Basic",10,"Premium",10,"Business",25,"Enterprise",27)</f>
        <v>25</v>
      </c>
      <c r="O1205">
        <f>IF(Sales[[#This Row],[Number of Users]]-Sales[[#This Row],[Licenses Bought]]&lt;0,0,Sales[[#This Row],[Number of Users]]-Sales[[#This Row],[Licenses Bought]])</f>
        <v>1</v>
      </c>
      <c r="P1205" s="8">
        <f>IF(Sales[[#This Row],[Sales Month]]=MAX(Sales[Sales Month]),Sales[[#This Row],[Non-Paying Users]]*Sales[[#This Row],[Upsell $ per Non-Paying User]],0)</f>
        <v>0</v>
      </c>
      <c r="Q1205" t="str" cm="1">
        <f t="array" ref="Q1205">_xlfn.IFS(Sales[[#This Row],[Current Upsell $]]=0,"",Sales[[#This Row],[Current Upsell $]]&gt;=400,"High",Sales[[#This Row],[Current Upsell $]]&gt;=100,"Medium",Sales[[#This Row],[Current Upsell $]]&lt;100,"Low")</f>
        <v/>
      </c>
      <c r="R1205" t="str">
        <f>IF(Sales[[#This Row],[Current Upsell $]]&gt;0,_xlfn.CONCAT(Sales[[#This Row],[Subscription Type]]," ",Sales[[#This Row],[Upsell Priority]]," ",TEXT(Sales[[#This Row],[Current Upsell $]],"$#,#")),"")</f>
        <v/>
      </c>
    </row>
    <row r="1206" spans="1:18" x14ac:dyDescent="0.25">
      <c r="A1206">
        <v>100117</v>
      </c>
      <c r="B1206" t="s">
        <v>1</v>
      </c>
      <c r="D1206" s="1"/>
      <c r="E1206" s="1"/>
      <c r="F1206">
        <v>31</v>
      </c>
      <c r="G1206">
        <v>38</v>
      </c>
      <c r="H1206" s="1">
        <v>44075</v>
      </c>
      <c r="I1206" s="1">
        <v>44378</v>
      </c>
      <c r="J1206">
        <v>10</v>
      </c>
      <c r="K1206">
        <v>0</v>
      </c>
      <c r="L1206" s="1">
        <v>44317</v>
      </c>
      <c r="M1206">
        <v>775</v>
      </c>
      <c r="N1206" s="8" cm="1">
        <f t="array" ref="N1206">_xlfn.SWITCH(Sales[[#This Row],[Subscription Type]],"Basic",10,"Premium",10,"Business",25,"Enterprise",27)</f>
        <v>25</v>
      </c>
      <c r="O1206">
        <f>IF(Sales[[#This Row],[Number of Users]]-Sales[[#This Row],[Licenses Bought]]&lt;0,0,Sales[[#This Row],[Number of Users]]-Sales[[#This Row],[Licenses Bought]])</f>
        <v>7</v>
      </c>
      <c r="P1206" s="8">
        <f>IF(Sales[[#This Row],[Sales Month]]=MAX(Sales[Sales Month]),Sales[[#This Row],[Non-Paying Users]]*Sales[[#This Row],[Upsell $ per Non-Paying User]],0)</f>
        <v>0</v>
      </c>
      <c r="Q1206" t="str" cm="1">
        <f t="array" ref="Q1206">_xlfn.IFS(Sales[[#This Row],[Current Upsell $]]=0,"",Sales[[#This Row],[Current Upsell $]]&gt;=400,"High",Sales[[#This Row],[Current Upsell $]]&gt;=100,"Medium",Sales[[#This Row],[Current Upsell $]]&lt;100,"Low")</f>
        <v/>
      </c>
      <c r="R1206" t="str">
        <f>IF(Sales[[#This Row],[Current Upsell $]]&gt;0,_xlfn.CONCAT(Sales[[#This Row],[Subscription Type]]," ",Sales[[#This Row],[Upsell Priority]]," ",TEXT(Sales[[#This Row],[Current Upsell $]],"$#,#")),"")</f>
        <v/>
      </c>
    </row>
    <row r="1207" spans="1:18" x14ac:dyDescent="0.25">
      <c r="A1207">
        <v>100117</v>
      </c>
      <c r="B1207" t="s">
        <v>1</v>
      </c>
      <c r="D1207" s="1"/>
      <c r="E1207" s="1"/>
      <c r="F1207">
        <v>31</v>
      </c>
      <c r="G1207">
        <v>50</v>
      </c>
      <c r="H1207" s="1">
        <v>44075</v>
      </c>
      <c r="I1207" s="1">
        <v>44378</v>
      </c>
      <c r="J1207">
        <v>10</v>
      </c>
      <c r="K1207">
        <v>0</v>
      </c>
      <c r="L1207" s="1">
        <v>44348</v>
      </c>
      <c r="M1207">
        <v>775</v>
      </c>
      <c r="N1207" s="8" cm="1">
        <f t="array" ref="N1207">_xlfn.SWITCH(Sales[[#This Row],[Subscription Type]],"Basic",10,"Premium",10,"Business",25,"Enterprise",27)</f>
        <v>25</v>
      </c>
      <c r="O1207">
        <f>IF(Sales[[#This Row],[Number of Users]]-Sales[[#This Row],[Licenses Bought]]&lt;0,0,Sales[[#This Row],[Number of Users]]-Sales[[#This Row],[Licenses Bought]])</f>
        <v>19</v>
      </c>
      <c r="P1207" s="8">
        <f>IF(Sales[[#This Row],[Sales Month]]=MAX(Sales[Sales Month]),Sales[[#This Row],[Non-Paying Users]]*Sales[[#This Row],[Upsell $ per Non-Paying User]],0)</f>
        <v>475</v>
      </c>
      <c r="Q1207" t="str" cm="1">
        <f t="array" ref="Q1207">_xlfn.IFS(Sales[[#This Row],[Current Upsell $]]=0,"",Sales[[#This Row],[Current Upsell $]]&gt;=400,"High",Sales[[#This Row],[Current Upsell $]]&gt;=100,"Medium",Sales[[#This Row],[Current Upsell $]]&lt;100,"Low")</f>
        <v>High</v>
      </c>
      <c r="R1207" t="str">
        <f>IF(Sales[[#This Row],[Current Upsell $]]&gt;0,_xlfn.CONCAT(Sales[[#This Row],[Subscription Type]]," ",Sales[[#This Row],[Upsell Priority]]," ",TEXT(Sales[[#This Row],[Current Upsell $]],"$#,#")),"")</f>
        <v>Business High $475</v>
      </c>
    </row>
    <row r="1208" spans="1:18" x14ac:dyDescent="0.25">
      <c r="A1208">
        <v>100118</v>
      </c>
      <c r="B1208" t="s">
        <v>3</v>
      </c>
      <c r="D1208" s="1"/>
      <c r="E1208" s="1"/>
      <c r="F1208">
        <v>0</v>
      </c>
      <c r="G1208">
        <v>42</v>
      </c>
      <c r="H1208" s="1">
        <v>44075</v>
      </c>
      <c r="I1208" s="1">
        <v>44378</v>
      </c>
      <c r="J1208">
        <v>10</v>
      </c>
      <c r="K1208">
        <v>0</v>
      </c>
      <c r="L1208" s="1">
        <v>44075</v>
      </c>
      <c r="M1208">
        <v>0</v>
      </c>
      <c r="N1208" s="8" cm="1">
        <f t="array" ref="N1208">_xlfn.SWITCH(Sales[[#This Row],[Subscription Type]],"Basic",10,"Premium",10,"Business",25,"Enterprise",27)</f>
        <v>10</v>
      </c>
      <c r="O1208">
        <f>IF(Sales[[#This Row],[Number of Users]]-Sales[[#This Row],[Licenses Bought]]&lt;0,0,Sales[[#This Row],[Number of Users]]-Sales[[#This Row],[Licenses Bought]])</f>
        <v>42</v>
      </c>
      <c r="P1208" s="8">
        <f>IF(Sales[[#This Row],[Sales Month]]=MAX(Sales[Sales Month]),Sales[[#This Row],[Non-Paying Users]]*Sales[[#This Row],[Upsell $ per Non-Paying User]],0)</f>
        <v>0</v>
      </c>
      <c r="Q1208" t="str" cm="1">
        <f t="array" ref="Q1208">_xlfn.IFS(Sales[[#This Row],[Current Upsell $]]=0,"",Sales[[#This Row],[Current Upsell $]]&gt;=400,"High",Sales[[#This Row],[Current Upsell $]]&gt;=100,"Medium",Sales[[#This Row],[Current Upsell $]]&lt;100,"Low")</f>
        <v/>
      </c>
      <c r="R1208" t="str">
        <f>IF(Sales[[#This Row],[Current Upsell $]]&gt;0,_xlfn.CONCAT(Sales[[#This Row],[Subscription Type]]," ",Sales[[#This Row],[Upsell Priority]]," ",TEXT(Sales[[#This Row],[Current Upsell $]],"$#,#")),"")</f>
        <v/>
      </c>
    </row>
    <row r="1209" spans="1:18" x14ac:dyDescent="0.25">
      <c r="A1209">
        <v>100118</v>
      </c>
      <c r="B1209" t="s">
        <v>0</v>
      </c>
      <c r="D1209" s="1"/>
      <c r="E1209" s="1"/>
      <c r="F1209">
        <v>12</v>
      </c>
      <c r="G1209">
        <v>34</v>
      </c>
      <c r="H1209" s="1">
        <v>44075</v>
      </c>
      <c r="I1209" s="1">
        <v>44378</v>
      </c>
      <c r="J1209">
        <v>10</v>
      </c>
      <c r="K1209">
        <v>0</v>
      </c>
      <c r="L1209" s="1">
        <v>44105</v>
      </c>
      <c r="M1209">
        <v>120</v>
      </c>
      <c r="N1209" s="8" cm="1">
        <f t="array" ref="N1209">_xlfn.SWITCH(Sales[[#This Row],[Subscription Type]],"Basic",10,"Premium",10,"Business",25,"Enterprise",27)</f>
        <v>10</v>
      </c>
      <c r="O1209">
        <f>IF(Sales[[#This Row],[Number of Users]]-Sales[[#This Row],[Licenses Bought]]&lt;0,0,Sales[[#This Row],[Number of Users]]-Sales[[#This Row],[Licenses Bought]])</f>
        <v>22</v>
      </c>
      <c r="P1209" s="8">
        <f>IF(Sales[[#This Row],[Sales Month]]=MAX(Sales[Sales Month]),Sales[[#This Row],[Non-Paying Users]]*Sales[[#This Row],[Upsell $ per Non-Paying User]],0)</f>
        <v>0</v>
      </c>
      <c r="Q1209" t="str" cm="1">
        <f t="array" ref="Q1209">_xlfn.IFS(Sales[[#This Row],[Current Upsell $]]=0,"",Sales[[#This Row],[Current Upsell $]]&gt;=400,"High",Sales[[#This Row],[Current Upsell $]]&gt;=100,"Medium",Sales[[#This Row],[Current Upsell $]]&lt;100,"Low")</f>
        <v/>
      </c>
      <c r="R1209" t="str">
        <f>IF(Sales[[#This Row],[Current Upsell $]]&gt;0,_xlfn.CONCAT(Sales[[#This Row],[Subscription Type]]," ",Sales[[#This Row],[Upsell Priority]]," ",TEXT(Sales[[#This Row],[Current Upsell $]],"$#,#")),"")</f>
        <v/>
      </c>
    </row>
    <row r="1210" spans="1:18" x14ac:dyDescent="0.25">
      <c r="A1210">
        <v>100118</v>
      </c>
      <c r="B1210" t="s">
        <v>0</v>
      </c>
      <c r="D1210" s="1"/>
      <c r="E1210" s="1"/>
      <c r="F1210">
        <v>17</v>
      </c>
      <c r="G1210">
        <v>34</v>
      </c>
      <c r="H1210" s="1">
        <v>44075</v>
      </c>
      <c r="I1210" s="1">
        <v>44378</v>
      </c>
      <c r="J1210">
        <v>10</v>
      </c>
      <c r="K1210">
        <v>0</v>
      </c>
      <c r="L1210" s="1">
        <v>44136</v>
      </c>
      <c r="M1210">
        <v>170</v>
      </c>
      <c r="N1210" s="8" cm="1">
        <f t="array" ref="N1210">_xlfn.SWITCH(Sales[[#This Row],[Subscription Type]],"Basic",10,"Premium",10,"Business",25,"Enterprise",27)</f>
        <v>10</v>
      </c>
      <c r="O1210">
        <f>IF(Sales[[#This Row],[Number of Users]]-Sales[[#This Row],[Licenses Bought]]&lt;0,0,Sales[[#This Row],[Number of Users]]-Sales[[#This Row],[Licenses Bought]])</f>
        <v>17</v>
      </c>
      <c r="P1210" s="8">
        <f>IF(Sales[[#This Row],[Sales Month]]=MAX(Sales[Sales Month]),Sales[[#This Row],[Non-Paying Users]]*Sales[[#This Row],[Upsell $ per Non-Paying User]],0)</f>
        <v>0</v>
      </c>
      <c r="Q1210" t="str" cm="1">
        <f t="array" ref="Q1210">_xlfn.IFS(Sales[[#This Row],[Current Upsell $]]=0,"",Sales[[#This Row],[Current Upsell $]]&gt;=400,"High",Sales[[#This Row],[Current Upsell $]]&gt;=100,"Medium",Sales[[#This Row],[Current Upsell $]]&lt;100,"Low")</f>
        <v/>
      </c>
      <c r="R1210" t="str">
        <f>IF(Sales[[#This Row],[Current Upsell $]]&gt;0,_xlfn.CONCAT(Sales[[#This Row],[Subscription Type]]," ",Sales[[#This Row],[Upsell Priority]]," ",TEXT(Sales[[#This Row],[Current Upsell $]],"$#,#")),"")</f>
        <v/>
      </c>
    </row>
    <row r="1211" spans="1:18" x14ac:dyDescent="0.25">
      <c r="A1211">
        <v>100118</v>
      </c>
      <c r="B1211" t="s">
        <v>0</v>
      </c>
      <c r="D1211" s="1"/>
      <c r="E1211" s="1"/>
      <c r="F1211">
        <v>26</v>
      </c>
      <c r="G1211">
        <v>39</v>
      </c>
      <c r="H1211" s="1">
        <v>44075</v>
      </c>
      <c r="I1211" s="1">
        <v>44378</v>
      </c>
      <c r="J1211">
        <v>10</v>
      </c>
      <c r="K1211">
        <v>0</v>
      </c>
      <c r="L1211" s="1">
        <v>44166</v>
      </c>
      <c r="M1211">
        <v>260</v>
      </c>
      <c r="N1211" s="8" cm="1">
        <f t="array" ref="N1211">_xlfn.SWITCH(Sales[[#This Row],[Subscription Type]],"Basic",10,"Premium",10,"Business",25,"Enterprise",27)</f>
        <v>10</v>
      </c>
      <c r="O1211">
        <f>IF(Sales[[#This Row],[Number of Users]]-Sales[[#This Row],[Licenses Bought]]&lt;0,0,Sales[[#This Row],[Number of Users]]-Sales[[#This Row],[Licenses Bought]])</f>
        <v>13</v>
      </c>
      <c r="P1211" s="8">
        <f>IF(Sales[[#This Row],[Sales Month]]=MAX(Sales[Sales Month]),Sales[[#This Row],[Non-Paying Users]]*Sales[[#This Row],[Upsell $ per Non-Paying User]],0)</f>
        <v>0</v>
      </c>
      <c r="Q1211" t="str" cm="1">
        <f t="array" ref="Q1211">_xlfn.IFS(Sales[[#This Row],[Current Upsell $]]=0,"",Sales[[#This Row],[Current Upsell $]]&gt;=400,"High",Sales[[#This Row],[Current Upsell $]]&gt;=100,"Medium",Sales[[#This Row],[Current Upsell $]]&lt;100,"Low")</f>
        <v/>
      </c>
      <c r="R1211" t="str">
        <f>IF(Sales[[#This Row],[Current Upsell $]]&gt;0,_xlfn.CONCAT(Sales[[#This Row],[Subscription Type]]," ",Sales[[#This Row],[Upsell Priority]]," ",TEXT(Sales[[#This Row],[Current Upsell $]],"$#,#")),"")</f>
        <v/>
      </c>
    </row>
    <row r="1212" spans="1:18" x14ac:dyDescent="0.25">
      <c r="A1212">
        <v>100118</v>
      </c>
      <c r="B1212" t="s">
        <v>0</v>
      </c>
      <c r="D1212" s="1"/>
      <c r="E1212" s="1"/>
      <c r="F1212">
        <v>31</v>
      </c>
      <c r="G1212">
        <v>31</v>
      </c>
      <c r="H1212" s="1">
        <v>44075</v>
      </c>
      <c r="I1212" s="1">
        <v>44378</v>
      </c>
      <c r="J1212">
        <v>10</v>
      </c>
      <c r="K1212">
        <v>0</v>
      </c>
      <c r="L1212" s="1">
        <v>44197</v>
      </c>
      <c r="M1212">
        <v>310</v>
      </c>
      <c r="N1212" s="8" cm="1">
        <f t="array" ref="N1212">_xlfn.SWITCH(Sales[[#This Row],[Subscription Type]],"Basic",10,"Premium",10,"Business",25,"Enterprise",27)</f>
        <v>10</v>
      </c>
      <c r="O1212">
        <f>IF(Sales[[#This Row],[Number of Users]]-Sales[[#This Row],[Licenses Bought]]&lt;0,0,Sales[[#This Row],[Number of Users]]-Sales[[#This Row],[Licenses Bought]])</f>
        <v>0</v>
      </c>
      <c r="P1212" s="8">
        <f>IF(Sales[[#This Row],[Sales Month]]=MAX(Sales[Sales Month]),Sales[[#This Row],[Non-Paying Users]]*Sales[[#This Row],[Upsell $ per Non-Paying User]],0)</f>
        <v>0</v>
      </c>
      <c r="Q1212" t="str" cm="1">
        <f t="array" ref="Q1212">_xlfn.IFS(Sales[[#This Row],[Current Upsell $]]=0,"",Sales[[#This Row],[Current Upsell $]]&gt;=400,"High",Sales[[#This Row],[Current Upsell $]]&gt;=100,"Medium",Sales[[#This Row],[Current Upsell $]]&lt;100,"Low")</f>
        <v/>
      </c>
      <c r="R1212" t="str">
        <f>IF(Sales[[#This Row],[Current Upsell $]]&gt;0,_xlfn.CONCAT(Sales[[#This Row],[Subscription Type]]," ",Sales[[#This Row],[Upsell Priority]]," ",TEXT(Sales[[#This Row],[Current Upsell $]],"$#,#")),"")</f>
        <v/>
      </c>
    </row>
    <row r="1213" spans="1:18" x14ac:dyDescent="0.25">
      <c r="A1213">
        <v>100118</v>
      </c>
      <c r="B1213" t="s">
        <v>0</v>
      </c>
      <c r="D1213" s="1"/>
      <c r="E1213" s="1"/>
      <c r="F1213">
        <v>31</v>
      </c>
      <c r="G1213">
        <v>48</v>
      </c>
      <c r="H1213" s="1">
        <v>44075</v>
      </c>
      <c r="I1213" s="1">
        <v>44378</v>
      </c>
      <c r="J1213">
        <v>10</v>
      </c>
      <c r="K1213">
        <v>0</v>
      </c>
      <c r="L1213" s="1">
        <v>44228</v>
      </c>
      <c r="M1213">
        <v>310</v>
      </c>
      <c r="N1213" s="8" cm="1">
        <f t="array" ref="N1213">_xlfn.SWITCH(Sales[[#This Row],[Subscription Type]],"Basic",10,"Premium",10,"Business",25,"Enterprise",27)</f>
        <v>10</v>
      </c>
      <c r="O1213">
        <f>IF(Sales[[#This Row],[Number of Users]]-Sales[[#This Row],[Licenses Bought]]&lt;0,0,Sales[[#This Row],[Number of Users]]-Sales[[#This Row],[Licenses Bought]])</f>
        <v>17</v>
      </c>
      <c r="P1213" s="8">
        <f>IF(Sales[[#This Row],[Sales Month]]=MAX(Sales[Sales Month]),Sales[[#This Row],[Non-Paying Users]]*Sales[[#This Row],[Upsell $ per Non-Paying User]],0)</f>
        <v>0</v>
      </c>
      <c r="Q1213" t="str" cm="1">
        <f t="array" ref="Q1213">_xlfn.IFS(Sales[[#This Row],[Current Upsell $]]=0,"",Sales[[#This Row],[Current Upsell $]]&gt;=400,"High",Sales[[#This Row],[Current Upsell $]]&gt;=100,"Medium",Sales[[#This Row],[Current Upsell $]]&lt;100,"Low")</f>
        <v/>
      </c>
      <c r="R1213" t="str">
        <f>IF(Sales[[#This Row],[Current Upsell $]]&gt;0,_xlfn.CONCAT(Sales[[#This Row],[Subscription Type]]," ",Sales[[#This Row],[Upsell Priority]]," ",TEXT(Sales[[#This Row],[Current Upsell $]],"$#,#")),"")</f>
        <v/>
      </c>
    </row>
    <row r="1214" spans="1:18" x14ac:dyDescent="0.25">
      <c r="A1214">
        <v>100118</v>
      </c>
      <c r="B1214" t="s">
        <v>0</v>
      </c>
      <c r="D1214" s="1"/>
      <c r="E1214" s="1"/>
      <c r="F1214">
        <v>31</v>
      </c>
      <c r="G1214">
        <v>33</v>
      </c>
      <c r="H1214" s="1">
        <v>44075</v>
      </c>
      <c r="I1214" s="1">
        <v>44378</v>
      </c>
      <c r="J1214">
        <v>10</v>
      </c>
      <c r="K1214">
        <v>0</v>
      </c>
      <c r="L1214" s="1">
        <v>44256</v>
      </c>
      <c r="M1214">
        <v>310</v>
      </c>
      <c r="N1214" s="8" cm="1">
        <f t="array" ref="N1214">_xlfn.SWITCH(Sales[[#This Row],[Subscription Type]],"Basic",10,"Premium",10,"Business",25,"Enterprise",27)</f>
        <v>10</v>
      </c>
      <c r="O1214">
        <f>IF(Sales[[#This Row],[Number of Users]]-Sales[[#This Row],[Licenses Bought]]&lt;0,0,Sales[[#This Row],[Number of Users]]-Sales[[#This Row],[Licenses Bought]])</f>
        <v>2</v>
      </c>
      <c r="P1214" s="8">
        <f>IF(Sales[[#This Row],[Sales Month]]=MAX(Sales[Sales Month]),Sales[[#This Row],[Non-Paying Users]]*Sales[[#This Row],[Upsell $ per Non-Paying User]],0)</f>
        <v>0</v>
      </c>
      <c r="Q1214" t="str" cm="1">
        <f t="array" ref="Q1214">_xlfn.IFS(Sales[[#This Row],[Current Upsell $]]=0,"",Sales[[#This Row],[Current Upsell $]]&gt;=400,"High",Sales[[#This Row],[Current Upsell $]]&gt;=100,"Medium",Sales[[#This Row],[Current Upsell $]]&lt;100,"Low")</f>
        <v/>
      </c>
      <c r="R1214" t="str">
        <f>IF(Sales[[#This Row],[Current Upsell $]]&gt;0,_xlfn.CONCAT(Sales[[#This Row],[Subscription Type]]," ",Sales[[#This Row],[Upsell Priority]]," ",TEXT(Sales[[#This Row],[Current Upsell $]],"$#,#")),"")</f>
        <v/>
      </c>
    </row>
    <row r="1215" spans="1:18" x14ac:dyDescent="0.25">
      <c r="A1215">
        <v>100118</v>
      </c>
      <c r="B1215" t="s">
        <v>0</v>
      </c>
      <c r="D1215" s="1"/>
      <c r="E1215" s="1"/>
      <c r="F1215">
        <v>31</v>
      </c>
      <c r="G1215">
        <v>34</v>
      </c>
      <c r="H1215" s="1">
        <v>44075</v>
      </c>
      <c r="I1215" s="1">
        <v>44378</v>
      </c>
      <c r="J1215">
        <v>10</v>
      </c>
      <c r="K1215">
        <v>0</v>
      </c>
      <c r="L1215" s="1">
        <v>44287</v>
      </c>
      <c r="M1215">
        <v>310</v>
      </c>
      <c r="N1215" s="8" cm="1">
        <f t="array" ref="N1215">_xlfn.SWITCH(Sales[[#This Row],[Subscription Type]],"Basic",10,"Premium",10,"Business",25,"Enterprise",27)</f>
        <v>10</v>
      </c>
      <c r="O1215">
        <f>IF(Sales[[#This Row],[Number of Users]]-Sales[[#This Row],[Licenses Bought]]&lt;0,0,Sales[[#This Row],[Number of Users]]-Sales[[#This Row],[Licenses Bought]])</f>
        <v>3</v>
      </c>
      <c r="P1215" s="8">
        <f>IF(Sales[[#This Row],[Sales Month]]=MAX(Sales[Sales Month]),Sales[[#This Row],[Non-Paying Users]]*Sales[[#This Row],[Upsell $ per Non-Paying User]],0)</f>
        <v>0</v>
      </c>
      <c r="Q1215" t="str" cm="1">
        <f t="array" ref="Q1215">_xlfn.IFS(Sales[[#This Row],[Current Upsell $]]=0,"",Sales[[#This Row],[Current Upsell $]]&gt;=400,"High",Sales[[#This Row],[Current Upsell $]]&gt;=100,"Medium",Sales[[#This Row],[Current Upsell $]]&lt;100,"Low")</f>
        <v/>
      </c>
      <c r="R1215" t="str">
        <f>IF(Sales[[#This Row],[Current Upsell $]]&gt;0,_xlfn.CONCAT(Sales[[#This Row],[Subscription Type]]," ",Sales[[#This Row],[Upsell Priority]]," ",TEXT(Sales[[#This Row],[Current Upsell $]],"$#,#")),"")</f>
        <v/>
      </c>
    </row>
    <row r="1216" spans="1:18" x14ac:dyDescent="0.25">
      <c r="A1216">
        <v>100118</v>
      </c>
      <c r="B1216" t="s">
        <v>0</v>
      </c>
      <c r="D1216" s="1"/>
      <c r="E1216" s="1"/>
      <c r="F1216">
        <v>31</v>
      </c>
      <c r="G1216">
        <v>42</v>
      </c>
      <c r="H1216" s="1">
        <v>44075</v>
      </c>
      <c r="I1216" s="1">
        <v>44378</v>
      </c>
      <c r="J1216">
        <v>10</v>
      </c>
      <c r="K1216">
        <v>0</v>
      </c>
      <c r="L1216" s="1">
        <v>44317</v>
      </c>
      <c r="M1216">
        <v>310</v>
      </c>
      <c r="N1216" s="8" cm="1">
        <f t="array" ref="N1216">_xlfn.SWITCH(Sales[[#This Row],[Subscription Type]],"Basic",10,"Premium",10,"Business",25,"Enterprise",27)</f>
        <v>10</v>
      </c>
      <c r="O1216">
        <f>IF(Sales[[#This Row],[Number of Users]]-Sales[[#This Row],[Licenses Bought]]&lt;0,0,Sales[[#This Row],[Number of Users]]-Sales[[#This Row],[Licenses Bought]])</f>
        <v>11</v>
      </c>
      <c r="P1216" s="8">
        <f>IF(Sales[[#This Row],[Sales Month]]=MAX(Sales[Sales Month]),Sales[[#This Row],[Non-Paying Users]]*Sales[[#This Row],[Upsell $ per Non-Paying User]],0)</f>
        <v>0</v>
      </c>
      <c r="Q1216" t="str" cm="1">
        <f t="array" ref="Q1216">_xlfn.IFS(Sales[[#This Row],[Current Upsell $]]=0,"",Sales[[#This Row],[Current Upsell $]]&gt;=400,"High",Sales[[#This Row],[Current Upsell $]]&gt;=100,"Medium",Sales[[#This Row],[Current Upsell $]]&lt;100,"Low")</f>
        <v/>
      </c>
      <c r="R1216" t="str">
        <f>IF(Sales[[#This Row],[Current Upsell $]]&gt;0,_xlfn.CONCAT(Sales[[#This Row],[Subscription Type]]," ",Sales[[#This Row],[Upsell Priority]]," ",TEXT(Sales[[#This Row],[Current Upsell $]],"$#,#")),"")</f>
        <v/>
      </c>
    </row>
    <row r="1217" spans="1:18" x14ac:dyDescent="0.25">
      <c r="A1217">
        <v>100118</v>
      </c>
      <c r="B1217" t="s">
        <v>0</v>
      </c>
      <c r="D1217" s="1"/>
      <c r="E1217" s="1"/>
      <c r="F1217">
        <v>31</v>
      </c>
      <c r="G1217">
        <v>44</v>
      </c>
      <c r="H1217" s="1">
        <v>44075</v>
      </c>
      <c r="I1217" s="1">
        <v>44378</v>
      </c>
      <c r="J1217">
        <v>10</v>
      </c>
      <c r="K1217">
        <v>0</v>
      </c>
      <c r="L1217" s="1">
        <v>44348</v>
      </c>
      <c r="M1217">
        <v>310</v>
      </c>
      <c r="N1217" s="8" cm="1">
        <f t="array" ref="N1217">_xlfn.SWITCH(Sales[[#This Row],[Subscription Type]],"Basic",10,"Premium",10,"Business",25,"Enterprise",27)</f>
        <v>10</v>
      </c>
      <c r="O1217">
        <f>IF(Sales[[#This Row],[Number of Users]]-Sales[[#This Row],[Licenses Bought]]&lt;0,0,Sales[[#This Row],[Number of Users]]-Sales[[#This Row],[Licenses Bought]])</f>
        <v>13</v>
      </c>
      <c r="P1217" s="8">
        <f>IF(Sales[[#This Row],[Sales Month]]=MAX(Sales[Sales Month]),Sales[[#This Row],[Non-Paying Users]]*Sales[[#This Row],[Upsell $ per Non-Paying User]],0)</f>
        <v>130</v>
      </c>
      <c r="Q1217" t="str" cm="1">
        <f t="array" ref="Q1217">_xlfn.IFS(Sales[[#This Row],[Current Upsell $]]=0,"",Sales[[#This Row],[Current Upsell $]]&gt;=400,"High",Sales[[#This Row],[Current Upsell $]]&gt;=100,"Medium",Sales[[#This Row],[Current Upsell $]]&lt;100,"Low")</f>
        <v>Medium</v>
      </c>
      <c r="R1217" t="str">
        <f>IF(Sales[[#This Row],[Current Upsell $]]&gt;0,_xlfn.CONCAT(Sales[[#This Row],[Subscription Type]]," ",Sales[[#This Row],[Upsell Priority]]," ",TEXT(Sales[[#This Row],[Current Upsell $]],"$#,#")),"")</f>
        <v>Premium Medium $130</v>
      </c>
    </row>
    <row r="1218" spans="1:18" x14ac:dyDescent="0.25">
      <c r="A1218">
        <v>100119</v>
      </c>
      <c r="B1218" t="s">
        <v>3</v>
      </c>
      <c r="D1218" s="1"/>
      <c r="E1218" s="1"/>
      <c r="F1218">
        <v>0</v>
      </c>
      <c r="G1218">
        <v>27</v>
      </c>
      <c r="H1218" s="1">
        <v>44075</v>
      </c>
      <c r="I1218" s="1">
        <v>44378</v>
      </c>
      <c r="J1218">
        <v>10</v>
      </c>
      <c r="K1218">
        <v>0</v>
      </c>
      <c r="L1218" s="1">
        <v>44075</v>
      </c>
      <c r="M1218">
        <v>0</v>
      </c>
      <c r="N1218" s="8" cm="1">
        <f t="array" ref="N1218">_xlfn.SWITCH(Sales[[#This Row],[Subscription Type]],"Basic",10,"Premium",10,"Business",25,"Enterprise",27)</f>
        <v>10</v>
      </c>
      <c r="O1218">
        <f>IF(Sales[[#This Row],[Number of Users]]-Sales[[#This Row],[Licenses Bought]]&lt;0,0,Sales[[#This Row],[Number of Users]]-Sales[[#This Row],[Licenses Bought]])</f>
        <v>27</v>
      </c>
      <c r="P1218" s="8">
        <f>IF(Sales[[#This Row],[Sales Month]]=MAX(Sales[Sales Month]),Sales[[#This Row],[Non-Paying Users]]*Sales[[#This Row],[Upsell $ per Non-Paying User]],0)</f>
        <v>0</v>
      </c>
      <c r="Q1218" t="str" cm="1">
        <f t="array" ref="Q1218">_xlfn.IFS(Sales[[#This Row],[Current Upsell $]]=0,"",Sales[[#This Row],[Current Upsell $]]&gt;=400,"High",Sales[[#This Row],[Current Upsell $]]&gt;=100,"Medium",Sales[[#This Row],[Current Upsell $]]&lt;100,"Low")</f>
        <v/>
      </c>
      <c r="R1218" t="str">
        <f>IF(Sales[[#This Row],[Current Upsell $]]&gt;0,_xlfn.CONCAT(Sales[[#This Row],[Subscription Type]]," ",Sales[[#This Row],[Upsell Priority]]," ",TEXT(Sales[[#This Row],[Current Upsell $]],"$#,#")),"")</f>
        <v/>
      </c>
    </row>
    <row r="1219" spans="1:18" x14ac:dyDescent="0.25">
      <c r="A1219">
        <v>100119</v>
      </c>
      <c r="B1219" t="s">
        <v>0</v>
      </c>
      <c r="D1219" s="1"/>
      <c r="E1219" s="1"/>
      <c r="F1219">
        <v>16</v>
      </c>
      <c r="G1219">
        <v>33</v>
      </c>
      <c r="H1219" s="1">
        <v>44075</v>
      </c>
      <c r="I1219" s="1">
        <v>44378</v>
      </c>
      <c r="J1219">
        <v>10</v>
      </c>
      <c r="K1219">
        <v>0</v>
      </c>
      <c r="L1219" s="1">
        <v>44105</v>
      </c>
      <c r="M1219">
        <v>160</v>
      </c>
      <c r="N1219" s="8" cm="1">
        <f t="array" ref="N1219">_xlfn.SWITCH(Sales[[#This Row],[Subscription Type]],"Basic",10,"Premium",10,"Business",25,"Enterprise",27)</f>
        <v>10</v>
      </c>
      <c r="O1219">
        <f>IF(Sales[[#This Row],[Number of Users]]-Sales[[#This Row],[Licenses Bought]]&lt;0,0,Sales[[#This Row],[Number of Users]]-Sales[[#This Row],[Licenses Bought]])</f>
        <v>17</v>
      </c>
      <c r="P1219" s="8">
        <f>IF(Sales[[#This Row],[Sales Month]]=MAX(Sales[Sales Month]),Sales[[#This Row],[Non-Paying Users]]*Sales[[#This Row],[Upsell $ per Non-Paying User]],0)</f>
        <v>0</v>
      </c>
      <c r="Q1219" t="str" cm="1">
        <f t="array" ref="Q1219">_xlfn.IFS(Sales[[#This Row],[Current Upsell $]]=0,"",Sales[[#This Row],[Current Upsell $]]&gt;=400,"High",Sales[[#This Row],[Current Upsell $]]&gt;=100,"Medium",Sales[[#This Row],[Current Upsell $]]&lt;100,"Low")</f>
        <v/>
      </c>
      <c r="R1219" t="str">
        <f>IF(Sales[[#This Row],[Current Upsell $]]&gt;0,_xlfn.CONCAT(Sales[[#This Row],[Subscription Type]]," ",Sales[[#This Row],[Upsell Priority]]," ",TEXT(Sales[[#This Row],[Current Upsell $]],"$#,#")),"")</f>
        <v/>
      </c>
    </row>
    <row r="1220" spans="1:18" x14ac:dyDescent="0.25">
      <c r="A1220">
        <v>100119</v>
      </c>
      <c r="B1220" t="s">
        <v>0</v>
      </c>
      <c r="D1220" s="1"/>
      <c r="E1220" s="1"/>
      <c r="F1220">
        <v>16</v>
      </c>
      <c r="G1220">
        <v>36</v>
      </c>
      <c r="H1220" s="1">
        <v>44075</v>
      </c>
      <c r="I1220" s="1">
        <v>44378</v>
      </c>
      <c r="J1220">
        <v>10</v>
      </c>
      <c r="K1220">
        <v>0</v>
      </c>
      <c r="L1220" s="1">
        <v>44136</v>
      </c>
      <c r="M1220">
        <v>160</v>
      </c>
      <c r="N1220" s="8" cm="1">
        <f t="array" ref="N1220">_xlfn.SWITCH(Sales[[#This Row],[Subscription Type]],"Basic",10,"Premium",10,"Business",25,"Enterprise",27)</f>
        <v>10</v>
      </c>
      <c r="O1220">
        <f>IF(Sales[[#This Row],[Number of Users]]-Sales[[#This Row],[Licenses Bought]]&lt;0,0,Sales[[#This Row],[Number of Users]]-Sales[[#This Row],[Licenses Bought]])</f>
        <v>20</v>
      </c>
      <c r="P1220" s="8">
        <f>IF(Sales[[#This Row],[Sales Month]]=MAX(Sales[Sales Month]),Sales[[#This Row],[Non-Paying Users]]*Sales[[#This Row],[Upsell $ per Non-Paying User]],0)</f>
        <v>0</v>
      </c>
      <c r="Q1220" t="str" cm="1">
        <f t="array" ref="Q1220">_xlfn.IFS(Sales[[#This Row],[Current Upsell $]]=0,"",Sales[[#This Row],[Current Upsell $]]&gt;=400,"High",Sales[[#This Row],[Current Upsell $]]&gt;=100,"Medium",Sales[[#This Row],[Current Upsell $]]&lt;100,"Low")</f>
        <v/>
      </c>
      <c r="R1220" t="str">
        <f>IF(Sales[[#This Row],[Current Upsell $]]&gt;0,_xlfn.CONCAT(Sales[[#This Row],[Subscription Type]]," ",Sales[[#This Row],[Upsell Priority]]," ",TEXT(Sales[[#This Row],[Current Upsell $]],"$#,#")),"")</f>
        <v/>
      </c>
    </row>
    <row r="1221" spans="1:18" x14ac:dyDescent="0.25">
      <c r="A1221">
        <v>100119</v>
      </c>
      <c r="B1221" t="s">
        <v>0</v>
      </c>
      <c r="D1221" s="1"/>
      <c r="E1221" s="1"/>
      <c r="F1221">
        <v>21</v>
      </c>
      <c r="G1221">
        <v>36</v>
      </c>
      <c r="H1221" s="1">
        <v>44075</v>
      </c>
      <c r="I1221" s="1">
        <v>44378</v>
      </c>
      <c r="J1221">
        <v>10</v>
      </c>
      <c r="K1221">
        <v>0</v>
      </c>
      <c r="L1221" s="1">
        <v>44166</v>
      </c>
      <c r="M1221">
        <v>210</v>
      </c>
      <c r="N1221" s="8" cm="1">
        <f t="array" ref="N1221">_xlfn.SWITCH(Sales[[#This Row],[Subscription Type]],"Basic",10,"Premium",10,"Business",25,"Enterprise",27)</f>
        <v>10</v>
      </c>
      <c r="O1221">
        <f>IF(Sales[[#This Row],[Number of Users]]-Sales[[#This Row],[Licenses Bought]]&lt;0,0,Sales[[#This Row],[Number of Users]]-Sales[[#This Row],[Licenses Bought]])</f>
        <v>15</v>
      </c>
      <c r="P1221" s="8">
        <f>IF(Sales[[#This Row],[Sales Month]]=MAX(Sales[Sales Month]),Sales[[#This Row],[Non-Paying Users]]*Sales[[#This Row],[Upsell $ per Non-Paying User]],0)</f>
        <v>0</v>
      </c>
      <c r="Q1221" t="str" cm="1">
        <f t="array" ref="Q1221">_xlfn.IFS(Sales[[#This Row],[Current Upsell $]]=0,"",Sales[[#This Row],[Current Upsell $]]&gt;=400,"High",Sales[[#This Row],[Current Upsell $]]&gt;=100,"Medium",Sales[[#This Row],[Current Upsell $]]&lt;100,"Low")</f>
        <v/>
      </c>
      <c r="R1221" t="str">
        <f>IF(Sales[[#This Row],[Current Upsell $]]&gt;0,_xlfn.CONCAT(Sales[[#This Row],[Subscription Type]]," ",Sales[[#This Row],[Upsell Priority]]," ",TEXT(Sales[[#This Row],[Current Upsell $]],"$#,#")),"")</f>
        <v/>
      </c>
    </row>
    <row r="1222" spans="1:18" x14ac:dyDescent="0.25">
      <c r="A1222">
        <v>100119</v>
      </c>
      <c r="B1222" t="s">
        <v>0</v>
      </c>
      <c r="D1222" s="1"/>
      <c r="E1222" s="1"/>
      <c r="F1222">
        <v>26</v>
      </c>
      <c r="G1222">
        <v>40</v>
      </c>
      <c r="H1222" s="1">
        <v>44075</v>
      </c>
      <c r="I1222" s="1">
        <v>44378</v>
      </c>
      <c r="J1222">
        <v>10</v>
      </c>
      <c r="K1222">
        <v>0</v>
      </c>
      <c r="L1222" s="1">
        <v>44197</v>
      </c>
      <c r="M1222">
        <v>260</v>
      </c>
      <c r="N1222" s="8" cm="1">
        <f t="array" ref="N1222">_xlfn.SWITCH(Sales[[#This Row],[Subscription Type]],"Basic",10,"Premium",10,"Business",25,"Enterprise",27)</f>
        <v>10</v>
      </c>
      <c r="O1222">
        <f>IF(Sales[[#This Row],[Number of Users]]-Sales[[#This Row],[Licenses Bought]]&lt;0,0,Sales[[#This Row],[Number of Users]]-Sales[[#This Row],[Licenses Bought]])</f>
        <v>14</v>
      </c>
      <c r="P1222" s="8">
        <f>IF(Sales[[#This Row],[Sales Month]]=MAX(Sales[Sales Month]),Sales[[#This Row],[Non-Paying Users]]*Sales[[#This Row],[Upsell $ per Non-Paying User]],0)</f>
        <v>0</v>
      </c>
      <c r="Q1222" t="str" cm="1">
        <f t="array" ref="Q1222">_xlfn.IFS(Sales[[#This Row],[Current Upsell $]]=0,"",Sales[[#This Row],[Current Upsell $]]&gt;=400,"High",Sales[[#This Row],[Current Upsell $]]&gt;=100,"Medium",Sales[[#This Row],[Current Upsell $]]&lt;100,"Low")</f>
        <v/>
      </c>
      <c r="R1222" t="str">
        <f>IF(Sales[[#This Row],[Current Upsell $]]&gt;0,_xlfn.CONCAT(Sales[[#This Row],[Subscription Type]]," ",Sales[[#This Row],[Upsell Priority]]," ",TEXT(Sales[[#This Row],[Current Upsell $]],"$#,#")),"")</f>
        <v/>
      </c>
    </row>
    <row r="1223" spans="1:18" x14ac:dyDescent="0.25">
      <c r="A1223">
        <v>100119</v>
      </c>
      <c r="B1223" t="s">
        <v>0</v>
      </c>
      <c r="D1223" s="1"/>
      <c r="E1223" s="1"/>
      <c r="F1223">
        <v>26</v>
      </c>
      <c r="G1223">
        <v>31</v>
      </c>
      <c r="H1223" s="1">
        <v>44075</v>
      </c>
      <c r="I1223" s="1">
        <v>44378</v>
      </c>
      <c r="J1223">
        <v>10</v>
      </c>
      <c r="K1223">
        <v>0</v>
      </c>
      <c r="L1223" s="1">
        <v>44228</v>
      </c>
      <c r="M1223">
        <v>260</v>
      </c>
      <c r="N1223" s="8" cm="1">
        <f t="array" ref="N1223">_xlfn.SWITCH(Sales[[#This Row],[Subscription Type]],"Basic",10,"Premium",10,"Business",25,"Enterprise",27)</f>
        <v>10</v>
      </c>
      <c r="O1223">
        <f>IF(Sales[[#This Row],[Number of Users]]-Sales[[#This Row],[Licenses Bought]]&lt;0,0,Sales[[#This Row],[Number of Users]]-Sales[[#This Row],[Licenses Bought]])</f>
        <v>5</v>
      </c>
      <c r="P1223" s="8">
        <f>IF(Sales[[#This Row],[Sales Month]]=MAX(Sales[Sales Month]),Sales[[#This Row],[Non-Paying Users]]*Sales[[#This Row],[Upsell $ per Non-Paying User]],0)</f>
        <v>0</v>
      </c>
      <c r="Q1223" t="str" cm="1">
        <f t="array" ref="Q1223">_xlfn.IFS(Sales[[#This Row],[Current Upsell $]]=0,"",Sales[[#This Row],[Current Upsell $]]&gt;=400,"High",Sales[[#This Row],[Current Upsell $]]&gt;=100,"Medium",Sales[[#This Row],[Current Upsell $]]&lt;100,"Low")</f>
        <v/>
      </c>
      <c r="R1223" t="str">
        <f>IF(Sales[[#This Row],[Current Upsell $]]&gt;0,_xlfn.CONCAT(Sales[[#This Row],[Subscription Type]]," ",Sales[[#This Row],[Upsell Priority]]," ",TEXT(Sales[[#This Row],[Current Upsell $]],"$#,#")),"")</f>
        <v/>
      </c>
    </row>
    <row r="1224" spans="1:18" x14ac:dyDescent="0.25">
      <c r="A1224">
        <v>100119</v>
      </c>
      <c r="B1224" t="s">
        <v>0</v>
      </c>
      <c r="D1224" s="1"/>
      <c r="E1224" s="1"/>
      <c r="F1224">
        <v>26</v>
      </c>
      <c r="G1224">
        <v>36</v>
      </c>
      <c r="H1224" s="1">
        <v>44075</v>
      </c>
      <c r="I1224" s="1">
        <v>44378</v>
      </c>
      <c r="J1224">
        <v>10</v>
      </c>
      <c r="K1224">
        <v>0</v>
      </c>
      <c r="L1224" s="1">
        <v>44256</v>
      </c>
      <c r="M1224">
        <v>260</v>
      </c>
      <c r="N1224" s="8" cm="1">
        <f t="array" ref="N1224">_xlfn.SWITCH(Sales[[#This Row],[Subscription Type]],"Basic",10,"Premium",10,"Business",25,"Enterprise",27)</f>
        <v>10</v>
      </c>
      <c r="O1224">
        <f>IF(Sales[[#This Row],[Number of Users]]-Sales[[#This Row],[Licenses Bought]]&lt;0,0,Sales[[#This Row],[Number of Users]]-Sales[[#This Row],[Licenses Bought]])</f>
        <v>10</v>
      </c>
      <c r="P1224" s="8">
        <f>IF(Sales[[#This Row],[Sales Month]]=MAX(Sales[Sales Month]),Sales[[#This Row],[Non-Paying Users]]*Sales[[#This Row],[Upsell $ per Non-Paying User]],0)</f>
        <v>0</v>
      </c>
      <c r="Q1224" t="str" cm="1">
        <f t="array" ref="Q1224">_xlfn.IFS(Sales[[#This Row],[Current Upsell $]]=0,"",Sales[[#This Row],[Current Upsell $]]&gt;=400,"High",Sales[[#This Row],[Current Upsell $]]&gt;=100,"Medium",Sales[[#This Row],[Current Upsell $]]&lt;100,"Low")</f>
        <v/>
      </c>
      <c r="R1224" t="str">
        <f>IF(Sales[[#This Row],[Current Upsell $]]&gt;0,_xlfn.CONCAT(Sales[[#This Row],[Subscription Type]]," ",Sales[[#This Row],[Upsell Priority]]," ",TEXT(Sales[[#This Row],[Current Upsell $]],"$#,#")),"")</f>
        <v/>
      </c>
    </row>
    <row r="1225" spans="1:18" x14ac:dyDescent="0.25">
      <c r="A1225">
        <v>100119</v>
      </c>
      <c r="B1225" t="s">
        <v>0</v>
      </c>
      <c r="D1225" s="1"/>
      <c r="E1225" s="1"/>
      <c r="F1225">
        <v>26</v>
      </c>
      <c r="G1225">
        <v>30</v>
      </c>
      <c r="H1225" s="1">
        <v>44075</v>
      </c>
      <c r="I1225" s="1">
        <v>44378</v>
      </c>
      <c r="J1225">
        <v>10</v>
      </c>
      <c r="K1225">
        <v>0</v>
      </c>
      <c r="L1225" s="1">
        <v>44287</v>
      </c>
      <c r="M1225">
        <v>260</v>
      </c>
      <c r="N1225" s="8" cm="1">
        <f t="array" ref="N1225">_xlfn.SWITCH(Sales[[#This Row],[Subscription Type]],"Basic",10,"Premium",10,"Business",25,"Enterprise",27)</f>
        <v>10</v>
      </c>
      <c r="O1225">
        <f>IF(Sales[[#This Row],[Number of Users]]-Sales[[#This Row],[Licenses Bought]]&lt;0,0,Sales[[#This Row],[Number of Users]]-Sales[[#This Row],[Licenses Bought]])</f>
        <v>4</v>
      </c>
      <c r="P1225" s="8">
        <f>IF(Sales[[#This Row],[Sales Month]]=MAX(Sales[Sales Month]),Sales[[#This Row],[Non-Paying Users]]*Sales[[#This Row],[Upsell $ per Non-Paying User]],0)</f>
        <v>0</v>
      </c>
      <c r="Q1225" t="str" cm="1">
        <f t="array" ref="Q1225">_xlfn.IFS(Sales[[#This Row],[Current Upsell $]]=0,"",Sales[[#This Row],[Current Upsell $]]&gt;=400,"High",Sales[[#This Row],[Current Upsell $]]&gt;=100,"Medium",Sales[[#This Row],[Current Upsell $]]&lt;100,"Low")</f>
        <v/>
      </c>
      <c r="R1225" t="str">
        <f>IF(Sales[[#This Row],[Current Upsell $]]&gt;0,_xlfn.CONCAT(Sales[[#This Row],[Subscription Type]]," ",Sales[[#This Row],[Upsell Priority]]," ",TEXT(Sales[[#This Row],[Current Upsell $]],"$#,#")),"")</f>
        <v/>
      </c>
    </row>
    <row r="1226" spans="1:18" x14ac:dyDescent="0.25">
      <c r="A1226">
        <v>100119</v>
      </c>
      <c r="B1226" t="s">
        <v>0</v>
      </c>
      <c r="D1226" s="1"/>
      <c r="E1226" s="1"/>
      <c r="F1226">
        <v>26</v>
      </c>
      <c r="G1226">
        <v>20</v>
      </c>
      <c r="H1226" s="1">
        <v>44075</v>
      </c>
      <c r="I1226" s="1">
        <v>44378</v>
      </c>
      <c r="J1226">
        <v>10</v>
      </c>
      <c r="K1226">
        <v>0</v>
      </c>
      <c r="L1226" s="1">
        <v>44317</v>
      </c>
      <c r="M1226">
        <v>260</v>
      </c>
      <c r="N1226" s="8" cm="1">
        <f t="array" ref="N1226">_xlfn.SWITCH(Sales[[#This Row],[Subscription Type]],"Basic",10,"Premium",10,"Business",25,"Enterprise",27)</f>
        <v>10</v>
      </c>
      <c r="O1226">
        <f>IF(Sales[[#This Row],[Number of Users]]-Sales[[#This Row],[Licenses Bought]]&lt;0,0,Sales[[#This Row],[Number of Users]]-Sales[[#This Row],[Licenses Bought]])</f>
        <v>0</v>
      </c>
      <c r="P1226" s="8">
        <f>IF(Sales[[#This Row],[Sales Month]]=MAX(Sales[Sales Month]),Sales[[#This Row],[Non-Paying Users]]*Sales[[#This Row],[Upsell $ per Non-Paying User]],0)</f>
        <v>0</v>
      </c>
      <c r="Q1226" t="str" cm="1">
        <f t="array" ref="Q1226">_xlfn.IFS(Sales[[#This Row],[Current Upsell $]]=0,"",Sales[[#This Row],[Current Upsell $]]&gt;=400,"High",Sales[[#This Row],[Current Upsell $]]&gt;=100,"Medium",Sales[[#This Row],[Current Upsell $]]&lt;100,"Low")</f>
        <v/>
      </c>
      <c r="R1226" t="str">
        <f>IF(Sales[[#This Row],[Current Upsell $]]&gt;0,_xlfn.CONCAT(Sales[[#This Row],[Subscription Type]]," ",Sales[[#This Row],[Upsell Priority]]," ",TEXT(Sales[[#This Row],[Current Upsell $]],"$#,#")),"")</f>
        <v/>
      </c>
    </row>
    <row r="1227" spans="1:18" x14ac:dyDescent="0.25">
      <c r="A1227">
        <v>100119</v>
      </c>
      <c r="B1227" t="s">
        <v>0</v>
      </c>
      <c r="D1227" s="1"/>
      <c r="E1227" s="1"/>
      <c r="F1227">
        <v>26</v>
      </c>
      <c r="G1227">
        <v>35</v>
      </c>
      <c r="H1227" s="1">
        <v>44075</v>
      </c>
      <c r="I1227" s="1">
        <v>44378</v>
      </c>
      <c r="J1227">
        <v>10</v>
      </c>
      <c r="K1227">
        <v>0</v>
      </c>
      <c r="L1227" s="1">
        <v>44348</v>
      </c>
      <c r="M1227">
        <v>260</v>
      </c>
      <c r="N1227" s="8" cm="1">
        <f t="array" ref="N1227">_xlfn.SWITCH(Sales[[#This Row],[Subscription Type]],"Basic",10,"Premium",10,"Business",25,"Enterprise",27)</f>
        <v>10</v>
      </c>
      <c r="O1227">
        <f>IF(Sales[[#This Row],[Number of Users]]-Sales[[#This Row],[Licenses Bought]]&lt;0,0,Sales[[#This Row],[Number of Users]]-Sales[[#This Row],[Licenses Bought]])</f>
        <v>9</v>
      </c>
      <c r="P1227" s="8">
        <f>IF(Sales[[#This Row],[Sales Month]]=MAX(Sales[Sales Month]),Sales[[#This Row],[Non-Paying Users]]*Sales[[#This Row],[Upsell $ per Non-Paying User]],0)</f>
        <v>90</v>
      </c>
      <c r="Q1227" t="str" cm="1">
        <f t="array" ref="Q1227">_xlfn.IFS(Sales[[#This Row],[Current Upsell $]]=0,"",Sales[[#This Row],[Current Upsell $]]&gt;=400,"High",Sales[[#This Row],[Current Upsell $]]&gt;=100,"Medium",Sales[[#This Row],[Current Upsell $]]&lt;100,"Low")</f>
        <v>Low</v>
      </c>
      <c r="R1227" t="str">
        <f>IF(Sales[[#This Row],[Current Upsell $]]&gt;0,_xlfn.CONCAT(Sales[[#This Row],[Subscription Type]]," ",Sales[[#This Row],[Upsell Priority]]," ",TEXT(Sales[[#This Row],[Current Upsell $]],"$#,#")),"")</f>
        <v>Premium Low $90</v>
      </c>
    </row>
    <row r="1228" spans="1:18" x14ac:dyDescent="0.25">
      <c r="A1228">
        <v>100120</v>
      </c>
      <c r="B1228" t="s">
        <v>3</v>
      </c>
      <c r="D1228" s="1"/>
      <c r="E1228" s="1"/>
      <c r="F1228">
        <v>0</v>
      </c>
      <c r="G1228">
        <v>21</v>
      </c>
      <c r="H1228" s="1">
        <v>44075</v>
      </c>
      <c r="I1228" s="1">
        <v>44378</v>
      </c>
      <c r="J1228">
        <v>10</v>
      </c>
      <c r="K1228">
        <v>0</v>
      </c>
      <c r="L1228" s="1">
        <v>44075</v>
      </c>
      <c r="M1228">
        <v>0</v>
      </c>
      <c r="N1228" s="8" cm="1">
        <f t="array" ref="N1228">_xlfn.SWITCH(Sales[[#This Row],[Subscription Type]],"Basic",10,"Premium",10,"Business",25,"Enterprise",27)</f>
        <v>10</v>
      </c>
      <c r="O1228">
        <f>IF(Sales[[#This Row],[Number of Users]]-Sales[[#This Row],[Licenses Bought]]&lt;0,0,Sales[[#This Row],[Number of Users]]-Sales[[#This Row],[Licenses Bought]])</f>
        <v>21</v>
      </c>
      <c r="P1228" s="8">
        <f>IF(Sales[[#This Row],[Sales Month]]=MAX(Sales[Sales Month]),Sales[[#This Row],[Non-Paying Users]]*Sales[[#This Row],[Upsell $ per Non-Paying User]],0)</f>
        <v>0</v>
      </c>
      <c r="Q1228" t="str" cm="1">
        <f t="array" ref="Q1228">_xlfn.IFS(Sales[[#This Row],[Current Upsell $]]=0,"",Sales[[#This Row],[Current Upsell $]]&gt;=400,"High",Sales[[#This Row],[Current Upsell $]]&gt;=100,"Medium",Sales[[#This Row],[Current Upsell $]]&lt;100,"Low")</f>
        <v/>
      </c>
      <c r="R1228" t="str">
        <f>IF(Sales[[#This Row],[Current Upsell $]]&gt;0,_xlfn.CONCAT(Sales[[#This Row],[Subscription Type]]," ",Sales[[#This Row],[Upsell Priority]]," ",TEXT(Sales[[#This Row],[Current Upsell $]],"$#,#")),"")</f>
        <v/>
      </c>
    </row>
    <row r="1229" spans="1:18" x14ac:dyDescent="0.25">
      <c r="A1229">
        <v>100120</v>
      </c>
      <c r="B1229" t="s">
        <v>1</v>
      </c>
      <c r="D1229" s="1"/>
      <c r="E1229" s="1"/>
      <c r="F1229">
        <v>14</v>
      </c>
      <c r="G1229">
        <v>22</v>
      </c>
      <c r="H1229" s="1">
        <v>44075</v>
      </c>
      <c r="I1229" s="1">
        <v>44378</v>
      </c>
      <c r="J1229">
        <v>10</v>
      </c>
      <c r="K1229">
        <v>0</v>
      </c>
      <c r="L1229" s="1">
        <v>44105</v>
      </c>
      <c r="M1229">
        <v>350</v>
      </c>
      <c r="N1229" s="8" cm="1">
        <f t="array" ref="N1229">_xlfn.SWITCH(Sales[[#This Row],[Subscription Type]],"Basic",10,"Premium",10,"Business",25,"Enterprise",27)</f>
        <v>25</v>
      </c>
      <c r="O1229">
        <f>IF(Sales[[#This Row],[Number of Users]]-Sales[[#This Row],[Licenses Bought]]&lt;0,0,Sales[[#This Row],[Number of Users]]-Sales[[#This Row],[Licenses Bought]])</f>
        <v>8</v>
      </c>
      <c r="P1229" s="8">
        <f>IF(Sales[[#This Row],[Sales Month]]=MAX(Sales[Sales Month]),Sales[[#This Row],[Non-Paying Users]]*Sales[[#This Row],[Upsell $ per Non-Paying User]],0)</f>
        <v>0</v>
      </c>
      <c r="Q1229" t="str" cm="1">
        <f t="array" ref="Q1229">_xlfn.IFS(Sales[[#This Row],[Current Upsell $]]=0,"",Sales[[#This Row],[Current Upsell $]]&gt;=400,"High",Sales[[#This Row],[Current Upsell $]]&gt;=100,"Medium",Sales[[#This Row],[Current Upsell $]]&lt;100,"Low")</f>
        <v/>
      </c>
      <c r="R1229" t="str">
        <f>IF(Sales[[#This Row],[Current Upsell $]]&gt;0,_xlfn.CONCAT(Sales[[#This Row],[Subscription Type]]," ",Sales[[#This Row],[Upsell Priority]]," ",TEXT(Sales[[#This Row],[Current Upsell $]],"$#,#")),"")</f>
        <v/>
      </c>
    </row>
    <row r="1230" spans="1:18" x14ac:dyDescent="0.25">
      <c r="A1230">
        <v>100120</v>
      </c>
      <c r="B1230" t="s">
        <v>1</v>
      </c>
      <c r="D1230" s="1"/>
      <c r="E1230" s="1"/>
      <c r="F1230">
        <v>9</v>
      </c>
      <c r="G1230">
        <v>21</v>
      </c>
      <c r="H1230" s="1">
        <v>44075</v>
      </c>
      <c r="I1230" s="1">
        <v>44378</v>
      </c>
      <c r="J1230">
        <v>10</v>
      </c>
      <c r="K1230">
        <v>0</v>
      </c>
      <c r="L1230" s="1">
        <v>44136</v>
      </c>
      <c r="M1230">
        <v>225</v>
      </c>
      <c r="N1230" s="8" cm="1">
        <f t="array" ref="N1230">_xlfn.SWITCH(Sales[[#This Row],[Subscription Type]],"Basic",10,"Premium",10,"Business",25,"Enterprise",27)</f>
        <v>25</v>
      </c>
      <c r="O1230">
        <f>IF(Sales[[#This Row],[Number of Users]]-Sales[[#This Row],[Licenses Bought]]&lt;0,0,Sales[[#This Row],[Number of Users]]-Sales[[#This Row],[Licenses Bought]])</f>
        <v>12</v>
      </c>
      <c r="P1230" s="8">
        <f>IF(Sales[[#This Row],[Sales Month]]=MAX(Sales[Sales Month]),Sales[[#This Row],[Non-Paying Users]]*Sales[[#This Row],[Upsell $ per Non-Paying User]],0)</f>
        <v>0</v>
      </c>
      <c r="Q1230" t="str" cm="1">
        <f t="array" ref="Q1230">_xlfn.IFS(Sales[[#This Row],[Current Upsell $]]=0,"",Sales[[#This Row],[Current Upsell $]]&gt;=400,"High",Sales[[#This Row],[Current Upsell $]]&gt;=100,"Medium",Sales[[#This Row],[Current Upsell $]]&lt;100,"Low")</f>
        <v/>
      </c>
      <c r="R1230" t="str">
        <f>IF(Sales[[#This Row],[Current Upsell $]]&gt;0,_xlfn.CONCAT(Sales[[#This Row],[Subscription Type]]," ",Sales[[#This Row],[Upsell Priority]]," ",TEXT(Sales[[#This Row],[Current Upsell $]],"$#,#")),"")</f>
        <v/>
      </c>
    </row>
    <row r="1231" spans="1:18" x14ac:dyDescent="0.25">
      <c r="A1231">
        <v>100120</v>
      </c>
      <c r="B1231" t="s">
        <v>1</v>
      </c>
      <c r="D1231" s="1"/>
      <c r="E1231" s="1"/>
      <c r="F1231">
        <v>16</v>
      </c>
      <c r="G1231">
        <v>26</v>
      </c>
      <c r="H1231" s="1">
        <v>44075</v>
      </c>
      <c r="I1231" s="1">
        <v>44378</v>
      </c>
      <c r="J1231">
        <v>10</v>
      </c>
      <c r="K1231">
        <v>0</v>
      </c>
      <c r="L1231" s="1">
        <v>44166</v>
      </c>
      <c r="M1231">
        <v>400</v>
      </c>
      <c r="N1231" s="8" cm="1">
        <f t="array" ref="N1231">_xlfn.SWITCH(Sales[[#This Row],[Subscription Type]],"Basic",10,"Premium",10,"Business",25,"Enterprise",27)</f>
        <v>25</v>
      </c>
      <c r="O1231">
        <f>IF(Sales[[#This Row],[Number of Users]]-Sales[[#This Row],[Licenses Bought]]&lt;0,0,Sales[[#This Row],[Number of Users]]-Sales[[#This Row],[Licenses Bought]])</f>
        <v>10</v>
      </c>
      <c r="P1231" s="8">
        <f>IF(Sales[[#This Row],[Sales Month]]=MAX(Sales[Sales Month]),Sales[[#This Row],[Non-Paying Users]]*Sales[[#This Row],[Upsell $ per Non-Paying User]],0)</f>
        <v>0</v>
      </c>
      <c r="Q1231" t="str" cm="1">
        <f t="array" ref="Q1231">_xlfn.IFS(Sales[[#This Row],[Current Upsell $]]=0,"",Sales[[#This Row],[Current Upsell $]]&gt;=400,"High",Sales[[#This Row],[Current Upsell $]]&gt;=100,"Medium",Sales[[#This Row],[Current Upsell $]]&lt;100,"Low")</f>
        <v/>
      </c>
      <c r="R1231" t="str">
        <f>IF(Sales[[#This Row],[Current Upsell $]]&gt;0,_xlfn.CONCAT(Sales[[#This Row],[Subscription Type]]," ",Sales[[#This Row],[Upsell Priority]]," ",TEXT(Sales[[#This Row],[Current Upsell $]],"$#,#")),"")</f>
        <v/>
      </c>
    </row>
    <row r="1232" spans="1:18" x14ac:dyDescent="0.25">
      <c r="A1232">
        <v>100120</v>
      </c>
      <c r="B1232" t="s">
        <v>1</v>
      </c>
      <c r="D1232" s="1"/>
      <c r="E1232" s="1"/>
      <c r="F1232">
        <v>16</v>
      </c>
      <c r="G1232">
        <v>17</v>
      </c>
      <c r="H1232" s="1">
        <v>44075</v>
      </c>
      <c r="I1232" s="1">
        <v>44378</v>
      </c>
      <c r="J1232">
        <v>10</v>
      </c>
      <c r="K1232">
        <v>0</v>
      </c>
      <c r="L1232" s="1">
        <v>44197</v>
      </c>
      <c r="M1232">
        <v>400</v>
      </c>
      <c r="N1232" s="8" cm="1">
        <f t="array" ref="N1232">_xlfn.SWITCH(Sales[[#This Row],[Subscription Type]],"Basic",10,"Premium",10,"Business",25,"Enterprise",27)</f>
        <v>25</v>
      </c>
      <c r="O1232">
        <f>IF(Sales[[#This Row],[Number of Users]]-Sales[[#This Row],[Licenses Bought]]&lt;0,0,Sales[[#This Row],[Number of Users]]-Sales[[#This Row],[Licenses Bought]])</f>
        <v>1</v>
      </c>
      <c r="P1232" s="8">
        <f>IF(Sales[[#This Row],[Sales Month]]=MAX(Sales[Sales Month]),Sales[[#This Row],[Non-Paying Users]]*Sales[[#This Row],[Upsell $ per Non-Paying User]],0)</f>
        <v>0</v>
      </c>
      <c r="Q1232" t="str" cm="1">
        <f t="array" ref="Q1232">_xlfn.IFS(Sales[[#This Row],[Current Upsell $]]=0,"",Sales[[#This Row],[Current Upsell $]]&gt;=400,"High",Sales[[#This Row],[Current Upsell $]]&gt;=100,"Medium",Sales[[#This Row],[Current Upsell $]]&lt;100,"Low")</f>
        <v/>
      </c>
      <c r="R1232" t="str">
        <f>IF(Sales[[#This Row],[Current Upsell $]]&gt;0,_xlfn.CONCAT(Sales[[#This Row],[Subscription Type]]," ",Sales[[#This Row],[Upsell Priority]]," ",TEXT(Sales[[#This Row],[Current Upsell $]],"$#,#")),"")</f>
        <v/>
      </c>
    </row>
    <row r="1233" spans="1:18" x14ac:dyDescent="0.25">
      <c r="A1233">
        <v>100120</v>
      </c>
      <c r="B1233" t="s">
        <v>1</v>
      </c>
      <c r="D1233" s="1"/>
      <c r="E1233" s="1"/>
      <c r="F1233">
        <v>16</v>
      </c>
      <c r="G1233">
        <v>22</v>
      </c>
      <c r="H1233" s="1">
        <v>44075</v>
      </c>
      <c r="I1233" s="1">
        <v>44378</v>
      </c>
      <c r="J1233">
        <v>10</v>
      </c>
      <c r="K1233">
        <v>0</v>
      </c>
      <c r="L1233" s="1">
        <v>44228</v>
      </c>
      <c r="M1233">
        <v>400</v>
      </c>
      <c r="N1233" s="8" cm="1">
        <f t="array" ref="N1233">_xlfn.SWITCH(Sales[[#This Row],[Subscription Type]],"Basic",10,"Premium",10,"Business",25,"Enterprise",27)</f>
        <v>25</v>
      </c>
      <c r="O1233">
        <f>IF(Sales[[#This Row],[Number of Users]]-Sales[[#This Row],[Licenses Bought]]&lt;0,0,Sales[[#This Row],[Number of Users]]-Sales[[#This Row],[Licenses Bought]])</f>
        <v>6</v>
      </c>
      <c r="P1233" s="8">
        <f>IF(Sales[[#This Row],[Sales Month]]=MAX(Sales[Sales Month]),Sales[[#This Row],[Non-Paying Users]]*Sales[[#This Row],[Upsell $ per Non-Paying User]],0)</f>
        <v>0</v>
      </c>
      <c r="Q1233" t="str" cm="1">
        <f t="array" ref="Q1233">_xlfn.IFS(Sales[[#This Row],[Current Upsell $]]=0,"",Sales[[#This Row],[Current Upsell $]]&gt;=400,"High",Sales[[#This Row],[Current Upsell $]]&gt;=100,"Medium",Sales[[#This Row],[Current Upsell $]]&lt;100,"Low")</f>
        <v/>
      </c>
      <c r="R1233" t="str">
        <f>IF(Sales[[#This Row],[Current Upsell $]]&gt;0,_xlfn.CONCAT(Sales[[#This Row],[Subscription Type]]," ",Sales[[#This Row],[Upsell Priority]]," ",TEXT(Sales[[#This Row],[Current Upsell $]],"$#,#")),"")</f>
        <v/>
      </c>
    </row>
    <row r="1234" spans="1:18" x14ac:dyDescent="0.25">
      <c r="A1234">
        <v>100120</v>
      </c>
      <c r="B1234" t="s">
        <v>1</v>
      </c>
      <c r="D1234" s="1"/>
      <c r="E1234" s="1"/>
      <c r="F1234">
        <v>16</v>
      </c>
      <c r="G1234">
        <v>24</v>
      </c>
      <c r="H1234" s="1">
        <v>44075</v>
      </c>
      <c r="I1234" s="1">
        <v>44378</v>
      </c>
      <c r="J1234">
        <v>10</v>
      </c>
      <c r="K1234">
        <v>0</v>
      </c>
      <c r="L1234" s="1">
        <v>44256</v>
      </c>
      <c r="M1234">
        <v>400</v>
      </c>
      <c r="N1234" s="8" cm="1">
        <f t="array" ref="N1234">_xlfn.SWITCH(Sales[[#This Row],[Subscription Type]],"Basic",10,"Premium",10,"Business",25,"Enterprise",27)</f>
        <v>25</v>
      </c>
      <c r="O1234">
        <f>IF(Sales[[#This Row],[Number of Users]]-Sales[[#This Row],[Licenses Bought]]&lt;0,0,Sales[[#This Row],[Number of Users]]-Sales[[#This Row],[Licenses Bought]])</f>
        <v>8</v>
      </c>
      <c r="P1234" s="8">
        <f>IF(Sales[[#This Row],[Sales Month]]=MAX(Sales[Sales Month]),Sales[[#This Row],[Non-Paying Users]]*Sales[[#This Row],[Upsell $ per Non-Paying User]],0)</f>
        <v>0</v>
      </c>
      <c r="Q1234" t="str" cm="1">
        <f t="array" ref="Q1234">_xlfn.IFS(Sales[[#This Row],[Current Upsell $]]=0,"",Sales[[#This Row],[Current Upsell $]]&gt;=400,"High",Sales[[#This Row],[Current Upsell $]]&gt;=100,"Medium",Sales[[#This Row],[Current Upsell $]]&lt;100,"Low")</f>
        <v/>
      </c>
      <c r="R1234" t="str">
        <f>IF(Sales[[#This Row],[Current Upsell $]]&gt;0,_xlfn.CONCAT(Sales[[#This Row],[Subscription Type]]," ",Sales[[#This Row],[Upsell Priority]]," ",TEXT(Sales[[#This Row],[Current Upsell $]],"$#,#")),"")</f>
        <v/>
      </c>
    </row>
    <row r="1235" spans="1:18" x14ac:dyDescent="0.25">
      <c r="A1235">
        <v>100120</v>
      </c>
      <c r="B1235" t="s">
        <v>1</v>
      </c>
      <c r="D1235" s="1"/>
      <c r="E1235" s="1"/>
      <c r="F1235">
        <v>16</v>
      </c>
      <c r="G1235">
        <v>21</v>
      </c>
      <c r="H1235" s="1">
        <v>44075</v>
      </c>
      <c r="I1235" s="1">
        <v>44378</v>
      </c>
      <c r="J1235">
        <v>10</v>
      </c>
      <c r="K1235">
        <v>0</v>
      </c>
      <c r="L1235" s="1">
        <v>44287</v>
      </c>
      <c r="M1235">
        <v>400</v>
      </c>
      <c r="N1235" s="8" cm="1">
        <f t="array" ref="N1235">_xlfn.SWITCH(Sales[[#This Row],[Subscription Type]],"Basic",10,"Premium",10,"Business",25,"Enterprise",27)</f>
        <v>25</v>
      </c>
      <c r="O1235">
        <f>IF(Sales[[#This Row],[Number of Users]]-Sales[[#This Row],[Licenses Bought]]&lt;0,0,Sales[[#This Row],[Number of Users]]-Sales[[#This Row],[Licenses Bought]])</f>
        <v>5</v>
      </c>
      <c r="P1235" s="8">
        <f>IF(Sales[[#This Row],[Sales Month]]=MAX(Sales[Sales Month]),Sales[[#This Row],[Non-Paying Users]]*Sales[[#This Row],[Upsell $ per Non-Paying User]],0)</f>
        <v>0</v>
      </c>
      <c r="Q1235" t="str" cm="1">
        <f t="array" ref="Q1235">_xlfn.IFS(Sales[[#This Row],[Current Upsell $]]=0,"",Sales[[#This Row],[Current Upsell $]]&gt;=400,"High",Sales[[#This Row],[Current Upsell $]]&gt;=100,"Medium",Sales[[#This Row],[Current Upsell $]]&lt;100,"Low")</f>
        <v/>
      </c>
      <c r="R1235" t="str">
        <f>IF(Sales[[#This Row],[Current Upsell $]]&gt;0,_xlfn.CONCAT(Sales[[#This Row],[Subscription Type]]," ",Sales[[#This Row],[Upsell Priority]]," ",TEXT(Sales[[#This Row],[Current Upsell $]],"$#,#")),"")</f>
        <v/>
      </c>
    </row>
    <row r="1236" spans="1:18" x14ac:dyDescent="0.25">
      <c r="A1236">
        <v>100120</v>
      </c>
      <c r="B1236" t="s">
        <v>1</v>
      </c>
      <c r="D1236" s="1"/>
      <c r="E1236" s="1"/>
      <c r="F1236">
        <v>16</v>
      </c>
      <c r="G1236">
        <v>22</v>
      </c>
      <c r="H1236" s="1">
        <v>44075</v>
      </c>
      <c r="I1236" s="1">
        <v>44378</v>
      </c>
      <c r="J1236">
        <v>10</v>
      </c>
      <c r="K1236">
        <v>0</v>
      </c>
      <c r="L1236" s="1">
        <v>44317</v>
      </c>
      <c r="M1236">
        <v>400</v>
      </c>
      <c r="N1236" s="8" cm="1">
        <f t="array" ref="N1236">_xlfn.SWITCH(Sales[[#This Row],[Subscription Type]],"Basic",10,"Premium",10,"Business",25,"Enterprise",27)</f>
        <v>25</v>
      </c>
      <c r="O1236">
        <f>IF(Sales[[#This Row],[Number of Users]]-Sales[[#This Row],[Licenses Bought]]&lt;0,0,Sales[[#This Row],[Number of Users]]-Sales[[#This Row],[Licenses Bought]])</f>
        <v>6</v>
      </c>
      <c r="P1236" s="8">
        <f>IF(Sales[[#This Row],[Sales Month]]=MAX(Sales[Sales Month]),Sales[[#This Row],[Non-Paying Users]]*Sales[[#This Row],[Upsell $ per Non-Paying User]],0)</f>
        <v>0</v>
      </c>
      <c r="Q1236" t="str" cm="1">
        <f t="array" ref="Q1236">_xlfn.IFS(Sales[[#This Row],[Current Upsell $]]=0,"",Sales[[#This Row],[Current Upsell $]]&gt;=400,"High",Sales[[#This Row],[Current Upsell $]]&gt;=100,"Medium",Sales[[#This Row],[Current Upsell $]]&lt;100,"Low")</f>
        <v/>
      </c>
      <c r="R1236" t="str">
        <f>IF(Sales[[#This Row],[Current Upsell $]]&gt;0,_xlfn.CONCAT(Sales[[#This Row],[Subscription Type]]," ",Sales[[#This Row],[Upsell Priority]]," ",TEXT(Sales[[#This Row],[Current Upsell $]],"$#,#")),"")</f>
        <v/>
      </c>
    </row>
    <row r="1237" spans="1:18" x14ac:dyDescent="0.25">
      <c r="A1237">
        <v>100120</v>
      </c>
      <c r="B1237" t="s">
        <v>1</v>
      </c>
      <c r="D1237" s="1"/>
      <c r="E1237" s="1"/>
      <c r="F1237">
        <v>16</v>
      </c>
      <c r="G1237">
        <v>21</v>
      </c>
      <c r="H1237" s="1">
        <v>44075</v>
      </c>
      <c r="I1237" s="1">
        <v>44378</v>
      </c>
      <c r="J1237">
        <v>10</v>
      </c>
      <c r="K1237">
        <v>0</v>
      </c>
      <c r="L1237" s="1">
        <v>44348</v>
      </c>
      <c r="M1237">
        <v>400</v>
      </c>
      <c r="N1237" s="8" cm="1">
        <f t="array" ref="N1237">_xlfn.SWITCH(Sales[[#This Row],[Subscription Type]],"Basic",10,"Premium",10,"Business",25,"Enterprise",27)</f>
        <v>25</v>
      </c>
      <c r="O1237">
        <f>IF(Sales[[#This Row],[Number of Users]]-Sales[[#This Row],[Licenses Bought]]&lt;0,0,Sales[[#This Row],[Number of Users]]-Sales[[#This Row],[Licenses Bought]])</f>
        <v>5</v>
      </c>
      <c r="P1237" s="8">
        <f>IF(Sales[[#This Row],[Sales Month]]=MAX(Sales[Sales Month]),Sales[[#This Row],[Non-Paying Users]]*Sales[[#This Row],[Upsell $ per Non-Paying User]],0)</f>
        <v>125</v>
      </c>
      <c r="Q1237" t="str" cm="1">
        <f t="array" ref="Q1237">_xlfn.IFS(Sales[[#This Row],[Current Upsell $]]=0,"",Sales[[#This Row],[Current Upsell $]]&gt;=400,"High",Sales[[#This Row],[Current Upsell $]]&gt;=100,"Medium",Sales[[#This Row],[Current Upsell $]]&lt;100,"Low")</f>
        <v>Medium</v>
      </c>
      <c r="R1237" t="str">
        <f>IF(Sales[[#This Row],[Current Upsell $]]&gt;0,_xlfn.CONCAT(Sales[[#This Row],[Subscription Type]]," ",Sales[[#This Row],[Upsell Priority]]," ",TEXT(Sales[[#This Row],[Current Upsell $]],"$#,#")),"")</f>
        <v>Business Medium $125</v>
      </c>
    </row>
    <row r="1238" spans="1:18" x14ac:dyDescent="0.25">
      <c r="A1238">
        <v>100121</v>
      </c>
      <c r="B1238" t="s">
        <v>3</v>
      </c>
      <c r="D1238" s="1"/>
      <c r="E1238" s="1"/>
      <c r="F1238">
        <v>0</v>
      </c>
      <c r="G1238">
        <v>21</v>
      </c>
      <c r="H1238" s="1">
        <v>44075</v>
      </c>
      <c r="I1238" s="1">
        <v>44378</v>
      </c>
      <c r="J1238">
        <v>10</v>
      </c>
      <c r="K1238">
        <v>0</v>
      </c>
      <c r="L1238" s="1">
        <v>44075</v>
      </c>
      <c r="M1238">
        <v>0</v>
      </c>
      <c r="N1238" s="8" cm="1">
        <f t="array" ref="N1238">_xlfn.SWITCH(Sales[[#This Row],[Subscription Type]],"Basic",10,"Premium",10,"Business",25,"Enterprise",27)</f>
        <v>10</v>
      </c>
      <c r="O1238">
        <f>IF(Sales[[#This Row],[Number of Users]]-Sales[[#This Row],[Licenses Bought]]&lt;0,0,Sales[[#This Row],[Number of Users]]-Sales[[#This Row],[Licenses Bought]])</f>
        <v>21</v>
      </c>
      <c r="P1238" s="8">
        <f>IF(Sales[[#This Row],[Sales Month]]=MAX(Sales[Sales Month]),Sales[[#This Row],[Non-Paying Users]]*Sales[[#This Row],[Upsell $ per Non-Paying User]],0)</f>
        <v>0</v>
      </c>
      <c r="Q1238" t="str" cm="1">
        <f t="array" ref="Q1238">_xlfn.IFS(Sales[[#This Row],[Current Upsell $]]=0,"",Sales[[#This Row],[Current Upsell $]]&gt;=400,"High",Sales[[#This Row],[Current Upsell $]]&gt;=100,"Medium",Sales[[#This Row],[Current Upsell $]]&lt;100,"Low")</f>
        <v/>
      </c>
      <c r="R1238" t="str">
        <f>IF(Sales[[#This Row],[Current Upsell $]]&gt;0,_xlfn.CONCAT(Sales[[#This Row],[Subscription Type]]," ",Sales[[#This Row],[Upsell Priority]]," ",TEXT(Sales[[#This Row],[Current Upsell $]],"$#,#")),"")</f>
        <v/>
      </c>
    </row>
    <row r="1239" spans="1:18" x14ac:dyDescent="0.25">
      <c r="A1239">
        <v>100121</v>
      </c>
      <c r="B1239" t="s">
        <v>1</v>
      </c>
      <c r="D1239" s="1"/>
      <c r="E1239" s="1"/>
      <c r="F1239">
        <v>13</v>
      </c>
      <c r="G1239">
        <v>17</v>
      </c>
      <c r="H1239" s="1">
        <v>44075</v>
      </c>
      <c r="I1239" s="1">
        <v>44378</v>
      </c>
      <c r="J1239">
        <v>10</v>
      </c>
      <c r="K1239">
        <v>0</v>
      </c>
      <c r="L1239" s="1">
        <v>44105</v>
      </c>
      <c r="M1239">
        <v>325</v>
      </c>
      <c r="N1239" s="8" cm="1">
        <f t="array" ref="N1239">_xlfn.SWITCH(Sales[[#This Row],[Subscription Type]],"Basic",10,"Premium",10,"Business",25,"Enterprise",27)</f>
        <v>25</v>
      </c>
      <c r="O1239">
        <f>IF(Sales[[#This Row],[Number of Users]]-Sales[[#This Row],[Licenses Bought]]&lt;0,0,Sales[[#This Row],[Number of Users]]-Sales[[#This Row],[Licenses Bought]])</f>
        <v>4</v>
      </c>
      <c r="P1239" s="8">
        <f>IF(Sales[[#This Row],[Sales Month]]=MAX(Sales[Sales Month]),Sales[[#This Row],[Non-Paying Users]]*Sales[[#This Row],[Upsell $ per Non-Paying User]],0)</f>
        <v>0</v>
      </c>
      <c r="Q1239" t="str" cm="1">
        <f t="array" ref="Q1239">_xlfn.IFS(Sales[[#This Row],[Current Upsell $]]=0,"",Sales[[#This Row],[Current Upsell $]]&gt;=400,"High",Sales[[#This Row],[Current Upsell $]]&gt;=100,"Medium",Sales[[#This Row],[Current Upsell $]]&lt;100,"Low")</f>
        <v/>
      </c>
      <c r="R1239" t="str">
        <f>IF(Sales[[#This Row],[Current Upsell $]]&gt;0,_xlfn.CONCAT(Sales[[#This Row],[Subscription Type]]," ",Sales[[#This Row],[Upsell Priority]]," ",TEXT(Sales[[#This Row],[Current Upsell $]],"$#,#")),"")</f>
        <v/>
      </c>
    </row>
    <row r="1240" spans="1:18" x14ac:dyDescent="0.25">
      <c r="A1240">
        <v>100121</v>
      </c>
      <c r="B1240" t="s">
        <v>1</v>
      </c>
      <c r="D1240" s="1"/>
      <c r="E1240" s="1"/>
      <c r="F1240">
        <v>9</v>
      </c>
      <c r="G1240">
        <v>18</v>
      </c>
      <c r="H1240" s="1">
        <v>44075</v>
      </c>
      <c r="I1240" s="1">
        <v>44378</v>
      </c>
      <c r="J1240">
        <v>10</v>
      </c>
      <c r="K1240">
        <v>0</v>
      </c>
      <c r="L1240" s="1">
        <v>44136</v>
      </c>
      <c r="M1240">
        <v>225</v>
      </c>
      <c r="N1240" s="8" cm="1">
        <f t="array" ref="N1240">_xlfn.SWITCH(Sales[[#This Row],[Subscription Type]],"Basic",10,"Premium",10,"Business",25,"Enterprise",27)</f>
        <v>25</v>
      </c>
      <c r="O1240">
        <f>IF(Sales[[#This Row],[Number of Users]]-Sales[[#This Row],[Licenses Bought]]&lt;0,0,Sales[[#This Row],[Number of Users]]-Sales[[#This Row],[Licenses Bought]])</f>
        <v>9</v>
      </c>
      <c r="P1240" s="8">
        <f>IF(Sales[[#This Row],[Sales Month]]=MAX(Sales[Sales Month]),Sales[[#This Row],[Non-Paying Users]]*Sales[[#This Row],[Upsell $ per Non-Paying User]],0)</f>
        <v>0</v>
      </c>
      <c r="Q1240" t="str" cm="1">
        <f t="array" ref="Q1240">_xlfn.IFS(Sales[[#This Row],[Current Upsell $]]=0,"",Sales[[#This Row],[Current Upsell $]]&gt;=400,"High",Sales[[#This Row],[Current Upsell $]]&gt;=100,"Medium",Sales[[#This Row],[Current Upsell $]]&lt;100,"Low")</f>
        <v/>
      </c>
      <c r="R1240" t="str">
        <f>IF(Sales[[#This Row],[Current Upsell $]]&gt;0,_xlfn.CONCAT(Sales[[#This Row],[Subscription Type]]," ",Sales[[#This Row],[Upsell Priority]]," ",TEXT(Sales[[#This Row],[Current Upsell $]],"$#,#")),"")</f>
        <v/>
      </c>
    </row>
    <row r="1241" spans="1:18" x14ac:dyDescent="0.25">
      <c r="A1241">
        <v>100121</v>
      </c>
      <c r="B1241" t="s">
        <v>1</v>
      </c>
      <c r="D1241" s="1"/>
      <c r="E1241" s="1"/>
      <c r="F1241">
        <v>16</v>
      </c>
      <c r="G1241">
        <v>19</v>
      </c>
      <c r="H1241" s="1">
        <v>44075</v>
      </c>
      <c r="I1241" s="1">
        <v>44378</v>
      </c>
      <c r="J1241">
        <v>10</v>
      </c>
      <c r="K1241">
        <v>0</v>
      </c>
      <c r="L1241" s="1">
        <v>44166</v>
      </c>
      <c r="M1241">
        <v>400</v>
      </c>
      <c r="N1241" s="8" cm="1">
        <f t="array" ref="N1241">_xlfn.SWITCH(Sales[[#This Row],[Subscription Type]],"Basic",10,"Premium",10,"Business",25,"Enterprise",27)</f>
        <v>25</v>
      </c>
      <c r="O1241">
        <f>IF(Sales[[#This Row],[Number of Users]]-Sales[[#This Row],[Licenses Bought]]&lt;0,0,Sales[[#This Row],[Number of Users]]-Sales[[#This Row],[Licenses Bought]])</f>
        <v>3</v>
      </c>
      <c r="P1241" s="8">
        <f>IF(Sales[[#This Row],[Sales Month]]=MAX(Sales[Sales Month]),Sales[[#This Row],[Non-Paying Users]]*Sales[[#This Row],[Upsell $ per Non-Paying User]],0)</f>
        <v>0</v>
      </c>
      <c r="Q1241" t="str" cm="1">
        <f t="array" ref="Q1241">_xlfn.IFS(Sales[[#This Row],[Current Upsell $]]=0,"",Sales[[#This Row],[Current Upsell $]]&gt;=400,"High",Sales[[#This Row],[Current Upsell $]]&gt;=100,"Medium",Sales[[#This Row],[Current Upsell $]]&lt;100,"Low")</f>
        <v/>
      </c>
      <c r="R1241" t="str">
        <f>IF(Sales[[#This Row],[Current Upsell $]]&gt;0,_xlfn.CONCAT(Sales[[#This Row],[Subscription Type]]," ",Sales[[#This Row],[Upsell Priority]]," ",TEXT(Sales[[#This Row],[Current Upsell $]],"$#,#")),"")</f>
        <v/>
      </c>
    </row>
    <row r="1242" spans="1:18" x14ac:dyDescent="0.25">
      <c r="A1242">
        <v>100121</v>
      </c>
      <c r="B1242" t="s">
        <v>1</v>
      </c>
      <c r="D1242" s="1"/>
      <c r="E1242" s="1"/>
      <c r="F1242">
        <v>16</v>
      </c>
      <c r="G1242">
        <v>19</v>
      </c>
      <c r="H1242" s="1">
        <v>44075</v>
      </c>
      <c r="I1242" s="1">
        <v>44378</v>
      </c>
      <c r="J1242">
        <v>10</v>
      </c>
      <c r="K1242">
        <v>0</v>
      </c>
      <c r="L1242" s="1">
        <v>44197</v>
      </c>
      <c r="M1242">
        <v>400</v>
      </c>
      <c r="N1242" s="8" cm="1">
        <f t="array" ref="N1242">_xlfn.SWITCH(Sales[[#This Row],[Subscription Type]],"Basic",10,"Premium",10,"Business",25,"Enterprise",27)</f>
        <v>25</v>
      </c>
      <c r="O1242">
        <f>IF(Sales[[#This Row],[Number of Users]]-Sales[[#This Row],[Licenses Bought]]&lt;0,0,Sales[[#This Row],[Number of Users]]-Sales[[#This Row],[Licenses Bought]])</f>
        <v>3</v>
      </c>
      <c r="P1242" s="8">
        <f>IF(Sales[[#This Row],[Sales Month]]=MAX(Sales[Sales Month]),Sales[[#This Row],[Non-Paying Users]]*Sales[[#This Row],[Upsell $ per Non-Paying User]],0)</f>
        <v>0</v>
      </c>
      <c r="Q1242" t="str" cm="1">
        <f t="array" ref="Q1242">_xlfn.IFS(Sales[[#This Row],[Current Upsell $]]=0,"",Sales[[#This Row],[Current Upsell $]]&gt;=400,"High",Sales[[#This Row],[Current Upsell $]]&gt;=100,"Medium",Sales[[#This Row],[Current Upsell $]]&lt;100,"Low")</f>
        <v/>
      </c>
      <c r="R1242" t="str">
        <f>IF(Sales[[#This Row],[Current Upsell $]]&gt;0,_xlfn.CONCAT(Sales[[#This Row],[Subscription Type]]," ",Sales[[#This Row],[Upsell Priority]]," ",TEXT(Sales[[#This Row],[Current Upsell $]],"$#,#")),"")</f>
        <v/>
      </c>
    </row>
    <row r="1243" spans="1:18" x14ac:dyDescent="0.25">
      <c r="A1243">
        <v>100121</v>
      </c>
      <c r="B1243" t="s">
        <v>1</v>
      </c>
      <c r="D1243" s="1"/>
      <c r="E1243" s="1"/>
      <c r="F1243">
        <v>16</v>
      </c>
      <c r="G1243">
        <v>20</v>
      </c>
      <c r="H1243" s="1">
        <v>44075</v>
      </c>
      <c r="I1243" s="1">
        <v>44378</v>
      </c>
      <c r="J1243">
        <v>10</v>
      </c>
      <c r="K1243">
        <v>0</v>
      </c>
      <c r="L1243" s="1">
        <v>44228</v>
      </c>
      <c r="M1243">
        <v>400</v>
      </c>
      <c r="N1243" s="8" cm="1">
        <f t="array" ref="N1243">_xlfn.SWITCH(Sales[[#This Row],[Subscription Type]],"Basic",10,"Premium",10,"Business",25,"Enterprise",27)</f>
        <v>25</v>
      </c>
      <c r="O1243">
        <f>IF(Sales[[#This Row],[Number of Users]]-Sales[[#This Row],[Licenses Bought]]&lt;0,0,Sales[[#This Row],[Number of Users]]-Sales[[#This Row],[Licenses Bought]])</f>
        <v>4</v>
      </c>
      <c r="P1243" s="8">
        <f>IF(Sales[[#This Row],[Sales Month]]=MAX(Sales[Sales Month]),Sales[[#This Row],[Non-Paying Users]]*Sales[[#This Row],[Upsell $ per Non-Paying User]],0)</f>
        <v>0</v>
      </c>
      <c r="Q1243" t="str" cm="1">
        <f t="array" ref="Q1243">_xlfn.IFS(Sales[[#This Row],[Current Upsell $]]=0,"",Sales[[#This Row],[Current Upsell $]]&gt;=400,"High",Sales[[#This Row],[Current Upsell $]]&gt;=100,"Medium",Sales[[#This Row],[Current Upsell $]]&lt;100,"Low")</f>
        <v/>
      </c>
      <c r="R1243" t="str">
        <f>IF(Sales[[#This Row],[Current Upsell $]]&gt;0,_xlfn.CONCAT(Sales[[#This Row],[Subscription Type]]," ",Sales[[#This Row],[Upsell Priority]]," ",TEXT(Sales[[#This Row],[Current Upsell $]],"$#,#")),"")</f>
        <v/>
      </c>
    </row>
    <row r="1244" spans="1:18" x14ac:dyDescent="0.25">
      <c r="A1244">
        <v>100121</v>
      </c>
      <c r="B1244" t="s">
        <v>1</v>
      </c>
      <c r="D1244" s="1"/>
      <c r="E1244" s="1"/>
      <c r="F1244">
        <v>16</v>
      </c>
      <c r="G1244">
        <v>20</v>
      </c>
      <c r="H1244" s="1">
        <v>44075</v>
      </c>
      <c r="I1244" s="1">
        <v>44378</v>
      </c>
      <c r="J1244">
        <v>10</v>
      </c>
      <c r="K1244">
        <v>0</v>
      </c>
      <c r="L1244" s="1">
        <v>44256</v>
      </c>
      <c r="M1244">
        <v>400</v>
      </c>
      <c r="N1244" s="8" cm="1">
        <f t="array" ref="N1244">_xlfn.SWITCH(Sales[[#This Row],[Subscription Type]],"Basic",10,"Premium",10,"Business",25,"Enterprise",27)</f>
        <v>25</v>
      </c>
      <c r="O1244">
        <f>IF(Sales[[#This Row],[Number of Users]]-Sales[[#This Row],[Licenses Bought]]&lt;0,0,Sales[[#This Row],[Number of Users]]-Sales[[#This Row],[Licenses Bought]])</f>
        <v>4</v>
      </c>
      <c r="P1244" s="8">
        <f>IF(Sales[[#This Row],[Sales Month]]=MAX(Sales[Sales Month]),Sales[[#This Row],[Non-Paying Users]]*Sales[[#This Row],[Upsell $ per Non-Paying User]],0)</f>
        <v>0</v>
      </c>
      <c r="Q1244" t="str" cm="1">
        <f t="array" ref="Q1244">_xlfn.IFS(Sales[[#This Row],[Current Upsell $]]=0,"",Sales[[#This Row],[Current Upsell $]]&gt;=400,"High",Sales[[#This Row],[Current Upsell $]]&gt;=100,"Medium",Sales[[#This Row],[Current Upsell $]]&lt;100,"Low")</f>
        <v/>
      </c>
      <c r="R1244" t="str">
        <f>IF(Sales[[#This Row],[Current Upsell $]]&gt;0,_xlfn.CONCAT(Sales[[#This Row],[Subscription Type]]," ",Sales[[#This Row],[Upsell Priority]]," ",TEXT(Sales[[#This Row],[Current Upsell $]],"$#,#")),"")</f>
        <v/>
      </c>
    </row>
    <row r="1245" spans="1:18" x14ac:dyDescent="0.25">
      <c r="A1245">
        <v>100121</v>
      </c>
      <c r="B1245" t="s">
        <v>1</v>
      </c>
      <c r="D1245" s="1"/>
      <c r="E1245" s="1"/>
      <c r="F1245">
        <v>16</v>
      </c>
      <c r="G1245">
        <v>13</v>
      </c>
      <c r="H1245" s="1">
        <v>44075</v>
      </c>
      <c r="I1245" s="1">
        <v>44378</v>
      </c>
      <c r="J1245">
        <v>10</v>
      </c>
      <c r="K1245">
        <v>0</v>
      </c>
      <c r="L1245" s="1">
        <v>44287</v>
      </c>
      <c r="M1245">
        <v>400</v>
      </c>
      <c r="N1245" s="8" cm="1">
        <f t="array" ref="N1245">_xlfn.SWITCH(Sales[[#This Row],[Subscription Type]],"Basic",10,"Premium",10,"Business",25,"Enterprise",27)</f>
        <v>25</v>
      </c>
      <c r="O1245">
        <f>IF(Sales[[#This Row],[Number of Users]]-Sales[[#This Row],[Licenses Bought]]&lt;0,0,Sales[[#This Row],[Number of Users]]-Sales[[#This Row],[Licenses Bought]])</f>
        <v>0</v>
      </c>
      <c r="P1245" s="8">
        <f>IF(Sales[[#This Row],[Sales Month]]=MAX(Sales[Sales Month]),Sales[[#This Row],[Non-Paying Users]]*Sales[[#This Row],[Upsell $ per Non-Paying User]],0)</f>
        <v>0</v>
      </c>
      <c r="Q1245" t="str" cm="1">
        <f t="array" ref="Q1245">_xlfn.IFS(Sales[[#This Row],[Current Upsell $]]=0,"",Sales[[#This Row],[Current Upsell $]]&gt;=400,"High",Sales[[#This Row],[Current Upsell $]]&gt;=100,"Medium",Sales[[#This Row],[Current Upsell $]]&lt;100,"Low")</f>
        <v/>
      </c>
      <c r="R1245" t="str">
        <f>IF(Sales[[#This Row],[Current Upsell $]]&gt;0,_xlfn.CONCAT(Sales[[#This Row],[Subscription Type]]," ",Sales[[#This Row],[Upsell Priority]]," ",TEXT(Sales[[#This Row],[Current Upsell $]],"$#,#")),"")</f>
        <v/>
      </c>
    </row>
    <row r="1246" spans="1:18" x14ac:dyDescent="0.25">
      <c r="A1246">
        <v>100121</v>
      </c>
      <c r="B1246" t="s">
        <v>1</v>
      </c>
      <c r="D1246" s="1"/>
      <c r="E1246" s="1"/>
      <c r="F1246">
        <v>16</v>
      </c>
      <c r="G1246">
        <v>27</v>
      </c>
      <c r="H1246" s="1">
        <v>44075</v>
      </c>
      <c r="I1246" s="1">
        <v>44378</v>
      </c>
      <c r="J1246">
        <v>10</v>
      </c>
      <c r="K1246">
        <v>0</v>
      </c>
      <c r="L1246" s="1">
        <v>44317</v>
      </c>
      <c r="M1246">
        <v>400</v>
      </c>
      <c r="N1246" s="8" cm="1">
        <f t="array" ref="N1246">_xlfn.SWITCH(Sales[[#This Row],[Subscription Type]],"Basic",10,"Premium",10,"Business",25,"Enterprise",27)</f>
        <v>25</v>
      </c>
      <c r="O1246">
        <f>IF(Sales[[#This Row],[Number of Users]]-Sales[[#This Row],[Licenses Bought]]&lt;0,0,Sales[[#This Row],[Number of Users]]-Sales[[#This Row],[Licenses Bought]])</f>
        <v>11</v>
      </c>
      <c r="P1246" s="8">
        <f>IF(Sales[[#This Row],[Sales Month]]=MAX(Sales[Sales Month]),Sales[[#This Row],[Non-Paying Users]]*Sales[[#This Row],[Upsell $ per Non-Paying User]],0)</f>
        <v>0</v>
      </c>
      <c r="Q1246" t="str" cm="1">
        <f t="array" ref="Q1246">_xlfn.IFS(Sales[[#This Row],[Current Upsell $]]=0,"",Sales[[#This Row],[Current Upsell $]]&gt;=400,"High",Sales[[#This Row],[Current Upsell $]]&gt;=100,"Medium",Sales[[#This Row],[Current Upsell $]]&lt;100,"Low")</f>
        <v/>
      </c>
      <c r="R1246" t="str">
        <f>IF(Sales[[#This Row],[Current Upsell $]]&gt;0,_xlfn.CONCAT(Sales[[#This Row],[Subscription Type]]," ",Sales[[#This Row],[Upsell Priority]]," ",TEXT(Sales[[#This Row],[Current Upsell $]],"$#,#")),"")</f>
        <v/>
      </c>
    </row>
    <row r="1247" spans="1:18" x14ac:dyDescent="0.25">
      <c r="A1247">
        <v>100121</v>
      </c>
      <c r="B1247" t="s">
        <v>1</v>
      </c>
      <c r="D1247" s="1"/>
      <c r="E1247" s="1"/>
      <c r="F1247">
        <v>16</v>
      </c>
      <c r="G1247">
        <v>21</v>
      </c>
      <c r="H1247" s="1">
        <v>44075</v>
      </c>
      <c r="I1247" s="1">
        <v>44378</v>
      </c>
      <c r="J1247">
        <v>10</v>
      </c>
      <c r="K1247">
        <v>0</v>
      </c>
      <c r="L1247" s="1">
        <v>44348</v>
      </c>
      <c r="M1247">
        <v>400</v>
      </c>
      <c r="N1247" s="8" cm="1">
        <f t="array" ref="N1247">_xlfn.SWITCH(Sales[[#This Row],[Subscription Type]],"Basic",10,"Premium",10,"Business",25,"Enterprise",27)</f>
        <v>25</v>
      </c>
      <c r="O1247">
        <f>IF(Sales[[#This Row],[Number of Users]]-Sales[[#This Row],[Licenses Bought]]&lt;0,0,Sales[[#This Row],[Number of Users]]-Sales[[#This Row],[Licenses Bought]])</f>
        <v>5</v>
      </c>
      <c r="P1247" s="8">
        <f>IF(Sales[[#This Row],[Sales Month]]=MAX(Sales[Sales Month]),Sales[[#This Row],[Non-Paying Users]]*Sales[[#This Row],[Upsell $ per Non-Paying User]],0)</f>
        <v>125</v>
      </c>
      <c r="Q1247" t="str" cm="1">
        <f t="array" ref="Q1247">_xlfn.IFS(Sales[[#This Row],[Current Upsell $]]=0,"",Sales[[#This Row],[Current Upsell $]]&gt;=400,"High",Sales[[#This Row],[Current Upsell $]]&gt;=100,"Medium",Sales[[#This Row],[Current Upsell $]]&lt;100,"Low")</f>
        <v>Medium</v>
      </c>
      <c r="R1247" t="str">
        <f>IF(Sales[[#This Row],[Current Upsell $]]&gt;0,_xlfn.CONCAT(Sales[[#This Row],[Subscription Type]]," ",Sales[[#This Row],[Upsell Priority]]," ",TEXT(Sales[[#This Row],[Current Upsell $]],"$#,#")),"")</f>
        <v>Business Medium $125</v>
      </c>
    </row>
    <row r="1248" spans="1:18" x14ac:dyDescent="0.25">
      <c r="A1248">
        <v>100122</v>
      </c>
      <c r="B1248" t="s">
        <v>3</v>
      </c>
      <c r="D1248" s="1"/>
      <c r="E1248" s="1"/>
      <c r="F1248">
        <v>0</v>
      </c>
      <c r="G1248">
        <v>16</v>
      </c>
      <c r="H1248" s="1">
        <v>44075</v>
      </c>
      <c r="I1248" s="1">
        <v>44378</v>
      </c>
      <c r="J1248">
        <v>10</v>
      </c>
      <c r="K1248">
        <v>0</v>
      </c>
      <c r="L1248" s="1">
        <v>44075</v>
      </c>
      <c r="M1248">
        <v>0</v>
      </c>
      <c r="N1248" s="8" cm="1">
        <f t="array" ref="N1248">_xlfn.SWITCH(Sales[[#This Row],[Subscription Type]],"Basic",10,"Premium",10,"Business",25,"Enterprise",27)</f>
        <v>10</v>
      </c>
      <c r="O1248">
        <f>IF(Sales[[#This Row],[Number of Users]]-Sales[[#This Row],[Licenses Bought]]&lt;0,0,Sales[[#This Row],[Number of Users]]-Sales[[#This Row],[Licenses Bought]])</f>
        <v>16</v>
      </c>
      <c r="P1248" s="8">
        <f>IF(Sales[[#This Row],[Sales Month]]=MAX(Sales[Sales Month]),Sales[[#This Row],[Non-Paying Users]]*Sales[[#This Row],[Upsell $ per Non-Paying User]],0)</f>
        <v>0</v>
      </c>
      <c r="Q1248" t="str" cm="1">
        <f t="array" ref="Q1248">_xlfn.IFS(Sales[[#This Row],[Current Upsell $]]=0,"",Sales[[#This Row],[Current Upsell $]]&gt;=400,"High",Sales[[#This Row],[Current Upsell $]]&gt;=100,"Medium",Sales[[#This Row],[Current Upsell $]]&lt;100,"Low")</f>
        <v/>
      </c>
      <c r="R1248" t="str">
        <f>IF(Sales[[#This Row],[Current Upsell $]]&gt;0,_xlfn.CONCAT(Sales[[#This Row],[Subscription Type]]," ",Sales[[#This Row],[Upsell Priority]]," ",TEXT(Sales[[#This Row],[Current Upsell $]],"$#,#")),"")</f>
        <v/>
      </c>
    </row>
    <row r="1249" spans="1:18" x14ac:dyDescent="0.25">
      <c r="A1249">
        <v>100122</v>
      </c>
      <c r="B1249" t="s">
        <v>0</v>
      </c>
      <c r="D1249" s="1"/>
      <c r="E1249" s="1"/>
      <c r="F1249">
        <v>6</v>
      </c>
      <c r="G1249">
        <v>18</v>
      </c>
      <c r="H1249" s="1">
        <v>44075</v>
      </c>
      <c r="I1249" s="1">
        <v>44378</v>
      </c>
      <c r="J1249">
        <v>10</v>
      </c>
      <c r="K1249">
        <v>0</v>
      </c>
      <c r="L1249" s="1">
        <v>44105</v>
      </c>
      <c r="M1249">
        <v>60</v>
      </c>
      <c r="N1249" s="8" cm="1">
        <f t="array" ref="N1249">_xlfn.SWITCH(Sales[[#This Row],[Subscription Type]],"Basic",10,"Premium",10,"Business",25,"Enterprise",27)</f>
        <v>10</v>
      </c>
      <c r="O1249">
        <f>IF(Sales[[#This Row],[Number of Users]]-Sales[[#This Row],[Licenses Bought]]&lt;0,0,Sales[[#This Row],[Number of Users]]-Sales[[#This Row],[Licenses Bought]])</f>
        <v>12</v>
      </c>
      <c r="P1249" s="8">
        <f>IF(Sales[[#This Row],[Sales Month]]=MAX(Sales[Sales Month]),Sales[[#This Row],[Non-Paying Users]]*Sales[[#This Row],[Upsell $ per Non-Paying User]],0)</f>
        <v>0</v>
      </c>
      <c r="Q1249" t="str" cm="1">
        <f t="array" ref="Q1249">_xlfn.IFS(Sales[[#This Row],[Current Upsell $]]=0,"",Sales[[#This Row],[Current Upsell $]]&gt;=400,"High",Sales[[#This Row],[Current Upsell $]]&gt;=100,"Medium",Sales[[#This Row],[Current Upsell $]]&lt;100,"Low")</f>
        <v/>
      </c>
      <c r="R1249" t="str">
        <f>IF(Sales[[#This Row],[Current Upsell $]]&gt;0,_xlfn.CONCAT(Sales[[#This Row],[Subscription Type]]," ",Sales[[#This Row],[Upsell Priority]]," ",TEXT(Sales[[#This Row],[Current Upsell $]],"$#,#")),"")</f>
        <v/>
      </c>
    </row>
    <row r="1250" spans="1:18" x14ac:dyDescent="0.25">
      <c r="A1250">
        <v>100122</v>
      </c>
      <c r="B1250" t="s">
        <v>0</v>
      </c>
      <c r="D1250" s="1"/>
      <c r="E1250" s="1"/>
      <c r="F1250">
        <v>13</v>
      </c>
      <c r="G1250">
        <v>19</v>
      </c>
      <c r="H1250" s="1">
        <v>44075</v>
      </c>
      <c r="I1250" s="1">
        <v>44378</v>
      </c>
      <c r="J1250">
        <v>10</v>
      </c>
      <c r="K1250">
        <v>0</v>
      </c>
      <c r="L1250" s="1">
        <v>44136</v>
      </c>
      <c r="M1250">
        <v>130</v>
      </c>
      <c r="N1250" s="8" cm="1">
        <f t="array" ref="N1250">_xlfn.SWITCH(Sales[[#This Row],[Subscription Type]],"Basic",10,"Premium",10,"Business",25,"Enterprise",27)</f>
        <v>10</v>
      </c>
      <c r="O1250">
        <f>IF(Sales[[#This Row],[Number of Users]]-Sales[[#This Row],[Licenses Bought]]&lt;0,0,Sales[[#This Row],[Number of Users]]-Sales[[#This Row],[Licenses Bought]])</f>
        <v>6</v>
      </c>
      <c r="P1250" s="8">
        <f>IF(Sales[[#This Row],[Sales Month]]=MAX(Sales[Sales Month]),Sales[[#This Row],[Non-Paying Users]]*Sales[[#This Row],[Upsell $ per Non-Paying User]],0)</f>
        <v>0</v>
      </c>
      <c r="Q1250" t="str" cm="1">
        <f t="array" ref="Q1250">_xlfn.IFS(Sales[[#This Row],[Current Upsell $]]=0,"",Sales[[#This Row],[Current Upsell $]]&gt;=400,"High",Sales[[#This Row],[Current Upsell $]]&gt;=100,"Medium",Sales[[#This Row],[Current Upsell $]]&lt;100,"Low")</f>
        <v/>
      </c>
      <c r="R1250" t="str">
        <f>IF(Sales[[#This Row],[Current Upsell $]]&gt;0,_xlfn.CONCAT(Sales[[#This Row],[Subscription Type]]," ",Sales[[#This Row],[Upsell Priority]]," ",TEXT(Sales[[#This Row],[Current Upsell $]],"$#,#")),"")</f>
        <v/>
      </c>
    </row>
    <row r="1251" spans="1:18" x14ac:dyDescent="0.25">
      <c r="A1251">
        <v>100122</v>
      </c>
      <c r="B1251" t="s">
        <v>0</v>
      </c>
      <c r="D1251" s="1"/>
      <c r="E1251" s="1"/>
      <c r="F1251">
        <v>14</v>
      </c>
      <c r="G1251">
        <v>17</v>
      </c>
      <c r="H1251" s="1">
        <v>44075</v>
      </c>
      <c r="I1251" s="1">
        <v>44378</v>
      </c>
      <c r="J1251">
        <v>10</v>
      </c>
      <c r="K1251">
        <v>0</v>
      </c>
      <c r="L1251" s="1">
        <v>44166</v>
      </c>
      <c r="M1251">
        <v>140</v>
      </c>
      <c r="N1251" s="8" cm="1">
        <f t="array" ref="N1251">_xlfn.SWITCH(Sales[[#This Row],[Subscription Type]],"Basic",10,"Premium",10,"Business",25,"Enterprise",27)</f>
        <v>10</v>
      </c>
      <c r="O1251">
        <f>IF(Sales[[#This Row],[Number of Users]]-Sales[[#This Row],[Licenses Bought]]&lt;0,0,Sales[[#This Row],[Number of Users]]-Sales[[#This Row],[Licenses Bought]])</f>
        <v>3</v>
      </c>
      <c r="P1251" s="8">
        <f>IF(Sales[[#This Row],[Sales Month]]=MAX(Sales[Sales Month]),Sales[[#This Row],[Non-Paying Users]]*Sales[[#This Row],[Upsell $ per Non-Paying User]],0)</f>
        <v>0</v>
      </c>
      <c r="Q1251" t="str" cm="1">
        <f t="array" ref="Q1251">_xlfn.IFS(Sales[[#This Row],[Current Upsell $]]=0,"",Sales[[#This Row],[Current Upsell $]]&gt;=400,"High",Sales[[#This Row],[Current Upsell $]]&gt;=100,"Medium",Sales[[#This Row],[Current Upsell $]]&lt;100,"Low")</f>
        <v/>
      </c>
      <c r="R1251" t="str">
        <f>IF(Sales[[#This Row],[Current Upsell $]]&gt;0,_xlfn.CONCAT(Sales[[#This Row],[Subscription Type]]," ",Sales[[#This Row],[Upsell Priority]]," ",TEXT(Sales[[#This Row],[Current Upsell $]],"$#,#")),"")</f>
        <v/>
      </c>
    </row>
    <row r="1252" spans="1:18" x14ac:dyDescent="0.25">
      <c r="A1252">
        <v>100122</v>
      </c>
      <c r="B1252" t="s">
        <v>0</v>
      </c>
      <c r="D1252" s="1"/>
      <c r="E1252" s="1"/>
      <c r="F1252">
        <v>14</v>
      </c>
      <c r="G1252">
        <v>18</v>
      </c>
      <c r="H1252" s="1">
        <v>44075</v>
      </c>
      <c r="I1252" s="1">
        <v>44378</v>
      </c>
      <c r="J1252">
        <v>10</v>
      </c>
      <c r="K1252">
        <v>0</v>
      </c>
      <c r="L1252" s="1">
        <v>44197</v>
      </c>
      <c r="M1252">
        <v>140</v>
      </c>
      <c r="N1252" s="8" cm="1">
        <f t="array" ref="N1252">_xlfn.SWITCH(Sales[[#This Row],[Subscription Type]],"Basic",10,"Premium",10,"Business",25,"Enterprise",27)</f>
        <v>10</v>
      </c>
      <c r="O1252">
        <f>IF(Sales[[#This Row],[Number of Users]]-Sales[[#This Row],[Licenses Bought]]&lt;0,0,Sales[[#This Row],[Number of Users]]-Sales[[#This Row],[Licenses Bought]])</f>
        <v>4</v>
      </c>
      <c r="P1252" s="8">
        <f>IF(Sales[[#This Row],[Sales Month]]=MAX(Sales[Sales Month]),Sales[[#This Row],[Non-Paying Users]]*Sales[[#This Row],[Upsell $ per Non-Paying User]],0)</f>
        <v>0</v>
      </c>
      <c r="Q1252" t="str" cm="1">
        <f t="array" ref="Q1252">_xlfn.IFS(Sales[[#This Row],[Current Upsell $]]=0,"",Sales[[#This Row],[Current Upsell $]]&gt;=400,"High",Sales[[#This Row],[Current Upsell $]]&gt;=100,"Medium",Sales[[#This Row],[Current Upsell $]]&lt;100,"Low")</f>
        <v/>
      </c>
      <c r="R1252" t="str">
        <f>IF(Sales[[#This Row],[Current Upsell $]]&gt;0,_xlfn.CONCAT(Sales[[#This Row],[Subscription Type]]," ",Sales[[#This Row],[Upsell Priority]]," ",TEXT(Sales[[#This Row],[Current Upsell $]],"$#,#")),"")</f>
        <v/>
      </c>
    </row>
    <row r="1253" spans="1:18" x14ac:dyDescent="0.25">
      <c r="A1253">
        <v>100122</v>
      </c>
      <c r="B1253" t="s">
        <v>0</v>
      </c>
      <c r="D1253" s="1"/>
      <c r="E1253" s="1"/>
      <c r="F1253">
        <v>14</v>
      </c>
      <c r="G1253">
        <v>17</v>
      </c>
      <c r="H1253" s="1">
        <v>44075</v>
      </c>
      <c r="I1253" s="1">
        <v>44378</v>
      </c>
      <c r="J1253">
        <v>10</v>
      </c>
      <c r="K1253">
        <v>0</v>
      </c>
      <c r="L1253" s="1">
        <v>44228</v>
      </c>
      <c r="M1253">
        <v>140</v>
      </c>
      <c r="N1253" s="8" cm="1">
        <f t="array" ref="N1253">_xlfn.SWITCH(Sales[[#This Row],[Subscription Type]],"Basic",10,"Premium",10,"Business",25,"Enterprise",27)</f>
        <v>10</v>
      </c>
      <c r="O1253">
        <f>IF(Sales[[#This Row],[Number of Users]]-Sales[[#This Row],[Licenses Bought]]&lt;0,0,Sales[[#This Row],[Number of Users]]-Sales[[#This Row],[Licenses Bought]])</f>
        <v>3</v>
      </c>
      <c r="P1253" s="8">
        <f>IF(Sales[[#This Row],[Sales Month]]=MAX(Sales[Sales Month]),Sales[[#This Row],[Non-Paying Users]]*Sales[[#This Row],[Upsell $ per Non-Paying User]],0)</f>
        <v>0</v>
      </c>
      <c r="Q1253" t="str" cm="1">
        <f t="array" ref="Q1253">_xlfn.IFS(Sales[[#This Row],[Current Upsell $]]=0,"",Sales[[#This Row],[Current Upsell $]]&gt;=400,"High",Sales[[#This Row],[Current Upsell $]]&gt;=100,"Medium",Sales[[#This Row],[Current Upsell $]]&lt;100,"Low")</f>
        <v/>
      </c>
      <c r="R1253" t="str">
        <f>IF(Sales[[#This Row],[Current Upsell $]]&gt;0,_xlfn.CONCAT(Sales[[#This Row],[Subscription Type]]," ",Sales[[#This Row],[Upsell Priority]]," ",TEXT(Sales[[#This Row],[Current Upsell $]],"$#,#")),"")</f>
        <v/>
      </c>
    </row>
    <row r="1254" spans="1:18" x14ac:dyDescent="0.25">
      <c r="A1254">
        <v>100122</v>
      </c>
      <c r="B1254" t="s">
        <v>0</v>
      </c>
      <c r="D1254" s="1"/>
      <c r="E1254" s="1"/>
      <c r="F1254">
        <v>14</v>
      </c>
      <c r="G1254">
        <v>16</v>
      </c>
      <c r="H1254" s="1">
        <v>44075</v>
      </c>
      <c r="I1254" s="1">
        <v>44378</v>
      </c>
      <c r="J1254">
        <v>10</v>
      </c>
      <c r="K1254">
        <v>0</v>
      </c>
      <c r="L1254" s="1">
        <v>44256</v>
      </c>
      <c r="M1254">
        <v>140</v>
      </c>
      <c r="N1254" s="8" cm="1">
        <f t="array" ref="N1254">_xlfn.SWITCH(Sales[[#This Row],[Subscription Type]],"Basic",10,"Premium",10,"Business",25,"Enterprise",27)</f>
        <v>10</v>
      </c>
      <c r="O1254">
        <f>IF(Sales[[#This Row],[Number of Users]]-Sales[[#This Row],[Licenses Bought]]&lt;0,0,Sales[[#This Row],[Number of Users]]-Sales[[#This Row],[Licenses Bought]])</f>
        <v>2</v>
      </c>
      <c r="P1254" s="8">
        <f>IF(Sales[[#This Row],[Sales Month]]=MAX(Sales[Sales Month]),Sales[[#This Row],[Non-Paying Users]]*Sales[[#This Row],[Upsell $ per Non-Paying User]],0)</f>
        <v>0</v>
      </c>
      <c r="Q1254" t="str" cm="1">
        <f t="array" ref="Q1254">_xlfn.IFS(Sales[[#This Row],[Current Upsell $]]=0,"",Sales[[#This Row],[Current Upsell $]]&gt;=400,"High",Sales[[#This Row],[Current Upsell $]]&gt;=100,"Medium",Sales[[#This Row],[Current Upsell $]]&lt;100,"Low")</f>
        <v/>
      </c>
      <c r="R1254" t="str">
        <f>IF(Sales[[#This Row],[Current Upsell $]]&gt;0,_xlfn.CONCAT(Sales[[#This Row],[Subscription Type]]," ",Sales[[#This Row],[Upsell Priority]]," ",TEXT(Sales[[#This Row],[Current Upsell $]],"$#,#")),"")</f>
        <v/>
      </c>
    </row>
    <row r="1255" spans="1:18" x14ac:dyDescent="0.25">
      <c r="A1255">
        <v>100122</v>
      </c>
      <c r="B1255" t="s">
        <v>0</v>
      </c>
      <c r="D1255" s="1"/>
      <c r="E1255" s="1"/>
      <c r="F1255">
        <v>14</v>
      </c>
      <c r="G1255">
        <v>17</v>
      </c>
      <c r="H1255" s="1">
        <v>44075</v>
      </c>
      <c r="I1255" s="1">
        <v>44378</v>
      </c>
      <c r="J1255">
        <v>10</v>
      </c>
      <c r="K1255">
        <v>0</v>
      </c>
      <c r="L1255" s="1">
        <v>44287</v>
      </c>
      <c r="M1255">
        <v>140</v>
      </c>
      <c r="N1255" s="8" cm="1">
        <f t="array" ref="N1255">_xlfn.SWITCH(Sales[[#This Row],[Subscription Type]],"Basic",10,"Premium",10,"Business",25,"Enterprise",27)</f>
        <v>10</v>
      </c>
      <c r="O1255">
        <f>IF(Sales[[#This Row],[Number of Users]]-Sales[[#This Row],[Licenses Bought]]&lt;0,0,Sales[[#This Row],[Number of Users]]-Sales[[#This Row],[Licenses Bought]])</f>
        <v>3</v>
      </c>
      <c r="P1255" s="8">
        <f>IF(Sales[[#This Row],[Sales Month]]=MAX(Sales[Sales Month]),Sales[[#This Row],[Non-Paying Users]]*Sales[[#This Row],[Upsell $ per Non-Paying User]],0)</f>
        <v>0</v>
      </c>
      <c r="Q1255" t="str" cm="1">
        <f t="array" ref="Q1255">_xlfn.IFS(Sales[[#This Row],[Current Upsell $]]=0,"",Sales[[#This Row],[Current Upsell $]]&gt;=400,"High",Sales[[#This Row],[Current Upsell $]]&gt;=100,"Medium",Sales[[#This Row],[Current Upsell $]]&lt;100,"Low")</f>
        <v/>
      </c>
      <c r="R1255" t="str">
        <f>IF(Sales[[#This Row],[Current Upsell $]]&gt;0,_xlfn.CONCAT(Sales[[#This Row],[Subscription Type]]," ",Sales[[#This Row],[Upsell Priority]]," ",TEXT(Sales[[#This Row],[Current Upsell $]],"$#,#")),"")</f>
        <v/>
      </c>
    </row>
    <row r="1256" spans="1:18" x14ac:dyDescent="0.25">
      <c r="A1256">
        <v>100122</v>
      </c>
      <c r="B1256" t="s">
        <v>0</v>
      </c>
      <c r="D1256" s="1"/>
      <c r="E1256" s="1"/>
      <c r="F1256">
        <v>14</v>
      </c>
      <c r="G1256">
        <v>16</v>
      </c>
      <c r="H1256" s="1">
        <v>44075</v>
      </c>
      <c r="I1256" s="1">
        <v>44378</v>
      </c>
      <c r="J1256">
        <v>10</v>
      </c>
      <c r="K1256">
        <v>0</v>
      </c>
      <c r="L1256" s="1">
        <v>44317</v>
      </c>
      <c r="M1256">
        <v>140</v>
      </c>
      <c r="N1256" s="8" cm="1">
        <f t="array" ref="N1256">_xlfn.SWITCH(Sales[[#This Row],[Subscription Type]],"Basic",10,"Premium",10,"Business",25,"Enterprise",27)</f>
        <v>10</v>
      </c>
      <c r="O1256">
        <f>IF(Sales[[#This Row],[Number of Users]]-Sales[[#This Row],[Licenses Bought]]&lt;0,0,Sales[[#This Row],[Number of Users]]-Sales[[#This Row],[Licenses Bought]])</f>
        <v>2</v>
      </c>
      <c r="P1256" s="8">
        <f>IF(Sales[[#This Row],[Sales Month]]=MAX(Sales[Sales Month]),Sales[[#This Row],[Non-Paying Users]]*Sales[[#This Row],[Upsell $ per Non-Paying User]],0)</f>
        <v>0</v>
      </c>
      <c r="Q1256" t="str" cm="1">
        <f t="array" ref="Q1256">_xlfn.IFS(Sales[[#This Row],[Current Upsell $]]=0,"",Sales[[#This Row],[Current Upsell $]]&gt;=400,"High",Sales[[#This Row],[Current Upsell $]]&gt;=100,"Medium",Sales[[#This Row],[Current Upsell $]]&lt;100,"Low")</f>
        <v/>
      </c>
      <c r="R1256" t="str">
        <f>IF(Sales[[#This Row],[Current Upsell $]]&gt;0,_xlfn.CONCAT(Sales[[#This Row],[Subscription Type]]," ",Sales[[#This Row],[Upsell Priority]]," ",TEXT(Sales[[#This Row],[Current Upsell $]],"$#,#")),"")</f>
        <v/>
      </c>
    </row>
    <row r="1257" spans="1:18" x14ac:dyDescent="0.25">
      <c r="A1257">
        <v>100122</v>
      </c>
      <c r="B1257" t="s">
        <v>0</v>
      </c>
      <c r="D1257" s="1"/>
      <c r="E1257" s="1"/>
      <c r="F1257">
        <v>14</v>
      </c>
      <c r="G1257">
        <v>17</v>
      </c>
      <c r="H1257" s="1">
        <v>44075</v>
      </c>
      <c r="I1257" s="1">
        <v>44378</v>
      </c>
      <c r="J1257">
        <v>10</v>
      </c>
      <c r="K1257">
        <v>0</v>
      </c>
      <c r="L1257" s="1">
        <v>44348</v>
      </c>
      <c r="M1257">
        <v>140</v>
      </c>
      <c r="N1257" s="8" cm="1">
        <f t="array" ref="N1257">_xlfn.SWITCH(Sales[[#This Row],[Subscription Type]],"Basic",10,"Premium",10,"Business",25,"Enterprise",27)</f>
        <v>10</v>
      </c>
      <c r="O1257">
        <f>IF(Sales[[#This Row],[Number of Users]]-Sales[[#This Row],[Licenses Bought]]&lt;0,0,Sales[[#This Row],[Number of Users]]-Sales[[#This Row],[Licenses Bought]])</f>
        <v>3</v>
      </c>
      <c r="P1257" s="8">
        <f>IF(Sales[[#This Row],[Sales Month]]=MAX(Sales[Sales Month]),Sales[[#This Row],[Non-Paying Users]]*Sales[[#This Row],[Upsell $ per Non-Paying User]],0)</f>
        <v>30</v>
      </c>
      <c r="Q1257" t="str" cm="1">
        <f t="array" ref="Q1257">_xlfn.IFS(Sales[[#This Row],[Current Upsell $]]=0,"",Sales[[#This Row],[Current Upsell $]]&gt;=400,"High",Sales[[#This Row],[Current Upsell $]]&gt;=100,"Medium",Sales[[#This Row],[Current Upsell $]]&lt;100,"Low")</f>
        <v>Low</v>
      </c>
      <c r="R1257" t="str">
        <f>IF(Sales[[#This Row],[Current Upsell $]]&gt;0,_xlfn.CONCAT(Sales[[#This Row],[Subscription Type]]," ",Sales[[#This Row],[Upsell Priority]]," ",TEXT(Sales[[#This Row],[Current Upsell $]],"$#,#")),"")</f>
        <v>Premium Low $30</v>
      </c>
    </row>
    <row r="1258" spans="1:18" x14ac:dyDescent="0.25">
      <c r="A1258">
        <v>100123</v>
      </c>
      <c r="B1258" t="s">
        <v>3</v>
      </c>
      <c r="F1258">
        <v>0</v>
      </c>
      <c r="G1258">
        <v>12</v>
      </c>
      <c r="H1258" s="1">
        <v>44075</v>
      </c>
      <c r="I1258" s="1">
        <v>44136</v>
      </c>
      <c r="J1258">
        <v>2</v>
      </c>
      <c r="K1258">
        <v>7</v>
      </c>
      <c r="L1258" s="1">
        <v>44075</v>
      </c>
      <c r="M1258">
        <v>0</v>
      </c>
      <c r="N1258" s="8" cm="1">
        <f t="array" ref="N1258">_xlfn.SWITCH(Sales[[#This Row],[Subscription Type]],"Basic",10,"Premium",10,"Business",25,"Enterprise",27)</f>
        <v>10</v>
      </c>
      <c r="O1258">
        <f>IF(Sales[[#This Row],[Number of Users]]-Sales[[#This Row],[Licenses Bought]]&lt;0,0,Sales[[#This Row],[Number of Users]]-Sales[[#This Row],[Licenses Bought]])</f>
        <v>12</v>
      </c>
      <c r="P1258" s="8">
        <f>IF(Sales[[#This Row],[Sales Month]]=MAX(Sales[Sales Month]),Sales[[#This Row],[Non-Paying Users]]*Sales[[#This Row],[Upsell $ per Non-Paying User]],0)</f>
        <v>0</v>
      </c>
      <c r="Q1258" t="str" cm="1">
        <f t="array" ref="Q1258">_xlfn.IFS(Sales[[#This Row],[Current Upsell $]]=0,"",Sales[[#This Row],[Current Upsell $]]&gt;=400,"High",Sales[[#This Row],[Current Upsell $]]&gt;=100,"Medium",Sales[[#This Row],[Current Upsell $]]&lt;100,"Low")</f>
        <v/>
      </c>
      <c r="R1258" t="str">
        <f>IF(Sales[[#This Row],[Current Upsell $]]&gt;0,_xlfn.CONCAT(Sales[[#This Row],[Subscription Type]]," ",Sales[[#This Row],[Upsell Priority]]," ",TEXT(Sales[[#This Row],[Current Upsell $]],"$#,#")),"")</f>
        <v/>
      </c>
    </row>
    <row r="1259" spans="1:18" x14ac:dyDescent="0.25">
      <c r="A1259">
        <v>100123</v>
      </c>
      <c r="B1259" t="s">
        <v>3</v>
      </c>
      <c r="F1259">
        <v>0</v>
      </c>
      <c r="G1259">
        <v>13</v>
      </c>
      <c r="H1259" s="1">
        <v>44075</v>
      </c>
      <c r="I1259" s="1">
        <v>44136</v>
      </c>
      <c r="J1259">
        <v>2</v>
      </c>
      <c r="K1259">
        <v>7</v>
      </c>
      <c r="L1259" s="1">
        <v>44105</v>
      </c>
      <c r="M1259">
        <v>0</v>
      </c>
      <c r="N1259" s="8" cm="1">
        <f t="array" ref="N1259">_xlfn.SWITCH(Sales[[#This Row],[Subscription Type]],"Basic",10,"Premium",10,"Business",25,"Enterprise",27)</f>
        <v>10</v>
      </c>
      <c r="O1259">
        <f>IF(Sales[[#This Row],[Number of Users]]-Sales[[#This Row],[Licenses Bought]]&lt;0,0,Sales[[#This Row],[Number of Users]]-Sales[[#This Row],[Licenses Bought]])</f>
        <v>13</v>
      </c>
      <c r="P1259" s="8">
        <f>IF(Sales[[#This Row],[Sales Month]]=MAX(Sales[Sales Month]),Sales[[#This Row],[Non-Paying Users]]*Sales[[#This Row],[Upsell $ per Non-Paying User]],0)</f>
        <v>0</v>
      </c>
      <c r="Q1259" t="str" cm="1">
        <f t="array" ref="Q1259">_xlfn.IFS(Sales[[#This Row],[Current Upsell $]]=0,"",Sales[[#This Row],[Current Upsell $]]&gt;=400,"High",Sales[[#This Row],[Current Upsell $]]&gt;=100,"Medium",Sales[[#This Row],[Current Upsell $]]&lt;100,"Low")</f>
        <v/>
      </c>
      <c r="R1259" t="str">
        <f>IF(Sales[[#This Row],[Current Upsell $]]&gt;0,_xlfn.CONCAT(Sales[[#This Row],[Subscription Type]]," ",Sales[[#This Row],[Upsell Priority]]," ",TEXT(Sales[[#This Row],[Current Upsell $]],"$#,#")),"")</f>
        <v/>
      </c>
    </row>
    <row r="1260" spans="1:18" x14ac:dyDescent="0.25">
      <c r="A1260">
        <v>100123</v>
      </c>
      <c r="B1260" t="s">
        <v>3</v>
      </c>
      <c r="F1260">
        <v>0</v>
      </c>
      <c r="G1260">
        <v>15</v>
      </c>
      <c r="H1260" s="1">
        <v>44075</v>
      </c>
      <c r="I1260" s="1">
        <v>44136</v>
      </c>
      <c r="J1260">
        <v>2</v>
      </c>
      <c r="K1260">
        <v>7</v>
      </c>
      <c r="L1260" s="1">
        <v>44136</v>
      </c>
      <c r="M1260">
        <v>0</v>
      </c>
      <c r="N1260" s="8" cm="1">
        <f t="array" ref="N1260">_xlfn.SWITCH(Sales[[#This Row],[Subscription Type]],"Basic",10,"Premium",10,"Business",25,"Enterprise",27)</f>
        <v>10</v>
      </c>
      <c r="O1260">
        <f>IF(Sales[[#This Row],[Number of Users]]-Sales[[#This Row],[Licenses Bought]]&lt;0,0,Sales[[#This Row],[Number of Users]]-Sales[[#This Row],[Licenses Bought]])</f>
        <v>15</v>
      </c>
      <c r="P1260" s="8">
        <f>IF(Sales[[#This Row],[Sales Month]]=MAX(Sales[Sales Month]),Sales[[#This Row],[Non-Paying Users]]*Sales[[#This Row],[Upsell $ per Non-Paying User]],0)</f>
        <v>0</v>
      </c>
      <c r="Q1260" t="str" cm="1">
        <f t="array" ref="Q1260">_xlfn.IFS(Sales[[#This Row],[Current Upsell $]]=0,"",Sales[[#This Row],[Current Upsell $]]&gt;=400,"High",Sales[[#This Row],[Current Upsell $]]&gt;=100,"Medium",Sales[[#This Row],[Current Upsell $]]&lt;100,"Low")</f>
        <v/>
      </c>
      <c r="R1260" t="str">
        <f>IF(Sales[[#This Row],[Current Upsell $]]&gt;0,_xlfn.CONCAT(Sales[[#This Row],[Subscription Type]]," ",Sales[[#This Row],[Upsell Priority]]," ",TEXT(Sales[[#This Row],[Current Upsell $]],"$#,#")),"")</f>
        <v/>
      </c>
    </row>
    <row r="1261" spans="1:18" x14ac:dyDescent="0.25">
      <c r="A1261">
        <v>100124</v>
      </c>
      <c r="B1261" t="s">
        <v>3</v>
      </c>
      <c r="F1261">
        <v>0</v>
      </c>
      <c r="G1261">
        <v>14</v>
      </c>
      <c r="H1261" s="1">
        <v>44075</v>
      </c>
      <c r="I1261" s="1">
        <v>44378</v>
      </c>
      <c r="J1261">
        <v>10</v>
      </c>
      <c r="K1261">
        <v>0</v>
      </c>
      <c r="L1261" s="1">
        <v>44075</v>
      </c>
      <c r="M1261">
        <v>0</v>
      </c>
      <c r="N1261" s="8" cm="1">
        <f t="array" ref="N1261">_xlfn.SWITCH(Sales[[#This Row],[Subscription Type]],"Basic",10,"Premium",10,"Business",25,"Enterprise",27)</f>
        <v>10</v>
      </c>
      <c r="O1261">
        <f>IF(Sales[[#This Row],[Number of Users]]-Sales[[#This Row],[Licenses Bought]]&lt;0,0,Sales[[#This Row],[Number of Users]]-Sales[[#This Row],[Licenses Bought]])</f>
        <v>14</v>
      </c>
      <c r="P1261" s="8">
        <f>IF(Sales[[#This Row],[Sales Month]]=MAX(Sales[Sales Month]),Sales[[#This Row],[Non-Paying Users]]*Sales[[#This Row],[Upsell $ per Non-Paying User]],0)</f>
        <v>0</v>
      </c>
      <c r="Q1261" t="str" cm="1">
        <f t="array" ref="Q1261">_xlfn.IFS(Sales[[#This Row],[Current Upsell $]]=0,"",Sales[[#This Row],[Current Upsell $]]&gt;=400,"High",Sales[[#This Row],[Current Upsell $]]&gt;=100,"Medium",Sales[[#This Row],[Current Upsell $]]&lt;100,"Low")</f>
        <v/>
      </c>
      <c r="R1261" t="str">
        <f>IF(Sales[[#This Row],[Current Upsell $]]&gt;0,_xlfn.CONCAT(Sales[[#This Row],[Subscription Type]]," ",Sales[[#This Row],[Upsell Priority]]," ",TEXT(Sales[[#This Row],[Current Upsell $]],"$#,#")),"")</f>
        <v/>
      </c>
    </row>
    <row r="1262" spans="1:18" x14ac:dyDescent="0.25">
      <c r="A1262">
        <v>100124</v>
      </c>
      <c r="B1262" t="s">
        <v>3</v>
      </c>
      <c r="F1262">
        <v>0</v>
      </c>
      <c r="G1262">
        <v>15</v>
      </c>
      <c r="H1262" s="1">
        <v>44075</v>
      </c>
      <c r="I1262" s="1">
        <v>44378</v>
      </c>
      <c r="J1262">
        <v>10</v>
      </c>
      <c r="K1262">
        <v>0</v>
      </c>
      <c r="L1262" s="1">
        <v>44105</v>
      </c>
      <c r="M1262">
        <v>0</v>
      </c>
      <c r="N1262" s="8" cm="1">
        <f t="array" ref="N1262">_xlfn.SWITCH(Sales[[#This Row],[Subscription Type]],"Basic",10,"Premium",10,"Business",25,"Enterprise",27)</f>
        <v>10</v>
      </c>
      <c r="O1262">
        <f>IF(Sales[[#This Row],[Number of Users]]-Sales[[#This Row],[Licenses Bought]]&lt;0,0,Sales[[#This Row],[Number of Users]]-Sales[[#This Row],[Licenses Bought]])</f>
        <v>15</v>
      </c>
      <c r="P1262" s="8">
        <f>IF(Sales[[#This Row],[Sales Month]]=MAX(Sales[Sales Month]),Sales[[#This Row],[Non-Paying Users]]*Sales[[#This Row],[Upsell $ per Non-Paying User]],0)</f>
        <v>0</v>
      </c>
      <c r="Q1262" t="str" cm="1">
        <f t="array" ref="Q1262">_xlfn.IFS(Sales[[#This Row],[Current Upsell $]]=0,"",Sales[[#This Row],[Current Upsell $]]&gt;=400,"High",Sales[[#This Row],[Current Upsell $]]&gt;=100,"Medium",Sales[[#This Row],[Current Upsell $]]&lt;100,"Low")</f>
        <v/>
      </c>
      <c r="R1262" t="str">
        <f>IF(Sales[[#This Row],[Current Upsell $]]&gt;0,_xlfn.CONCAT(Sales[[#This Row],[Subscription Type]]," ",Sales[[#This Row],[Upsell Priority]]," ",TEXT(Sales[[#This Row],[Current Upsell $]],"$#,#")),"")</f>
        <v/>
      </c>
    </row>
    <row r="1263" spans="1:18" x14ac:dyDescent="0.25">
      <c r="A1263">
        <v>100124</v>
      </c>
      <c r="B1263" t="s">
        <v>3</v>
      </c>
      <c r="F1263">
        <v>0</v>
      </c>
      <c r="G1263">
        <v>17</v>
      </c>
      <c r="H1263" s="1">
        <v>44075</v>
      </c>
      <c r="I1263" s="1">
        <v>44378</v>
      </c>
      <c r="J1263">
        <v>10</v>
      </c>
      <c r="K1263">
        <v>0</v>
      </c>
      <c r="L1263" s="1">
        <v>44136</v>
      </c>
      <c r="M1263">
        <v>0</v>
      </c>
      <c r="N1263" s="8" cm="1">
        <f t="array" ref="N1263">_xlfn.SWITCH(Sales[[#This Row],[Subscription Type]],"Basic",10,"Premium",10,"Business",25,"Enterprise",27)</f>
        <v>10</v>
      </c>
      <c r="O1263">
        <f>IF(Sales[[#This Row],[Number of Users]]-Sales[[#This Row],[Licenses Bought]]&lt;0,0,Sales[[#This Row],[Number of Users]]-Sales[[#This Row],[Licenses Bought]])</f>
        <v>17</v>
      </c>
      <c r="P1263" s="8">
        <f>IF(Sales[[#This Row],[Sales Month]]=MAX(Sales[Sales Month]),Sales[[#This Row],[Non-Paying Users]]*Sales[[#This Row],[Upsell $ per Non-Paying User]],0)</f>
        <v>0</v>
      </c>
      <c r="Q1263" t="str" cm="1">
        <f t="array" ref="Q1263">_xlfn.IFS(Sales[[#This Row],[Current Upsell $]]=0,"",Sales[[#This Row],[Current Upsell $]]&gt;=400,"High",Sales[[#This Row],[Current Upsell $]]&gt;=100,"Medium",Sales[[#This Row],[Current Upsell $]]&lt;100,"Low")</f>
        <v/>
      </c>
      <c r="R1263" t="str">
        <f>IF(Sales[[#This Row],[Current Upsell $]]&gt;0,_xlfn.CONCAT(Sales[[#This Row],[Subscription Type]]," ",Sales[[#This Row],[Upsell Priority]]," ",TEXT(Sales[[#This Row],[Current Upsell $]],"$#,#")),"")</f>
        <v/>
      </c>
    </row>
    <row r="1264" spans="1:18" x14ac:dyDescent="0.25">
      <c r="A1264">
        <v>100124</v>
      </c>
      <c r="B1264" t="s">
        <v>3</v>
      </c>
      <c r="F1264">
        <v>0</v>
      </c>
      <c r="G1264">
        <v>11</v>
      </c>
      <c r="H1264" s="1">
        <v>44075</v>
      </c>
      <c r="I1264" s="1">
        <v>44378</v>
      </c>
      <c r="J1264">
        <v>10</v>
      </c>
      <c r="K1264">
        <v>0</v>
      </c>
      <c r="L1264" s="1">
        <v>44166</v>
      </c>
      <c r="M1264">
        <v>0</v>
      </c>
      <c r="N1264" s="8" cm="1">
        <f t="array" ref="N1264">_xlfn.SWITCH(Sales[[#This Row],[Subscription Type]],"Basic",10,"Premium",10,"Business",25,"Enterprise",27)</f>
        <v>10</v>
      </c>
      <c r="O1264">
        <f>IF(Sales[[#This Row],[Number of Users]]-Sales[[#This Row],[Licenses Bought]]&lt;0,0,Sales[[#This Row],[Number of Users]]-Sales[[#This Row],[Licenses Bought]])</f>
        <v>11</v>
      </c>
      <c r="P1264" s="8">
        <f>IF(Sales[[#This Row],[Sales Month]]=MAX(Sales[Sales Month]),Sales[[#This Row],[Non-Paying Users]]*Sales[[#This Row],[Upsell $ per Non-Paying User]],0)</f>
        <v>0</v>
      </c>
      <c r="Q1264" t="str" cm="1">
        <f t="array" ref="Q1264">_xlfn.IFS(Sales[[#This Row],[Current Upsell $]]=0,"",Sales[[#This Row],[Current Upsell $]]&gt;=400,"High",Sales[[#This Row],[Current Upsell $]]&gt;=100,"Medium",Sales[[#This Row],[Current Upsell $]]&lt;100,"Low")</f>
        <v/>
      </c>
      <c r="R1264" t="str">
        <f>IF(Sales[[#This Row],[Current Upsell $]]&gt;0,_xlfn.CONCAT(Sales[[#This Row],[Subscription Type]]," ",Sales[[#This Row],[Upsell Priority]]," ",TEXT(Sales[[#This Row],[Current Upsell $]],"$#,#")),"")</f>
        <v/>
      </c>
    </row>
    <row r="1265" spans="1:18" x14ac:dyDescent="0.25">
      <c r="A1265">
        <v>100124</v>
      </c>
      <c r="B1265" t="s">
        <v>3</v>
      </c>
      <c r="F1265">
        <v>0</v>
      </c>
      <c r="G1265">
        <v>10</v>
      </c>
      <c r="H1265" s="1">
        <v>44075</v>
      </c>
      <c r="I1265" s="1">
        <v>44378</v>
      </c>
      <c r="J1265">
        <v>10</v>
      </c>
      <c r="K1265">
        <v>0</v>
      </c>
      <c r="L1265" s="1">
        <v>44197</v>
      </c>
      <c r="M1265">
        <v>0</v>
      </c>
      <c r="N1265" s="8" cm="1">
        <f t="array" ref="N1265">_xlfn.SWITCH(Sales[[#This Row],[Subscription Type]],"Basic",10,"Premium",10,"Business",25,"Enterprise",27)</f>
        <v>10</v>
      </c>
      <c r="O1265">
        <f>IF(Sales[[#This Row],[Number of Users]]-Sales[[#This Row],[Licenses Bought]]&lt;0,0,Sales[[#This Row],[Number of Users]]-Sales[[#This Row],[Licenses Bought]])</f>
        <v>10</v>
      </c>
      <c r="P1265" s="8">
        <f>IF(Sales[[#This Row],[Sales Month]]=MAX(Sales[Sales Month]),Sales[[#This Row],[Non-Paying Users]]*Sales[[#This Row],[Upsell $ per Non-Paying User]],0)</f>
        <v>0</v>
      </c>
      <c r="Q1265" t="str" cm="1">
        <f t="array" ref="Q1265">_xlfn.IFS(Sales[[#This Row],[Current Upsell $]]=0,"",Sales[[#This Row],[Current Upsell $]]&gt;=400,"High",Sales[[#This Row],[Current Upsell $]]&gt;=100,"Medium",Sales[[#This Row],[Current Upsell $]]&lt;100,"Low")</f>
        <v/>
      </c>
      <c r="R1265" t="str">
        <f>IF(Sales[[#This Row],[Current Upsell $]]&gt;0,_xlfn.CONCAT(Sales[[#This Row],[Subscription Type]]," ",Sales[[#This Row],[Upsell Priority]]," ",TEXT(Sales[[#This Row],[Current Upsell $]],"$#,#")),"")</f>
        <v/>
      </c>
    </row>
    <row r="1266" spans="1:18" x14ac:dyDescent="0.25">
      <c r="A1266">
        <v>100124</v>
      </c>
      <c r="B1266" t="s">
        <v>3</v>
      </c>
      <c r="F1266">
        <v>0</v>
      </c>
      <c r="G1266">
        <v>15</v>
      </c>
      <c r="H1266" s="1">
        <v>44075</v>
      </c>
      <c r="I1266" s="1">
        <v>44378</v>
      </c>
      <c r="J1266">
        <v>10</v>
      </c>
      <c r="K1266">
        <v>0</v>
      </c>
      <c r="L1266" s="1">
        <v>44228</v>
      </c>
      <c r="M1266">
        <v>0</v>
      </c>
      <c r="N1266" s="8" cm="1">
        <f t="array" ref="N1266">_xlfn.SWITCH(Sales[[#This Row],[Subscription Type]],"Basic",10,"Premium",10,"Business",25,"Enterprise",27)</f>
        <v>10</v>
      </c>
      <c r="O1266">
        <f>IF(Sales[[#This Row],[Number of Users]]-Sales[[#This Row],[Licenses Bought]]&lt;0,0,Sales[[#This Row],[Number of Users]]-Sales[[#This Row],[Licenses Bought]])</f>
        <v>15</v>
      </c>
      <c r="P1266" s="8">
        <f>IF(Sales[[#This Row],[Sales Month]]=MAX(Sales[Sales Month]),Sales[[#This Row],[Non-Paying Users]]*Sales[[#This Row],[Upsell $ per Non-Paying User]],0)</f>
        <v>0</v>
      </c>
      <c r="Q1266" t="str" cm="1">
        <f t="array" ref="Q1266">_xlfn.IFS(Sales[[#This Row],[Current Upsell $]]=0,"",Sales[[#This Row],[Current Upsell $]]&gt;=400,"High",Sales[[#This Row],[Current Upsell $]]&gt;=100,"Medium",Sales[[#This Row],[Current Upsell $]]&lt;100,"Low")</f>
        <v/>
      </c>
      <c r="R1266" t="str">
        <f>IF(Sales[[#This Row],[Current Upsell $]]&gt;0,_xlfn.CONCAT(Sales[[#This Row],[Subscription Type]]," ",Sales[[#This Row],[Upsell Priority]]," ",TEXT(Sales[[#This Row],[Current Upsell $]],"$#,#")),"")</f>
        <v/>
      </c>
    </row>
    <row r="1267" spans="1:18" x14ac:dyDescent="0.25">
      <c r="A1267">
        <v>100124</v>
      </c>
      <c r="B1267" t="s">
        <v>3</v>
      </c>
      <c r="F1267">
        <v>0</v>
      </c>
      <c r="G1267">
        <v>14</v>
      </c>
      <c r="H1267" s="1">
        <v>44075</v>
      </c>
      <c r="I1267" s="1">
        <v>44378</v>
      </c>
      <c r="J1267">
        <v>10</v>
      </c>
      <c r="K1267">
        <v>0</v>
      </c>
      <c r="L1267" s="1">
        <v>44256</v>
      </c>
      <c r="M1267">
        <v>0</v>
      </c>
      <c r="N1267" s="8" cm="1">
        <f t="array" ref="N1267">_xlfn.SWITCH(Sales[[#This Row],[Subscription Type]],"Basic",10,"Premium",10,"Business",25,"Enterprise",27)</f>
        <v>10</v>
      </c>
      <c r="O1267">
        <f>IF(Sales[[#This Row],[Number of Users]]-Sales[[#This Row],[Licenses Bought]]&lt;0,0,Sales[[#This Row],[Number of Users]]-Sales[[#This Row],[Licenses Bought]])</f>
        <v>14</v>
      </c>
      <c r="P1267" s="8">
        <f>IF(Sales[[#This Row],[Sales Month]]=MAX(Sales[Sales Month]),Sales[[#This Row],[Non-Paying Users]]*Sales[[#This Row],[Upsell $ per Non-Paying User]],0)</f>
        <v>0</v>
      </c>
      <c r="Q1267" t="str" cm="1">
        <f t="array" ref="Q1267">_xlfn.IFS(Sales[[#This Row],[Current Upsell $]]=0,"",Sales[[#This Row],[Current Upsell $]]&gt;=400,"High",Sales[[#This Row],[Current Upsell $]]&gt;=100,"Medium",Sales[[#This Row],[Current Upsell $]]&lt;100,"Low")</f>
        <v/>
      </c>
      <c r="R1267" t="str">
        <f>IF(Sales[[#This Row],[Current Upsell $]]&gt;0,_xlfn.CONCAT(Sales[[#This Row],[Subscription Type]]," ",Sales[[#This Row],[Upsell Priority]]," ",TEXT(Sales[[#This Row],[Current Upsell $]],"$#,#")),"")</f>
        <v/>
      </c>
    </row>
    <row r="1268" spans="1:18" x14ac:dyDescent="0.25">
      <c r="A1268">
        <v>100124</v>
      </c>
      <c r="B1268" t="s">
        <v>3</v>
      </c>
      <c r="F1268">
        <v>0</v>
      </c>
      <c r="G1268">
        <v>13</v>
      </c>
      <c r="H1268" s="1">
        <v>44075</v>
      </c>
      <c r="I1268" s="1">
        <v>44378</v>
      </c>
      <c r="J1268">
        <v>10</v>
      </c>
      <c r="K1268">
        <v>0</v>
      </c>
      <c r="L1268" s="1">
        <v>44287</v>
      </c>
      <c r="M1268">
        <v>0</v>
      </c>
      <c r="N1268" s="8" cm="1">
        <f t="array" ref="N1268">_xlfn.SWITCH(Sales[[#This Row],[Subscription Type]],"Basic",10,"Premium",10,"Business",25,"Enterprise",27)</f>
        <v>10</v>
      </c>
      <c r="O1268">
        <f>IF(Sales[[#This Row],[Number of Users]]-Sales[[#This Row],[Licenses Bought]]&lt;0,0,Sales[[#This Row],[Number of Users]]-Sales[[#This Row],[Licenses Bought]])</f>
        <v>13</v>
      </c>
      <c r="P1268" s="8">
        <f>IF(Sales[[#This Row],[Sales Month]]=MAX(Sales[Sales Month]),Sales[[#This Row],[Non-Paying Users]]*Sales[[#This Row],[Upsell $ per Non-Paying User]],0)</f>
        <v>0</v>
      </c>
      <c r="Q1268" t="str" cm="1">
        <f t="array" ref="Q1268">_xlfn.IFS(Sales[[#This Row],[Current Upsell $]]=0,"",Sales[[#This Row],[Current Upsell $]]&gt;=400,"High",Sales[[#This Row],[Current Upsell $]]&gt;=100,"Medium",Sales[[#This Row],[Current Upsell $]]&lt;100,"Low")</f>
        <v/>
      </c>
      <c r="R1268" t="str">
        <f>IF(Sales[[#This Row],[Current Upsell $]]&gt;0,_xlfn.CONCAT(Sales[[#This Row],[Subscription Type]]," ",Sales[[#This Row],[Upsell Priority]]," ",TEXT(Sales[[#This Row],[Current Upsell $]],"$#,#")),"")</f>
        <v/>
      </c>
    </row>
    <row r="1269" spans="1:18" x14ac:dyDescent="0.25">
      <c r="A1269">
        <v>100124</v>
      </c>
      <c r="B1269" t="s">
        <v>3</v>
      </c>
      <c r="F1269">
        <v>0</v>
      </c>
      <c r="G1269">
        <v>12</v>
      </c>
      <c r="H1269" s="1">
        <v>44075</v>
      </c>
      <c r="I1269" s="1">
        <v>44378</v>
      </c>
      <c r="J1269">
        <v>10</v>
      </c>
      <c r="K1269">
        <v>0</v>
      </c>
      <c r="L1269" s="1">
        <v>44317</v>
      </c>
      <c r="M1269">
        <v>0</v>
      </c>
      <c r="N1269" s="8" cm="1">
        <f t="array" ref="N1269">_xlfn.SWITCH(Sales[[#This Row],[Subscription Type]],"Basic",10,"Premium",10,"Business",25,"Enterprise",27)</f>
        <v>10</v>
      </c>
      <c r="O1269">
        <f>IF(Sales[[#This Row],[Number of Users]]-Sales[[#This Row],[Licenses Bought]]&lt;0,0,Sales[[#This Row],[Number of Users]]-Sales[[#This Row],[Licenses Bought]])</f>
        <v>12</v>
      </c>
      <c r="P1269" s="8">
        <f>IF(Sales[[#This Row],[Sales Month]]=MAX(Sales[Sales Month]),Sales[[#This Row],[Non-Paying Users]]*Sales[[#This Row],[Upsell $ per Non-Paying User]],0)</f>
        <v>0</v>
      </c>
      <c r="Q1269" t="str" cm="1">
        <f t="array" ref="Q1269">_xlfn.IFS(Sales[[#This Row],[Current Upsell $]]=0,"",Sales[[#This Row],[Current Upsell $]]&gt;=400,"High",Sales[[#This Row],[Current Upsell $]]&gt;=100,"Medium",Sales[[#This Row],[Current Upsell $]]&lt;100,"Low")</f>
        <v/>
      </c>
      <c r="R1269" t="str">
        <f>IF(Sales[[#This Row],[Current Upsell $]]&gt;0,_xlfn.CONCAT(Sales[[#This Row],[Subscription Type]]," ",Sales[[#This Row],[Upsell Priority]]," ",TEXT(Sales[[#This Row],[Current Upsell $]],"$#,#")),"")</f>
        <v/>
      </c>
    </row>
    <row r="1270" spans="1:18" x14ac:dyDescent="0.25">
      <c r="A1270">
        <v>100124</v>
      </c>
      <c r="B1270" t="s">
        <v>3</v>
      </c>
      <c r="F1270">
        <v>0</v>
      </c>
      <c r="G1270">
        <v>14</v>
      </c>
      <c r="H1270" s="1">
        <v>44075</v>
      </c>
      <c r="I1270" s="1">
        <v>44378</v>
      </c>
      <c r="J1270">
        <v>10</v>
      </c>
      <c r="K1270">
        <v>0</v>
      </c>
      <c r="L1270" s="1">
        <v>44348</v>
      </c>
      <c r="M1270">
        <v>0</v>
      </c>
      <c r="N1270" s="8" cm="1">
        <f t="array" ref="N1270">_xlfn.SWITCH(Sales[[#This Row],[Subscription Type]],"Basic",10,"Premium",10,"Business",25,"Enterprise",27)</f>
        <v>10</v>
      </c>
      <c r="O1270">
        <f>IF(Sales[[#This Row],[Number of Users]]-Sales[[#This Row],[Licenses Bought]]&lt;0,0,Sales[[#This Row],[Number of Users]]-Sales[[#This Row],[Licenses Bought]])</f>
        <v>14</v>
      </c>
      <c r="P1270" s="8">
        <f>IF(Sales[[#This Row],[Sales Month]]=MAX(Sales[Sales Month]),Sales[[#This Row],[Non-Paying Users]]*Sales[[#This Row],[Upsell $ per Non-Paying User]],0)</f>
        <v>140</v>
      </c>
      <c r="Q1270" t="str" cm="1">
        <f t="array" ref="Q1270">_xlfn.IFS(Sales[[#This Row],[Current Upsell $]]=0,"",Sales[[#This Row],[Current Upsell $]]&gt;=400,"High",Sales[[#This Row],[Current Upsell $]]&gt;=100,"Medium",Sales[[#This Row],[Current Upsell $]]&lt;100,"Low")</f>
        <v>Medium</v>
      </c>
      <c r="R1270" t="str">
        <f>IF(Sales[[#This Row],[Current Upsell $]]&gt;0,_xlfn.CONCAT(Sales[[#This Row],[Subscription Type]]," ",Sales[[#This Row],[Upsell Priority]]," ",TEXT(Sales[[#This Row],[Current Upsell $]],"$#,#")),"")</f>
        <v>Basic Medium $140</v>
      </c>
    </row>
    <row r="1271" spans="1:18" x14ac:dyDescent="0.25">
      <c r="A1271">
        <v>100125</v>
      </c>
      <c r="B1271" t="s">
        <v>3</v>
      </c>
      <c r="D1271" s="1"/>
      <c r="E1271" s="1"/>
      <c r="F1271">
        <v>0</v>
      </c>
      <c r="G1271">
        <v>11</v>
      </c>
      <c r="H1271" s="1">
        <v>44075</v>
      </c>
      <c r="I1271" s="1">
        <v>44378</v>
      </c>
      <c r="J1271">
        <v>10</v>
      </c>
      <c r="K1271">
        <v>0</v>
      </c>
      <c r="L1271" s="1">
        <v>44075</v>
      </c>
      <c r="M1271">
        <v>0</v>
      </c>
      <c r="N1271" s="8" cm="1">
        <f t="array" ref="N1271">_xlfn.SWITCH(Sales[[#This Row],[Subscription Type]],"Basic",10,"Premium",10,"Business",25,"Enterprise",27)</f>
        <v>10</v>
      </c>
      <c r="O1271">
        <f>IF(Sales[[#This Row],[Number of Users]]-Sales[[#This Row],[Licenses Bought]]&lt;0,0,Sales[[#This Row],[Number of Users]]-Sales[[#This Row],[Licenses Bought]])</f>
        <v>11</v>
      </c>
      <c r="P1271" s="8">
        <f>IF(Sales[[#This Row],[Sales Month]]=MAX(Sales[Sales Month]),Sales[[#This Row],[Non-Paying Users]]*Sales[[#This Row],[Upsell $ per Non-Paying User]],0)</f>
        <v>0</v>
      </c>
      <c r="Q1271" t="str" cm="1">
        <f t="array" ref="Q1271">_xlfn.IFS(Sales[[#This Row],[Current Upsell $]]=0,"",Sales[[#This Row],[Current Upsell $]]&gt;=400,"High",Sales[[#This Row],[Current Upsell $]]&gt;=100,"Medium",Sales[[#This Row],[Current Upsell $]]&lt;100,"Low")</f>
        <v/>
      </c>
      <c r="R1271" t="str">
        <f>IF(Sales[[#This Row],[Current Upsell $]]&gt;0,_xlfn.CONCAT(Sales[[#This Row],[Subscription Type]]," ",Sales[[#This Row],[Upsell Priority]]," ",TEXT(Sales[[#This Row],[Current Upsell $]],"$#,#")),"")</f>
        <v/>
      </c>
    </row>
    <row r="1272" spans="1:18" x14ac:dyDescent="0.25">
      <c r="A1272">
        <v>100125</v>
      </c>
      <c r="B1272" t="s">
        <v>1</v>
      </c>
      <c r="D1272" s="1"/>
      <c r="E1272" s="1"/>
      <c r="F1272">
        <v>4</v>
      </c>
      <c r="G1272">
        <v>11</v>
      </c>
      <c r="H1272" s="1">
        <v>44075</v>
      </c>
      <c r="I1272" s="1">
        <v>44378</v>
      </c>
      <c r="J1272">
        <v>10</v>
      </c>
      <c r="K1272">
        <v>0</v>
      </c>
      <c r="L1272" s="1">
        <v>44105</v>
      </c>
      <c r="M1272">
        <v>100</v>
      </c>
      <c r="N1272" s="8" cm="1">
        <f t="array" ref="N1272">_xlfn.SWITCH(Sales[[#This Row],[Subscription Type]],"Basic",10,"Premium",10,"Business",25,"Enterprise",27)</f>
        <v>25</v>
      </c>
      <c r="O1272">
        <f>IF(Sales[[#This Row],[Number of Users]]-Sales[[#This Row],[Licenses Bought]]&lt;0,0,Sales[[#This Row],[Number of Users]]-Sales[[#This Row],[Licenses Bought]])</f>
        <v>7</v>
      </c>
      <c r="P1272" s="8">
        <f>IF(Sales[[#This Row],[Sales Month]]=MAX(Sales[Sales Month]),Sales[[#This Row],[Non-Paying Users]]*Sales[[#This Row],[Upsell $ per Non-Paying User]],0)</f>
        <v>0</v>
      </c>
      <c r="Q1272" t="str" cm="1">
        <f t="array" ref="Q1272">_xlfn.IFS(Sales[[#This Row],[Current Upsell $]]=0,"",Sales[[#This Row],[Current Upsell $]]&gt;=400,"High",Sales[[#This Row],[Current Upsell $]]&gt;=100,"Medium",Sales[[#This Row],[Current Upsell $]]&lt;100,"Low")</f>
        <v/>
      </c>
      <c r="R1272" t="str">
        <f>IF(Sales[[#This Row],[Current Upsell $]]&gt;0,_xlfn.CONCAT(Sales[[#This Row],[Subscription Type]]," ",Sales[[#This Row],[Upsell Priority]]," ",TEXT(Sales[[#This Row],[Current Upsell $]],"$#,#")),"")</f>
        <v/>
      </c>
    </row>
    <row r="1273" spans="1:18" x14ac:dyDescent="0.25">
      <c r="A1273">
        <v>100125</v>
      </c>
      <c r="B1273" t="s">
        <v>1</v>
      </c>
      <c r="D1273" s="1"/>
      <c r="E1273" s="1"/>
      <c r="F1273">
        <v>11</v>
      </c>
      <c r="G1273">
        <v>12</v>
      </c>
      <c r="H1273" s="1">
        <v>44075</v>
      </c>
      <c r="I1273" s="1">
        <v>44378</v>
      </c>
      <c r="J1273">
        <v>10</v>
      </c>
      <c r="K1273">
        <v>0</v>
      </c>
      <c r="L1273" s="1">
        <v>44136</v>
      </c>
      <c r="M1273">
        <v>275</v>
      </c>
      <c r="N1273" s="8" cm="1">
        <f t="array" ref="N1273">_xlfn.SWITCH(Sales[[#This Row],[Subscription Type]],"Basic",10,"Premium",10,"Business",25,"Enterprise",27)</f>
        <v>25</v>
      </c>
      <c r="O1273">
        <f>IF(Sales[[#This Row],[Number of Users]]-Sales[[#This Row],[Licenses Bought]]&lt;0,0,Sales[[#This Row],[Number of Users]]-Sales[[#This Row],[Licenses Bought]])</f>
        <v>1</v>
      </c>
      <c r="P1273" s="8">
        <f>IF(Sales[[#This Row],[Sales Month]]=MAX(Sales[Sales Month]),Sales[[#This Row],[Non-Paying Users]]*Sales[[#This Row],[Upsell $ per Non-Paying User]],0)</f>
        <v>0</v>
      </c>
      <c r="Q1273" t="str" cm="1">
        <f t="array" ref="Q1273">_xlfn.IFS(Sales[[#This Row],[Current Upsell $]]=0,"",Sales[[#This Row],[Current Upsell $]]&gt;=400,"High",Sales[[#This Row],[Current Upsell $]]&gt;=100,"Medium",Sales[[#This Row],[Current Upsell $]]&lt;100,"Low")</f>
        <v/>
      </c>
      <c r="R1273" t="str">
        <f>IF(Sales[[#This Row],[Current Upsell $]]&gt;0,_xlfn.CONCAT(Sales[[#This Row],[Subscription Type]]," ",Sales[[#This Row],[Upsell Priority]]," ",TEXT(Sales[[#This Row],[Current Upsell $]],"$#,#")),"")</f>
        <v/>
      </c>
    </row>
    <row r="1274" spans="1:18" x14ac:dyDescent="0.25">
      <c r="A1274">
        <v>100125</v>
      </c>
      <c r="B1274" t="s">
        <v>1</v>
      </c>
      <c r="D1274" s="1"/>
      <c r="E1274" s="1"/>
      <c r="F1274">
        <v>11</v>
      </c>
      <c r="G1274">
        <v>14</v>
      </c>
      <c r="H1274" s="1">
        <v>44075</v>
      </c>
      <c r="I1274" s="1">
        <v>44378</v>
      </c>
      <c r="J1274">
        <v>10</v>
      </c>
      <c r="K1274">
        <v>0</v>
      </c>
      <c r="L1274" s="1">
        <v>44166</v>
      </c>
      <c r="M1274">
        <v>275</v>
      </c>
      <c r="N1274" s="8" cm="1">
        <f t="array" ref="N1274">_xlfn.SWITCH(Sales[[#This Row],[Subscription Type]],"Basic",10,"Premium",10,"Business",25,"Enterprise",27)</f>
        <v>25</v>
      </c>
      <c r="O1274">
        <f>IF(Sales[[#This Row],[Number of Users]]-Sales[[#This Row],[Licenses Bought]]&lt;0,0,Sales[[#This Row],[Number of Users]]-Sales[[#This Row],[Licenses Bought]])</f>
        <v>3</v>
      </c>
      <c r="P1274" s="8">
        <f>IF(Sales[[#This Row],[Sales Month]]=MAX(Sales[Sales Month]),Sales[[#This Row],[Non-Paying Users]]*Sales[[#This Row],[Upsell $ per Non-Paying User]],0)</f>
        <v>0</v>
      </c>
      <c r="Q1274" t="str" cm="1">
        <f t="array" ref="Q1274">_xlfn.IFS(Sales[[#This Row],[Current Upsell $]]=0,"",Sales[[#This Row],[Current Upsell $]]&gt;=400,"High",Sales[[#This Row],[Current Upsell $]]&gt;=100,"Medium",Sales[[#This Row],[Current Upsell $]]&lt;100,"Low")</f>
        <v/>
      </c>
      <c r="R1274" t="str">
        <f>IF(Sales[[#This Row],[Current Upsell $]]&gt;0,_xlfn.CONCAT(Sales[[#This Row],[Subscription Type]]," ",Sales[[#This Row],[Upsell Priority]]," ",TEXT(Sales[[#This Row],[Current Upsell $]],"$#,#")),"")</f>
        <v/>
      </c>
    </row>
    <row r="1275" spans="1:18" x14ac:dyDescent="0.25">
      <c r="A1275">
        <v>100125</v>
      </c>
      <c r="B1275" t="s">
        <v>1</v>
      </c>
      <c r="D1275" s="1"/>
      <c r="E1275" s="1"/>
      <c r="F1275">
        <v>11</v>
      </c>
      <c r="G1275">
        <v>12</v>
      </c>
      <c r="H1275" s="1">
        <v>44075</v>
      </c>
      <c r="I1275" s="1">
        <v>44378</v>
      </c>
      <c r="J1275">
        <v>10</v>
      </c>
      <c r="K1275">
        <v>0</v>
      </c>
      <c r="L1275" s="1">
        <v>44197</v>
      </c>
      <c r="M1275">
        <v>275</v>
      </c>
      <c r="N1275" s="8" cm="1">
        <f t="array" ref="N1275">_xlfn.SWITCH(Sales[[#This Row],[Subscription Type]],"Basic",10,"Premium",10,"Business",25,"Enterprise",27)</f>
        <v>25</v>
      </c>
      <c r="O1275">
        <f>IF(Sales[[#This Row],[Number of Users]]-Sales[[#This Row],[Licenses Bought]]&lt;0,0,Sales[[#This Row],[Number of Users]]-Sales[[#This Row],[Licenses Bought]])</f>
        <v>1</v>
      </c>
      <c r="P1275" s="8">
        <f>IF(Sales[[#This Row],[Sales Month]]=MAX(Sales[Sales Month]),Sales[[#This Row],[Non-Paying Users]]*Sales[[#This Row],[Upsell $ per Non-Paying User]],0)</f>
        <v>0</v>
      </c>
      <c r="Q1275" t="str" cm="1">
        <f t="array" ref="Q1275">_xlfn.IFS(Sales[[#This Row],[Current Upsell $]]=0,"",Sales[[#This Row],[Current Upsell $]]&gt;=400,"High",Sales[[#This Row],[Current Upsell $]]&gt;=100,"Medium",Sales[[#This Row],[Current Upsell $]]&lt;100,"Low")</f>
        <v/>
      </c>
      <c r="R1275" t="str">
        <f>IF(Sales[[#This Row],[Current Upsell $]]&gt;0,_xlfn.CONCAT(Sales[[#This Row],[Subscription Type]]," ",Sales[[#This Row],[Upsell Priority]]," ",TEXT(Sales[[#This Row],[Current Upsell $]],"$#,#")),"")</f>
        <v/>
      </c>
    </row>
    <row r="1276" spans="1:18" x14ac:dyDescent="0.25">
      <c r="A1276">
        <v>100125</v>
      </c>
      <c r="B1276" t="s">
        <v>1</v>
      </c>
      <c r="D1276" s="1"/>
      <c r="E1276" s="1"/>
      <c r="F1276">
        <v>11</v>
      </c>
      <c r="G1276">
        <v>12</v>
      </c>
      <c r="H1276" s="1">
        <v>44075</v>
      </c>
      <c r="I1276" s="1">
        <v>44378</v>
      </c>
      <c r="J1276">
        <v>10</v>
      </c>
      <c r="K1276">
        <v>0</v>
      </c>
      <c r="L1276" s="1">
        <v>44228</v>
      </c>
      <c r="M1276">
        <v>275</v>
      </c>
      <c r="N1276" s="8" cm="1">
        <f t="array" ref="N1276">_xlfn.SWITCH(Sales[[#This Row],[Subscription Type]],"Basic",10,"Premium",10,"Business",25,"Enterprise",27)</f>
        <v>25</v>
      </c>
      <c r="O1276">
        <f>IF(Sales[[#This Row],[Number of Users]]-Sales[[#This Row],[Licenses Bought]]&lt;0,0,Sales[[#This Row],[Number of Users]]-Sales[[#This Row],[Licenses Bought]])</f>
        <v>1</v>
      </c>
      <c r="P1276" s="8">
        <f>IF(Sales[[#This Row],[Sales Month]]=MAX(Sales[Sales Month]),Sales[[#This Row],[Non-Paying Users]]*Sales[[#This Row],[Upsell $ per Non-Paying User]],0)</f>
        <v>0</v>
      </c>
      <c r="Q1276" t="str" cm="1">
        <f t="array" ref="Q1276">_xlfn.IFS(Sales[[#This Row],[Current Upsell $]]=0,"",Sales[[#This Row],[Current Upsell $]]&gt;=400,"High",Sales[[#This Row],[Current Upsell $]]&gt;=100,"Medium",Sales[[#This Row],[Current Upsell $]]&lt;100,"Low")</f>
        <v/>
      </c>
      <c r="R1276" t="str">
        <f>IF(Sales[[#This Row],[Current Upsell $]]&gt;0,_xlfn.CONCAT(Sales[[#This Row],[Subscription Type]]," ",Sales[[#This Row],[Upsell Priority]]," ",TEXT(Sales[[#This Row],[Current Upsell $]],"$#,#")),"")</f>
        <v/>
      </c>
    </row>
    <row r="1277" spans="1:18" x14ac:dyDescent="0.25">
      <c r="A1277">
        <v>100125</v>
      </c>
      <c r="B1277" t="s">
        <v>1</v>
      </c>
      <c r="D1277" s="1"/>
      <c r="E1277" s="1"/>
      <c r="F1277">
        <v>11</v>
      </c>
      <c r="G1277">
        <v>13</v>
      </c>
      <c r="H1277" s="1">
        <v>44075</v>
      </c>
      <c r="I1277" s="1">
        <v>44378</v>
      </c>
      <c r="J1277">
        <v>10</v>
      </c>
      <c r="K1277">
        <v>0</v>
      </c>
      <c r="L1277" s="1">
        <v>44256</v>
      </c>
      <c r="M1277">
        <v>275</v>
      </c>
      <c r="N1277" s="8" cm="1">
        <f t="array" ref="N1277">_xlfn.SWITCH(Sales[[#This Row],[Subscription Type]],"Basic",10,"Premium",10,"Business",25,"Enterprise",27)</f>
        <v>25</v>
      </c>
      <c r="O1277">
        <f>IF(Sales[[#This Row],[Number of Users]]-Sales[[#This Row],[Licenses Bought]]&lt;0,0,Sales[[#This Row],[Number of Users]]-Sales[[#This Row],[Licenses Bought]])</f>
        <v>2</v>
      </c>
      <c r="P1277" s="8">
        <f>IF(Sales[[#This Row],[Sales Month]]=MAX(Sales[Sales Month]),Sales[[#This Row],[Non-Paying Users]]*Sales[[#This Row],[Upsell $ per Non-Paying User]],0)</f>
        <v>0</v>
      </c>
      <c r="Q1277" t="str" cm="1">
        <f t="array" ref="Q1277">_xlfn.IFS(Sales[[#This Row],[Current Upsell $]]=0,"",Sales[[#This Row],[Current Upsell $]]&gt;=400,"High",Sales[[#This Row],[Current Upsell $]]&gt;=100,"Medium",Sales[[#This Row],[Current Upsell $]]&lt;100,"Low")</f>
        <v/>
      </c>
      <c r="R1277" t="str">
        <f>IF(Sales[[#This Row],[Current Upsell $]]&gt;0,_xlfn.CONCAT(Sales[[#This Row],[Subscription Type]]," ",Sales[[#This Row],[Upsell Priority]]," ",TEXT(Sales[[#This Row],[Current Upsell $]],"$#,#")),"")</f>
        <v/>
      </c>
    </row>
    <row r="1278" spans="1:18" x14ac:dyDescent="0.25">
      <c r="A1278">
        <v>100125</v>
      </c>
      <c r="B1278" t="s">
        <v>1</v>
      </c>
      <c r="D1278" s="1"/>
      <c r="E1278" s="1"/>
      <c r="F1278">
        <v>11</v>
      </c>
      <c r="G1278">
        <v>12</v>
      </c>
      <c r="H1278" s="1">
        <v>44075</v>
      </c>
      <c r="I1278" s="1">
        <v>44378</v>
      </c>
      <c r="J1278">
        <v>10</v>
      </c>
      <c r="K1278">
        <v>0</v>
      </c>
      <c r="L1278" s="1">
        <v>44287</v>
      </c>
      <c r="M1278">
        <v>275</v>
      </c>
      <c r="N1278" s="8" cm="1">
        <f t="array" ref="N1278">_xlfn.SWITCH(Sales[[#This Row],[Subscription Type]],"Basic",10,"Premium",10,"Business",25,"Enterprise",27)</f>
        <v>25</v>
      </c>
      <c r="O1278">
        <f>IF(Sales[[#This Row],[Number of Users]]-Sales[[#This Row],[Licenses Bought]]&lt;0,0,Sales[[#This Row],[Number of Users]]-Sales[[#This Row],[Licenses Bought]])</f>
        <v>1</v>
      </c>
      <c r="P1278" s="8">
        <f>IF(Sales[[#This Row],[Sales Month]]=MAX(Sales[Sales Month]),Sales[[#This Row],[Non-Paying Users]]*Sales[[#This Row],[Upsell $ per Non-Paying User]],0)</f>
        <v>0</v>
      </c>
      <c r="Q1278" t="str" cm="1">
        <f t="array" ref="Q1278">_xlfn.IFS(Sales[[#This Row],[Current Upsell $]]=0,"",Sales[[#This Row],[Current Upsell $]]&gt;=400,"High",Sales[[#This Row],[Current Upsell $]]&gt;=100,"Medium",Sales[[#This Row],[Current Upsell $]]&lt;100,"Low")</f>
        <v/>
      </c>
      <c r="R1278" t="str">
        <f>IF(Sales[[#This Row],[Current Upsell $]]&gt;0,_xlfn.CONCAT(Sales[[#This Row],[Subscription Type]]," ",Sales[[#This Row],[Upsell Priority]]," ",TEXT(Sales[[#This Row],[Current Upsell $]],"$#,#")),"")</f>
        <v/>
      </c>
    </row>
    <row r="1279" spans="1:18" x14ac:dyDescent="0.25">
      <c r="A1279">
        <v>100125</v>
      </c>
      <c r="B1279" t="s">
        <v>1</v>
      </c>
      <c r="D1279" s="1"/>
      <c r="E1279" s="1"/>
      <c r="F1279">
        <v>11</v>
      </c>
      <c r="G1279">
        <v>13</v>
      </c>
      <c r="H1279" s="1">
        <v>44075</v>
      </c>
      <c r="I1279" s="1">
        <v>44378</v>
      </c>
      <c r="J1279">
        <v>10</v>
      </c>
      <c r="K1279">
        <v>0</v>
      </c>
      <c r="L1279" s="1">
        <v>44317</v>
      </c>
      <c r="M1279">
        <v>275</v>
      </c>
      <c r="N1279" s="8" cm="1">
        <f t="array" ref="N1279">_xlfn.SWITCH(Sales[[#This Row],[Subscription Type]],"Basic",10,"Premium",10,"Business",25,"Enterprise",27)</f>
        <v>25</v>
      </c>
      <c r="O1279">
        <f>IF(Sales[[#This Row],[Number of Users]]-Sales[[#This Row],[Licenses Bought]]&lt;0,0,Sales[[#This Row],[Number of Users]]-Sales[[#This Row],[Licenses Bought]])</f>
        <v>2</v>
      </c>
      <c r="P1279" s="8">
        <f>IF(Sales[[#This Row],[Sales Month]]=MAX(Sales[Sales Month]),Sales[[#This Row],[Non-Paying Users]]*Sales[[#This Row],[Upsell $ per Non-Paying User]],0)</f>
        <v>0</v>
      </c>
      <c r="Q1279" t="str" cm="1">
        <f t="array" ref="Q1279">_xlfn.IFS(Sales[[#This Row],[Current Upsell $]]=0,"",Sales[[#This Row],[Current Upsell $]]&gt;=400,"High",Sales[[#This Row],[Current Upsell $]]&gt;=100,"Medium",Sales[[#This Row],[Current Upsell $]]&lt;100,"Low")</f>
        <v/>
      </c>
      <c r="R1279" t="str">
        <f>IF(Sales[[#This Row],[Current Upsell $]]&gt;0,_xlfn.CONCAT(Sales[[#This Row],[Subscription Type]]," ",Sales[[#This Row],[Upsell Priority]]," ",TEXT(Sales[[#This Row],[Current Upsell $]],"$#,#")),"")</f>
        <v/>
      </c>
    </row>
    <row r="1280" spans="1:18" x14ac:dyDescent="0.25">
      <c r="A1280">
        <v>100125</v>
      </c>
      <c r="B1280" t="s">
        <v>1</v>
      </c>
      <c r="D1280" s="1"/>
      <c r="E1280" s="1"/>
      <c r="F1280">
        <v>11</v>
      </c>
      <c r="G1280">
        <v>13</v>
      </c>
      <c r="H1280" s="1">
        <v>44075</v>
      </c>
      <c r="I1280" s="1">
        <v>44378</v>
      </c>
      <c r="J1280">
        <v>10</v>
      </c>
      <c r="K1280">
        <v>0</v>
      </c>
      <c r="L1280" s="1">
        <v>44348</v>
      </c>
      <c r="M1280">
        <v>275</v>
      </c>
      <c r="N1280" s="8" cm="1">
        <f t="array" ref="N1280">_xlfn.SWITCH(Sales[[#This Row],[Subscription Type]],"Basic",10,"Premium",10,"Business",25,"Enterprise",27)</f>
        <v>25</v>
      </c>
      <c r="O1280">
        <f>IF(Sales[[#This Row],[Number of Users]]-Sales[[#This Row],[Licenses Bought]]&lt;0,0,Sales[[#This Row],[Number of Users]]-Sales[[#This Row],[Licenses Bought]])</f>
        <v>2</v>
      </c>
      <c r="P1280" s="8">
        <f>IF(Sales[[#This Row],[Sales Month]]=MAX(Sales[Sales Month]),Sales[[#This Row],[Non-Paying Users]]*Sales[[#This Row],[Upsell $ per Non-Paying User]],0)</f>
        <v>50</v>
      </c>
      <c r="Q1280" t="str" cm="1">
        <f t="array" ref="Q1280">_xlfn.IFS(Sales[[#This Row],[Current Upsell $]]=0,"",Sales[[#This Row],[Current Upsell $]]&gt;=400,"High",Sales[[#This Row],[Current Upsell $]]&gt;=100,"Medium",Sales[[#This Row],[Current Upsell $]]&lt;100,"Low")</f>
        <v>Low</v>
      </c>
      <c r="R1280" t="str">
        <f>IF(Sales[[#This Row],[Current Upsell $]]&gt;0,_xlfn.CONCAT(Sales[[#This Row],[Subscription Type]]," ",Sales[[#This Row],[Upsell Priority]]," ",TEXT(Sales[[#This Row],[Current Upsell $]],"$#,#")),"")</f>
        <v>Business Low $50</v>
      </c>
    </row>
    <row r="1281" spans="1:18" x14ac:dyDescent="0.25">
      <c r="A1281">
        <v>100126</v>
      </c>
      <c r="B1281" t="s">
        <v>3</v>
      </c>
      <c r="D1281" s="1"/>
      <c r="E1281" s="1"/>
      <c r="F1281">
        <v>0</v>
      </c>
      <c r="G1281">
        <v>13</v>
      </c>
      <c r="H1281" s="1">
        <v>44075</v>
      </c>
      <c r="I1281" s="1">
        <v>44378</v>
      </c>
      <c r="J1281">
        <v>10</v>
      </c>
      <c r="K1281">
        <v>0</v>
      </c>
      <c r="L1281" s="1">
        <v>44075</v>
      </c>
      <c r="M1281">
        <v>0</v>
      </c>
      <c r="N1281" s="8" cm="1">
        <f t="array" ref="N1281">_xlfn.SWITCH(Sales[[#This Row],[Subscription Type]],"Basic",10,"Premium",10,"Business",25,"Enterprise",27)</f>
        <v>10</v>
      </c>
      <c r="O1281">
        <f>IF(Sales[[#This Row],[Number of Users]]-Sales[[#This Row],[Licenses Bought]]&lt;0,0,Sales[[#This Row],[Number of Users]]-Sales[[#This Row],[Licenses Bought]])</f>
        <v>13</v>
      </c>
      <c r="P1281" s="8">
        <f>IF(Sales[[#This Row],[Sales Month]]=MAX(Sales[Sales Month]),Sales[[#This Row],[Non-Paying Users]]*Sales[[#This Row],[Upsell $ per Non-Paying User]],0)</f>
        <v>0</v>
      </c>
      <c r="Q1281" t="str" cm="1">
        <f t="array" ref="Q1281">_xlfn.IFS(Sales[[#This Row],[Current Upsell $]]=0,"",Sales[[#This Row],[Current Upsell $]]&gt;=400,"High",Sales[[#This Row],[Current Upsell $]]&gt;=100,"Medium",Sales[[#This Row],[Current Upsell $]]&lt;100,"Low")</f>
        <v/>
      </c>
      <c r="R1281" t="str">
        <f>IF(Sales[[#This Row],[Current Upsell $]]&gt;0,_xlfn.CONCAT(Sales[[#This Row],[Subscription Type]]," ",Sales[[#This Row],[Upsell Priority]]," ",TEXT(Sales[[#This Row],[Current Upsell $]],"$#,#")),"")</f>
        <v/>
      </c>
    </row>
    <row r="1282" spans="1:18" x14ac:dyDescent="0.25">
      <c r="A1282">
        <v>100126</v>
      </c>
      <c r="B1282" t="s">
        <v>0</v>
      </c>
      <c r="D1282" s="1"/>
      <c r="E1282" s="1"/>
      <c r="F1282">
        <v>5</v>
      </c>
      <c r="G1282">
        <v>14</v>
      </c>
      <c r="H1282" s="1">
        <v>44075</v>
      </c>
      <c r="I1282" s="1">
        <v>44378</v>
      </c>
      <c r="J1282">
        <v>10</v>
      </c>
      <c r="K1282">
        <v>0</v>
      </c>
      <c r="L1282" s="1">
        <v>44105</v>
      </c>
      <c r="M1282">
        <v>50</v>
      </c>
      <c r="N1282" s="8" cm="1">
        <f t="array" ref="N1282">_xlfn.SWITCH(Sales[[#This Row],[Subscription Type]],"Basic",10,"Premium",10,"Business",25,"Enterprise",27)</f>
        <v>10</v>
      </c>
      <c r="O1282">
        <f>IF(Sales[[#This Row],[Number of Users]]-Sales[[#This Row],[Licenses Bought]]&lt;0,0,Sales[[#This Row],[Number of Users]]-Sales[[#This Row],[Licenses Bought]])</f>
        <v>9</v>
      </c>
      <c r="P1282" s="8">
        <f>IF(Sales[[#This Row],[Sales Month]]=MAX(Sales[Sales Month]),Sales[[#This Row],[Non-Paying Users]]*Sales[[#This Row],[Upsell $ per Non-Paying User]],0)</f>
        <v>0</v>
      </c>
      <c r="Q1282" t="str" cm="1">
        <f t="array" ref="Q1282">_xlfn.IFS(Sales[[#This Row],[Current Upsell $]]=0,"",Sales[[#This Row],[Current Upsell $]]&gt;=400,"High",Sales[[#This Row],[Current Upsell $]]&gt;=100,"Medium",Sales[[#This Row],[Current Upsell $]]&lt;100,"Low")</f>
        <v/>
      </c>
      <c r="R1282" t="str">
        <f>IF(Sales[[#This Row],[Current Upsell $]]&gt;0,_xlfn.CONCAT(Sales[[#This Row],[Subscription Type]]," ",Sales[[#This Row],[Upsell Priority]]," ",TEXT(Sales[[#This Row],[Current Upsell $]],"$#,#")),"")</f>
        <v/>
      </c>
    </row>
    <row r="1283" spans="1:18" x14ac:dyDescent="0.25">
      <c r="A1283">
        <v>100126</v>
      </c>
      <c r="B1283" t="s">
        <v>0</v>
      </c>
      <c r="D1283" s="1"/>
      <c r="E1283" s="1"/>
      <c r="F1283">
        <v>7</v>
      </c>
      <c r="G1283">
        <v>15</v>
      </c>
      <c r="H1283" s="1">
        <v>44075</v>
      </c>
      <c r="I1283" s="1">
        <v>44378</v>
      </c>
      <c r="J1283">
        <v>10</v>
      </c>
      <c r="K1283">
        <v>0</v>
      </c>
      <c r="L1283" s="1">
        <v>44136</v>
      </c>
      <c r="M1283">
        <v>70</v>
      </c>
      <c r="N1283" s="8" cm="1">
        <f t="array" ref="N1283">_xlfn.SWITCH(Sales[[#This Row],[Subscription Type]],"Basic",10,"Premium",10,"Business",25,"Enterprise",27)</f>
        <v>10</v>
      </c>
      <c r="O1283">
        <f>IF(Sales[[#This Row],[Number of Users]]-Sales[[#This Row],[Licenses Bought]]&lt;0,0,Sales[[#This Row],[Number of Users]]-Sales[[#This Row],[Licenses Bought]])</f>
        <v>8</v>
      </c>
      <c r="P1283" s="8">
        <f>IF(Sales[[#This Row],[Sales Month]]=MAX(Sales[Sales Month]),Sales[[#This Row],[Non-Paying Users]]*Sales[[#This Row],[Upsell $ per Non-Paying User]],0)</f>
        <v>0</v>
      </c>
      <c r="Q1283" t="str" cm="1">
        <f t="array" ref="Q1283">_xlfn.IFS(Sales[[#This Row],[Current Upsell $]]=0,"",Sales[[#This Row],[Current Upsell $]]&gt;=400,"High",Sales[[#This Row],[Current Upsell $]]&gt;=100,"Medium",Sales[[#This Row],[Current Upsell $]]&lt;100,"Low")</f>
        <v/>
      </c>
      <c r="R1283" t="str">
        <f>IF(Sales[[#This Row],[Current Upsell $]]&gt;0,_xlfn.CONCAT(Sales[[#This Row],[Subscription Type]]," ",Sales[[#This Row],[Upsell Priority]]," ",TEXT(Sales[[#This Row],[Current Upsell $]],"$#,#")),"")</f>
        <v/>
      </c>
    </row>
    <row r="1284" spans="1:18" x14ac:dyDescent="0.25">
      <c r="A1284">
        <v>100126</v>
      </c>
      <c r="B1284" t="s">
        <v>0</v>
      </c>
      <c r="D1284" s="1"/>
      <c r="E1284" s="1"/>
      <c r="F1284">
        <v>11</v>
      </c>
      <c r="G1284">
        <v>14</v>
      </c>
      <c r="H1284" s="1">
        <v>44075</v>
      </c>
      <c r="I1284" s="1">
        <v>44378</v>
      </c>
      <c r="J1284">
        <v>10</v>
      </c>
      <c r="K1284">
        <v>0</v>
      </c>
      <c r="L1284" s="1">
        <v>44166</v>
      </c>
      <c r="M1284">
        <v>110</v>
      </c>
      <c r="N1284" s="8" cm="1">
        <f t="array" ref="N1284">_xlfn.SWITCH(Sales[[#This Row],[Subscription Type]],"Basic",10,"Premium",10,"Business",25,"Enterprise",27)</f>
        <v>10</v>
      </c>
      <c r="O1284">
        <f>IF(Sales[[#This Row],[Number of Users]]-Sales[[#This Row],[Licenses Bought]]&lt;0,0,Sales[[#This Row],[Number of Users]]-Sales[[#This Row],[Licenses Bought]])</f>
        <v>3</v>
      </c>
      <c r="P1284" s="8">
        <f>IF(Sales[[#This Row],[Sales Month]]=MAX(Sales[Sales Month]),Sales[[#This Row],[Non-Paying Users]]*Sales[[#This Row],[Upsell $ per Non-Paying User]],0)</f>
        <v>0</v>
      </c>
      <c r="Q1284" t="str" cm="1">
        <f t="array" ref="Q1284">_xlfn.IFS(Sales[[#This Row],[Current Upsell $]]=0,"",Sales[[#This Row],[Current Upsell $]]&gt;=400,"High",Sales[[#This Row],[Current Upsell $]]&gt;=100,"Medium",Sales[[#This Row],[Current Upsell $]]&lt;100,"Low")</f>
        <v/>
      </c>
      <c r="R1284" t="str">
        <f>IF(Sales[[#This Row],[Current Upsell $]]&gt;0,_xlfn.CONCAT(Sales[[#This Row],[Subscription Type]]," ",Sales[[#This Row],[Upsell Priority]]," ",TEXT(Sales[[#This Row],[Current Upsell $]],"$#,#")),"")</f>
        <v/>
      </c>
    </row>
    <row r="1285" spans="1:18" x14ac:dyDescent="0.25">
      <c r="A1285">
        <v>100126</v>
      </c>
      <c r="B1285" t="s">
        <v>0</v>
      </c>
      <c r="D1285" s="1"/>
      <c r="E1285" s="1"/>
      <c r="F1285">
        <v>11</v>
      </c>
      <c r="G1285">
        <v>15</v>
      </c>
      <c r="H1285" s="1">
        <v>44075</v>
      </c>
      <c r="I1285" s="1">
        <v>44378</v>
      </c>
      <c r="J1285">
        <v>10</v>
      </c>
      <c r="K1285">
        <v>0</v>
      </c>
      <c r="L1285" s="1">
        <v>44197</v>
      </c>
      <c r="M1285">
        <v>110</v>
      </c>
      <c r="N1285" s="8" cm="1">
        <f t="array" ref="N1285">_xlfn.SWITCH(Sales[[#This Row],[Subscription Type]],"Basic",10,"Premium",10,"Business",25,"Enterprise",27)</f>
        <v>10</v>
      </c>
      <c r="O1285">
        <f>IF(Sales[[#This Row],[Number of Users]]-Sales[[#This Row],[Licenses Bought]]&lt;0,0,Sales[[#This Row],[Number of Users]]-Sales[[#This Row],[Licenses Bought]])</f>
        <v>4</v>
      </c>
      <c r="P1285" s="8">
        <f>IF(Sales[[#This Row],[Sales Month]]=MAX(Sales[Sales Month]),Sales[[#This Row],[Non-Paying Users]]*Sales[[#This Row],[Upsell $ per Non-Paying User]],0)</f>
        <v>0</v>
      </c>
      <c r="Q1285" t="str" cm="1">
        <f t="array" ref="Q1285">_xlfn.IFS(Sales[[#This Row],[Current Upsell $]]=0,"",Sales[[#This Row],[Current Upsell $]]&gt;=400,"High",Sales[[#This Row],[Current Upsell $]]&gt;=100,"Medium",Sales[[#This Row],[Current Upsell $]]&lt;100,"Low")</f>
        <v/>
      </c>
      <c r="R1285" t="str">
        <f>IF(Sales[[#This Row],[Current Upsell $]]&gt;0,_xlfn.CONCAT(Sales[[#This Row],[Subscription Type]]," ",Sales[[#This Row],[Upsell Priority]]," ",TEXT(Sales[[#This Row],[Current Upsell $]],"$#,#")),"")</f>
        <v/>
      </c>
    </row>
    <row r="1286" spans="1:18" x14ac:dyDescent="0.25">
      <c r="A1286">
        <v>100126</v>
      </c>
      <c r="B1286" t="s">
        <v>0</v>
      </c>
      <c r="D1286" s="1"/>
      <c r="E1286" s="1"/>
      <c r="F1286">
        <v>11</v>
      </c>
      <c r="G1286">
        <v>14</v>
      </c>
      <c r="H1286" s="1">
        <v>44075</v>
      </c>
      <c r="I1286" s="1">
        <v>44378</v>
      </c>
      <c r="J1286">
        <v>10</v>
      </c>
      <c r="K1286">
        <v>0</v>
      </c>
      <c r="L1286" s="1">
        <v>44228</v>
      </c>
      <c r="M1286">
        <v>110</v>
      </c>
      <c r="N1286" s="8" cm="1">
        <f t="array" ref="N1286">_xlfn.SWITCH(Sales[[#This Row],[Subscription Type]],"Basic",10,"Premium",10,"Business",25,"Enterprise",27)</f>
        <v>10</v>
      </c>
      <c r="O1286">
        <f>IF(Sales[[#This Row],[Number of Users]]-Sales[[#This Row],[Licenses Bought]]&lt;0,0,Sales[[#This Row],[Number of Users]]-Sales[[#This Row],[Licenses Bought]])</f>
        <v>3</v>
      </c>
      <c r="P1286" s="8">
        <f>IF(Sales[[#This Row],[Sales Month]]=MAX(Sales[Sales Month]),Sales[[#This Row],[Non-Paying Users]]*Sales[[#This Row],[Upsell $ per Non-Paying User]],0)</f>
        <v>0</v>
      </c>
      <c r="Q1286" t="str" cm="1">
        <f t="array" ref="Q1286">_xlfn.IFS(Sales[[#This Row],[Current Upsell $]]=0,"",Sales[[#This Row],[Current Upsell $]]&gt;=400,"High",Sales[[#This Row],[Current Upsell $]]&gt;=100,"Medium",Sales[[#This Row],[Current Upsell $]]&lt;100,"Low")</f>
        <v/>
      </c>
      <c r="R1286" t="str">
        <f>IF(Sales[[#This Row],[Current Upsell $]]&gt;0,_xlfn.CONCAT(Sales[[#This Row],[Subscription Type]]," ",Sales[[#This Row],[Upsell Priority]]," ",TEXT(Sales[[#This Row],[Current Upsell $]],"$#,#")),"")</f>
        <v/>
      </c>
    </row>
    <row r="1287" spans="1:18" x14ac:dyDescent="0.25">
      <c r="A1287">
        <v>100126</v>
      </c>
      <c r="B1287" t="s">
        <v>0</v>
      </c>
      <c r="D1287" s="1"/>
      <c r="E1287" s="1"/>
      <c r="F1287">
        <v>11</v>
      </c>
      <c r="G1287">
        <v>14</v>
      </c>
      <c r="H1287" s="1">
        <v>44075</v>
      </c>
      <c r="I1287" s="1">
        <v>44378</v>
      </c>
      <c r="J1287">
        <v>10</v>
      </c>
      <c r="K1287">
        <v>0</v>
      </c>
      <c r="L1287" s="1">
        <v>44256</v>
      </c>
      <c r="M1287">
        <v>110</v>
      </c>
      <c r="N1287" s="8" cm="1">
        <f t="array" ref="N1287">_xlfn.SWITCH(Sales[[#This Row],[Subscription Type]],"Basic",10,"Premium",10,"Business",25,"Enterprise",27)</f>
        <v>10</v>
      </c>
      <c r="O1287">
        <f>IF(Sales[[#This Row],[Number of Users]]-Sales[[#This Row],[Licenses Bought]]&lt;0,0,Sales[[#This Row],[Number of Users]]-Sales[[#This Row],[Licenses Bought]])</f>
        <v>3</v>
      </c>
      <c r="P1287" s="8">
        <f>IF(Sales[[#This Row],[Sales Month]]=MAX(Sales[Sales Month]),Sales[[#This Row],[Non-Paying Users]]*Sales[[#This Row],[Upsell $ per Non-Paying User]],0)</f>
        <v>0</v>
      </c>
      <c r="Q1287" t="str" cm="1">
        <f t="array" ref="Q1287">_xlfn.IFS(Sales[[#This Row],[Current Upsell $]]=0,"",Sales[[#This Row],[Current Upsell $]]&gt;=400,"High",Sales[[#This Row],[Current Upsell $]]&gt;=100,"Medium",Sales[[#This Row],[Current Upsell $]]&lt;100,"Low")</f>
        <v/>
      </c>
      <c r="R1287" t="str">
        <f>IF(Sales[[#This Row],[Current Upsell $]]&gt;0,_xlfn.CONCAT(Sales[[#This Row],[Subscription Type]]," ",Sales[[#This Row],[Upsell Priority]]," ",TEXT(Sales[[#This Row],[Current Upsell $]],"$#,#")),"")</f>
        <v/>
      </c>
    </row>
    <row r="1288" spans="1:18" x14ac:dyDescent="0.25">
      <c r="A1288">
        <v>100126</v>
      </c>
      <c r="B1288" t="s">
        <v>0</v>
      </c>
      <c r="D1288" s="1"/>
      <c r="E1288" s="1"/>
      <c r="F1288">
        <v>11</v>
      </c>
      <c r="G1288">
        <v>13</v>
      </c>
      <c r="H1288" s="1">
        <v>44075</v>
      </c>
      <c r="I1288" s="1">
        <v>44378</v>
      </c>
      <c r="J1288">
        <v>10</v>
      </c>
      <c r="K1288">
        <v>0</v>
      </c>
      <c r="L1288" s="1">
        <v>44287</v>
      </c>
      <c r="M1288">
        <v>110</v>
      </c>
      <c r="N1288" s="8" cm="1">
        <f t="array" ref="N1288">_xlfn.SWITCH(Sales[[#This Row],[Subscription Type]],"Basic",10,"Premium",10,"Business",25,"Enterprise",27)</f>
        <v>10</v>
      </c>
      <c r="O1288">
        <f>IF(Sales[[#This Row],[Number of Users]]-Sales[[#This Row],[Licenses Bought]]&lt;0,0,Sales[[#This Row],[Number of Users]]-Sales[[#This Row],[Licenses Bought]])</f>
        <v>2</v>
      </c>
      <c r="P1288" s="8">
        <f>IF(Sales[[#This Row],[Sales Month]]=MAX(Sales[Sales Month]),Sales[[#This Row],[Non-Paying Users]]*Sales[[#This Row],[Upsell $ per Non-Paying User]],0)</f>
        <v>0</v>
      </c>
      <c r="Q1288" t="str" cm="1">
        <f t="array" ref="Q1288">_xlfn.IFS(Sales[[#This Row],[Current Upsell $]]=0,"",Sales[[#This Row],[Current Upsell $]]&gt;=400,"High",Sales[[#This Row],[Current Upsell $]]&gt;=100,"Medium",Sales[[#This Row],[Current Upsell $]]&lt;100,"Low")</f>
        <v/>
      </c>
      <c r="R1288" t="str">
        <f>IF(Sales[[#This Row],[Current Upsell $]]&gt;0,_xlfn.CONCAT(Sales[[#This Row],[Subscription Type]]," ",Sales[[#This Row],[Upsell Priority]]," ",TEXT(Sales[[#This Row],[Current Upsell $]],"$#,#")),"")</f>
        <v/>
      </c>
    </row>
    <row r="1289" spans="1:18" x14ac:dyDescent="0.25">
      <c r="A1289">
        <v>100126</v>
      </c>
      <c r="B1289" t="s">
        <v>0</v>
      </c>
      <c r="D1289" s="1"/>
      <c r="E1289" s="1"/>
      <c r="F1289">
        <v>11</v>
      </c>
      <c r="G1289">
        <v>13</v>
      </c>
      <c r="H1289" s="1">
        <v>44075</v>
      </c>
      <c r="I1289" s="1">
        <v>44378</v>
      </c>
      <c r="J1289">
        <v>10</v>
      </c>
      <c r="K1289">
        <v>0</v>
      </c>
      <c r="L1289" s="1">
        <v>44317</v>
      </c>
      <c r="M1289">
        <v>110</v>
      </c>
      <c r="N1289" s="8" cm="1">
        <f t="array" ref="N1289">_xlfn.SWITCH(Sales[[#This Row],[Subscription Type]],"Basic",10,"Premium",10,"Business",25,"Enterprise",27)</f>
        <v>10</v>
      </c>
      <c r="O1289">
        <f>IF(Sales[[#This Row],[Number of Users]]-Sales[[#This Row],[Licenses Bought]]&lt;0,0,Sales[[#This Row],[Number of Users]]-Sales[[#This Row],[Licenses Bought]])</f>
        <v>2</v>
      </c>
      <c r="P1289" s="8">
        <f>IF(Sales[[#This Row],[Sales Month]]=MAX(Sales[Sales Month]),Sales[[#This Row],[Non-Paying Users]]*Sales[[#This Row],[Upsell $ per Non-Paying User]],0)</f>
        <v>0</v>
      </c>
      <c r="Q1289" t="str" cm="1">
        <f t="array" ref="Q1289">_xlfn.IFS(Sales[[#This Row],[Current Upsell $]]=0,"",Sales[[#This Row],[Current Upsell $]]&gt;=400,"High",Sales[[#This Row],[Current Upsell $]]&gt;=100,"Medium",Sales[[#This Row],[Current Upsell $]]&lt;100,"Low")</f>
        <v/>
      </c>
      <c r="R1289" t="str">
        <f>IF(Sales[[#This Row],[Current Upsell $]]&gt;0,_xlfn.CONCAT(Sales[[#This Row],[Subscription Type]]," ",Sales[[#This Row],[Upsell Priority]]," ",TEXT(Sales[[#This Row],[Current Upsell $]],"$#,#")),"")</f>
        <v/>
      </c>
    </row>
    <row r="1290" spans="1:18" x14ac:dyDescent="0.25">
      <c r="A1290">
        <v>100126</v>
      </c>
      <c r="B1290" t="s">
        <v>0</v>
      </c>
      <c r="D1290" s="1"/>
      <c r="E1290" s="1"/>
      <c r="F1290">
        <v>11</v>
      </c>
      <c r="G1290">
        <v>13</v>
      </c>
      <c r="H1290" s="1">
        <v>44075</v>
      </c>
      <c r="I1290" s="1">
        <v>44378</v>
      </c>
      <c r="J1290">
        <v>10</v>
      </c>
      <c r="K1290">
        <v>0</v>
      </c>
      <c r="L1290" s="1">
        <v>44348</v>
      </c>
      <c r="M1290">
        <v>110</v>
      </c>
      <c r="N1290" s="8" cm="1">
        <f t="array" ref="N1290">_xlfn.SWITCH(Sales[[#This Row],[Subscription Type]],"Basic",10,"Premium",10,"Business",25,"Enterprise",27)</f>
        <v>10</v>
      </c>
      <c r="O1290">
        <f>IF(Sales[[#This Row],[Number of Users]]-Sales[[#This Row],[Licenses Bought]]&lt;0,0,Sales[[#This Row],[Number of Users]]-Sales[[#This Row],[Licenses Bought]])</f>
        <v>2</v>
      </c>
      <c r="P1290" s="8">
        <f>IF(Sales[[#This Row],[Sales Month]]=MAX(Sales[Sales Month]),Sales[[#This Row],[Non-Paying Users]]*Sales[[#This Row],[Upsell $ per Non-Paying User]],0)</f>
        <v>20</v>
      </c>
      <c r="Q1290" t="str" cm="1">
        <f t="array" ref="Q1290">_xlfn.IFS(Sales[[#This Row],[Current Upsell $]]=0,"",Sales[[#This Row],[Current Upsell $]]&gt;=400,"High",Sales[[#This Row],[Current Upsell $]]&gt;=100,"Medium",Sales[[#This Row],[Current Upsell $]]&lt;100,"Low")</f>
        <v>Low</v>
      </c>
      <c r="R1290" t="str">
        <f>IF(Sales[[#This Row],[Current Upsell $]]&gt;0,_xlfn.CONCAT(Sales[[#This Row],[Subscription Type]]," ",Sales[[#This Row],[Upsell Priority]]," ",TEXT(Sales[[#This Row],[Current Upsell $]],"$#,#")),"")</f>
        <v>Premium Low $20</v>
      </c>
    </row>
    <row r="1291" spans="1:18" x14ac:dyDescent="0.25">
      <c r="A1291">
        <v>100127</v>
      </c>
      <c r="B1291" t="s">
        <v>3</v>
      </c>
      <c r="D1291" s="1"/>
      <c r="E1291" s="1"/>
      <c r="F1291">
        <v>0</v>
      </c>
      <c r="G1291">
        <v>13</v>
      </c>
      <c r="H1291" s="1">
        <v>44075</v>
      </c>
      <c r="I1291" s="1">
        <v>44378</v>
      </c>
      <c r="J1291">
        <v>10</v>
      </c>
      <c r="K1291">
        <v>0</v>
      </c>
      <c r="L1291" s="1">
        <v>44075</v>
      </c>
      <c r="M1291">
        <v>0</v>
      </c>
      <c r="N1291" s="8" cm="1">
        <f t="array" ref="N1291">_xlfn.SWITCH(Sales[[#This Row],[Subscription Type]],"Basic",10,"Premium",10,"Business",25,"Enterprise",27)</f>
        <v>10</v>
      </c>
      <c r="O1291">
        <f>IF(Sales[[#This Row],[Number of Users]]-Sales[[#This Row],[Licenses Bought]]&lt;0,0,Sales[[#This Row],[Number of Users]]-Sales[[#This Row],[Licenses Bought]])</f>
        <v>13</v>
      </c>
      <c r="P1291" s="8">
        <f>IF(Sales[[#This Row],[Sales Month]]=MAX(Sales[Sales Month]),Sales[[#This Row],[Non-Paying Users]]*Sales[[#This Row],[Upsell $ per Non-Paying User]],0)</f>
        <v>0</v>
      </c>
      <c r="Q1291" t="str" cm="1">
        <f t="array" ref="Q1291">_xlfn.IFS(Sales[[#This Row],[Current Upsell $]]=0,"",Sales[[#This Row],[Current Upsell $]]&gt;=400,"High",Sales[[#This Row],[Current Upsell $]]&gt;=100,"Medium",Sales[[#This Row],[Current Upsell $]]&lt;100,"Low")</f>
        <v/>
      </c>
      <c r="R1291" t="str">
        <f>IF(Sales[[#This Row],[Current Upsell $]]&gt;0,_xlfn.CONCAT(Sales[[#This Row],[Subscription Type]]," ",Sales[[#This Row],[Upsell Priority]]," ",TEXT(Sales[[#This Row],[Current Upsell $]],"$#,#")),"")</f>
        <v/>
      </c>
    </row>
    <row r="1292" spans="1:18" x14ac:dyDescent="0.25">
      <c r="A1292">
        <v>100127</v>
      </c>
      <c r="B1292" t="s">
        <v>0</v>
      </c>
      <c r="D1292" s="1"/>
      <c r="E1292" s="1"/>
      <c r="F1292">
        <v>3</v>
      </c>
      <c r="G1292">
        <v>11</v>
      </c>
      <c r="H1292" s="1">
        <v>44075</v>
      </c>
      <c r="I1292" s="1">
        <v>44378</v>
      </c>
      <c r="J1292">
        <v>10</v>
      </c>
      <c r="K1292">
        <v>0</v>
      </c>
      <c r="L1292" s="1">
        <v>44105</v>
      </c>
      <c r="M1292">
        <v>30</v>
      </c>
      <c r="N1292" s="8" cm="1">
        <f t="array" ref="N1292">_xlfn.SWITCH(Sales[[#This Row],[Subscription Type]],"Basic",10,"Premium",10,"Business",25,"Enterprise",27)</f>
        <v>10</v>
      </c>
      <c r="O1292">
        <f>IF(Sales[[#This Row],[Number of Users]]-Sales[[#This Row],[Licenses Bought]]&lt;0,0,Sales[[#This Row],[Number of Users]]-Sales[[#This Row],[Licenses Bought]])</f>
        <v>8</v>
      </c>
      <c r="P1292" s="8">
        <f>IF(Sales[[#This Row],[Sales Month]]=MAX(Sales[Sales Month]),Sales[[#This Row],[Non-Paying Users]]*Sales[[#This Row],[Upsell $ per Non-Paying User]],0)</f>
        <v>0</v>
      </c>
      <c r="Q1292" t="str" cm="1">
        <f t="array" ref="Q1292">_xlfn.IFS(Sales[[#This Row],[Current Upsell $]]=0,"",Sales[[#This Row],[Current Upsell $]]&gt;=400,"High",Sales[[#This Row],[Current Upsell $]]&gt;=100,"Medium",Sales[[#This Row],[Current Upsell $]]&lt;100,"Low")</f>
        <v/>
      </c>
      <c r="R1292" t="str">
        <f>IF(Sales[[#This Row],[Current Upsell $]]&gt;0,_xlfn.CONCAT(Sales[[#This Row],[Subscription Type]]," ",Sales[[#This Row],[Upsell Priority]]," ",TEXT(Sales[[#This Row],[Current Upsell $]],"$#,#")),"")</f>
        <v/>
      </c>
    </row>
    <row r="1293" spans="1:18" x14ac:dyDescent="0.25">
      <c r="A1293">
        <v>100127</v>
      </c>
      <c r="B1293" t="s">
        <v>0</v>
      </c>
      <c r="D1293" s="1"/>
      <c r="E1293" s="1"/>
      <c r="F1293">
        <v>10</v>
      </c>
      <c r="G1293">
        <v>14</v>
      </c>
      <c r="H1293" s="1">
        <v>44075</v>
      </c>
      <c r="I1293" s="1">
        <v>44378</v>
      </c>
      <c r="J1293">
        <v>10</v>
      </c>
      <c r="K1293">
        <v>0</v>
      </c>
      <c r="L1293" s="1">
        <v>44136</v>
      </c>
      <c r="M1293">
        <v>100</v>
      </c>
      <c r="N1293" s="8" cm="1">
        <f t="array" ref="N1293">_xlfn.SWITCH(Sales[[#This Row],[Subscription Type]],"Basic",10,"Premium",10,"Business",25,"Enterprise",27)</f>
        <v>10</v>
      </c>
      <c r="O1293">
        <f>IF(Sales[[#This Row],[Number of Users]]-Sales[[#This Row],[Licenses Bought]]&lt;0,0,Sales[[#This Row],[Number of Users]]-Sales[[#This Row],[Licenses Bought]])</f>
        <v>4</v>
      </c>
      <c r="P1293" s="8">
        <f>IF(Sales[[#This Row],[Sales Month]]=MAX(Sales[Sales Month]),Sales[[#This Row],[Non-Paying Users]]*Sales[[#This Row],[Upsell $ per Non-Paying User]],0)</f>
        <v>0</v>
      </c>
      <c r="Q1293" t="str" cm="1">
        <f t="array" ref="Q1293">_xlfn.IFS(Sales[[#This Row],[Current Upsell $]]=0,"",Sales[[#This Row],[Current Upsell $]]&gt;=400,"High",Sales[[#This Row],[Current Upsell $]]&gt;=100,"Medium",Sales[[#This Row],[Current Upsell $]]&lt;100,"Low")</f>
        <v/>
      </c>
      <c r="R1293" t="str">
        <f>IF(Sales[[#This Row],[Current Upsell $]]&gt;0,_xlfn.CONCAT(Sales[[#This Row],[Subscription Type]]," ",Sales[[#This Row],[Upsell Priority]]," ",TEXT(Sales[[#This Row],[Current Upsell $]],"$#,#")),"")</f>
        <v/>
      </c>
    </row>
    <row r="1294" spans="1:18" x14ac:dyDescent="0.25">
      <c r="A1294">
        <v>100127</v>
      </c>
      <c r="B1294" t="s">
        <v>0</v>
      </c>
      <c r="D1294" s="1"/>
      <c r="E1294" s="1"/>
      <c r="F1294">
        <v>8</v>
      </c>
      <c r="G1294">
        <v>12</v>
      </c>
      <c r="H1294" s="1">
        <v>44075</v>
      </c>
      <c r="I1294" s="1">
        <v>44378</v>
      </c>
      <c r="J1294">
        <v>10</v>
      </c>
      <c r="K1294">
        <v>0</v>
      </c>
      <c r="L1294" s="1">
        <v>44166</v>
      </c>
      <c r="M1294">
        <v>80</v>
      </c>
      <c r="N1294" s="8" cm="1">
        <f t="array" ref="N1294">_xlfn.SWITCH(Sales[[#This Row],[Subscription Type]],"Basic",10,"Premium",10,"Business",25,"Enterprise",27)</f>
        <v>10</v>
      </c>
      <c r="O1294">
        <f>IF(Sales[[#This Row],[Number of Users]]-Sales[[#This Row],[Licenses Bought]]&lt;0,0,Sales[[#This Row],[Number of Users]]-Sales[[#This Row],[Licenses Bought]])</f>
        <v>4</v>
      </c>
      <c r="P1294" s="8">
        <f>IF(Sales[[#This Row],[Sales Month]]=MAX(Sales[Sales Month]),Sales[[#This Row],[Non-Paying Users]]*Sales[[#This Row],[Upsell $ per Non-Paying User]],0)</f>
        <v>0</v>
      </c>
      <c r="Q1294" t="str" cm="1">
        <f t="array" ref="Q1294">_xlfn.IFS(Sales[[#This Row],[Current Upsell $]]=0,"",Sales[[#This Row],[Current Upsell $]]&gt;=400,"High",Sales[[#This Row],[Current Upsell $]]&gt;=100,"Medium",Sales[[#This Row],[Current Upsell $]]&lt;100,"Low")</f>
        <v/>
      </c>
      <c r="R1294" t="str">
        <f>IF(Sales[[#This Row],[Current Upsell $]]&gt;0,_xlfn.CONCAT(Sales[[#This Row],[Subscription Type]]," ",Sales[[#This Row],[Upsell Priority]]," ",TEXT(Sales[[#This Row],[Current Upsell $]],"$#,#")),"")</f>
        <v/>
      </c>
    </row>
    <row r="1295" spans="1:18" x14ac:dyDescent="0.25">
      <c r="A1295">
        <v>100127</v>
      </c>
      <c r="B1295" t="s">
        <v>0</v>
      </c>
      <c r="D1295" s="1"/>
      <c r="E1295" s="1"/>
      <c r="F1295">
        <v>10</v>
      </c>
      <c r="G1295">
        <v>11</v>
      </c>
      <c r="H1295" s="1">
        <v>44075</v>
      </c>
      <c r="I1295" s="1">
        <v>44378</v>
      </c>
      <c r="J1295">
        <v>10</v>
      </c>
      <c r="K1295">
        <v>0</v>
      </c>
      <c r="L1295" s="1">
        <v>44197</v>
      </c>
      <c r="M1295">
        <v>100</v>
      </c>
      <c r="N1295" s="8" cm="1">
        <f t="array" ref="N1295">_xlfn.SWITCH(Sales[[#This Row],[Subscription Type]],"Basic",10,"Premium",10,"Business",25,"Enterprise",27)</f>
        <v>10</v>
      </c>
      <c r="O1295">
        <f>IF(Sales[[#This Row],[Number of Users]]-Sales[[#This Row],[Licenses Bought]]&lt;0,0,Sales[[#This Row],[Number of Users]]-Sales[[#This Row],[Licenses Bought]])</f>
        <v>1</v>
      </c>
      <c r="P1295" s="8">
        <f>IF(Sales[[#This Row],[Sales Month]]=MAX(Sales[Sales Month]),Sales[[#This Row],[Non-Paying Users]]*Sales[[#This Row],[Upsell $ per Non-Paying User]],0)</f>
        <v>0</v>
      </c>
      <c r="Q1295" t="str" cm="1">
        <f t="array" ref="Q1295">_xlfn.IFS(Sales[[#This Row],[Current Upsell $]]=0,"",Sales[[#This Row],[Current Upsell $]]&gt;=400,"High",Sales[[#This Row],[Current Upsell $]]&gt;=100,"Medium",Sales[[#This Row],[Current Upsell $]]&lt;100,"Low")</f>
        <v/>
      </c>
      <c r="R1295" t="str">
        <f>IF(Sales[[#This Row],[Current Upsell $]]&gt;0,_xlfn.CONCAT(Sales[[#This Row],[Subscription Type]]," ",Sales[[#This Row],[Upsell Priority]]," ",TEXT(Sales[[#This Row],[Current Upsell $]],"$#,#")),"")</f>
        <v/>
      </c>
    </row>
    <row r="1296" spans="1:18" x14ac:dyDescent="0.25">
      <c r="A1296">
        <v>100127</v>
      </c>
      <c r="B1296" t="s">
        <v>0</v>
      </c>
      <c r="D1296" s="1"/>
      <c r="E1296" s="1"/>
      <c r="F1296">
        <v>10</v>
      </c>
      <c r="G1296">
        <v>10</v>
      </c>
      <c r="H1296" s="1">
        <v>44075</v>
      </c>
      <c r="I1296" s="1">
        <v>44378</v>
      </c>
      <c r="J1296">
        <v>10</v>
      </c>
      <c r="K1296">
        <v>0</v>
      </c>
      <c r="L1296" s="1">
        <v>44228</v>
      </c>
      <c r="M1296">
        <v>100</v>
      </c>
      <c r="N1296" s="8" cm="1">
        <f t="array" ref="N1296">_xlfn.SWITCH(Sales[[#This Row],[Subscription Type]],"Basic",10,"Premium",10,"Business",25,"Enterprise",27)</f>
        <v>10</v>
      </c>
      <c r="O1296">
        <f>IF(Sales[[#This Row],[Number of Users]]-Sales[[#This Row],[Licenses Bought]]&lt;0,0,Sales[[#This Row],[Number of Users]]-Sales[[#This Row],[Licenses Bought]])</f>
        <v>0</v>
      </c>
      <c r="P1296" s="8">
        <f>IF(Sales[[#This Row],[Sales Month]]=MAX(Sales[Sales Month]),Sales[[#This Row],[Non-Paying Users]]*Sales[[#This Row],[Upsell $ per Non-Paying User]],0)</f>
        <v>0</v>
      </c>
      <c r="Q1296" t="str" cm="1">
        <f t="array" ref="Q1296">_xlfn.IFS(Sales[[#This Row],[Current Upsell $]]=0,"",Sales[[#This Row],[Current Upsell $]]&gt;=400,"High",Sales[[#This Row],[Current Upsell $]]&gt;=100,"Medium",Sales[[#This Row],[Current Upsell $]]&lt;100,"Low")</f>
        <v/>
      </c>
      <c r="R1296" t="str">
        <f>IF(Sales[[#This Row],[Current Upsell $]]&gt;0,_xlfn.CONCAT(Sales[[#This Row],[Subscription Type]]," ",Sales[[#This Row],[Upsell Priority]]," ",TEXT(Sales[[#This Row],[Current Upsell $]],"$#,#")),"")</f>
        <v/>
      </c>
    </row>
    <row r="1297" spans="1:18" x14ac:dyDescent="0.25">
      <c r="A1297">
        <v>100127</v>
      </c>
      <c r="B1297" t="s">
        <v>0</v>
      </c>
      <c r="D1297" s="1"/>
      <c r="E1297" s="1"/>
      <c r="F1297">
        <v>10</v>
      </c>
      <c r="G1297">
        <v>12</v>
      </c>
      <c r="H1297" s="1">
        <v>44075</v>
      </c>
      <c r="I1297" s="1">
        <v>44378</v>
      </c>
      <c r="J1297">
        <v>10</v>
      </c>
      <c r="K1297">
        <v>0</v>
      </c>
      <c r="L1297" s="1">
        <v>44256</v>
      </c>
      <c r="M1297">
        <v>100</v>
      </c>
      <c r="N1297" s="8" cm="1">
        <f t="array" ref="N1297">_xlfn.SWITCH(Sales[[#This Row],[Subscription Type]],"Basic",10,"Premium",10,"Business",25,"Enterprise",27)</f>
        <v>10</v>
      </c>
      <c r="O1297">
        <f>IF(Sales[[#This Row],[Number of Users]]-Sales[[#This Row],[Licenses Bought]]&lt;0,0,Sales[[#This Row],[Number of Users]]-Sales[[#This Row],[Licenses Bought]])</f>
        <v>2</v>
      </c>
      <c r="P1297" s="8">
        <f>IF(Sales[[#This Row],[Sales Month]]=MAX(Sales[Sales Month]),Sales[[#This Row],[Non-Paying Users]]*Sales[[#This Row],[Upsell $ per Non-Paying User]],0)</f>
        <v>0</v>
      </c>
      <c r="Q1297" t="str" cm="1">
        <f t="array" ref="Q1297">_xlfn.IFS(Sales[[#This Row],[Current Upsell $]]=0,"",Sales[[#This Row],[Current Upsell $]]&gt;=400,"High",Sales[[#This Row],[Current Upsell $]]&gt;=100,"Medium",Sales[[#This Row],[Current Upsell $]]&lt;100,"Low")</f>
        <v/>
      </c>
      <c r="R1297" t="str">
        <f>IF(Sales[[#This Row],[Current Upsell $]]&gt;0,_xlfn.CONCAT(Sales[[#This Row],[Subscription Type]]," ",Sales[[#This Row],[Upsell Priority]]," ",TEXT(Sales[[#This Row],[Current Upsell $]],"$#,#")),"")</f>
        <v/>
      </c>
    </row>
    <row r="1298" spans="1:18" x14ac:dyDescent="0.25">
      <c r="A1298">
        <v>100127</v>
      </c>
      <c r="B1298" t="s">
        <v>0</v>
      </c>
      <c r="D1298" s="1"/>
      <c r="E1298" s="1"/>
      <c r="F1298">
        <v>10</v>
      </c>
      <c r="G1298">
        <v>15</v>
      </c>
      <c r="H1298" s="1">
        <v>44075</v>
      </c>
      <c r="I1298" s="1">
        <v>44378</v>
      </c>
      <c r="J1298">
        <v>10</v>
      </c>
      <c r="K1298">
        <v>0</v>
      </c>
      <c r="L1298" s="1">
        <v>44287</v>
      </c>
      <c r="M1298">
        <v>100</v>
      </c>
      <c r="N1298" s="8" cm="1">
        <f t="array" ref="N1298">_xlfn.SWITCH(Sales[[#This Row],[Subscription Type]],"Basic",10,"Premium",10,"Business",25,"Enterprise",27)</f>
        <v>10</v>
      </c>
      <c r="O1298">
        <f>IF(Sales[[#This Row],[Number of Users]]-Sales[[#This Row],[Licenses Bought]]&lt;0,0,Sales[[#This Row],[Number of Users]]-Sales[[#This Row],[Licenses Bought]])</f>
        <v>5</v>
      </c>
      <c r="P1298" s="8">
        <f>IF(Sales[[#This Row],[Sales Month]]=MAX(Sales[Sales Month]),Sales[[#This Row],[Non-Paying Users]]*Sales[[#This Row],[Upsell $ per Non-Paying User]],0)</f>
        <v>0</v>
      </c>
      <c r="Q1298" t="str" cm="1">
        <f t="array" ref="Q1298">_xlfn.IFS(Sales[[#This Row],[Current Upsell $]]=0,"",Sales[[#This Row],[Current Upsell $]]&gt;=400,"High",Sales[[#This Row],[Current Upsell $]]&gt;=100,"Medium",Sales[[#This Row],[Current Upsell $]]&lt;100,"Low")</f>
        <v/>
      </c>
      <c r="R1298" t="str">
        <f>IF(Sales[[#This Row],[Current Upsell $]]&gt;0,_xlfn.CONCAT(Sales[[#This Row],[Subscription Type]]," ",Sales[[#This Row],[Upsell Priority]]," ",TEXT(Sales[[#This Row],[Current Upsell $]],"$#,#")),"")</f>
        <v/>
      </c>
    </row>
    <row r="1299" spans="1:18" x14ac:dyDescent="0.25">
      <c r="A1299">
        <v>100127</v>
      </c>
      <c r="B1299" t="s">
        <v>0</v>
      </c>
      <c r="D1299" s="1"/>
      <c r="E1299" s="1"/>
      <c r="F1299">
        <v>10</v>
      </c>
      <c r="G1299">
        <v>10</v>
      </c>
      <c r="H1299" s="1">
        <v>44075</v>
      </c>
      <c r="I1299" s="1">
        <v>44378</v>
      </c>
      <c r="J1299">
        <v>10</v>
      </c>
      <c r="K1299">
        <v>0</v>
      </c>
      <c r="L1299" s="1">
        <v>44317</v>
      </c>
      <c r="M1299">
        <v>100</v>
      </c>
      <c r="N1299" s="8" cm="1">
        <f t="array" ref="N1299">_xlfn.SWITCH(Sales[[#This Row],[Subscription Type]],"Basic",10,"Premium",10,"Business",25,"Enterprise",27)</f>
        <v>10</v>
      </c>
      <c r="O1299">
        <f>IF(Sales[[#This Row],[Number of Users]]-Sales[[#This Row],[Licenses Bought]]&lt;0,0,Sales[[#This Row],[Number of Users]]-Sales[[#This Row],[Licenses Bought]])</f>
        <v>0</v>
      </c>
      <c r="P1299" s="8">
        <f>IF(Sales[[#This Row],[Sales Month]]=MAX(Sales[Sales Month]),Sales[[#This Row],[Non-Paying Users]]*Sales[[#This Row],[Upsell $ per Non-Paying User]],0)</f>
        <v>0</v>
      </c>
      <c r="Q1299" t="str" cm="1">
        <f t="array" ref="Q1299">_xlfn.IFS(Sales[[#This Row],[Current Upsell $]]=0,"",Sales[[#This Row],[Current Upsell $]]&gt;=400,"High",Sales[[#This Row],[Current Upsell $]]&gt;=100,"Medium",Sales[[#This Row],[Current Upsell $]]&lt;100,"Low")</f>
        <v/>
      </c>
      <c r="R1299" t="str">
        <f>IF(Sales[[#This Row],[Current Upsell $]]&gt;0,_xlfn.CONCAT(Sales[[#This Row],[Subscription Type]]," ",Sales[[#This Row],[Upsell Priority]]," ",TEXT(Sales[[#This Row],[Current Upsell $]],"$#,#")),"")</f>
        <v/>
      </c>
    </row>
    <row r="1300" spans="1:18" x14ac:dyDescent="0.25">
      <c r="A1300">
        <v>100127</v>
      </c>
      <c r="B1300" t="s">
        <v>0</v>
      </c>
      <c r="D1300" s="1"/>
      <c r="E1300" s="1"/>
      <c r="F1300">
        <v>10</v>
      </c>
      <c r="G1300">
        <v>16</v>
      </c>
      <c r="H1300" s="1">
        <v>44075</v>
      </c>
      <c r="I1300" s="1">
        <v>44378</v>
      </c>
      <c r="J1300">
        <v>10</v>
      </c>
      <c r="K1300">
        <v>0</v>
      </c>
      <c r="L1300" s="1">
        <v>44348</v>
      </c>
      <c r="M1300">
        <v>100</v>
      </c>
      <c r="N1300" s="8" cm="1">
        <f t="array" ref="N1300">_xlfn.SWITCH(Sales[[#This Row],[Subscription Type]],"Basic",10,"Premium",10,"Business",25,"Enterprise",27)</f>
        <v>10</v>
      </c>
      <c r="O1300">
        <f>IF(Sales[[#This Row],[Number of Users]]-Sales[[#This Row],[Licenses Bought]]&lt;0,0,Sales[[#This Row],[Number of Users]]-Sales[[#This Row],[Licenses Bought]])</f>
        <v>6</v>
      </c>
      <c r="P1300" s="8">
        <f>IF(Sales[[#This Row],[Sales Month]]=MAX(Sales[Sales Month]),Sales[[#This Row],[Non-Paying Users]]*Sales[[#This Row],[Upsell $ per Non-Paying User]],0)</f>
        <v>60</v>
      </c>
      <c r="Q1300" t="str" cm="1">
        <f t="array" ref="Q1300">_xlfn.IFS(Sales[[#This Row],[Current Upsell $]]=0,"",Sales[[#This Row],[Current Upsell $]]&gt;=400,"High",Sales[[#This Row],[Current Upsell $]]&gt;=100,"Medium",Sales[[#This Row],[Current Upsell $]]&lt;100,"Low")</f>
        <v>Low</v>
      </c>
      <c r="R1300" t="str">
        <f>IF(Sales[[#This Row],[Current Upsell $]]&gt;0,_xlfn.CONCAT(Sales[[#This Row],[Subscription Type]]," ",Sales[[#This Row],[Upsell Priority]]," ",TEXT(Sales[[#This Row],[Current Upsell $]],"$#,#")),"")</f>
        <v>Premium Low $60</v>
      </c>
    </row>
    <row r="1301" spans="1:18" x14ac:dyDescent="0.25">
      <c r="A1301">
        <v>100128</v>
      </c>
      <c r="B1301" t="s">
        <v>3</v>
      </c>
      <c r="F1301">
        <v>0</v>
      </c>
      <c r="G1301">
        <v>10</v>
      </c>
      <c r="H1301" s="1">
        <v>44075</v>
      </c>
      <c r="I1301" s="1">
        <v>44105</v>
      </c>
      <c r="J1301">
        <v>1</v>
      </c>
      <c r="K1301">
        <v>8</v>
      </c>
      <c r="L1301" s="1">
        <v>44075</v>
      </c>
      <c r="M1301">
        <v>0</v>
      </c>
      <c r="N1301" s="8" cm="1">
        <f t="array" ref="N1301">_xlfn.SWITCH(Sales[[#This Row],[Subscription Type]],"Basic",10,"Premium",10,"Business",25,"Enterprise",27)</f>
        <v>10</v>
      </c>
      <c r="O1301">
        <f>IF(Sales[[#This Row],[Number of Users]]-Sales[[#This Row],[Licenses Bought]]&lt;0,0,Sales[[#This Row],[Number of Users]]-Sales[[#This Row],[Licenses Bought]])</f>
        <v>10</v>
      </c>
      <c r="P1301" s="8">
        <f>IF(Sales[[#This Row],[Sales Month]]=MAX(Sales[Sales Month]),Sales[[#This Row],[Non-Paying Users]]*Sales[[#This Row],[Upsell $ per Non-Paying User]],0)</f>
        <v>0</v>
      </c>
      <c r="Q1301" t="str" cm="1">
        <f t="array" ref="Q1301">_xlfn.IFS(Sales[[#This Row],[Current Upsell $]]=0,"",Sales[[#This Row],[Current Upsell $]]&gt;=400,"High",Sales[[#This Row],[Current Upsell $]]&gt;=100,"Medium",Sales[[#This Row],[Current Upsell $]]&lt;100,"Low")</f>
        <v/>
      </c>
      <c r="R1301" t="str">
        <f>IF(Sales[[#This Row],[Current Upsell $]]&gt;0,_xlfn.CONCAT(Sales[[#This Row],[Subscription Type]]," ",Sales[[#This Row],[Upsell Priority]]," ",TEXT(Sales[[#This Row],[Current Upsell $]],"$#,#")),"")</f>
        <v/>
      </c>
    </row>
    <row r="1302" spans="1:18" x14ac:dyDescent="0.25">
      <c r="A1302">
        <v>100128</v>
      </c>
      <c r="B1302" t="s">
        <v>3</v>
      </c>
      <c r="F1302">
        <v>0</v>
      </c>
      <c r="G1302">
        <v>10</v>
      </c>
      <c r="H1302" s="1">
        <v>44075</v>
      </c>
      <c r="I1302" s="1">
        <v>44105</v>
      </c>
      <c r="J1302">
        <v>1</v>
      </c>
      <c r="K1302">
        <v>8</v>
      </c>
      <c r="L1302" s="1">
        <v>44105</v>
      </c>
      <c r="M1302">
        <v>0</v>
      </c>
      <c r="N1302" s="8" cm="1">
        <f t="array" ref="N1302">_xlfn.SWITCH(Sales[[#This Row],[Subscription Type]],"Basic",10,"Premium",10,"Business",25,"Enterprise",27)</f>
        <v>10</v>
      </c>
      <c r="O1302">
        <f>IF(Sales[[#This Row],[Number of Users]]-Sales[[#This Row],[Licenses Bought]]&lt;0,0,Sales[[#This Row],[Number of Users]]-Sales[[#This Row],[Licenses Bought]])</f>
        <v>10</v>
      </c>
      <c r="P1302" s="8">
        <f>IF(Sales[[#This Row],[Sales Month]]=MAX(Sales[Sales Month]),Sales[[#This Row],[Non-Paying Users]]*Sales[[#This Row],[Upsell $ per Non-Paying User]],0)</f>
        <v>0</v>
      </c>
      <c r="Q1302" t="str" cm="1">
        <f t="array" ref="Q1302">_xlfn.IFS(Sales[[#This Row],[Current Upsell $]]=0,"",Sales[[#This Row],[Current Upsell $]]&gt;=400,"High",Sales[[#This Row],[Current Upsell $]]&gt;=100,"Medium",Sales[[#This Row],[Current Upsell $]]&lt;100,"Low")</f>
        <v/>
      </c>
      <c r="R1302" t="str">
        <f>IF(Sales[[#This Row],[Current Upsell $]]&gt;0,_xlfn.CONCAT(Sales[[#This Row],[Subscription Type]]," ",Sales[[#This Row],[Upsell Priority]]," ",TEXT(Sales[[#This Row],[Current Upsell $]],"$#,#")),"")</f>
        <v/>
      </c>
    </row>
    <row r="1303" spans="1:18" x14ac:dyDescent="0.25">
      <c r="A1303">
        <v>100129</v>
      </c>
      <c r="B1303" t="s">
        <v>3</v>
      </c>
      <c r="F1303">
        <v>0</v>
      </c>
      <c r="G1303">
        <v>8</v>
      </c>
      <c r="H1303" s="1">
        <v>44075</v>
      </c>
      <c r="I1303" s="1">
        <v>44197</v>
      </c>
      <c r="J1303">
        <v>4</v>
      </c>
      <c r="K1303">
        <v>5</v>
      </c>
      <c r="L1303" s="1">
        <v>44075</v>
      </c>
      <c r="M1303">
        <v>0</v>
      </c>
      <c r="N1303" s="8" cm="1">
        <f t="array" ref="N1303">_xlfn.SWITCH(Sales[[#This Row],[Subscription Type]],"Basic",10,"Premium",10,"Business",25,"Enterprise",27)</f>
        <v>10</v>
      </c>
      <c r="O1303">
        <f>IF(Sales[[#This Row],[Number of Users]]-Sales[[#This Row],[Licenses Bought]]&lt;0,0,Sales[[#This Row],[Number of Users]]-Sales[[#This Row],[Licenses Bought]])</f>
        <v>8</v>
      </c>
      <c r="P1303" s="8">
        <f>IF(Sales[[#This Row],[Sales Month]]=MAX(Sales[Sales Month]),Sales[[#This Row],[Non-Paying Users]]*Sales[[#This Row],[Upsell $ per Non-Paying User]],0)</f>
        <v>0</v>
      </c>
      <c r="Q1303" t="str" cm="1">
        <f t="array" ref="Q1303">_xlfn.IFS(Sales[[#This Row],[Current Upsell $]]=0,"",Sales[[#This Row],[Current Upsell $]]&gt;=400,"High",Sales[[#This Row],[Current Upsell $]]&gt;=100,"Medium",Sales[[#This Row],[Current Upsell $]]&lt;100,"Low")</f>
        <v/>
      </c>
      <c r="R1303" t="str">
        <f>IF(Sales[[#This Row],[Current Upsell $]]&gt;0,_xlfn.CONCAT(Sales[[#This Row],[Subscription Type]]," ",Sales[[#This Row],[Upsell Priority]]," ",TEXT(Sales[[#This Row],[Current Upsell $]],"$#,#")),"")</f>
        <v/>
      </c>
    </row>
    <row r="1304" spans="1:18" x14ac:dyDescent="0.25">
      <c r="A1304">
        <v>100129</v>
      </c>
      <c r="B1304" t="s">
        <v>3</v>
      </c>
      <c r="F1304">
        <v>0</v>
      </c>
      <c r="G1304">
        <v>9</v>
      </c>
      <c r="H1304" s="1">
        <v>44075</v>
      </c>
      <c r="I1304" s="1">
        <v>44197</v>
      </c>
      <c r="J1304">
        <v>4</v>
      </c>
      <c r="K1304">
        <v>5</v>
      </c>
      <c r="L1304" s="1">
        <v>44105</v>
      </c>
      <c r="M1304">
        <v>0</v>
      </c>
      <c r="N1304" s="8" cm="1">
        <f t="array" ref="N1304">_xlfn.SWITCH(Sales[[#This Row],[Subscription Type]],"Basic",10,"Premium",10,"Business",25,"Enterprise",27)</f>
        <v>10</v>
      </c>
      <c r="O1304">
        <f>IF(Sales[[#This Row],[Number of Users]]-Sales[[#This Row],[Licenses Bought]]&lt;0,0,Sales[[#This Row],[Number of Users]]-Sales[[#This Row],[Licenses Bought]])</f>
        <v>9</v>
      </c>
      <c r="P1304" s="8">
        <f>IF(Sales[[#This Row],[Sales Month]]=MAX(Sales[Sales Month]),Sales[[#This Row],[Non-Paying Users]]*Sales[[#This Row],[Upsell $ per Non-Paying User]],0)</f>
        <v>0</v>
      </c>
      <c r="Q1304" t="str" cm="1">
        <f t="array" ref="Q1304">_xlfn.IFS(Sales[[#This Row],[Current Upsell $]]=0,"",Sales[[#This Row],[Current Upsell $]]&gt;=400,"High",Sales[[#This Row],[Current Upsell $]]&gt;=100,"Medium",Sales[[#This Row],[Current Upsell $]]&lt;100,"Low")</f>
        <v/>
      </c>
      <c r="R1304" t="str">
        <f>IF(Sales[[#This Row],[Current Upsell $]]&gt;0,_xlfn.CONCAT(Sales[[#This Row],[Subscription Type]]," ",Sales[[#This Row],[Upsell Priority]]," ",TEXT(Sales[[#This Row],[Current Upsell $]],"$#,#")),"")</f>
        <v/>
      </c>
    </row>
    <row r="1305" spans="1:18" x14ac:dyDescent="0.25">
      <c r="A1305">
        <v>100129</v>
      </c>
      <c r="B1305" t="s">
        <v>3</v>
      </c>
      <c r="F1305">
        <v>0</v>
      </c>
      <c r="G1305">
        <v>9</v>
      </c>
      <c r="H1305" s="1">
        <v>44075</v>
      </c>
      <c r="I1305" s="1">
        <v>44197</v>
      </c>
      <c r="J1305">
        <v>4</v>
      </c>
      <c r="K1305">
        <v>5</v>
      </c>
      <c r="L1305" s="1">
        <v>44136</v>
      </c>
      <c r="M1305">
        <v>0</v>
      </c>
      <c r="N1305" s="8" cm="1">
        <f t="array" ref="N1305">_xlfn.SWITCH(Sales[[#This Row],[Subscription Type]],"Basic",10,"Premium",10,"Business",25,"Enterprise",27)</f>
        <v>10</v>
      </c>
      <c r="O1305">
        <f>IF(Sales[[#This Row],[Number of Users]]-Sales[[#This Row],[Licenses Bought]]&lt;0,0,Sales[[#This Row],[Number of Users]]-Sales[[#This Row],[Licenses Bought]])</f>
        <v>9</v>
      </c>
      <c r="P1305" s="8">
        <f>IF(Sales[[#This Row],[Sales Month]]=MAX(Sales[Sales Month]),Sales[[#This Row],[Non-Paying Users]]*Sales[[#This Row],[Upsell $ per Non-Paying User]],0)</f>
        <v>0</v>
      </c>
      <c r="Q1305" t="str" cm="1">
        <f t="array" ref="Q1305">_xlfn.IFS(Sales[[#This Row],[Current Upsell $]]=0,"",Sales[[#This Row],[Current Upsell $]]&gt;=400,"High",Sales[[#This Row],[Current Upsell $]]&gt;=100,"Medium",Sales[[#This Row],[Current Upsell $]]&lt;100,"Low")</f>
        <v/>
      </c>
      <c r="R1305" t="str">
        <f>IF(Sales[[#This Row],[Current Upsell $]]&gt;0,_xlfn.CONCAT(Sales[[#This Row],[Subscription Type]]," ",Sales[[#This Row],[Upsell Priority]]," ",TEXT(Sales[[#This Row],[Current Upsell $]],"$#,#")),"")</f>
        <v/>
      </c>
    </row>
    <row r="1306" spans="1:18" x14ac:dyDescent="0.25">
      <c r="A1306">
        <v>100129</v>
      </c>
      <c r="B1306" t="s">
        <v>3</v>
      </c>
      <c r="F1306">
        <v>0</v>
      </c>
      <c r="G1306">
        <v>8</v>
      </c>
      <c r="H1306" s="1">
        <v>44075</v>
      </c>
      <c r="I1306" s="1">
        <v>44197</v>
      </c>
      <c r="J1306">
        <v>4</v>
      </c>
      <c r="K1306">
        <v>5</v>
      </c>
      <c r="L1306" s="1">
        <v>44166</v>
      </c>
      <c r="M1306">
        <v>0</v>
      </c>
      <c r="N1306" s="8" cm="1">
        <f t="array" ref="N1306">_xlfn.SWITCH(Sales[[#This Row],[Subscription Type]],"Basic",10,"Premium",10,"Business",25,"Enterprise",27)</f>
        <v>10</v>
      </c>
      <c r="O1306">
        <f>IF(Sales[[#This Row],[Number of Users]]-Sales[[#This Row],[Licenses Bought]]&lt;0,0,Sales[[#This Row],[Number of Users]]-Sales[[#This Row],[Licenses Bought]])</f>
        <v>8</v>
      </c>
      <c r="P1306" s="8">
        <f>IF(Sales[[#This Row],[Sales Month]]=MAX(Sales[Sales Month]),Sales[[#This Row],[Non-Paying Users]]*Sales[[#This Row],[Upsell $ per Non-Paying User]],0)</f>
        <v>0</v>
      </c>
      <c r="Q1306" t="str" cm="1">
        <f t="array" ref="Q1306">_xlfn.IFS(Sales[[#This Row],[Current Upsell $]]=0,"",Sales[[#This Row],[Current Upsell $]]&gt;=400,"High",Sales[[#This Row],[Current Upsell $]]&gt;=100,"Medium",Sales[[#This Row],[Current Upsell $]]&lt;100,"Low")</f>
        <v/>
      </c>
      <c r="R1306" t="str">
        <f>IF(Sales[[#This Row],[Current Upsell $]]&gt;0,_xlfn.CONCAT(Sales[[#This Row],[Subscription Type]]," ",Sales[[#This Row],[Upsell Priority]]," ",TEXT(Sales[[#This Row],[Current Upsell $]],"$#,#")),"")</f>
        <v/>
      </c>
    </row>
    <row r="1307" spans="1:18" x14ac:dyDescent="0.25">
      <c r="A1307">
        <v>100129</v>
      </c>
      <c r="B1307" t="s">
        <v>3</v>
      </c>
      <c r="F1307">
        <v>0</v>
      </c>
      <c r="G1307">
        <v>8</v>
      </c>
      <c r="H1307" s="1">
        <v>44075</v>
      </c>
      <c r="I1307" s="1">
        <v>44197</v>
      </c>
      <c r="J1307">
        <v>4</v>
      </c>
      <c r="K1307">
        <v>5</v>
      </c>
      <c r="L1307" s="1">
        <v>44197</v>
      </c>
      <c r="M1307">
        <v>0</v>
      </c>
      <c r="N1307" s="8" cm="1">
        <f t="array" ref="N1307">_xlfn.SWITCH(Sales[[#This Row],[Subscription Type]],"Basic",10,"Premium",10,"Business",25,"Enterprise",27)</f>
        <v>10</v>
      </c>
      <c r="O1307">
        <f>IF(Sales[[#This Row],[Number of Users]]-Sales[[#This Row],[Licenses Bought]]&lt;0,0,Sales[[#This Row],[Number of Users]]-Sales[[#This Row],[Licenses Bought]])</f>
        <v>8</v>
      </c>
      <c r="P1307" s="8">
        <f>IF(Sales[[#This Row],[Sales Month]]=MAX(Sales[Sales Month]),Sales[[#This Row],[Non-Paying Users]]*Sales[[#This Row],[Upsell $ per Non-Paying User]],0)</f>
        <v>0</v>
      </c>
      <c r="Q1307" t="str" cm="1">
        <f t="array" ref="Q1307">_xlfn.IFS(Sales[[#This Row],[Current Upsell $]]=0,"",Sales[[#This Row],[Current Upsell $]]&gt;=400,"High",Sales[[#This Row],[Current Upsell $]]&gt;=100,"Medium",Sales[[#This Row],[Current Upsell $]]&lt;100,"Low")</f>
        <v/>
      </c>
      <c r="R1307" t="str">
        <f>IF(Sales[[#This Row],[Current Upsell $]]&gt;0,_xlfn.CONCAT(Sales[[#This Row],[Subscription Type]]," ",Sales[[#This Row],[Upsell Priority]]," ",TEXT(Sales[[#This Row],[Current Upsell $]],"$#,#")),"")</f>
        <v/>
      </c>
    </row>
    <row r="1308" spans="1:18" x14ac:dyDescent="0.25">
      <c r="A1308">
        <v>100130</v>
      </c>
      <c r="B1308" t="s">
        <v>3</v>
      </c>
      <c r="F1308">
        <v>0</v>
      </c>
      <c r="G1308">
        <v>7</v>
      </c>
      <c r="H1308" s="1">
        <v>44075</v>
      </c>
      <c r="I1308" s="1">
        <v>44378</v>
      </c>
      <c r="J1308">
        <v>10</v>
      </c>
      <c r="K1308">
        <v>0</v>
      </c>
      <c r="L1308" s="1">
        <v>44075</v>
      </c>
      <c r="M1308">
        <v>0</v>
      </c>
      <c r="N1308" s="8" cm="1">
        <f t="array" ref="N1308">_xlfn.SWITCH(Sales[[#This Row],[Subscription Type]],"Basic",10,"Premium",10,"Business",25,"Enterprise",27)</f>
        <v>10</v>
      </c>
      <c r="O1308">
        <f>IF(Sales[[#This Row],[Number of Users]]-Sales[[#This Row],[Licenses Bought]]&lt;0,0,Sales[[#This Row],[Number of Users]]-Sales[[#This Row],[Licenses Bought]])</f>
        <v>7</v>
      </c>
      <c r="P1308" s="8">
        <f>IF(Sales[[#This Row],[Sales Month]]=MAX(Sales[Sales Month]),Sales[[#This Row],[Non-Paying Users]]*Sales[[#This Row],[Upsell $ per Non-Paying User]],0)</f>
        <v>0</v>
      </c>
      <c r="Q1308" t="str" cm="1">
        <f t="array" ref="Q1308">_xlfn.IFS(Sales[[#This Row],[Current Upsell $]]=0,"",Sales[[#This Row],[Current Upsell $]]&gt;=400,"High",Sales[[#This Row],[Current Upsell $]]&gt;=100,"Medium",Sales[[#This Row],[Current Upsell $]]&lt;100,"Low")</f>
        <v/>
      </c>
      <c r="R1308" t="str">
        <f>IF(Sales[[#This Row],[Current Upsell $]]&gt;0,_xlfn.CONCAT(Sales[[#This Row],[Subscription Type]]," ",Sales[[#This Row],[Upsell Priority]]," ",TEXT(Sales[[#This Row],[Current Upsell $]],"$#,#")),"")</f>
        <v/>
      </c>
    </row>
    <row r="1309" spans="1:18" x14ac:dyDescent="0.25">
      <c r="A1309">
        <v>100130</v>
      </c>
      <c r="B1309" t="s">
        <v>3</v>
      </c>
      <c r="F1309">
        <v>0</v>
      </c>
      <c r="G1309">
        <v>8</v>
      </c>
      <c r="H1309" s="1">
        <v>44075</v>
      </c>
      <c r="I1309" s="1">
        <v>44378</v>
      </c>
      <c r="J1309">
        <v>10</v>
      </c>
      <c r="K1309">
        <v>0</v>
      </c>
      <c r="L1309" s="1">
        <v>44105</v>
      </c>
      <c r="M1309">
        <v>0</v>
      </c>
      <c r="N1309" s="8" cm="1">
        <f t="array" ref="N1309">_xlfn.SWITCH(Sales[[#This Row],[Subscription Type]],"Basic",10,"Premium",10,"Business",25,"Enterprise",27)</f>
        <v>10</v>
      </c>
      <c r="O1309">
        <f>IF(Sales[[#This Row],[Number of Users]]-Sales[[#This Row],[Licenses Bought]]&lt;0,0,Sales[[#This Row],[Number of Users]]-Sales[[#This Row],[Licenses Bought]])</f>
        <v>8</v>
      </c>
      <c r="P1309" s="8">
        <f>IF(Sales[[#This Row],[Sales Month]]=MAX(Sales[Sales Month]),Sales[[#This Row],[Non-Paying Users]]*Sales[[#This Row],[Upsell $ per Non-Paying User]],0)</f>
        <v>0</v>
      </c>
      <c r="Q1309" t="str" cm="1">
        <f t="array" ref="Q1309">_xlfn.IFS(Sales[[#This Row],[Current Upsell $]]=0,"",Sales[[#This Row],[Current Upsell $]]&gt;=400,"High",Sales[[#This Row],[Current Upsell $]]&gt;=100,"Medium",Sales[[#This Row],[Current Upsell $]]&lt;100,"Low")</f>
        <v/>
      </c>
      <c r="R1309" t="str">
        <f>IF(Sales[[#This Row],[Current Upsell $]]&gt;0,_xlfn.CONCAT(Sales[[#This Row],[Subscription Type]]," ",Sales[[#This Row],[Upsell Priority]]," ",TEXT(Sales[[#This Row],[Current Upsell $]],"$#,#")),"")</f>
        <v/>
      </c>
    </row>
    <row r="1310" spans="1:18" x14ac:dyDescent="0.25">
      <c r="A1310">
        <v>100130</v>
      </c>
      <c r="B1310" t="s">
        <v>3</v>
      </c>
      <c r="F1310">
        <v>0</v>
      </c>
      <c r="G1310">
        <v>8</v>
      </c>
      <c r="H1310" s="1">
        <v>44075</v>
      </c>
      <c r="I1310" s="1">
        <v>44378</v>
      </c>
      <c r="J1310">
        <v>10</v>
      </c>
      <c r="K1310">
        <v>0</v>
      </c>
      <c r="L1310" s="1">
        <v>44136</v>
      </c>
      <c r="M1310">
        <v>0</v>
      </c>
      <c r="N1310" s="8" cm="1">
        <f t="array" ref="N1310">_xlfn.SWITCH(Sales[[#This Row],[Subscription Type]],"Basic",10,"Premium",10,"Business",25,"Enterprise",27)</f>
        <v>10</v>
      </c>
      <c r="O1310">
        <f>IF(Sales[[#This Row],[Number of Users]]-Sales[[#This Row],[Licenses Bought]]&lt;0,0,Sales[[#This Row],[Number of Users]]-Sales[[#This Row],[Licenses Bought]])</f>
        <v>8</v>
      </c>
      <c r="P1310" s="8">
        <f>IF(Sales[[#This Row],[Sales Month]]=MAX(Sales[Sales Month]),Sales[[#This Row],[Non-Paying Users]]*Sales[[#This Row],[Upsell $ per Non-Paying User]],0)</f>
        <v>0</v>
      </c>
      <c r="Q1310" t="str" cm="1">
        <f t="array" ref="Q1310">_xlfn.IFS(Sales[[#This Row],[Current Upsell $]]=0,"",Sales[[#This Row],[Current Upsell $]]&gt;=400,"High",Sales[[#This Row],[Current Upsell $]]&gt;=100,"Medium",Sales[[#This Row],[Current Upsell $]]&lt;100,"Low")</f>
        <v/>
      </c>
      <c r="R1310" t="str">
        <f>IF(Sales[[#This Row],[Current Upsell $]]&gt;0,_xlfn.CONCAT(Sales[[#This Row],[Subscription Type]]," ",Sales[[#This Row],[Upsell Priority]]," ",TEXT(Sales[[#This Row],[Current Upsell $]],"$#,#")),"")</f>
        <v/>
      </c>
    </row>
    <row r="1311" spans="1:18" x14ac:dyDescent="0.25">
      <c r="A1311">
        <v>100130</v>
      </c>
      <c r="B1311" t="s">
        <v>3</v>
      </c>
      <c r="F1311">
        <v>0</v>
      </c>
      <c r="G1311">
        <v>7</v>
      </c>
      <c r="H1311" s="1">
        <v>44075</v>
      </c>
      <c r="I1311" s="1">
        <v>44378</v>
      </c>
      <c r="J1311">
        <v>10</v>
      </c>
      <c r="K1311">
        <v>0</v>
      </c>
      <c r="L1311" s="1">
        <v>44166</v>
      </c>
      <c r="M1311">
        <v>0</v>
      </c>
      <c r="N1311" s="8" cm="1">
        <f t="array" ref="N1311">_xlfn.SWITCH(Sales[[#This Row],[Subscription Type]],"Basic",10,"Premium",10,"Business",25,"Enterprise",27)</f>
        <v>10</v>
      </c>
      <c r="O1311">
        <f>IF(Sales[[#This Row],[Number of Users]]-Sales[[#This Row],[Licenses Bought]]&lt;0,0,Sales[[#This Row],[Number of Users]]-Sales[[#This Row],[Licenses Bought]])</f>
        <v>7</v>
      </c>
      <c r="P1311" s="8">
        <f>IF(Sales[[#This Row],[Sales Month]]=MAX(Sales[Sales Month]),Sales[[#This Row],[Non-Paying Users]]*Sales[[#This Row],[Upsell $ per Non-Paying User]],0)</f>
        <v>0</v>
      </c>
      <c r="Q1311" t="str" cm="1">
        <f t="array" ref="Q1311">_xlfn.IFS(Sales[[#This Row],[Current Upsell $]]=0,"",Sales[[#This Row],[Current Upsell $]]&gt;=400,"High",Sales[[#This Row],[Current Upsell $]]&gt;=100,"Medium",Sales[[#This Row],[Current Upsell $]]&lt;100,"Low")</f>
        <v/>
      </c>
      <c r="R1311" t="str">
        <f>IF(Sales[[#This Row],[Current Upsell $]]&gt;0,_xlfn.CONCAT(Sales[[#This Row],[Subscription Type]]," ",Sales[[#This Row],[Upsell Priority]]," ",TEXT(Sales[[#This Row],[Current Upsell $]],"$#,#")),"")</f>
        <v/>
      </c>
    </row>
    <row r="1312" spans="1:18" x14ac:dyDescent="0.25">
      <c r="A1312">
        <v>100130</v>
      </c>
      <c r="B1312" t="s">
        <v>3</v>
      </c>
      <c r="F1312">
        <v>0</v>
      </c>
      <c r="G1312">
        <v>8</v>
      </c>
      <c r="H1312" s="1">
        <v>44075</v>
      </c>
      <c r="I1312" s="1">
        <v>44378</v>
      </c>
      <c r="J1312">
        <v>10</v>
      </c>
      <c r="K1312">
        <v>0</v>
      </c>
      <c r="L1312" s="1">
        <v>44197</v>
      </c>
      <c r="M1312">
        <v>0</v>
      </c>
      <c r="N1312" s="8" cm="1">
        <f t="array" ref="N1312">_xlfn.SWITCH(Sales[[#This Row],[Subscription Type]],"Basic",10,"Premium",10,"Business",25,"Enterprise",27)</f>
        <v>10</v>
      </c>
      <c r="O1312">
        <f>IF(Sales[[#This Row],[Number of Users]]-Sales[[#This Row],[Licenses Bought]]&lt;0,0,Sales[[#This Row],[Number of Users]]-Sales[[#This Row],[Licenses Bought]])</f>
        <v>8</v>
      </c>
      <c r="P1312" s="8">
        <f>IF(Sales[[#This Row],[Sales Month]]=MAX(Sales[Sales Month]),Sales[[#This Row],[Non-Paying Users]]*Sales[[#This Row],[Upsell $ per Non-Paying User]],0)</f>
        <v>0</v>
      </c>
      <c r="Q1312" t="str" cm="1">
        <f t="array" ref="Q1312">_xlfn.IFS(Sales[[#This Row],[Current Upsell $]]=0,"",Sales[[#This Row],[Current Upsell $]]&gt;=400,"High",Sales[[#This Row],[Current Upsell $]]&gt;=100,"Medium",Sales[[#This Row],[Current Upsell $]]&lt;100,"Low")</f>
        <v/>
      </c>
      <c r="R1312" t="str">
        <f>IF(Sales[[#This Row],[Current Upsell $]]&gt;0,_xlfn.CONCAT(Sales[[#This Row],[Subscription Type]]," ",Sales[[#This Row],[Upsell Priority]]," ",TEXT(Sales[[#This Row],[Current Upsell $]],"$#,#")),"")</f>
        <v/>
      </c>
    </row>
    <row r="1313" spans="1:18" x14ac:dyDescent="0.25">
      <c r="A1313">
        <v>100130</v>
      </c>
      <c r="B1313" t="s">
        <v>3</v>
      </c>
      <c r="F1313">
        <v>0</v>
      </c>
      <c r="G1313">
        <v>7</v>
      </c>
      <c r="H1313" s="1">
        <v>44075</v>
      </c>
      <c r="I1313" s="1">
        <v>44378</v>
      </c>
      <c r="J1313">
        <v>10</v>
      </c>
      <c r="K1313">
        <v>0</v>
      </c>
      <c r="L1313" s="1">
        <v>44228</v>
      </c>
      <c r="M1313">
        <v>0</v>
      </c>
      <c r="N1313" s="8" cm="1">
        <f t="array" ref="N1313">_xlfn.SWITCH(Sales[[#This Row],[Subscription Type]],"Basic",10,"Premium",10,"Business",25,"Enterprise",27)</f>
        <v>10</v>
      </c>
      <c r="O1313">
        <f>IF(Sales[[#This Row],[Number of Users]]-Sales[[#This Row],[Licenses Bought]]&lt;0,0,Sales[[#This Row],[Number of Users]]-Sales[[#This Row],[Licenses Bought]])</f>
        <v>7</v>
      </c>
      <c r="P1313" s="8">
        <f>IF(Sales[[#This Row],[Sales Month]]=MAX(Sales[Sales Month]),Sales[[#This Row],[Non-Paying Users]]*Sales[[#This Row],[Upsell $ per Non-Paying User]],0)</f>
        <v>0</v>
      </c>
      <c r="Q1313" t="str" cm="1">
        <f t="array" ref="Q1313">_xlfn.IFS(Sales[[#This Row],[Current Upsell $]]=0,"",Sales[[#This Row],[Current Upsell $]]&gt;=400,"High",Sales[[#This Row],[Current Upsell $]]&gt;=100,"Medium",Sales[[#This Row],[Current Upsell $]]&lt;100,"Low")</f>
        <v/>
      </c>
      <c r="R1313" t="str">
        <f>IF(Sales[[#This Row],[Current Upsell $]]&gt;0,_xlfn.CONCAT(Sales[[#This Row],[Subscription Type]]," ",Sales[[#This Row],[Upsell Priority]]," ",TEXT(Sales[[#This Row],[Current Upsell $]],"$#,#")),"")</f>
        <v/>
      </c>
    </row>
    <row r="1314" spans="1:18" x14ac:dyDescent="0.25">
      <c r="A1314">
        <v>100130</v>
      </c>
      <c r="B1314" t="s">
        <v>3</v>
      </c>
      <c r="F1314">
        <v>0</v>
      </c>
      <c r="G1314">
        <v>8</v>
      </c>
      <c r="H1314" s="1">
        <v>44075</v>
      </c>
      <c r="I1314" s="1">
        <v>44378</v>
      </c>
      <c r="J1314">
        <v>10</v>
      </c>
      <c r="K1314">
        <v>0</v>
      </c>
      <c r="L1314" s="1">
        <v>44256</v>
      </c>
      <c r="M1314">
        <v>0</v>
      </c>
      <c r="N1314" s="8" cm="1">
        <f t="array" ref="N1314">_xlfn.SWITCH(Sales[[#This Row],[Subscription Type]],"Basic",10,"Premium",10,"Business",25,"Enterprise",27)</f>
        <v>10</v>
      </c>
      <c r="O1314">
        <f>IF(Sales[[#This Row],[Number of Users]]-Sales[[#This Row],[Licenses Bought]]&lt;0,0,Sales[[#This Row],[Number of Users]]-Sales[[#This Row],[Licenses Bought]])</f>
        <v>8</v>
      </c>
      <c r="P1314" s="8">
        <f>IF(Sales[[#This Row],[Sales Month]]=MAX(Sales[Sales Month]),Sales[[#This Row],[Non-Paying Users]]*Sales[[#This Row],[Upsell $ per Non-Paying User]],0)</f>
        <v>0</v>
      </c>
      <c r="Q1314" t="str" cm="1">
        <f t="array" ref="Q1314">_xlfn.IFS(Sales[[#This Row],[Current Upsell $]]=0,"",Sales[[#This Row],[Current Upsell $]]&gt;=400,"High",Sales[[#This Row],[Current Upsell $]]&gt;=100,"Medium",Sales[[#This Row],[Current Upsell $]]&lt;100,"Low")</f>
        <v/>
      </c>
      <c r="R1314" t="str">
        <f>IF(Sales[[#This Row],[Current Upsell $]]&gt;0,_xlfn.CONCAT(Sales[[#This Row],[Subscription Type]]," ",Sales[[#This Row],[Upsell Priority]]," ",TEXT(Sales[[#This Row],[Current Upsell $]],"$#,#")),"")</f>
        <v/>
      </c>
    </row>
    <row r="1315" spans="1:18" x14ac:dyDescent="0.25">
      <c r="A1315">
        <v>100130</v>
      </c>
      <c r="B1315" t="s">
        <v>3</v>
      </c>
      <c r="F1315">
        <v>0</v>
      </c>
      <c r="G1315">
        <v>8</v>
      </c>
      <c r="H1315" s="1">
        <v>44075</v>
      </c>
      <c r="I1315" s="1">
        <v>44378</v>
      </c>
      <c r="J1315">
        <v>10</v>
      </c>
      <c r="K1315">
        <v>0</v>
      </c>
      <c r="L1315" s="1">
        <v>44287</v>
      </c>
      <c r="M1315">
        <v>0</v>
      </c>
      <c r="N1315" s="8" cm="1">
        <f t="array" ref="N1315">_xlfn.SWITCH(Sales[[#This Row],[Subscription Type]],"Basic",10,"Premium",10,"Business",25,"Enterprise",27)</f>
        <v>10</v>
      </c>
      <c r="O1315">
        <f>IF(Sales[[#This Row],[Number of Users]]-Sales[[#This Row],[Licenses Bought]]&lt;0,0,Sales[[#This Row],[Number of Users]]-Sales[[#This Row],[Licenses Bought]])</f>
        <v>8</v>
      </c>
      <c r="P1315" s="8">
        <f>IF(Sales[[#This Row],[Sales Month]]=MAX(Sales[Sales Month]),Sales[[#This Row],[Non-Paying Users]]*Sales[[#This Row],[Upsell $ per Non-Paying User]],0)</f>
        <v>0</v>
      </c>
      <c r="Q1315" t="str" cm="1">
        <f t="array" ref="Q1315">_xlfn.IFS(Sales[[#This Row],[Current Upsell $]]=0,"",Sales[[#This Row],[Current Upsell $]]&gt;=400,"High",Sales[[#This Row],[Current Upsell $]]&gt;=100,"Medium",Sales[[#This Row],[Current Upsell $]]&lt;100,"Low")</f>
        <v/>
      </c>
      <c r="R1315" t="str">
        <f>IF(Sales[[#This Row],[Current Upsell $]]&gt;0,_xlfn.CONCAT(Sales[[#This Row],[Subscription Type]]," ",Sales[[#This Row],[Upsell Priority]]," ",TEXT(Sales[[#This Row],[Current Upsell $]],"$#,#")),"")</f>
        <v/>
      </c>
    </row>
    <row r="1316" spans="1:18" x14ac:dyDescent="0.25">
      <c r="A1316">
        <v>100130</v>
      </c>
      <c r="B1316" t="s">
        <v>3</v>
      </c>
      <c r="F1316">
        <v>0</v>
      </c>
      <c r="G1316">
        <v>7</v>
      </c>
      <c r="H1316" s="1">
        <v>44075</v>
      </c>
      <c r="I1316" s="1">
        <v>44378</v>
      </c>
      <c r="J1316">
        <v>10</v>
      </c>
      <c r="K1316">
        <v>0</v>
      </c>
      <c r="L1316" s="1">
        <v>44317</v>
      </c>
      <c r="M1316">
        <v>0</v>
      </c>
      <c r="N1316" s="8" cm="1">
        <f t="array" ref="N1316">_xlfn.SWITCH(Sales[[#This Row],[Subscription Type]],"Basic",10,"Premium",10,"Business",25,"Enterprise",27)</f>
        <v>10</v>
      </c>
      <c r="O1316">
        <f>IF(Sales[[#This Row],[Number of Users]]-Sales[[#This Row],[Licenses Bought]]&lt;0,0,Sales[[#This Row],[Number of Users]]-Sales[[#This Row],[Licenses Bought]])</f>
        <v>7</v>
      </c>
      <c r="P1316" s="8">
        <f>IF(Sales[[#This Row],[Sales Month]]=MAX(Sales[Sales Month]),Sales[[#This Row],[Non-Paying Users]]*Sales[[#This Row],[Upsell $ per Non-Paying User]],0)</f>
        <v>0</v>
      </c>
      <c r="Q1316" t="str" cm="1">
        <f t="array" ref="Q1316">_xlfn.IFS(Sales[[#This Row],[Current Upsell $]]=0,"",Sales[[#This Row],[Current Upsell $]]&gt;=400,"High",Sales[[#This Row],[Current Upsell $]]&gt;=100,"Medium",Sales[[#This Row],[Current Upsell $]]&lt;100,"Low")</f>
        <v/>
      </c>
      <c r="R1316" t="str">
        <f>IF(Sales[[#This Row],[Current Upsell $]]&gt;0,_xlfn.CONCAT(Sales[[#This Row],[Subscription Type]]," ",Sales[[#This Row],[Upsell Priority]]," ",TEXT(Sales[[#This Row],[Current Upsell $]],"$#,#")),"")</f>
        <v/>
      </c>
    </row>
    <row r="1317" spans="1:18" x14ac:dyDescent="0.25">
      <c r="A1317">
        <v>100130</v>
      </c>
      <c r="B1317" t="s">
        <v>3</v>
      </c>
      <c r="F1317">
        <v>0</v>
      </c>
      <c r="G1317">
        <v>8</v>
      </c>
      <c r="H1317" s="1">
        <v>44075</v>
      </c>
      <c r="I1317" s="1">
        <v>44378</v>
      </c>
      <c r="J1317">
        <v>10</v>
      </c>
      <c r="K1317">
        <v>0</v>
      </c>
      <c r="L1317" s="1">
        <v>44348</v>
      </c>
      <c r="M1317">
        <v>0</v>
      </c>
      <c r="N1317" s="8" cm="1">
        <f t="array" ref="N1317">_xlfn.SWITCH(Sales[[#This Row],[Subscription Type]],"Basic",10,"Premium",10,"Business",25,"Enterprise",27)</f>
        <v>10</v>
      </c>
      <c r="O1317">
        <f>IF(Sales[[#This Row],[Number of Users]]-Sales[[#This Row],[Licenses Bought]]&lt;0,0,Sales[[#This Row],[Number of Users]]-Sales[[#This Row],[Licenses Bought]])</f>
        <v>8</v>
      </c>
      <c r="P1317" s="8">
        <f>IF(Sales[[#This Row],[Sales Month]]=MAX(Sales[Sales Month]),Sales[[#This Row],[Non-Paying Users]]*Sales[[#This Row],[Upsell $ per Non-Paying User]],0)</f>
        <v>80</v>
      </c>
      <c r="Q1317" t="str" cm="1">
        <f t="array" ref="Q1317">_xlfn.IFS(Sales[[#This Row],[Current Upsell $]]=0,"",Sales[[#This Row],[Current Upsell $]]&gt;=400,"High",Sales[[#This Row],[Current Upsell $]]&gt;=100,"Medium",Sales[[#This Row],[Current Upsell $]]&lt;100,"Low")</f>
        <v>Low</v>
      </c>
      <c r="R1317" t="str">
        <f>IF(Sales[[#This Row],[Current Upsell $]]&gt;0,_xlfn.CONCAT(Sales[[#This Row],[Subscription Type]]," ",Sales[[#This Row],[Upsell Priority]]," ",TEXT(Sales[[#This Row],[Current Upsell $]],"$#,#")),"")</f>
        <v>Basic Low $80</v>
      </c>
    </row>
    <row r="1318" spans="1:18" x14ac:dyDescent="0.25">
      <c r="A1318">
        <v>100131</v>
      </c>
      <c r="B1318" t="s">
        <v>3</v>
      </c>
      <c r="F1318">
        <v>0</v>
      </c>
      <c r="G1318">
        <v>6</v>
      </c>
      <c r="H1318" s="1">
        <v>44075</v>
      </c>
      <c r="I1318" s="1">
        <v>44105</v>
      </c>
      <c r="J1318">
        <v>1</v>
      </c>
      <c r="K1318">
        <v>8</v>
      </c>
      <c r="L1318" s="1">
        <v>44075</v>
      </c>
      <c r="M1318">
        <v>0</v>
      </c>
      <c r="N1318" s="8" cm="1">
        <f t="array" ref="N1318">_xlfn.SWITCH(Sales[[#This Row],[Subscription Type]],"Basic",10,"Premium",10,"Business",25,"Enterprise",27)</f>
        <v>10</v>
      </c>
      <c r="O1318">
        <f>IF(Sales[[#This Row],[Number of Users]]-Sales[[#This Row],[Licenses Bought]]&lt;0,0,Sales[[#This Row],[Number of Users]]-Sales[[#This Row],[Licenses Bought]])</f>
        <v>6</v>
      </c>
      <c r="P1318" s="8">
        <f>IF(Sales[[#This Row],[Sales Month]]=MAX(Sales[Sales Month]),Sales[[#This Row],[Non-Paying Users]]*Sales[[#This Row],[Upsell $ per Non-Paying User]],0)</f>
        <v>0</v>
      </c>
      <c r="Q1318" t="str" cm="1">
        <f t="array" ref="Q1318">_xlfn.IFS(Sales[[#This Row],[Current Upsell $]]=0,"",Sales[[#This Row],[Current Upsell $]]&gt;=400,"High",Sales[[#This Row],[Current Upsell $]]&gt;=100,"Medium",Sales[[#This Row],[Current Upsell $]]&lt;100,"Low")</f>
        <v/>
      </c>
      <c r="R1318" t="str">
        <f>IF(Sales[[#This Row],[Current Upsell $]]&gt;0,_xlfn.CONCAT(Sales[[#This Row],[Subscription Type]]," ",Sales[[#This Row],[Upsell Priority]]," ",TEXT(Sales[[#This Row],[Current Upsell $]],"$#,#")),"")</f>
        <v/>
      </c>
    </row>
    <row r="1319" spans="1:18" x14ac:dyDescent="0.25">
      <c r="A1319">
        <v>100131</v>
      </c>
      <c r="B1319" t="s">
        <v>3</v>
      </c>
      <c r="F1319">
        <v>0</v>
      </c>
      <c r="G1319">
        <v>6</v>
      </c>
      <c r="H1319" s="1">
        <v>44075</v>
      </c>
      <c r="I1319" s="1">
        <v>44105</v>
      </c>
      <c r="J1319">
        <v>1</v>
      </c>
      <c r="K1319">
        <v>8</v>
      </c>
      <c r="L1319" s="1">
        <v>44105</v>
      </c>
      <c r="M1319">
        <v>0</v>
      </c>
      <c r="N1319" s="8" cm="1">
        <f t="array" ref="N1319">_xlfn.SWITCH(Sales[[#This Row],[Subscription Type]],"Basic",10,"Premium",10,"Business",25,"Enterprise",27)</f>
        <v>10</v>
      </c>
      <c r="O1319">
        <f>IF(Sales[[#This Row],[Number of Users]]-Sales[[#This Row],[Licenses Bought]]&lt;0,0,Sales[[#This Row],[Number of Users]]-Sales[[#This Row],[Licenses Bought]])</f>
        <v>6</v>
      </c>
      <c r="P1319" s="8">
        <f>IF(Sales[[#This Row],[Sales Month]]=MAX(Sales[Sales Month]),Sales[[#This Row],[Non-Paying Users]]*Sales[[#This Row],[Upsell $ per Non-Paying User]],0)</f>
        <v>0</v>
      </c>
      <c r="Q1319" t="str" cm="1">
        <f t="array" ref="Q1319">_xlfn.IFS(Sales[[#This Row],[Current Upsell $]]=0,"",Sales[[#This Row],[Current Upsell $]]&gt;=400,"High",Sales[[#This Row],[Current Upsell $]]&gt;=100,"Medium",Sales[[#This Row],[Current Upsell $]]&lt;100,"Low")</f>
        <v/>
      </c>
      <c r="R1319" t="str">
        <f>IF(Sales[[#This Row],[Current Upsell $]]&gt;0,_xlfn.CONCAT(Sales[[#This Row],[Subscription Type]]," ",Sales[[#This Row],[Upsell Priority]]," ",TEXT(Sales[[#This Row],[Current Upsell $]],"$#,#")),"")</f>
        <v/>
      </c>
    </row>
    <row r="1320" spans="1:18" x14ac:dyDescent="0.25">
      <c r="A1320">
        <v>100132</v>
      </c>
      <c r="B1320" t="s">
        <v>3</v>
      </c>
      <c r="F1320">
        <v>0</v>
      </c>
      <c r="G1320">
        <v>3</v>
      </c>
      <c r="H1320" s="1">
        <v>44075</v>
      </c>
      <c r="I1320" s="1">
        <v>44256</v>
      </c>
      <c r="J1320">
        <v>6</v>
      </c>
      <c r="K1320">
        <v>3</v>
      </c>
      <c r="L1320" s="1">
        <v>44075</v>
      </c>
      <c r="M1320">
        <v>0</v>
      </c>
      <c r="N1320" s="8" cm="1">
        <f t="array" ref="N1320">_xlfn.SWITCH(Sales[[#This Row],[Subscription Type]],"Basic",10,"Premium",10,"Business",25,"Enterprise",27)</f>
        <v>10</v>
      </c>
      <c r="O1320">
        <f>IF(Sales[[#This Row],[Number of Users]]-Sales[[#This Row],[Licenses Bought]]&lt;0,0,Sales[[#This Row],[Number of Users]]-Sales[[#This Row],[Licenses Bought]])</f>
        <v>3</v>
      </c>
      <c r="P1320" s="8">
        <f>IF(Sales[[#This Row],[Sales Month]]=MAX(Sales[Sales Month]),Sales[[#This Row],[Non-Paying Users]]*Sales[[#This Row],[Upsell $ per Non-Paying User]],0)</f>
        <v>0</v>
      </c>
      <c r="Q1320" t="str" cm="1">
        <f t="array" ref="Q1320">_xlfn.IFS(Sales[[#This Row],[Current Upsell $]]=0,"",Sales[[#This Row],[Current Upsell $]]&gt;=400,"High",Sales[[#This Row],[Current Upsell $]]&gt;=100,"Medium",Sales[[#This Row],[Current Upsell $]]&lt;100,"Low")</f>
        <v/>
      </c>
      <c r="R1320" t="str">
        <f>IF(Sales[[#This Row],[Current Upsell $]]&gt;0,_xlfn.CONCAT(Sales[[#This Row],[Subscription Type]]," ",Sales[[#This Row],[Upsell Priority]]," ",TEXT(Sales[[#This Row],[Current Upsell $]],"$#,#")),"")</f>
        <v/>
      </c>
    </row>
    <row r="1321" spans="1:18" x14ac:dyDescent="0.25">
      <c r="A1321">
        <v>100132</v>
      </c>
      <c r="B1321" t="s">
        <v>3</v>
      </c>
      <c r="F1321">
        <v>0</v>
      </c>
      <c r="G1321">
        <v>2</v>
      </c>
      <c r="H1321" s="1">
        <v>44075</v>
      </c>
      <c r="I1321" s="1">
        <v>44256</v>
      </c>
      <c r="J1321">
        <v>6</v>
      </c>
      <c r="K1321">
        <v>3</v>
      </c>
      <c r="L1321" s="1">
        <v>44105</v>
      </c>
      <c r="M1321">
        <v>0</v>
      </c>
      <c r="N1321" s="8" cm="1">
        <f t="array" ref="N1321">_xlfn.SWITCH(Sales[[#This Row],[Subscription Type]],"Basic",10,"Premium",10,"Business",25,"Enterprise",27)</f>
        <v>10</v>
      </c>
      <c r="O1321">
        <f>IF(Sales[[#This Row],[Number of Users]]-Sales[[#This Row],[Licenses Bought]]&lt;0,0,Sales[[#This Row],[Number of Users]]-Sales[[#This Row],[Licenses Bought]])</f>
        <v>2</v>
      </c>
      <c r="P1321" s="8">
        <f>IF(Sales[[#This Row],[Sales Month]]=MAX(Sales[Sales Month]),Sales[[#This Row],[Non-Paying Users]]*Sales[[#This Row],[Upsell $ per Non-Paying User]],0)</f>
        <v>0</v>
      </c>
      <c r="Q1321" t="str" cm="1">
        <f t="array" ref="Q1321">_xlfn.IFS(Sales[[#This Row],[Current Upsell $]]=0,"",Sales[[#This Row],[Current Upsell $]]&gt;=400,"High",Sales[[#This Row],[Current Upsell $]]&gt;=100,"Medium",Sales[[#This Row],[Current Upsell $]]&lt;100,"Low")</f>
        <v/>
      </c>
      <c r="R1321" t="str">
        <f>IF(Sales[[#This Row],[Current Upsell $]]&gt;0,_xlfn.CONCAT(Sales[[#This Row],[Subscription Type]]," ",Sales[[#This Row],[Upsell Priority]]," ",TEXT(Sales[[#This Row],[Current Upsell $]],"$#,#")),"")</f>
        <v/>
      </c>
    </row>
    <row r="1322" spans="1:18" x14ac:dyDescent="0.25">
      <c r="A1322">
        <v>100132</v>
      </c>
      <c r="B1322" t="s">
        <v>3</v>
      </c>
      <c r="F1322">
        <v>0</v>
      </c>
      <c r="G1322">
        <v>3</v>
      </c>
      <c r="H1322" s="1">
        <v>44075</v>
      </c>
      <c r="I1322" s="1">
        <v>44256</v>
      </c>
      <c r="J1322">
        <v>6</v>
      </c>
      <c r="K1322">
        <v>3</v>
      </c>
      <c r="L1322" s="1">
        <v>44136</v>
      </c>
      <c r="M1322">
        <v>0</v>
      </c>
      <c r="N1322" s="8" cm="1">
        <f t="array" ref="N1322">_xlfn.SWITCH(Sales[[#This Row],[Subscription Type]],"Basic",10,"Premium",10,"Business",25,"Enterprise",27)</f>
        <v>10</v>
      </c>
      <c r="O1322">
        <f>IF(Sales[[#This Row],[Number of Users]]-Sales[[#This Row],[Licenses Bought]]&lt;0,0,Sales[[#This Row],[Number of Users]]-Sales[[#This Row],[Licenses Bought]])</f>
        <v>3</v>
      </c>
      <c r="P1322" s="8">
        <f>IF(Sales[[#This Row],[Sales Month]]=MAX(Sales[Sales Month]),Sales[[#This Row],[Non-Paying Users]]*Sales[[#This Row],[Upsell $ per Non-Paying User]],0)</f>
        <v>0</v>
      </c>
      <c r="Q1322" t="str" cm="1">
        <f t="array" ref="Q1322">_xlfn.IFS(Sales[[#This Row],[Current Upsell $]]=0,"",Sales[[#This Row],[Current Upsell $]]&gt;=400,"High",Sales[[#This Row],[Current Upsell $]]&gt;=100,"Medium",Sales[[#This Row],[Current Upsell $]]&lt;100,"Low")</f>
        <v/>
      </c>
      <c r="R1322" t="str">
        <f>IF(Sales[[#This Row],[Current Upsell $]]&gt;0,_xlfn.CONCAT(Sales[[#This Row],[Subscription Type]]," ",Sales[[#This Row],[Upsell Priority]]," ",TEXT(Sales[[#This Row],[Current Upsell $]],"$#,#")),"")</f>
        <v/>
      </c>
    </row>
    <row r="1323" spans="1:18" x14ac:dyDescent="0.25">
      <c r="A1323">
        <v>100132</v>
      </c>
      <c r="B1323" t="s">
        <v>3</v>
      </c>
      <c r="F1323">
        <v>0</v>
      </c>
      <c r="G1323">
        <v>3</v>
      </c>
      <c r="H1323" s="1">
        <v>44075</v>
      </c>
      <c r="I1323" s="1">
        <v>44256</v>
      </c>
      <c r="J1323">
        <v>6</v>
      </c>
      <c r="K1323">
        <v>3</v>
      </c>
      <c r="L1323" s="1">
        <v>44166</v>
      </c>
      <c r="M1323">
        <v>0</v>
      </c>
      <c r="N1323" s="8" cm="1">
        <f t="array" ref="N1323">_xlfn.SWITCH(Sales[[#This Row],[Subscription Type]],"Basic",10,"Premium",10,"Business",25,"Enterprise",27)</f>
        <v>10</v>
      </c>
      <c r="O1323">
        <f>IF(Sales[[#This Row],[Number of Users]]-Sales[[#This Row],[Licenses Bought]]&lt;0,0,Sales[[#This Row],[Number of Users]]-Sales[[#This Row],[Licenses Bought]])</f>
        <v>3</v>
      </c>
      <c r="P1323" s="8">
        <f>IF(Sales[[#This Row],[Sales Month]]=MAX(Sales[Sales Month]),Sales[[#This Row],[Non-Paying Users]]*Sales[[#This Row],[Upsell $ per Non-Paying User]],0)</f>
        <v>0</v>
      </c>
      <c r="Q1323" t="str" cm="1">
        <f t="array" ref="Q1323">_xlfn.IFS(Sales[[#This Row],[Current Upsell $]]=0,"",Sales[[#This Row],[Current Upsell $]]&gt;=400,"High",Sales[[#This Row],[Current Upsell $]]&gt;=100,"Medium",Sales[[#This Row],[Current Upsell $]]&lt;100,"Low")</f>
        <v/>
      </c>
      <c r="R1323" t="str">
        <f>IF(Sales[[#This Row],[Current Upsell $]]&gt;0,_xlfn.CONCAT(Sales[[#This Row],[Subscription Type]]," ",Sales[[#This Row],[Upsell Priority]]," ",TEXT(Sales[[#This Row],[Current Upsell $]],"$#,#")),"")</f>
        <v/>
      </c>
    </row>
    <row r="1324" spans="1:18" x14ac:dyDescent="0.25">
      <c r="A1324">
        <v>100132</v>
      </c>
      <c r="B1324" t="s">
        <v>3</v>
      </c>
      <c r="F1324">
        <v>0</v>
      </c>
      <c r="G1324">
        <v>3</v>
      </c>
      <c r="H1324" s="1">
        <v>44075</v>
      </c>
      <c r="I1324" s="1">
        <v>44256</v>
      </c>
      <c r="J1324">
        <v>6</v>
      </c>
      <c r="K1324">
        <v>3</v>
      </c>
      <c r="L1324" s="1">
        <v>44197</v>
      </c>
      <c r="M1324">
        <v>0</v>
      </c>
      <c r="N1324" s="8" cm="1">
        <f t="array" ref="N1324">_xlfn.SWITCH(Sales[[#This Row],[Subscription Type]],"Basic",10,"Premium",10,"Business",25,"Enterprise",27)</f>
        <v>10</v>
      </c>
      <c r="O1324">
        <f>IF(Sales[[#This Row],[Number of Users]]-Sales[[#This Row],[Licenses Bought]]&lt;0,0,Sales[[#This Row],[Number of Users]]-Sales[[#This Row],[Licenses Bought]])</f>
        <v>3</v>
      </c>
      <c r="P1324" s="8">
        <f>IF(Sales[[#This Row],[Sales Month]]=MAX(Sales[Sales Month]),Sales[[#This Row],[Non-Paying Users]]*Sales[[#This Row],[Upsell $ per Non-Paying User]],0)</f>
        <v>0</v>
      </c>
      <c r="Q1324" t="str" cm="1">
        <f t="array" ref="Q1324">_xlfn.IFS(Sales[[#This Row],[Current Upsell $]]=0,"",Sales[[#This Row],[Current Upsell $]]&gt;=400,"High",Sales[[#This Row],[Current Upsell $]]&gt;=100,"Medium",Sales[[#This Row],[Current Upsell $]]&lt;100,"Low")</f>
        <v/>
      </c>
      <c r="R1324" t="str">
        <f>IF(Sales[[#This Row],[Current Upsell $]]&gt;0,_xlfn.CONCAT(Sales[[#This Row],[Subscription Type]]," ",Sales[[#This Row],[Upsell Priority]]," ",TEXT(Sales[[#This Row],[Current Upsell $]],"$#,#")),"")</f>
        <v/>
      </c>
    </row>
    <row r="1325" spans="1:18" x14ac:dyDescent="0.25">
      <c r="A1325">
        <v>100132</v>
      </c>
      <c r="B1325" t="s">
        <v>3</v>
      </c>
      <c r="F1325">
        <v>0</v>
      </c>
      <c r="G1325">
        <v>3</v>
      </c>
      <c r="H1325" s="1">
        <v>44075</v>
      </c>
      <c r="I1325" s="1">
        <v>44256</v>
      </c>
      <c r="J1325">
        <v>6</v>
      </c>
      <c r="K1325">
        <v>3</v>
      </c>
      <c r="L1325" s="1">
        <v>44228</v>
      </c>
      <c r="M1325">
        <v>0</v>
      </c>
      <c r="N1325" s="8" cm="1">
        <f t="array" ref="N1325">_xlfn.SWITCH(Sales[[#This Row],[Subscription Type]],"Basic",10,"Premium",10,"Business",25,"Enterprise",27)</f>
        <v>10</v>
      </c>
      <c r="O1325">
        <f>IF(Sales[[#This Row],[Number of Users]]-Sales[[#This Row],[Licenses Bought]]&lt;0,0,Sales[[#This Row],[Number of Users]]-Sales[[#This Row],[Licenses Bought]])</f>
        <v>3</v>
      </c>
      <c r="P1325" s="8">
        <f>IF(Sales[[#This Row],[Sales Month]]=MAX(Sales[Sales Month]),Sales[[#This Row],[Non-Paying Users]]*Sales[[#This Row],[Upsell $ per Non-Paying User]],0)</f>
        <v>0</v>
      </c>
      <c r="Q1325" t="str" cm="1">
        <f t="array" ref="Q1325">_xlfn.IFS(Sales[[#This Row],[Current Upsell $]]=0,"",Sales[[#This Row],[Current Upsell $]]&gt;=400,"High",Sales[[#This Row],[Current Upsell $]]&gt;=100,"Medium",Sales[[#This Row],[Current Upsell $]]&lt;100,"Low")</f>
        <v/>
      </c>
      <c r="R1325" t="str">
        <f>IF(Sales[[#This Row],[Current Upsell $]]&gt;0,_xlfn.CONCAT(Sales[[#This Row],[Subscription Type]]," ",Sales[[#This Row],[Upsell Priority]]," ",TEXT(Sales[[#This Row],[Current Upsell $]],"$#,#")),"")</f>
        <v/>
      </c>
    </row>
    <row r="1326" spans="1:18" x14ac:dyDescent="0.25">
      <c r="A1326">
        <v>100132</v>
      </c>
      <c r="B1326" t="s">
        <v>3</v>
      </c>
      <c r="F1326">
        <v>0</v>
      </c>
      <c r="G1326">
        <v>3</v>
      </c>
      <c r="H1326" s="1">
        <v>44075</v>
      </c>
      <c r="I1326" s="1">
        <v>44256</v>
      </c>
      <c r="J1326">
        <v>6</v>
      </c>
      <c r="K1326">
        <v>3</v>
      </c>
      <c r="L1326" s="1">
        <v>44256</v>
      </c>
      <c r="M1326">
        <v>0</v>
      </c>
      <c r="N1326" s="8" cm="1">
        <f t="array" ref="N1326">_xlfn.SWITCH(Sales[[#This Row],[Subscription Type]],"Basic",10,"Premium",10,"Business",25,"Enterprise",27)</f>
        <v>10</v>
      </c>
      <c r="O1326">
        <f>IF(Sales[[#This Row],[Number of Users]]-Sales[[#This Row],[Licenses Bought]]&lt;0,0,Sales[[#This Row],[Number of Users]]-Sales[[#This Row],[Licenses Bought]])</f>
        <v>3</v>
      </c>
      <c r="P1326" s="8">
        <f>IF(Sales[[#This Row],[Sales Month]]=MAX(Sales[Sales Month]),Sales[[#This Row],[Non-Paying Users]]*Sales[[#This Row],[Upsell $ per Non-Paying User]],0)</f>
        <v>0</v>
      </c>
      <c r="Q1326" t="str" cm="1">
        <f t="array" ref="Q1326">_xlfn.IFS(Sales[[#This Row],[Current Upsell $]]=0,"",Sales[[#This Row],[Current Upsell $]]&gt;=400,"High",Sales[[#This Row],[Current Upsell $]]&gt;=100,"Medium",Sales[[#This Row],[Current Upsell $]]&lt;100,"Low")</f>
        <v/>
      </c>
      <c r="R1326" t="str">
        <f>IF(Sales[[#This Row],[Current Upsell $]]&gt;0,_xlfn.CONCAT(Sales[[#This Row],[Subscription Type]]," ",Sales[[#This Row],[Upsell Priority]]," ",TEXT(Sales[[#This Row],[Current Upsell $]],"$#,#")),"")</f>
        <v/>
      </c>
    </row>
    <row r="1327" spans="1:18" x14ac:dyDescent="0.25">
      <c r="A1327">
        <v>100133</v>
      </c>
      <c r="B1327" t="s">
        <v>3</v>
      </c>
      <c r="F1327">
        <v>0</v>
      </c>
      <c r="G1327">
        <v>3</v>
      </c>
      <c r="H1327" s="1">
        <v>44075</v>
      </c>
      <c r="I1327" s="1">
        <v>44378</v>
      </c>
      <c r="J1327">
        <v>10</v>
      </c>
      <c r="K1327">
        <v>0</v>
      </c>
      <c r="L1327" s="1">
        <v>44075</v>
      </c>
      <c r="M1327">
        <v>0</v>
      </c>
      <c r="N1327" s="8" cm="1">
        <f t="array" ref="N1327">_xlfn.SWITCH(Sales[[#This Row],[Subscription Type]],"Basic",10,"Premium",10,"Business",25,"Enterprise",27)</f>
        <v>10</v>
      </c>
      <c r="O1327">
        <f>IF(Sales[[#This Row],[Number of Users]]-Sales[[#This Row],[Licenses Bought]]&lt;0,0,Sales[[#This Row],[Number of Users]]-Sales[[#This Row],[Licenses Bought]])</f>
        <v>3</v>
      </c>
      <c r="P1327" s="8">
        <f>IF(Sales[[#This Row],[Sales Month]]=MAX(Sales[Sales Month]),Sales[[#This Row],[Non-Paying Users]]*Sales[[#This Row],[Upsell $ per Non-Paying User]],0)</f>
        <v>0</v>
      </c>
      <c r="Q1327" t="str" cm="1">
        <f t="array" ref="Q1327">_xlfn.IFS(Sales[[#This Row],[Current Upsell $]]=0,"",Sales[[#This Row],[Current Upsell $]]&gt;=400,"High",Sales[[#This Row],[Current Upsell $]]&gt;=100,"Medium",Sales[[#This Row],[Current Upsell $]]&lt;100,"Low")</f>
        <v/>
      </c>
      <c r="R1327" t="str">
        <f>IF(Sales[[#This Row],[Current Upsell $]]&gt;0,_xlfn.CONCAT(Sales[[#This Row],[Subscription Type]]," ",Sales[[#This Row],[Upsell Priority]]," ",TEXT(Sales[[#This Row],[Current Upsell $]],"$#,#")),"")</f>
        <v/>
      </c>
    </row>
    <row r="1328" spans="1:18" x14ac:dyDescent="0.25">
      <c r="A1328">
        <v>100133</v>
      </c>
      <c r="B1328" t="s">
        <v>3</v>
      </c>
      <c r="F1328">
        <v>0</v>
      </c>
      <c r="G1328">
        <v>3</v>
      </c>
      <c r="H1328" s="1">
        <v>44075</v>
      </c>
      <c r="I1328" s="1">
        <v>44378</v>
      </c>
      <c r="J1328">
        <v>10</v>
      </c>
      <c r="K1328">
        <v>0</v>
      </c>
      <c r="L1328" s="1">
        <v>44105</v>
      </c>
      <c r="M1328">
        <v>0</v>
      </c>
      <c r="N1328" s="8" cm="1">
        <f t="array" ref="N1328">_xlfn.SWITCH(Sales[[#This Row],[Subscription Type]],"Basic",10,"Premium",10,"Business",25,"Enterprise",27)</f>
        <v>10</v>
      </c>
      <c r="O1328">
        <f>IF(Sales[[#This Row],[Number of Users]]-Sales[[#This Row],[Licenses Bought]]&lt;0,0,Sales[[#This Row],[Number of Users]]-Sales[[#This Row],[Licenses Bought]])</f>
        <v>3</v>
      </c>
      <c r="P1328" s="8">
        <f>IF(Sales[[#This Row],[Sales Month]]=MAX(Sales[Sales Month]),Sales[[#This Row],[Non-Paying Users]]*Sales[[#This Row],[Upsell $ per Non-Paying User]],0)</f>
        <v>0</v>
      </c>
      <c r="Q1328" t="str" cm="1">
        <f t="array" ref="Q1328">_xlfn.IFS(Sales[[#This Row],[Current Upsell $]]=0,"",Sales[[#This Row],[Current Upsell $]]&gt;=400,"High",Sales[[#This Row],[Current Upsell $]]&gt;=100,"Medium",Sales[[#This Row],[Current Upsell $]]&lt;100,"Low")</f>
        <v/>
      </c>
      <c r="R1328" t="str">
        <f>IF(Sales[[#This Row],[Current Upsell $]]&gt;0,_xlfn.CONCAT(Sales[[#This Row],[Subscription Type]]," ",Sales[[#This Row],[Upsell Priority]]," ",TEXT(Sales[[#This Row],[Current Upsell $]],"$#,#")),"")</f>
        <v/>
      </c>
    </row>
    <row r="1329" spans="1:18" x14ac:dyDescent="0.25">
      <c r="A1329">
        <v>100133</v>
      </c>
      <c r="B1329" t="s">
        <v>3</v>
      </c>
      <c r="F1329">
        <v>0</v>
      </c>
      <c r="G1329">
        <v>3</v>
      </c>
      <c r="H1329" s="1">
        <v>44075</v>
      </c>
      <c r="I1329" s="1">
        <v>44378</v>
      </c>
      <c r="J1329">
        <v>10</v>
      </c>
      <c r="K1329">
        <v>0</v>
      </c>
      <c r="L1329" s="1">
        <v>44136</v>
      </c>
      <c r="M1329">
        <v>0</v>
      </c>
      <c r="N1329" s="8" cm="1">
        <f t="array" ref="N1329">_xlfn.SWITCH(Sales[[#This Row],[Subscription Type]],"Basic",10,"Premium",10,"Business",25,"Enterprise",27)</f>
        <v>10</v>
      </c>
      <c r="O1329">
        <f>IF(Sales[[#This Row],[Number of Users]]-Sales[[#This Row],[Licenses Bought]]&lt;0,0,Sales[[#This Row],[Number of Users]]-Sales[[#This Row],[Licenses Bought]])</f>
        <v>3</v>
      </c>
      <c r="P1329" s="8">
        <f>IF(Sales[[#This Row],[Sales Month]]=MAX(Sales[Sales Month]),Sales[[#This Row],[Non-Paying Users]]*Sales[[#This Row],[Upsell $ per Non-Paying User]],0)</f>
        <v>0</v>
      </c>
      <c r="Q1329" t="str" cm="1">
        <f t="array" ref="Q1329">_xlfn.IFS(Sales[[#This Row],[Current Upsell $]]=0,"",Sales[[#This Row],[Current Upsell $]]&gt;=400,"High",Sales[[#This Row],[Current Upsell $]]&gt;=100,"Medium",Sales[[#This Row],[Current Upsell $]]&lt;100,"Low")</f>
        <v/>
      </c>
      <c r="R1329" t="str">
        <f>IF(Sales[[#This Row],[Current Upsell $]]&gt;0,_xlfn.CONCAT(Sales[[#This Row],[Subscription Type]]," ",Sales[[#This Row],[Upsell Priority]]," ",TEXT(Sales[[#This Row],[Current Upsell $]],"$#,#")),"")</f>
        <v/>
      </c>
    </row>
    <row r="1330" spans="1:18" x14ac:dyDescent="0.25">
      <c r="A1330">
        <v>100133</v>
      </c>
      <c r="B1330" t="s">
        <v>3</v>
      </c>
      <c r="F1330">
        <v>0</v>
      </c>
      <c r="G1330">
        <v>3</v>
      </c>
      <c r="H1330" s="1">
        <v>44075</v>
      </c>
      <c r="I1330" s="1">
        <v>44378</v>
      </c>
      <c r="J1330">
        <v>10</v>
      </c>
      <c r="K1330">
        <v>0</v>
      </c>
      <c r="L1330" s="1">
        <v>44166</v>
      </c>
      <c r="M1330">
        <v>0</v>
      </c>
      <c r="N1330" s="8" cm="1">
        <f t="array" ref="N1330">_xlfn.SWITCH(Sales[[#This Row],[Subscription Type]],"Basic",10,"Premium",10,"Business",25,"Enterprise",27)</f>
        <v>10</v>
      </c>
      <c r="O1330">
        <f>IF(Sales[[#This Row],[Number of Users]]-Sales[[#This Row],[Licenses Bought]]&lt;0,0,Sales[[#This Row],[Number of Users]]-Sales[[#This Row],[Licenses Bought]])</f>
        <v>3</v>
      </c>
      <c r="P1330" s="8">
        <f>IF(Sales[[#This Row],[Sales Month]]=MAX(Sales[Sales Month]),Sales[[#This Row],[Non-Paying Users]]*Sales[[#This Row],[Upsell $ per Non-Paying User]],0)</f>
        <v>0</v>
      </c>
      <c r="Q1330" t="str" cm="1">
        <f t="array" ref="Q1330">_xlfn.IFS(Sales[[#This Row],[Current Upsell $]]=0,"",Sales[[#This Row],[Current Upsell $]]&gt;=400,"High",Sales[[#This Row],[Current Upsell $]]&gt;=100,"Medium",Sales[[#This Row],[Current Upsell $]]&lt;100,"Low")</f>
        <v/>
      </c>
      <c r="R1330" t="str">
        <f>IF(Sales[[#This Row],[Current Upsell $]]&gt;0,_xlfn.CONCAT(Sales[[#This Row],[Subscription Type]]," ",Sales[[#This Row],[Upsell Priority]]," ",TEXT(Sales[[#This Row],[Current Upsell $]],"$#,#")),"")</f>
        <v/>
      </c>
    </row>
    <row r="1331" spans="1:18" x14ac:dyDescent="0.25">
      <c r="A1331">
        <v>100133</v>
      </c>
      <c r="B1331" t="s">
        <v>3</v>
      </c>
      <c r="F1331">
        <v>0</v>
      </c>
      <c r="G1331">
        <v>2</v>
      </c>
      <c r="H1331" s="1">
        <v>44075</v>
      </c>
      <c r="I1331" s="1">
        <v>44378</v>
      </c>
      <c r="J1331">
        <v>10</v>
      </c>
      <c r="K1331">
        <v>0</v>
      </c>
      <c r="L1331" s="1">
        <v>44197</v>
      </c>
      <c r="M1331">
        <v>0</v>
      </c>
      <c r="N1331" s="8" cm="1">
        <f t="array" ref="N1331">_xlfn.SWITCH(Sales[[#This Row],[Subscription Type]],"Basic",10,"Premium",10,"Business",25,"Enterprise",27)</f>
        <v>10</v>
      </c>
      <c r="O1331">
        <f>IF(Sales[[#This Row],[Number of Users]]-Sales[[#This Row],[Licenses Bought]]&lt;0,0,Sales[[#This Row],[Number of Users]]-Sales[[#This Row],[Licenses Bought]])</f>
        <v>2</v>
      </c>
      <c r="P1331" s="8">
        <f>IF(Sales[[#This Row],[Sales Month]]=MAX(Sales[Sales Month]),Sales[[#This Row],[Non-Paying Users]]*Sales[[#This Row],[Upsell $ per Non-Paying User]],0)</f>
        <v>0</v>
      </c>
      <c r="Q1331" t="str" cm="1">
        <f t="array" ref="Q1331">_xlfn.IFS(Sales[[#This Row],[Current Upsell $]]=0,"",Sales[[#This Row],[Current Upsell $]]&gt;=400,"High",Sales[[#This Row],[Current Upsell $]]&gt;=100,"Medium",Sales[[#This Row],[Current Upsell $]]&lt;100,"Low")</f>
        <v/>
      </c>
      <c r="R1331" t="str">
        <f>IF(Sales[[#This Row],[Current Upsell $]]&gt;0,_xlfn.CONCAT(Sales[[#This Row],[Subscription Type]]," ",Sales[[#This Row],[Upsell Priority]]," ",TEXT(Sales[[#This Row],[Current Upsell $]],"$#,#")),"")</f>
        <v/>
      </c>
    </row>
    <row r="1332" spans="1:18" x14ac:dyDescent="0.25">
      <c r="A1332">
        <v>100133</v>
      </c>
      <c r="B1332" t="s">
        <v>3</v>
      </c>
      <c r="F1332">
        <v>0</v>
      </c>
      <c r="G1332">
        <v>3</v>
      </c>
      <c r="H1332" s="1">
        <v>44075</v>
      </c>
      <c r="I1332" s="1">
        <v>44378</v>
      </c>
      <c r="J1332">
        <v>10</v>
      </c>
      <c r="K1332">
        <v>0</v>
      </c>
      <c r="L1332" s="1">
        <v>44228</v>
      </c>
      <c r="M1332">
        <v>0</v>
      </c>
      <c r="N1332" s="8" cm="1">
        <f t="array" ref="N1332">_xlfn.SWITCH(Sales[[#This Row],[Subscription Type]],"Basic",10,"Premium",10,"Business",25,"Enterprise",27)</f>
        <v>10</v>
      </c>
      <c r="O1332">
        <f>IF(Sales[[#This Row],[Number of Users]]-Sales[[#This Row],[Licenses Bought]]&lt;0,0,Sales[[#This Row],[Number of Users]]-Sales[[#This Row],[Licenses Bought]])</f>
        <v>3</v>
      </c>
      <c r="P1332" s="8">
        <f>IF(Sales[[#This Row],[Sales Month]]=MAX(Sales[Sales Month]),Sales[[#This Row],[Non-Paying Users]]*Sales[[#This Row],[Upsell $ per Non-Paying User]],0)</f>
        <v>0</v>
      </c>
      <c r="Q1332" t="str" cm="1">
        <f t="array" ref="Q1332">_xlfn.IFS(Sales[[#This Row],[Current Upsell $]]=0,"",Sales[[#This Row],[Current Upsell $]]&gt;=400,"High",Sales[[#This Row],[Current Upsell $]]&gt;=100,"Medium",Sales[[#This Row],[Current Upsell $]]&lt;100,"Low")</f>
        <v/>
      </c>
      <c r="R1332" t="str">
        <f>IF(Sales[[#This Row],[Current Upsell $]]&gt;0,_xlfn.CONCAT(Sales[[#This Row],[Subscription Type]]," ",Sales[[#This Row],[Upsell Priority]]," ",TEXT(Sales[[#This Row],[Current Upsell $]],"$#,#")),"")</f>
        <v/>
      </c>
    </row>
    <row r="1333" spans="1:18" x14ac:dyDescent="0.25">
      <c r="A1333">
        <v>100133</v>
      </c>
      <c r="B1333" t="s">
        <v>3</v>
      </c>
      <c r="F1333">
        <v>0</v>
      </c>
      <c r="G1333">
        <v>3</v>
      </c>
      <c r="H1333" s="1">
        <v>44075</v>
      </c>
      <c r="I1333" s="1">
        <v>44378</v>
      </c>
      <c r="J1333">
        <v>10</v>
      </c>
      <c r="K1333">
        <v>0</v>
      </c>
      <c r="L1333" s="1">
        <v>44256</v>
      </c>
      <c r="M1333">
        <v>0</v>
      </c>
      <c r="N1333" s="8" cm="1">
        <f t="array" ref="N1333">_xlfn.SWITCH(Sales[[#This Row],[Subscription Type]],"Basic",10,"Premium",10,"Business",25,"Enterprise",27)</f>
        <v>10</v>
      </c>
      <c r="O1333">
        <f>IF(Sales[[#This Row],[Number of Users]]-Sales[[#This Row],[Licenses Bought]]&lt;0,0,Sales[[#This Row],[Number of Users]]-Sales[[#This Row],[Licenses Bought]])</f>
        <v>3</v>
      </c>
      <c r="P1333" s="8">
        <f>IF(Sales[[#This Row],[Sales Month]]=MAX(Sales[Sales Month]),Sales[[#This Row],[Non-Paying Users]]*Sales[[#This Row],[Upsell $ per Non-Paying User]],0)</f>
        <v>0</v>
      </c>
      <c r="Q1333" t="str" cm="1">
        <f t="array" ref="Q1333">_xlfn.IFS(Sales[[#This Row],[Current Upsell $]]=0,"",Sales[[#This Row],[Current Upsell $]]&gt;=400,"High",Sales[[#This Row],[Current Upsell $]]&gt;=100,"Medium",Sales[[#This Row],[Current Upsell $]]&lt;100,"Low")</f>
        <v/>
      </c>
      <c r="R1333" t="str">
        <f>IF(Sales[[#This Row],[Current Upsell $]]&gt;0,_xlfn.CONCAT(Sales[[#This Row],[Subscription Type]]," ",Sales[[#This Row],[Upsell Priority]]," ",TEXT(Sales[[#This Row],[Current Upsell $]],"$#,#")),"")</f>
        <v/>
      </c>
    </row>
    <row r="1334" spans="1:18" x14ac:dyDescent="0.25">
      <c r="A1334">
        <v>100133</v>
      </c>
      <c r="B1334" t="s">
        <v>3</v>
      </c>
      <c r="F1334">
        <v>0</v>
      </c>
      <c r="G1334">
        <v>3</v>
      </c>
      <c r="H1334" s="1">
        <v>44075</v>
      </c>
      <c r="I1334" s="1">
        <v>44378</v>
      </c>
      <c r="J1334">
        <v>10</v>
      </c>
      <c r="K1334">
        <v>0</v>
      </c>
      <c r="L1334" s="1">
        <v>44287</v>
      </c>
      <c r="M1334">
        <v>0</v>
      </c>
      <c r="N1334" s="8" cm="1">
        <f t="array" ref="N1334">_xlfn.SWITCH(Sales[[#This Row],[Subscription Type]],"Basic",10,"Premium",10,"Business",25,"Enterprise",27)</f>
        <v>10</v>
      </c>
      <c r="O1334">
        <f>IF(Sales[[#This Row],[Number of Users]]-Sales[[#This Row],[Licenses Bought]]&lt;0,0,Sales[[#This Row],[Number of Users]]-Sales[[#This Row],[Licenses Bought]])</f>
        <v>3</v>
      </c>
      <c r="P1334" s="8">
        <f>IF(Sales[[#This Row],[Sales Month]]=MAX(Sales[Sales Month]),Sales[[#This Row],[Non-Paying Users]]*Sales[[#This Row],[Upsell $ per Non-Paying User]],0)</f>
        <v>0</v>
      </c>
      <c r="Q1334" t="str" cm="1">
        <f t="array" ref="Q1334">_xlfn.IFS(Sales[[#This Row],[Current Upsell $]]=0,"",Sales[[#This Row],[Current Upsell $]]&gt;=400,"High",Sales[[#This Row],[Current Upsell $]]&gt;=100,"Medium",Sales[[#This Row],[Current Upsell $]]&lt;100,"Low")</f>
        <v/>
      </c>
      <c r="R1334" t="str">
        <f>IF(Sales[[#This Row],[Current Upsell $]]&gt;0,_xlfn.CONCAT(Sales[[#This Row],[Subscription Type]]," ",Sales[[#This Row],[Upsell Priority]]," ",TEXT(Sales[[#This Row],[Current Upsell $]],"$#,#")),"")</f>
        <v/>
      </c>
    </row>
    <row r="1335" spans="1:18" x14ac:dyDescent="0.25">
      <c r="A1335">
        <v>100133</v>
      </c>
      <c r="B1335" t="s">
        <v>3</v>
      </c>
      <c r="F1335">
        <v>0</v>
      </c>
      <c r="G1335">
        <v>2</v>
      </c>
      <c r="H1335" s="1">
        <v>44075</v>
      </c>
      <c r="I1335" s="1">
        <v>44378</v>
      </c>
      <c r="J1335">
        <v>10</v>
      </c>
      <c r="K1335">
        <v>0</v>
      </c>
      <c r="L1335" s="1">
        <v>44317</v>
      </c>
      <c r="M1335">
        <v>0</v>
      </c>
      <c r="N1335" s="8" cm="1">
        <f t="array" ref="N1335">_xlfn.SWITCH(Sales[[#This Row],[Subscription Type]],"Basic",10,"Premium",10,"Business",25,"Enterprise",27)</f>
        <v>10</v>
      </c>
      <c r="O1335">
        <f>IF(Sales[[#This Row],[Number of Users]]-Sales[[#This Row],[Licenses Bought]]&lt;0,0,Sales[[#This Row],[Number of Users]]-Sales[[#This Row],[Licenses Bought]])</f>
        <v>2</v>
      </c>
      <c r="P1335" s="8">
        <f>IF(Sales[[#This Row],[Sales Month]]=MAX(Sales[Sales Month]),Sales[[#This Row],[Non-Paying Users]]*Sales[[#This Row],[Upsell $ per Non-Paying User]],0)</f>
        <v>0</v>
      </c>
      <c r="Q1335" t="str" cm="1">
        <f t="array" ref="Q1335">_xlfn.IFS(Sales[[#This Row],[Current Upsell $]]=0,"",Sales[[#This Row],[Current Upsell $]]&gt;=400,"High",Sales[[#This Row],[Current Upsell $]]&gt;=100,"Medium",Sales[[#This Row],[Current Upsell $]]&lt;100,"Low")</f>
        <v/>
      </c>
      <c r="R1335" t="str">
        <f>IF(Sales[[#This Row],[Current Upsell $]]&gt;0,_xlfn.CONCAT(Sales[[#This Row],[Subscription Type]]," ",Sales[[#This Row],[Upsell Priority]]," ",TEXT(Sales[[#This Row],[Current Upsell $]],"$#,#")),"")</f>
        <v/>
      </c>
    </row>
    <row r="1336" spans="1:18" x14ac:dyDescent="0.25">
      <c r="A1336">
        <v>100133</v>
      </c>
      <c r="B1336" t="s">
        <v>3</v>
      </c>
      <c r="F1336">
        <v>0</v>
      </c>
      <c r="G1336">
        <v>3</v>
      </c>
      <c r="H1336" s="1">
        <v>44075</v>
      </c>
      <c r="I1336" s="1">
        <v>44378</v>
      </c>
      <c r="J1336">
        <v>10</v>
      </c>
      <c r="K1336">
        <v>0</v>
      </c>
      <c r="L1336" s="1">
        <v>44348</v>
      </c>
      <c r="M1336">
        <v>0</v>
      </c>
      <c r="N1336" s="8" cm="1">
        <f t="array" ref="N1336">_xlfn.SWITCH(Sales[[#This Row],[Subscription Type]],"Basic",10,"Premium",10,"Business",25,"Enterprise",27)</f>
        <v>10</v>
      </c>
      <c r="O1336">
        <f>IF(Sales[[#This Row],[Number of Users]]-Sales[[#This Row],[Licenses Bought]]&lt;0,0,Sales[[#This Row],[Number of Users]]-Sales[[#This Row],[Licenses Bought]])</f>
        <v>3</v>
      </c>
      <c r="P1336" s="8">
        <f>IF(Sales[[#This Row],[Sales Month]]=MAX(Sales[Sales Month]),Sales[[#This Row],[Non-Paying Users]]*Sales[[#This Row],[Upsell $ per Non-Paying User]],0)</f>
        <v>30</v>
      </c>
      <c r="Q1336" t="str" cm="1">
        <f t="array" ref="Q1336">_xlfn.IFS(Sales[[#This Row],[Current Upsell $]]=0,"",Sales[[#This Row],[Current Upsell $]]&gt;=400,"High",Sales[[#This Row],[Current Upsell $]]&gt;=100,"Medium",Sales[[#This Row],[Current Upsell $]]&lt;100,"Low")</f>
        <v>Low</v>
      </c>
      <c r="R1336" t="str">
        <f>IF(Sales[[#This Row],[Current Upsell $]]&gt;0,_xlfn.CONCAT(Sales[[#This Row],[Subscription Type]]," ",Sales[[#This Row],[Upsell Priority]]," ",TEXT(Sales[[#This Row],[Current Upsell $]],"$#,#")),"")</f>
        <v>Basic Low $30</v>
      </c>
    </row>
    <row r="1337" spans="1:18" x14ac:dyDescent="0.25">
      <c r="A1337">
        <v>100134</v>
      </c>
      <c r="B1337" t="s">
        <v>3</v>
      </c>
      <c r="F1337">
        <v>0</v>
      </c>
      <c r="G1337">
        <v>2</v>
      </c>
      <c r="H1337" s="1">
        <v>44075</v>
      </c>
      <c r="I1337" s="1">
        <v>44348</v>
      </c>
      <c r="J1337">
        <v>9</v>
      </c>
      <c r="K1337">
        <v>0</v>
      </c>
      <c r="L1337" s="1">
        <v>44075</v>
      </c>
      <c r="M1337">
        <v>0</v>
      </c>
      <c r="N1337" s="8" cm="1">
        <f t="array" ref="N1337">_xlfn.SWITCH(Sales[[#This Row],[Subscription Type]],"Basic",10,"Premium",10,"Business",25,"Enterprise",27)</f>
        <v>10</v>
      </c>
      <c r="O1337">
        <f>IF(Sales[[#This Row],[Number of Users]]-Sales[[#This Row],[Licenses Bought]]&lt;0,0,Sales[[#This Row],[Number of Users]]-Sales[[#This Row],[Licenses Bought]])</f>
        <v>2</v>
      </c>
      <c r="P1337" s="8">
        <f>IF(Sales[[#This Row],[Sales Month]]=MAX(Sales[Sales Month]),Sales[[#This Row],[Non-Paying Users]]*Sales[[#This Row],[Upsell $ per Non-Paying User]],0)</f>
        <v>0</v>
      </c>
      <c r="Q1337" t="str" cm="1">
        <f t="array" ref="Q1337">_xlfn.IFS(Sales[[#This Row],[Current Upsell $]]=0,"",Sales[[#This Row],[Current Upsell $]]&gt;=400,"High",Sales[[#This Row],[Current Upsell $]]&gt;=100,"Medium",Sales[[#This Row],[Current Upsell $]]&lt;100,"Low")</f>
        <v/>
      </c>
      <c r="R1337" t="str">
        <f>IF(Sales[[#This Row],[Current Upsell $]]&gt;0,_xlfn.CONCAT(Sales[[#This Row],[Subscription Type]]," ",Sales[[#This Row],[Upsell Priority]]," ",TEXT(Sales[[#This Row],[Current Upsell $]],"$#,#")),"")</f>
        <v/>
      </c>
    </row>
    <row r="1338" spans="1:18" x14ac:dyDescent="0.25">
      <c r="A1338">
        <v>100134</v>
      </c>
      <c r="B1338" t="s">
        <v>0</v>
      </c>
      <c r="F1338">
        <v>1</v>
      </c>
      <c r="G1338">
        <v>2</v>
      </c>
      <c r="H1338" s="1">
        <v>44075</v>
      </c>
      <c r="I1338" s="1">
        <v>44348</v>
      </c>
      <c r="J1338">
        <v>9</v>
      </c>
      <c r="K1338">
        <v>0</v>
      </c>
      <c r="L1338" s="1">
        <v>44105</v>
      </c>
      <c r="M1338">
        <v>10</v>
      </c>
      <c r="N1338" s="8" cm="1">
        <f t="array" ref="N1338">_xlfn.SWITCH(Sales[[#This Row],[Subscription Type]],"Basic",10,"Premium",10,"Business",25,"Enterprise",27)</f>
        <v>10</v>
      </c>
      <c r="O1338">
        <f>IF(Sales[[#This Row],[Number of Users]]-Sales[[#This Row],[Licenses Bought]]&lt;0,0,Sales[[#This Row],[Number of Users]]-Sales[[#This Row],[Licenses Bought]])</f>
        <v>1</v>
      </c>
      <c r="P1338" s="8">
        <f>IF(Sales[[#This Row],[Sales Month]]=MAX(Sales[Sales Month]),Sales[[#This Row],[Non-Paying Users]]*Sales[[#This Row],[Upsell $ per Non-Paying User]],0)</f>
        <v>0</v>
      </c>
      <c r="Q1338" t="str" cm="1">
        <f t="array" ref="Q1338">_xlfn.IFS(Sales[[#This Row],[Current Upsell $]]=0,"",Sales[[#This Row],[Current Upsell $]]&gt;=400,"High",Sales[[#This Row],[Current Upsell $]]&gt;=100,"Medium",Sales[[#This Row],[Current Upsell $]]&lt;100,"Low")</f>
        <v/>
      </c>
      <c r="R1338" t="str">
        <f>IF(Sales[[#This Row],[Current Upsell $]]&gt;0,_xlfn.CONCAT(Sales[[#This Row],[Subscription Type]]," ",Sales[[#This Row],[Upsell Priority]]," ",TEXT(Sales[[#This Row],[Current Upsell $]],"$#,#")),"")</f>
        <v/>
      </c>
    </row>
    <row r="1339" spans="1:18" x14ac:dyDescent="0.25">
      <c r="A1339">
        <v>100134</v>
      </c>
      <c r="B1339" t="s">
        <v>0</v>
      </c>
      <c r="F1339">
        <v>1</v>
      </c>
      <c r="G1339">
        <v>2</v>
      </c>
      <c r="H1339" s="1">
        <v>44075</v>
      </c>
      <c r="I1339" s="1">
        <v>44348</v>
      </c>
      <c r="J1339">
        <v>9</v>
      </c>
      <c r="K1339">
        <v>0</v>
      </c>
      <c r="L1339" s="1">
        <v>44136</v>
      </c>
      <c r="M1339">
        <v>10</v>
      </c>
      <c r="N1339" s="8" cm="1">
        <f t="array" ref="N1339">_xlfn.SWITCH(Sales[[#This Row],[Subscription Type]],"Basic",10,"Premium",10,"Business",25,"Enterprise",27)</f>
        <v>10</v>
      </c>
      <c r="O1339">
        <f>IF(Sales[[#This Row],[Number of Users]]-Sales[[#This Row],[Licenses Bought]]&lt;0,0,Sales[[#This Row],[Number of Users]]-Sales[[#This Row],[Licenses Bought]])</f>
        <v>1</v>
      </c>
      <c r="P1339" s="8">
        <f>IF(Sales[[#This Row],[Sales Month]]=MAX(Sales[Sales Month]),Sales[[#This Row],[Non-Paying Users]]*Sales[[#This Row],[Upsell $ per Non-Paying User]],0)</f>
        <v>0</v>
      </c>
      <c r="Q1339" t="str" cm="1">
        <f t="array" ref="Q1339">_xlfn.IFS(Sales[[#This Row],[Current Upsell $]]=0,"",Sales[[#This Row],[Current Upsell $]]&gt;=400,"High",Sales[[#This Row],[Current Upsell $]]&gt;=100,"Medium",Sales[[#This Row],[Current Upsell $]]&lt;100,"Low")</f>
        <v/>
      </c>
      <c r="R1339" t="str">
        <f>IF(Sales[[#This Row],[Current Upsell $]]&gt;0,_xlfn.CONCAT(Sales[[#This Row],[Subscription Type]]," ",Sales[[#This Row],[Upsell Priority]]," ",TEXT(Sales[[#This Row],[Current Upsell $]],"$#,#")),"")</f>
        <v/>
      </c>
    </row>
    <row r="1340" spans="1:18" x14ac:dyDescent="0.25">
      <c r="A1340">
        <v>100134</v>
      </c>
      <c r="B1340" t="s">
        <v>0</v>
      </c>
      <c r="F1340">
        <v>1</v>
      </c>
      <c r="G1340">
        <v>2</v>
      </c>
      <c r="H1340" s="1">
        <v>44075</v>
      </c>
      <c r="I1340" s="1">
        <v>44348</v>
      </c>
      <c r="J1340">
        <v>9</v>
      </c>
      <c r="K1340">
        <v>0</v>
      </c>
      <c r="L1340" s="1">
        <v>44166</v>
      </c>
      <c r="M1340">
        <v>10</v>
      </c>
      <c r="N1340" s="8" cm="1">
        <f t="array" ref="N1340">_xlfn.SWITCH(Sales[[#This Row],[Subscription Type]],"Basic",10,"Premium",10,"Business",25,"Enterprise",27)</f>
        <v>10</v>
      </c>
      <c r="O1340">
        <f>IF(Sales[[#This Row],[Number of Users]]-Sales[[#This Row],[Licenses Bought]]&lt;0,0,Sales[[#This Row],[Number of Users]]-Sales[[#This Row],[Licenses Bought]])</f>
        <v>1</v>
      </c>
      <c r="P1340" s="8">
        <f>IF(Sales[[#This Row],[Sales Month]]=MAX(Sales[Sales Month]),Sales[[#This Row],[Non-Paying Users]]*Sales[[#This Row],[Upsell $ per Non-Paying User]],0)</f>
        <v>0</v>
      </c>
      <c r="Q1340" t="str" cm="1">
        <f t="array" ref="Q1340">_xlfn.IFS(Sales[[#This Row],[Current Upsell $]]=0,"",Sales[[#This Row],[Current Upsell $]]&gt;=400,"High",Sales[[#This Row],[Current Upsell $]]&gt;=100,"Medium",Sales[[#This Row],[Current Upsell $]]&lt;100,"Low")</f>
        <v/>
      </c>
      <c r="R1340" t="str">
        <f>IF(Sales[[#This Row],[Current Upsell $]]&gt;0,_xlfn.CONCAT(Sales[[#This Row],[Subscription Type]]," ",Sales[[#This Row],[Upsell Priority]]," ",TEXT(Sales[[#This Row],[Current Upsell $]],"$#,#")),"")</f>
        <v/>
      </c>
    </row>
    <row r="1341" spans="1:18" x14ac:dyDescent="0.25">
      <c r="A1341">
        <v>100134</v>
      </c>
      <c r="B1341" t="s">
        <v>0</v>
      </c>
      <c r="F1341">
        <v>1</v>
      </c>
      <c r="G1341">
        <v>2</v>
      </c>
      <c r="H1341" s="1">
        <v>44075</v>
      </c>
      <c r="I1341" s="1">
        <v>44348</v>
      </c>
      <c r="J1341">
        <v>9</v>
      </c>
      <c r="K1341">
        <v>0</v>
      </c>
      <c r="L1341" s="1">
        <v>44197</v>
      </c>
      <c r="M1341">
        <v>10</v>
      </c>
      <c r="N1341" s="8" cm="1">
        <f t="array" ref="N1341">_xlfn.SWITCH(Sales[[#This Row],[Subscription Type]],"Basic",10,"Premium",10,"Business",25,"Enterprise",27)</f>
        <v>10</v>
      </c>
      <c r="O1341">
        <f>IF(Sales[[#This Row],[Number of Users]]-Sales[[#This Row],[Licenses Bought]]&lt;0,0,Sales[[#This Row],[Number of Users]]-Sales[[#This Row],[Licenses Bought]])</f>
        <v>1</v>
      </c>
      <c r="P1341" s="8">
        <f>IF(Sales[[#This Row],[Sales Month]]=MAX(Sales[Sales Month]),Sales[[#This Row],[Non-Paying Users]]*Sales[[#This Row],[Upsell $ per Non-Paying User]],0)</f>
        <v>0</v>
      </c>
      <c r="Q1341" t="str" cm="1">
        <f t="array" ref="Q1341">_xlfn.IFS(Sales[[#This Row],[Current Upsell $]]=0,"",Sales[[#This Row],[Current Upsell $]]&gt;=400,"High",Sales[[#This Row],[Current Upsell $]]&gt;=100,"Medium",Sales[[#This Row],[Current Upsell $]]&lt;100,"Low")</f>
        <v/>
      </c>
      <c r="R1341" t="str">
        <f>IF(Sales[[#This Row],[Current Upsell $]]&gt;0,_xlfn.CONCAT(Sales[[#This Row],[Subscription Type]]," ",Sales[[#This Row],[Upsell Priority]]," ",TEXT(Sales[[#This Row],[Current Upsell $]],"$#,#")),"")</f>
        <v/>
      </c>
    </row>
    <row r="1342" spans="1:18" x14ac:dyDescent="0.25">
      <c r="A1342">
        <v>100134</v>
      </c>
      <c r="B1342" t="s">
        <v>0</v>
      </c>
      <c r="F1342">
        <v>1</v>
      </c>
      <c r="G1342">
        <v>1</v>
      </c>
      <c r="H1342" s="1">
        <v>44075</v>
      </c>
      <c r="I1342" s="1">
        <v>44348</v>
      </c>
      <c r="J1342">
        <v>9</v>
      </c>
      <c r="K1342">
        <v>0</v>
      </c>
      <c r="L1342" s="1">
        <v>44228</v>
      </c>
      <c r="M1342">
        <v>10</v>
      </c>
      <c r="N1342" s="8" cm="1">
        <f t="array" ref="N1342">_xlfn.SWITCH(Sales[[#This Row],[Subscription Type]],"Basic",10,"Premium",10,"Business",25,"Enterprise",27)</f>
        <v>10</v>
      </c>
      <c r="O1342">
        <f>IF(Sales[[#This Row],[Number of Users]]-Sales[[#This Row],[Licenses Bought]]&lt;0,0,Sales[[#This Row],[Number of Users]]-Sales[[#This Row],[Licenses Bought]])</f>
        <v>0</v>
      </c>
      <c r="P1342" s="8">
        <f>IF(Sales[[#This Row],[Sales Month]]=MAX(Sales[Sales Month]),Sales[[#This Row],[Non-Paying Users]]*Sales[[#This Row],[Upsell $ per Non-Paying User]],0)</f>
        <v>0</v>
      </c>
      <c r="Q1342" t="str" cm="1">
        <f t="array" ref="Q1342">_xlfn.IFS(Sales[[#This Row],[Current Upsell $]]=0,"",Sales[[#This Row],[Current Upsell $]]&gt;=400,"High",Sales[[#This Row],[Current Upsell $]]&gt;=100,"Medium",Sales[[#This Row],[Current Upsell $]]&lt;100,"Low")</f>
        <v/>
      </c>
      <c r="R1342" t="str">
        <f>IF(Sales[[#This Row],[Current Upsell $]]&gt;0,_xlfn.CONCAT(Sales[[#This Row],[Subscription Type]]," ",Sales[[#This Row],[Upsell Priority]]," ",TEXT(Sales[[#This Row],[Current Upsell $]],"$#,#")),"")</f>
        <v/>
      </c>
    </row>
    <row r="1343" spans="1:18" x14ac:dyDescent="0.25">
      <c r="A1343">
        <v>100134</v>
      </c>
      <c r="B1343" t="s">
        <v>0</v>
      </c>
      <c r="F1343">
        <v>1</v>
      </c>
      <c r="G1343">
        <v>2</v>
      </c>
      <c r="H1343" s="1">
        <v>44075</v>
      </c>
      <c r="I1343" s="1">
        <v>44348</v>
      </c>
      <c r="J1343">
        <v>9</v>
      </c>
      <c r="K1343">
        <v>0</v>
      </c>
      <c r="L1343" s="1">
        <v>44256</v>
      </c>
      <c r="M1343">
        <v>10</v>
      </c>
      <c r="N1343" s="8" cm="1">
        <f t="array" ref="N1343">_xlfn.SWITCH(Sales[[#This Row],[Subscription Type]],"Basic",10,"Premium",10,"Business",25,"Enterprise",27)</f>
        <v>10</v>
      </c>
      <c r="O1343">
        <f>IF(Sales[[#This Row],[Number of Users]]-Sales[[#This Row],[Licenses Bought]]&lt;0,0,Sales[[#This Row],[Number of Users]]-Sales[[#This Row],[Licenses Bought]])</f>
        <v>1</v>
      </c>
      <c r="P1343" s="8">
        <f>IF(Sales[[#This Row],[Sales Month]]=MAX(Sales[Sales Month]),Sales[[#This Row],[Non-Paying Users]]*Sales[[#This Row],[Upsell $ per Non-Paying User]],0)</f>
        <v>0</v>
      </c>
      <c r="Q1343" t="str" cm="1">
        <f t="array" ref="Q1343">_xlfn.IFS(Sales[[#This Row],[Current Upsell $]]=0,"",Sales[[#This Row],[Current Upsell $]]&gt;=400,"High",Sales[[#This Row],[Current Upsell $]]&gt;=100,"Medium",Sales[[#This Row],[Current Upsell $]]&lt;100,"Low")</f>
        <v/>
      </c>
      <c r="R1343" t="str">
        <f>IF(Sales[[#This Row],[Current Upsell $]]&gt;0,_xlfn.CONCAT(Sales[[#This Row],[Subscription Type]]," ",Sales[[#This Row],[Upsell Priority]]," ",TEXT(Sales[[#This Row],[Current Upsell $]],"$#,#")),"")</f>
        <v/>
      </c>
    </row>
    <row r="1344" spans="1:18" x14ac:dyDescent="0.25">
      <c r="A1344">
        <v>100134</v>
      </c>
      <c r="B1344" t="s">
        <v>0</v>
      </c>
      <c r="F1344">
        <v>1</v>
      </c>
      <c r="G1344">
        <v>2</v>
      </c>
      <c r="H1344" s="1">
        <v>44075</v>
      </c>
      <c r="I1344" s="1">
        <v>44348</v>
      </c>
      <c r="J1344">
        <v>9</v>
      </c>
      <c r="K1344">
        <v>0</v>
      </c>
      <c r="L1344" s="1">
        <v>44287</v>
      </c>
      <c r="M1344">
        <v>10</v>
      </c>
      <c r="N1344" s="8" cm="1">
        <f t="array" ref="N1344">_xlfn.SWITCH(Sales[[#This Row],[Subscription Type]],"Basic",10,"Premium",10,"Business",25,"Enterprise",27)</f>
        <v>10</v>
      </c>
      <c r="O1344">
        <f>IF(Sales[[#This Row],[Number of Users]]-Sales[[#This Row],[Licenses Bought]]&lt;0,0,Sales[[#This Row],[Number of Users]]-Sales[[#This Row],[Licenses Bought]])</f>
        <v>1</v>
      </c>
      <c r="P1344" s="8">
        <f>IF(Sales[[#This Row],[Sales Month]]=MAX(Sales[Sales Month]),Sales[[#This Row],[Non-Paying Users]]*Sales[[#This Row],[Upsell $ per Non-Paying User]],0)</f>
        <v>0</v>
      </c>
      <c r="Q1344" t="str" cm="1">
        <f t="array" ref="Q1344">_xlfn.IFS(Sales[[#This Row],[Current Upsell $]]=0,"",Sales[[#This Row],[Current Upsell $]]&gt;=400,"High",Sales[[#This Row],[Current Upsell $]]&gt;=100,"Medium",Sales[[#This Row],[Current Upsell $]]&lt;100,"Low")</f>
        <v/>
      </c>
      <c r="R1344" t="str">
        <f>IF(Sales[[#This Row],[Current Upsell $]]&gt;0,_xlfn.CONCAT(Sales[[#This Row],[Subscription Type]]," ",Sales[[#This Row],[Upsell Priority]]," ",TEXT(Sales[[#This Row],[Current Upsell $]],"$#,#")),"")</f>
        <v/>
      </c>
    </row>
    <row r="1345" spans="1:18" x14ac:dyDescent="0.25">
      <c r="A1345">
        <v>100134</v>
      </c>
      <c r="B1345" t="s">
        <v>0</v>
      </c>
      <c r="F1345">
        <v>1</v>
      </c>
      <c r="G1345">
        <v>2</v>
      </c>
      <c r="H1345" s="1">
        <v>44075</v>
      </c>
      <c r="I1345" s="1">
        <v>44348</v>
      </c>
      <c r="J1345">
        <v>9</v>
      </c>
      <c r="K1345">
        <v>0</v>
      </c>
      <c r="L1345" s="1">
        <v>44317</v>
      </c>
      <c r="M1345">
        <v>10</v>
      </c>
      <c r="N1345" s="8" cm="1">
        <f t="array" ref="N1345">_xlfn.SWITCH(Sales[[#This Row],[Subscription Type]],"Basic",10,"Premium",10,"Business",25,"Enterprise",27)</f>
        <v>10</v>
      </c>
      <c r="O1345">
        <f>IF(Sales[[#This Row],[Number of Users]]-Sales[[#This Row],[Licenses Bought]]&lt;0,0,Sales[[#This Row],[Number of Users]]-Sales[[#This Row],[Licenses Bought]])</f>
        <v>1</v>
      </c>
      <c r="P1345" s="8">
        <f>IF(Sales[[#This Row],[Sales Month]]=MAX(Sales[Sales Month]),Sales[[#This Row],[Non-Paying Users]]*Sales[[#This Row],[Upsell $ per Non-Paying User]],0)</f>
        <v>0</v>
      </c>
      <c r="Q1345" t="str" cm="1">
        <f t="array" ref="Q1345">_xlfn.IFS(Sales[[#This Row],[Current Upsell $]]=0,"",Sales[[#This Row],[Current Upsell $]]&gt;=400,"High",Sales[[#This Row],[Current Upsell $]]&gt;=100,"Medium",Sales[[#This Row],[Current Upsell $]]&lt;100,"Low")</f>
        <v/>
      </c>
      <c r="R1345" t="str">
        <f>IF(Sales[[#This Row],[Current Upsell $]]&gt;0,_xlfn.CONCAT(Sales[[#This Row],[Subscription Type]]," ",Sales[[#This Row],[Upsell Priority]]," ",TEXT(Sales[[#This Row],[Current Upsell $]],"$#,#")),"")</f>
        <v/>
      </c>
    </row>
    <row r="1346" spans="1:18" x14ac:dyDescent="0.25">
      <c r="A1346">
        <v>100134</v>
      </c>
      <c r="B1346" t="s">
        <v>0</v>
      </c>
      <c r="F1346">
        <v>1</v>
      </c>
      <c r="G1346">
        <v>2</v>
      </c>
      <c r="H1346" s="1">
        <v>44075</v>
      </c>
      <c r="I1346" s="1">
        <v>44348</v>
      </c>
      <c r="J1346">
        <v>9</v>
      </c>
      <c r="K1346">
        <v>0</v>
      </c>
      <c r="L1346" s="1">
        <v>44348</v>
      </c>
      <c r="M1346">
        <v>10</v>
      </c>
      <c r="N1346" s="8" cm="1">
        <f t="array" ref="N1346">_xlfn.SWITCH(Sales[[#This Row],[Subscription Type]],"Basic",10,"Premium",10,"Business",25,"Enterprise",27)</f>
        <v>10</v>
      </c>
      <c r="O1346">
        <f>IF(Sales[[#This Row],[Number of Users]]-Sales[[#This Row],[Licenses Bought]]&lt;0,0,Sales[[#This Row],[Number of Users]]-Sales[[#This Row],[Licenses Bought]])</f>
        <v>1</v>
      </c>
      <c r="P1346" s="8">
        <f>IF(Sales[[#This Row],[Sales Month]]=MAX(Sales[Sales Month]),Sales[[#This Row],[Non-Paying Users]]*Sales[[#This Row],[Upsell $ per Non-Paying User]],0)</f>
        <v>10</v>
      </c>
      <c r="Q1346" t="str" cm="1">
        <f t="array" ref="Q1346">_xlfn.IFS(Sales[[#This Row],[Current Upsell $]]=0,"",Sales[[#This Row],[Current Upsell $]]&gt;=400,"High",Sales[[#This Row],[Current Upsell $]]&gt;=100,"Medium",Sales[[#This Row],[Current Upsell $]]&lt;100,"Low")</f>
        <v>Low</v>
      </c>
      <c r="R1346" t="str">
        <f>IF(Sales[[#This Row],[Current Upsell $]]&gt;0,_xlfn.CONCAT(Sales[[#This Row],[Subscription Type]]," ",Sales[[#This Row],[Upsell Priority]]," ",TEXT(Sales[[#This Row],[Current Upsell $]],"$#,#")),"")</f>
        <v>Premium Low $10</v>
      </c>
    </row>
    <row r="1347" spans="1:18" x14ac:dyDescent="0.25">
      <c r="A1347">
        <v>100135</v>
      </c>
      <c r="B1347" t="s">
        <v>3</v>
      </c>
      <c r="F1347">
        <v>0</v>
      </c>
      <c r="G1347">
        <v>2</v>
      </c>
      <c r="H1347" s="1">
        <v>44075</v>
      </c>
      <c r="I1347" s="1">
        <v>44378</v>
      </c>
      <c r="J1347">
        <v>10</v>
      </c>
      <c r="K1347">
        <v>0</v>
      </c>
      <c r="L1347" s="1">
        <v>44075</v>
      </c>
      <c r="M1347">
        <v>0</v>
      </c>
      <c r="N1347" s="8" cm="1">
        <f t="array" ref="N1347">_xlfn.SWITCH(Sales[[#This Row],[Subscription Type]],"Basic",10,"Premium",10,"Business",25,"Enterprise",27)</f>
        <v>10</v>
      </c>
      <c r="O1347">
        <f>IF(Sales[[#This Row],[Number of Users]]-Sales[[#This Row],[Licenses Bought]]&lt;0,0,Sales[[#This Row],[Number of Users]]-Sales[[#This Row],[Licenses Bought]])</f>
        <v>2</v>
      </c>
      <c r="P1347" s="8">
        <f>IF(Sales[[#This Row],[Sales Month]]=MAX(Sales[Sales Month]),Sales[[#This Row],[Non-Paying Users]]*Sales[[#This Row],[Upsell $ per Non-Paying User]],0)</f>
        <v>0</v>
      </c>
      <c r="Q1347" t="str" cm="1">
        <f t="array" ref="Q1347">_xlfn.IFS(Sales[[#This Row],[Current Upsell $]]=0,"",Sales[[#This Row],[Current Upsell $]]&gt;=400,"High",Sales[[#This Row],[Current Upsell $]]&gt;=100,"Medium",Sales[[#This Row],[Current Upsell $]]&lt;100,"Low")</f>
        <v/>
      </c>
      <c r="R1347" t="str">
        <f>IF(Sales[[#This Row],[Current Upsell $]]&gt;0,_xlfn.CONCAT(Sales[[#This Row],[Subscription Type]]," ",Sales[[#This Row],[Upsell Priority]]," ",TEXT(Sales[[#This Row],[Current Upsell $]],"$#,#")),"")</f>
        <v/>
      </c>
    </row>
    <row r="1348" spans="1:18" x14ac:dyDescent="0.25">
      <c r="A1348">
        <v>100135</v>
      </c>
      <c r="B1348" t="s">
        <v>3</v>
      </c>
      <c r="F1348">
        <v>0</v>
      </c>
      <c r="G1348">
        <v>2</v>
      </c>
      <c r="H1348" s="1">
        <v>44075</v>
      </c>
      <c r="I1348" s="1">
        <v>44378</v>
      </c>
      <c r="J1348">
        <v>10</v>
      </c>
      <c r="K1348">
        <v>0</v>
      </c>
      <c r="L1348" s="1">
        <v>44105</v>
      </c>
      <c r="M1348">
        <v>0</v>
      </c>
      <c r="N1348" s="8" cm="1">
        <f t="array" ref="N1348">_xlfn.SWITCH(Sales[[#This Row],[Subscription Type]],"Basic",10,"Premium",10,"Business",25,"Enterprise",27)</f>
        <v>10</v>
      </c>
      <c r="O1348">
        <f>IF(Sales[[#This Row],[Number of Users]]-Sales[[#This Row],[Licenses Bought]]&lt;0,0,Sales[[#This Row],[Number of Users]]-Sales[[#This Row],[Licenses Bought]])</f>
        <v>2</v>
      </c>
      <c r="P1348" s="8">
        <f>IF(Sales[[#This Row],[Sales Month]]=MAX(Sales[Sales Month]),Sales[[#This Row],[Non-Paying Users]]*Sales[[#This Row],[Upsell $ per Non-Paying User]],0)</f>
        <v>0</v>
      </c>
      <c r="Q1348" t="str" cm="1">
        <f t="array" ref="Q1348">_xlfn.IFS(Sales[[#This Row],[Current Upsell $]]=0,"",Sales[[#This Row],[Current Upsell $]]&gt;=400,"High",Sales[[#This Row],[Current Upsell $]]&gt;=100,"Medium",Sales[[#This Row],[Current Upsell $]]&lt;100,"Low")</f>
        <v/>
      </c>
      <c r="R1348" t="str">
        <f>IF(Sales[[#This Row],[Current Upsell $]]&gt;0,_xlfn.CONCAT(Sales[[#This Row],[Subscription Type]]," ",Sales[[#This Row],[Upsell Priority]]," ",TEXT(Sales[[#This Row],[Current Upsell $]],"$#,#")),"")</f>
        <v/>
      </c>
    </row>
    <row r="1349" spans="1:18" x14ac:dyDescent="0.25">
      <c r="A1349">
        <v>100135</v>
      </c>
      <c r="B1349" t="s">
        <v>3</v>
      </c>
      <c r="F1349">
        <v>0</v>
      </c>
      <c r="G1349">
        <v>2</v>
      </c>
      <c r="H1349" s="1">
        <v>44075</v>
      </c>
      <c r="I1349" s="1">
        <v>44378</v>
      </c>
      <c r="J1349">
        <v>10</v>
      </c>
      <c r="K1349">
        <v>0</v>
      </c>
      <c r="L1349" s="1">
        <v>44136</v>
      </c>
      <c r="M1349">
        <v>0</v>
      </c>
      <c r="N1349" s="8" cm="1">
        <f t="array" ref="N1349">_xlfn.SWITCH(Sales[[#This Row],[Subscription Type]],"Basic",10,"Premium",10,"Business",25,"Enterprise",27)</f>
        <v>10</v>
      </c>
      <c r="O1349">
        <f>IF(Sales[[#This Row],[Number of Users]]-Sales[[#This Row],[Licenses Bought]]&lt;0,0,Sales[[#This Row],[Number of Users]]-Sales[[#This Row],[Licenses Bought]])</f>
        <v>2</v>
      </c>
      <c r="P1349" s="8">
        <f>IF(Sales[[#This Row],[Sales Month]]=MAX(Sales[Sales Month]),Sales[[#This Row],[Non-Paying Users]]*Sales[[#This Row],[Upsell $ per Non-Paying User]],0)</f>
        <v>0</v>
      </c>
      <c r="Q1349" t="str" cm="1">
        <f t="array" ref="Q1349">_xlfn.IFS(Sales[[#This Row],[Current Upsell $]]=0,"",Sales[[#This Row],[Current Upsell $]]&gt;=400,"High",Sales[[#This Row],[Current Upsell $]]&gt;=100,"Medium",Sales[[#This Row],[Current Upsell $]]&lt;100,"Low")</f>
        <v/>
      </c>
      <c r="R1349" t="str">
        <f>IF(Sales[[#This Row],[Current Upsell $]]&gt;0,_xlfn.CONCAT(Sales[[#This Row],[Subscription Type]]," ",Sales[[#This Row],[Upsell Priority]]," ",TEXT(Sales[[#This Row],[Current Upsell $]],"$#,#")),"")</f>
        <v/>
      </c>
    </row>
    <row r="1350" spans="1:18" x14ac:dyDescent="0.25">
      <c r="A1350">
        <v>100135</v>
      </c>
      <c r="B1350" t="s">
        <v>3</v>
      </c>
      <c r="F1350">
        <v>0</v>
      </c>
      <c r="G1350">
        <v>2</v>
      </c>
      <c r="H1350" s="1">
        <v>44075</v>
      </c>
      <c r="I1350" s="1">
        <v>44378</v>
      </c>
      <c r="J1350">
        <v>10</v>
      </c>
      <c r="K1350">
        <v>0</v>
      </c>
      <c r="L1350" s="1">
        <v>44166</v>
      </c>
      <c r="M1350">
        <v>0</v>
      </c>
      <c r="N1350" s="8" cm="1">
        <f t="array" ref="N1350">_xlfn.SWITCH(Sales[[#This Row],[Subscription Type]],"Basic",10,"Premium",10,"Business",25,"Enterprise",27)</f>
        <v>10</v>
      </c>
      <c r="O1350">
        <f>IF(Sales[[#This Row],[Number of Users]]-Sales[[#This Row],[Licenses Bought]]&lt;0,0,Sales[[#This Row],[Number of Users]]-Sales[[#This Row],[Licenses Bought]])</f>
        <v>2</v>
      </c>
      <c r="P1350" s="8">
        <f>IF(Sales[[#This Row],[Sales Month]]=MAX(Sales[Sales Month]),Sales[[#This Row],[Non-Paying Users]]*Sales[[#This Row],[Upsell $ per Non-Paying User]],0)</f>
        <v>0</v>
      </c>
      <c r="Q1350" t="str" cm="1">
        <f t="array" ref="Q1350">_xlfn.IFS(Sales[[#This Row],[Current Upsell $]]=0,"",Sales[[#This Row],[Current Upsell $]]&gt;=400,"High",Sales[[#This Row],[Current Upsell $]]&gt;=100,"Medium",Sales[[#This Row],[Current Upsell $]]&lt;100,"Low")</f>
        <v/>
      </c>
      <c r="R1350" t="str">
        <f>IF(Sales[[#This Row],[Current Upsell $]]&gt;0,_xlfn.CONCAT(Sales[[#This Row],[Subscription Type]]," ",Sales[[#This Row],[Upsell Priority]]," ",TEXT(Sales[[#This Row],[Current Upsell $]],"$#,#")),"")</f>
        <v/>
      </c>
    </row>
    <row r="1351" spans="1:18" x14ac:dyDescent="0.25">
      <c r="A1351">
        <v>100135</v>
      </c>
      <c r="B1351" t="s">
        <v>3</v>
      </c>
      <c r="F1351">
        <v>0</v>
      </c>
      <c r="G1351">
        <v>2</v>
      </c>
      <c r="H1351" s="1">
        <v>44075</v>
      </c>
      <c r="I1351" s="1">
        <v>44378</v>
      </c>
      <c r="J1351">
        <v>10</v>
      </c>
      <c r="K1351">
        <v>0</v>
      </c>
      <c r="L1351" s="1">
        <v>44197</v>
      </c>
      <c r="M1351">
        <v>0</v>
      </c>
      <c r="N1351" s="8" cm="1">
        <f t="array" ref="N1351">_xlfn.SWITCH(Sales[[#This Row],[Subscription Type]],"Basic",10,"Premium",10,"Business",25,"Enterprise",27)</f>
        <v>10</v>
      </c>
      <c r="O1351">
        <f>IF(Sales[[#This Row],[Number of Users]]-Sales[[#This Row],[Licenses Bought]]&lt;0,0,Sales[[#This Row],[Number of Users]]-Sales[[#This Row],[Licenses Bought]])</f>
        <v>2</v>
      </c>
      <c r="P1351" s="8">
        <f>IF(Sales[[#This Row],[Sales Month]]=MAX(Sales[Sales Month]),Sales[[#This Row],[Non-Paying Users]]*Sales[[#This Row],[Upsell $ per Non-Paying User]],0)</f>
        <v>0</v>
      </c>
      <c r="Q1351" t="str" cm="1">
        <f t="array" ref="Q1351">_xlfn.IFS(Sales[[#This Row],[Current Upsell $]]=0,"",Sales[[#This Row],[Current Upsell $]]&gt;=400,"High",Sales[[#This Row],[Current Upsell $]]&gt;=100,"Medium",Sales[[#This Row],[Current Upsell $]]&lt;100,"Low")</f>
        <v/>
      </c>
      <c r="R1351" t="str">
        <f>IF(Sales[[#This Row],[Current Upsell $]]&gt;0,_xlfn.CONCAT(Sales[[#This Row],[Subscription Type]]," ",Sales[[#This Row],[Upsell Priority]]," ",TEXT(Sales[[#This Row],[Current Upsell $]],"$#,#")),"")</f>
        <v/>
      </c>
    </row>
    <row r="1352" spans="1:18" x14ac:dyDescent="0.25">
      <c r="A1352">
        <v>100135</v>
      </c>
      <c r="B1352" t="s">
        <v>3</v>
      </c>
      <c r="F1352">
        <v>0</v>
      </c>
      <c r="G1352">
        <v>2</v>
      </c>
      <c r="H1352" s="1">
        <v>44075</v>
      </c>
      <c r="I1352" s="1">
        <v>44378</v>
      </c>
      <c r="J1352">
        <v>10</v>
      </c>
      <c r="K1352">
        <v>0</v>
      </c>
      <c r="L1352" s="1">
        <v>44228</v>
      </c>
      <c r="M1352">
        <v>0</v>
      </c>
      <c r="N1352" s="8" cm="1">
        <f t="array" ref="N1352">_xlfn.SWITCH(Sales[[#This Row],[Subscription Type]],"Basic",10,"Premium",10,"Business",25,"Enterprise",27)</f>
        <v>10</v>
      </c>
      <c r="O1352">
        <f>IF(Sales[[#This Row],[Number of Users]]-Sales[[#This Row],[Licenses Bought]]&lt;0,0,Sales[[#This Row],[Number of Users]]-Sales[[#This Row],[Licenses Bought]])</f>
        <v>2</v>
      </c>
      <c r="P1352" s="8">
        <f>IF(Sales[[#This Row],[Sales Month]]=MAX(Sales[Sales Month]),Sales[[#This Row],[Non-Paying Users]]*Sales[[#This Row],[Upsell $ per Non-Paying User]],0)</f>
        <v>0</v>
      </c>
      <c r="Q1352" t="str" cm="1">
        <f t="array" ref="Q1352">_xlfn.IFS(Sales[[#This Row],[Current Upsell $]]=0,"",Sales[[#This Row],[Current Upsell $]]&gt;=400,"High",Sales[[#This Row],[Current Upsell $]]&gt;=100,"Medium",Sales[[#This Row],[Current Upsell $]]&lt;100,"Low")</f>
        <v/>
      </c>
      <c r="R1352" t="str">
        <f>IF(Sales[[#This Row],[Current Upsell $]]&gt;0,_xlfn.CONCAT(Sales[[#This Row],[Subscription Type]]," ",Sales[[#This Row],[Upsell Priority]]," ",TEXT(Sales[[#This Row],[Current Upsell $]],"$#,#")),"")</f>
        <v/>
      </c>
    </row>
    <row r="1353" spans="1:18" x14ac:dyDescent="0.25">
      <c r="A1353">
        <v>100135</v>
      </c>
      <c r="B1353" t="s">
        <v>3</v>
      </c>
      <c r="F1353">
        <v>0</v>
      </c>
      <c r="G1353">
        <v>2</v>
      </c>
      <c r="H1353" s="1">
        <v>44075</v>
      </c>
      <c r="I1353" s="1">
        <v>44378</v>
      </c>
      <c r="J1353">
        <v>10</v>
      </c>
      <c r="K1353">
        <v>0</v>
      </c>
      <c r="L1353" s="1">
        <v>44256</v>
      </c>
      <c r="M1353">
        <v>0</v>
      </c>
      <c r="N1353" s="8" cm="1">
        <f t="array" ref="N1353">_xlfn.SWITCH(Sales[[#This Row],[Subscription Type]],"Basic",10,"Premium",10,"Business",25,"Enterprise",27)</f>
        <v>10</v>
      </c>
      <c r="O1353">
        <f>IF(Sales[[#This Row],[Number of Users]]-Sales[[#This Row],[Licenses Bought]]&lt;0,0,Sales[[#This Row],[Number of Users]]-Sales[[#This Row],[Licenses Bought]])</f>
        <v>2</v>
      </c>
      <c r="P1353" s="8">
        <f>IF(Sales[[#This Row],[Sales Month]]=MAX(Sales[Sales Month]),Sales[[#This Row],[Non-Paying Users]]*Sales[[#This Row],[Upsell $ per Non-Paying User]],0)</f>
        <v>0</v>
      </c>
      <c r="Q1353" t="str" cm="1">
        <f t="array" ref="Q1353">_xlfn.IFS(Sales[[#This Row],[Current Upsell $]]=0,"",Sales[[#This Row],[Current Upsell $]]&gt;=400,"High",Sales[[#This Row],[Current Upsell $]]&gt;=100,"Medium",Sales[[#This Row],[Current Upsell $]]&lt;100,"Low")</f>
        <v/>
      </c>
      <c r="R1353" t="str">
        <f>IF(Sales[[#This Row],[Current Upsell $]]&gt;0,_xlfn.CONCAT(Sales[[#This Row],[Subscription Type]]," ",Sales[[#This Row],[Upsell Priority]]," ",TEXT(Sales[[#This Row],[Current Upsell $]],"$#,#")),"")</f>
        <v/>
      </c>
    </row>
    <row r="1354" spans="1:18" x14ac:dyDescent="0.25">
      <c r="A1354">
        <v>100135</v>
      </c>
      <c r="B1354" t="s">
        <v>3</v>
      </c>
      <c r="F1354">
        <v>0</v>
      </c>
      <c r="G1354">
        <v>2</v>
      </c>
      <c r="H1354" s="1">
        <v>44075</v>
      </c>
      <c r="I1354" s="1">
        <v>44378</v>
      </c>
      <c r="J1354">
        <v>10</v>
      </c>
      <c r="K1354">
        <v>0</v>
      </c>
      <c r="L1354" s="1">
        <v>44287</v>
      </c>
      <c r="M1354">
        <v>0</v>
      </c>
      <c r="N1354" s="8" cm="1">
        <f t="array" ref="N1354">_xlfn.SWITCH(Sales[[#This Row],[Subscription Type]],"Basic",10,"Premium",10,"Business",25,"Enterprise",27)</f>
        <v>10</v>
      </c>
      <c r="O1354">
        <f>IF(Sales[[#This Row],[Number of Users]]-Sales[[#This Row],[Licenses Bought]]&lt;0,0,Sales[[#This Row],[Number of Users]]-Sales[[#This Row],[Licenses Bought]])</f>
        <v>2</v>
      </c>
      <c r="P1354" s="8">
        <f>IF(Sales[[#This Row],[Sales Month]]=MAX(Sales[Sales Month]),Sales[[#This Row],[Non-Paying Users]]*Sales[[#This Row],[Upsell $ per Non-Paying User]],0)</f>
        <v>0</v>
      </c>
      <c r="Q1354" t="str" cm="1">
        <f t="array" ref="Q1354">_xlfn.IFS(Sales[[#This Row],[Current Upsell $]]=0,"",Sales[[#This Row],[Current Upsell $]]&gt;=400,"High",Sales[[#This Row],[Current Upsell $]]&gt;=100,"Medium",Sales[[#This Row],[Current Upsell $]]&lt;100,"Low")</f>
        <v/>
      </c>
      <c r="R1354" t="str">
        <f>IF(Sales[[#This Row],[Current Upsell $]]&gt;0,_xlfn.CONCAT(Sales[[#This Row],[Subscription Type]]," ",Sales[[#This Row],[Upsell Priority]]," ",TEXT(Sales[[#This Row],[Current Upsell $]],"$#,#")),"")</f>
        <v/>
      </c>
    </row>
    <row r="1355" spans="1:18" x14ac:dyDescent="0.25">
      <c r="A1355">
        <v>100135</v>
      </c>
      <c r="B1355" t="s">
        <v>3</v>
      </c>
      <c r="F1355">
        <v>0</v>
      </c>
      <c r="G1355">
        <v>2</v>
      </c>
      <c r="H1355" s="1">
        <v>44075</v>
      </c>
      <c r="I1355" s="1">
        <v>44378</v>
      </c>
      <c r="J1355">
        <v>10</v>
      </c>
      <c r="K1355">
        <v>0</v>
      </c>
      <c r="L1355" s="1">
        <v>44317</v>
      </c>
      <c r="M1355">
        <v>0</v>
      </c>
      <c r="N1355" s="8" cm="1">
        <f t="array" ref="N1355">_xlfn.SWITCH(Sales[[#This Row],[Subscription Type]],"Basic",10,"Premium",10,"Business",25,"Enterprise",27)</f>
        <v>10</v>
      </c>
      <c r="O1355">
        <f>IF(Sales[[#This Row],[Number of Users]]-Sales[[#This Row],[Licenses Bought]]&lt;0,0,Sales[[#This Row],[Number of Users]]-Sales[[#This Row],[Licenses Bought]])</f>
        <v>2</v>
      </c>
      <c r="P1355" s="8">
        <f>IF(Sales[[#This Row],[Sales Month]]=MAX(Sales[Sales Month]),Sales[[#This Row],[Non-Paying Users]]*Sales[[#This Row],[Upsell $ per Non-Paying User]],0)</f>
        <v>0</v>
      </c>
      <c r="Q1355" t="str" cm="1">
        <f t="array" ref="Q1355">_xlfn.IFS(Sales[[#This Row],[Current Upsell $]]=0,"",Sales[[#This Row],[Current Upsell $]]&gt;=400,"High",Sales[[#This Row],[Current Upsell $]]&gt;=100,"Medium",Sales[[#This Row],[Current Upsell $]]&lt;100,"Low")</f>
        <v/>
      </c>
      <c r="R1355" t="str">
        <f>IF(Sales[[#This Row],[Current Upsell $]]&gt;0,_xlfn.CONCAT(Sales[[#This Row],[Subscription Type]]," ",Sales[[#This Row],[Upsell Priority]]," ",TEXT(Sales[[#This Row],[Current Upsell $]],"$#,#")),"")</f>
        <v/>
      </c>
    </row>
    <row r="1356" spans="1:18" x14ac:dyDescent="0.25">
      <c r="A1356">
        <v>100135</v>
      </c>
      <c r="B1356" t="s">
        <v>3</v>
      </c>
      <c r="F1356">
        <v>0</v>
      </c>
      <c r="G1356">
        <v>2</v>
      </c>
      <c r="H1356" s="1">
        <v>44075</v>
      </c>
      <c r="I1356" s="1">
        <v>44378</v>
      </c>
      <c r="J1356">
        <v>10</v>
      </c>
      <c r="K1356">
        <v>0</v>
      </c>
      <c r="L1356" s="1">
        <v>44348</v>
      </c>
      <c r="M1356">
        <v>0</v>
      </c>
      <c r="N1356" s="8" cm="1">
        <f t="array" ref="N1356">_xlfn.SWITCH(Sales[[#This Row],[Subscription Type]],"Basic",10,"Premium",10,"Business",25,"Enterprise",27)</f>
        <v>10</v>
      </c>
      <c r="O1356">
        <f>IF(Sales[[#This Row],[Number of Users]]-Sales[[#This Row],[Licenses Bought]]&lt;0,0,Sales[[#This Row],[Number of Users]]-Sales[[#This Row],[Licenses Bought]])</f>
        <v>2</v>
      </c>
      <c r="P1356" s="8">
        <f>IF(Sales[[#This Row],[Sales Month]]=MAX(Sales[Sales Month]),Sales[[#This Row],[Non-Paying Users]]*Sales[[#This Row],[Upsell $ per Non-Paying User]],0)</f>
        <v>20</v>
      </c>
      <c r="Q1356" t="str" cm="1">
        <f t="array" ref="Q1356">_xlfn.IFS(Sales[[#This Row],[Current Upsell $]]=0,"",Sales[[#This Row],[Current Upsell $]]&gt;=400,"High",Sales[[#This Row],[Current Upsell $]]&gt;=100,"Medium",Sales[[#This Row],[Current Upsell $]]&lt;100,"Low")</f>
        <v>Low</v>
      </c>
      <c r="R1356" t="str">
        <f>IF(Sales[[#This Row],[Current Upsell $]]&gt;0,_xlfn.CONCAT(Sales[[#This Row],[Subscription Type]]," ",Sales[[#This Row],[Upsell Priority]]," ",TEXT(Sales[[#This Row],[Current Upsell $]],"$#,#")),"")</f>
        <v>Basic Low $20</v>
      </c>
    </row>
    <row r="1357" spans="1:18" x14ac:dyDescent="0.25">
      <c r="A1357">
        <v>100136</v>
      </c>
      <c r="B1357" t="s">
        <v>3</v>
      </c>
      <c r="F1357">
        <v>0</v>
      </c>
      <c r="G1357">
        <v>1</v>
      </c>
      <c r="H1357" s="1">
        <v>44075</v>
      </c>
      <c r="I1357" s="1">
        <v>44197</v>
      </c>
      <c r="J1357">
        <v>4</v>
      </c>
      <c r="K1357">
        <v>5</v>
      </c>
      <c r="L1357" s="1">
        <v>44075</v>
      </c>
      <c r="M1357">
        <v>0</v>
      </c>
      <c r="N1357" s="8" cm="1">
        <f t="array" ref="N1357">_xlfn.SWITCH(Sales[[#This Row],[Subscription Type]],"Basic",10,"Premium",10,"Business",25,"Enterprise",27)</f>
        <v>10</v>
      </c>
      <c r="O1357">
        <f>IF(Sales[[#This Row],[Number of Users]]-Sales[[#This Row],[Licenses Bought]]&lt;0,0,Sales[[#This Row],[Number of Users]]-Sales[[#This Row],[Licenses Bought]])</f>
        <v>1</v>
      </c>
      <c r="P1357" s="8">
        <f>IF(Sales[[#This Row],[Sales Month]]=MAX(Sales[Sales Month]),Sales[[#This Row],[Non-Paying Users]]*Sales[[#This Row],[Upsell $ per Non-Paying User]],0)</f>
        <v>0</v>
      </c>
      <c r="Q1357" t="str" cm="1">
        <f t="array" ref="Q1357">_xlfn.IFS(Sales[[#This Row],[Current Upsell $]]=0,"",Sales[[#This Row],[Current Upsell $]]&gt;=400,"High",Sales[[#This Row],[Current Upsell $]]&gt;=100,"Medium",Sales[[#This Row],[Current Upsell $]]&lt;100,"Low")</f>
        <v/>
      </c>
      <c r="R1357" t="str">
        <f>IF(Sales[[#This Row],[Current Upsell $]]&gt;0,_xlfn.CONCAT(Sales[[#This Row],[Subscription Type]]," ",Sales[[#This Row],[Upsell Priority]]," ",TEXT(Sales[[#This Row],[Current Upsell $]],"$#,#")),"")</f>
        <v/>
      </c>
    </row>
    <row r="1358" spans="1:18" x14ac:dyDescent="0.25">
      <c r="A1358">
        <v>100136</v>
      </c>
      <c r="B1358" t="s">
        <v>3</v>
      </c>
      <c r="F1358">
        <v>0</v>
      </c>
      <c r="G1358">
        <v>1</v>
      </c>
      <c r="H1358" s="1">
        <v>44075</v>
      </c>
      <c r="I1358" s="1">
        <v>44197</v>
      </c>
      <c r="J1358">
        <v>4</v>
      </c>
      <c r="K1358">
        <v>5</v>
      </c>
      <c r="L1358" s="1">
        <v>44105</v>
      </c>
      <c r="M1358">
        <v>0</v>
      </c>
      <c r="N1358" s="8" cm="1">
        <f t="array" ref="N1358">_xlfn.SWITCH(Sales[[#This Row],[Subscription Type]],"Basic",10,"Premium",10,"Business",25,"Enterprise",27)</f>
        <v>10</v>
      </c>
      <c r="O1358">
        <f>IF(Sales[[#This Row],[Number of Users]]-Sales[[#This Row],[Licenses Bought]]&lt;0,0,Sales[[#This Row],[Number of Users]]-Sales[[#This Row],[Licenses Bought]])</f>
        <v>1</v>
      </c>
      <c r="P1358" s="8">
        <f>IF(Sales[[#This Row],[Sales Month]]=MAX(Sales[Sales Month]),Sales[[#This Row],[Non-Paying Users]]*Sales[[#This Row],[Upsell $ per Non-Paying User]],0)</f>
        <v>0</v>
      </c>
      <c r="Q1358" t="str" cm="1">
        <f t="array" ref="Q1358">_xlfn.IFS(Sales[[#This Row],[Current Upsell $]]=0,"",Sales[[#This Row],[Current Upsell $]]&gt;=400,"High",Sales[[#This Row],[Current Upsell $]]&gt;=100,"Medium",Sales[[#This Row],[Current Upsell $]]&lt;100,"Low")</f>
        <v/>
      </c>
      <c r="R1358" t="str">
        <f>IF(Sales[[#This Row],[Current Upsell $]]&gt;0,_xlfn.CONCAT(Sales[[#This Row],[Subscription Type]]," ",Sales[[#This Row],[Upsell Priority]]," ",TEXT(Sales[[#This Row],[Current Upsell $]],"$#,#")),"")</f>
        <v/>
      </c>
    </row>
    <row r="1359" spans="1:18" x14ac:dyDescent="0.25">
      <c r="A1359">
        <v>100136</v>
      </c>
      <c r="B1359" t="s">
        <v>3</v>
      </c>
      <c r="F1359">
        <v>0</v>
      </c>
      <c r="G1359">
        <v>2</v>
      </c>
      <c r="H1359" s="1">
        <v>44075</v>
      </c>
      <c r="I1359" s="1">
        <v>44197</v>
      </c>
      <c r="J1359">
        <v>4</v>
      </c>
      <c r="K1359">
        <v>5</v>
      </c>
      <c r="L1359" s="1">
        <v>44136</v>
      </c>
      <c r="M1359">
        <v>0</v>
      </c>
      <c r="N1359" s="8" cm="1">
        <f t="array" ref="N1359">_xlfn.SWITCH(Sales[[#This Row],[Subscription Type]],"Basic",10,"Premium",10,"Business",25,"Enterprise",27)</f>
        <v>10</v>
      </c>
      <c r="O1359">
        <f>IF(Sales[[#This Row],[Number of Users]]-Sales[[#This Row],[Licenses Bought]]&lt;0,0,Sales[[#This Row],[Number of Users]]-Sales[[#This Row],[Licenses Bought]])</f>
        <v>2</v>
      </c>
      <c r="P1359" s="8">
        <f>IF(Sales[[#This Row],[Sales Month]]=MAX(Sales[Sales Month]),Sales[[#This Row],[Non-Paying Users]]*Sales[[#This Row],[Upsell $ per Non-Paying User]],0)</f>
        <v>0</v>
      </c>
      <c r="Q1359" t="str" cm="1">
        <f t="array" ref="Q1359">_xlfn.IFS(Sales[[#This Row],[Current Upsell $]]=0,"",Sales[[#This Row],[Current Upsell $]]&gt;=400,"High",Sales[[#This Row],[Current Upsell $]]&gt;=100,"Medium",Sales[[#This Row],[Current Upsell $]]&lt;100,"Low")</f>
        <v/>
      </c>
      <c r="R1359" t="str">
        <f>IF(Sales[[#This Row],[Current Upsell $]]&gt;0,_xlfn.CONCAT(Sales[[#This Row],[Subscription Type]]," ",Sales[[#This Row],[Upsell Priority]]," ",TEXT(Sales[[#This Row],[Current Upsell $]],"$#,#")),"")</f>
        <v/>
      </c>
    </row>
    <row r="1360" spans="1:18" x14ac:dyDescent="0.25">
      <c r="A1360">
        <v>100136</v>
      </c>
      <c r="B1360" t="s">
        <v>3</v>
      </c>
      <c r="F1360">
        <v>0</v>
      </c>
      <c r="G1360">
        <v>2</v>
      </c>
      <c r="H1360" s="1">
        <v>44075</v>
      </c>
      <c r="I1360" s="1">
        <v>44197</v>
      </c>
      <c r="J1360">
        <v>4</v>
      </c>
      <c r="K1360">
        <v>5</v>
      </c>
      <c r="L1360" s="1">
        <v>44166</v>
      </c>
      <c r="M1360">
        <v>0</v>
      </c>
      <c r="N1360" s="8" cm="1">
        <f t="array" ref="N1360">_xlfn.SWITCH(Sales[[#This Row],[Subscription Type]],"Basic",10,"Premium",10,"Business",25,"Enterprise",27)</f>
        <v>10</v>
      </c>
      <c r="O1360">
        <f>IF(Sales[[#This Row],[Number of Users]]-Sales[[#This Row],[Licenses Bought]]&lt;0,0,Sales[[#This Row],[Number of Users]]-Sales[[#This Row],[Licenses Bought]])</f>
        <v>2</v>
      </c>
      <c r="P1360" s="8">
        <f>IF(Sales[[#This Row],[Sales Month]]=MAX(Sales[Sales Month]),Sales[[#This Row],[Non-Paying Users]]*Sales[[#This Row],[Upsell $ per Non-Paying User]],0)</f>
        <v>0</v>
      </c>
      <c r="Q1360" t="str" cm="1">
        <f t="array" ref="Q1360">_xlfn.IFS(Sales[[#This Row],[Current Upsell $]]=0,"",Sales[[#This Row],[Current Upsell $]]&gt;=400,"High",Sales[[#This Row],[Current Upsell $]]&gt;=100,"Medium",Sales[[#This Row],[Current Upsell $]]&lt;100,"Low")</f>
        <v/>
      </c>
      <c r="R1360" t="str">
        <f>IF(Sales[[#This Row],[Current Upsell $]]&gt;0,_xlfn.CONCAT(Sales[[#This Row],[Subscription Type]]," ",Sales[[#This Row],[Upsell Priority]]," ",TEXT(Sales[[#This Row],[Current Upsell $]],"$#,#")),"")</f>
        <v/>
      </c>
    </row>
    <row r="1361" spans="1:18" x14ac:dyDescent="0.25">
      <c r="A1361">
        <v>100136</v>
      </c>
      <c r="B1361" t="s">
        <v>3</v>
      </c>
      <c r="F1361">
        <v>0</v>
      </c>
      <c r="G1361">
        <v>2</v>
      </c>
      <c r="H1361" s="1">
        <v>44075</v>
      </c>
      <c r="I1361" s="1">
        <v>44197</v>
      </c>
      <c r="J1361">
        <v>4</v>
      </c>
      <c r="K1361">
        <v>5</v>
      </c>
      <c r="L1361" s="1">
        <v>44197</v>
      </c>
      <c r="M1361">
        <v>0</v>
      </c>
      <c r="N1361" s="8" cm="1">
        <f t="array" ref="N1361">_xlfn.SWITCH(Sales[[#This Row],[Subscription Type]],"Basic",10,"Premium",10,"Business",25,"Enterprise",27)</f>
        <v>10</v>
      </c>
      <c r="O1361">
        <f>IF(Sales[[#This Row],[Number of Users]]-Sales[[#This Row],[Licenses Bought]]&lt;0,0,Sales[[#This Row],[Number of Users]]-Sales[[#This Row],[Licenses Bought]])</f>
        <v>2</v>
      </c>
      <c r="P1361" s="8">
        <f>IF(Sales[[#This Row],[Sales Month]]=MAX(Sales[Sales Month]),Sales[[#This Row],[Non-Paying Users]]*Sales[[#This Row],[Upsell $ per Non-Paying User]],0)</f>
        <v>0</v>
      </c>
      <c r="Q1361" t="str" cm="1">
        <f t="array" ref="Q1361">_xlfn.IFS(Sales[[#This Row],[Current Upsell $]]=0,"",Sales[[#This Row],[Current Upsell $]]&gt;=400,"High",Sales[[#This Row],[Current Upsell $]]&gt;=100,"Medium",Sales[[#This Row],[Current Upsell $]]&lt;100,"Low")</f>
        <v/>
      </c>
      <c r="R1361" t="str">
        <f>IF(Sales[[#This Row],[Current Upsell $]]&gt;0,_xlfn.CONCAT(Sales[[#This Row],[Subscription Type]]," ",Sales[[#This Row],[Upsell Priority]]," ",TEXT(Sales[[#This Row],[Current Upsell $]],"$#,#")),"")</f>
        <v/>
      </c>
    </row>
    <row r="1362" spans="1:18" x14ac:dyDescent="0.25">
      <c r="A1362">
        <v>100137</v>
      </c>
      <c r="B1362" t="s">
        <v>3</v>
      </c>
      <c r="F1362">
        <v>0</v>
      </c>
      <c r="G1362">
        <v>2</v>
      </c>
      <c r="H1362" s="1">
        <v>44075</v>
      </c>
      <c r="I1362" s="1">
        <v>44287</v>
      </c>
      <c r="J1362">
        <v>7</v>
      </c>
      <c r="K1362">
        <v>2</v>
      </c>
      <c r="L1362" s="1">
        <v>44075</v>
      </c>
      <c r="M1362">
        <v>0</v>
      </c>
      <c r="N1362" s="8" cm="1">
        <f t="array" ref="N1362">_xlfn.SWITCH(Sales[[#This Row],[Subscription Type]],"Basic",10,"Premium",10,"Business",25,"Enterprise",27)</f>
        <v>10</v>
      </c>
      <c r="O1362">
        <f>IF(Sales[[#This Row],[Number of Users]]-Sales[[#This Row],[Licenses Bought]]&lt;0,0,Sales[[#This Row],[Number of Users]]-Sales[[#This Row],[Licenses Bought]])</f>
        <v>2</v>
      </c>
      <c r="P1362" s="8">
        <f>IF(Sales[[#This Row],[Sales Month]]=MAX(Sales[Sales Month]),Sales[[#This Row],[Non-Paying Users]]*Sales[[#This Row],[Upsell $ per Non-Paying User]],0)</f>
        <v>0</v>
      </c>
      <c r="Q1362" t="str" cm="1">
        <f t="array" ref="Q1362">_xlfn.IFS(Sales[[#This Row],[Current Upsell $]]=0,"",Sales[[#This Row],[Current Upsell $]]&gt;=400,"High",Sales[[#This Row],[Current Upsell $]]&gt;=100,"Medium",Sales[[#This Row],[Current Upsell $]]&lt;100,"Low")</f>
        <v/>
      </c>
      <c r="R1362" t="str">
        <f>IF(Sales[[#This Row],[Current Upsell $]]&gt;0,_xlfn.CONCAT(Sales[[#This Row],[Subscription Type]]," ",Sales[[#This Row],[Upsell Priority]]," ",TEXT(Sales[[#This Row],[Current Upsell $]],"$#,#")),"")</f>
        <v/>
      </c>
    </row>
    <row r="1363" spans="1:18" x14ac:dyDescent="0.25">
      <c r="A1363">
        <v>100137</v>
      </c>
      <c r="B1363" t="s">
        <v>3</v>
      </c>
      <c r="F1363">
        <v>0</v>
      </c>
      <c r="G1363">
        <v>2</v>
      </c>
      <c r="H1363" s="1">
        <v>44075</v>
      </c>
      <c r="I1363" s="1">
        <v>44287</v>
      </c>
      <c r="J1363">
        <v>7</v>
      </c>
      <c r="K1363">
        <v>2</v>
      </c>
      <c r="L1363" s="1">
        <v>44105</v>
      </c>
      <c r="M1363">
        <v>0</v>
      </c>
      <c r="N1363" s="8" cm="1">
        <f t="array" ref="N1363">_xlfn.SWITCH(Sales[[#This Row],[Subscription Type]],"Basic",10,"Premium",10,"Business",25,"Enterprise",27)</f>
        <v>10</v>
      </c>
      <c r="O1363">
        <f>IF(Sales[[#This Row],[Number of Users]]-Sales[[#This Row],[Licenses Bought]]&lt;0,0,Sales[[#This Row],[Number of Users]]-Sales[[#This Row],[Licenses Bought]])</f>
        <v>2</v>
      </c>
      <c r="P1363" s="8">
        <f>IF(Sales[[#This Row],[Sales Month]]=MAX(Sales[Sales Month]),Sales[[#This Row],[Non-Paying Users]]*Sales[[#This Row],[Upsell $ per Non-Paying User]],0)</f>
        <v>0</v>
      </c>
      <c r="Q1363" t="str" cm="1">
        <f t="array" ref="Q1363">_xlfn.IFS(Sales[[#This Row],[Current Upsell $]]=0,"",Sales[[#This Row],[Current Upsell $]]&gt;=400,"High",Sales[[#This Row],[Current Upsell $]]&gt;=100,"Medium",Sales[[#This Row],[Current Upsell $]]&lt;100,"Low")</f>
        <v/>
      </c>
      <c r="R1363" t="str">
        <f>IF(Sales[[#This Row],[Current Upsell $]]&gt;0,_xlfn.CONCAT(Sales[[#This Row],[Subscription Type]]," ",Sales[[#This Row],[Upsell Priority]]," ",TEXT(Sales[[#This Row],[Current Upsell $]],"$#,#")),"")</f>
        <v/>
      </c>
    </row>
    <row r="1364" spans="1:18" x14ac:dyDescent="0.25">
      <c r="A1364">
        <v>100137</v>
      </c>
      <c r="B1364" t="s">
        <v>3</v>
      </c>
      <c r="F1364">
        <v>0</v>
      </c>
      <c r="G1364">
        <v>2</v>
      </c>
      <c r="H1364" s="1">
        <v>44075</v>
      </c>
      <c r="I1364" s="1">
        <v>44287</v>
      </c>
      <c r="J1364">
        <v>7</v>
      </c>
      <c r="K1364">
        <v>2</v>
      </c>
      <c r="L1364" s="1">
        <v>44136</v>
      </c>
      <c r="M1364">
        <v>0</v>
      </c>
      <c r="N1364" s="8" cm="1">
        <f t="array" ref="N1364">_xlfn.SWITCH(Sales[[#This Row],[Subscription Type]],"Basic",10,"Premium",10,"Business",25,"Enterprise",27)</f>
        <v>10</v>
      </c>
      <c r="O1364">
        <f>IF(Sales[[#This Row],[Number of Users]]-Sales[[#This Row],[Licenses Bought]]&lt;0,0,Sales[[#This Row],[Number of Users]]-Sales[[#This Row],[Licenses Bought]])</f>
        <v>2</v>
      </c>
      <c r="P1364" s="8">
        <f>IF(Sales[[#This Row],[Sales Month]]=MAX(Sales[Sales Month]),Sales[[#This Row],[Non-Paying Users]]*Sales[[#This Row],[Upsell $ per Non-Paying User]],0)</f>
        <v>0</v>
      </c>
      <c r="Q1364" t="str" cm="1">
        <f t="array" ref="Q1364">_xlfn.IFS(Sales[[#This Row],[Current Upsell $]]=0,"",Sales[[#This Row],[Current Upsell $]]&gt;=400,"High",Sales[[#This Row],[Current Upsell $]]&gt;=100,"Medium",Sales[[#This Row],[Current Upsell $]]&lt;100,"Low")</f>
        <v/>
      </c>
      <c r="R1364" t="str">
        <f>IF(Sales[[#This Row],[Current Upsell $]]&gt;0,_xlfn.CONCAT(Sales[[#This Row],[Subscription Type]]," ",Sales[[#This Row],[Upsell Priority]]," ",TEXT(Sales[[#This Row],[Current Upsell $]],"$#,#")),"")</f>
        <v/>
      </c>
    </row>
    <row r="1365" spans="1:18" x14ac:dyDescent="0.25">
      <c r="A1365">
        <v>100137</v>
      </c>
      <c r="B1365" t="s">
        <v>3</v>
      </c>
      <c r="F1365">
        <v>0</v>
      </c>
      <c r="G1365">
        <v>2</v>
      </c>
      <c r="H1365" s="1">
        <v>44075</v>
      </c>
      <c r="I1365" s="1">
        <v>44287</v>
      </c>
      <c r="J1365">
        <v>7</v>
      </c>
      <c r="K1365">
        <v>2</v>
      </c>
      <c r="L1365" s="1">
        <v>44166</v>
      </c>
      <c r="M1365">
        <v>0</v>
      </c>
      <c r="N1365" s="8" cm="1">
        <f t="array" ref="N1365">_xlfn.SWITCH(Sales[[#This Row],[Subscription Type]],"Basic",10,"Premium",10,"Business",25,"Enterprise",27)</f>
        <v>10</v>
      </c>
      <c r="O1365">
        <f>IF(Sales[[#This Row],[Number of Users]]-Sales[[#This Row],[Licenses Bought]]&lt;0,0,Sales[[#This Row],[Number of Users]]-Sales[[#This Row],[Licenses Bought]])</f>
        <v>2</v>
      </c>
      <c r="P1365" s="8">
        <f>IF(Sales[[#This Row],[Sales Month]]=MAX(Sales[Sales Month]),Sales[[#This Row],[Non-Paying Users]]*Sales[[#This Row],[Upsell $ per Non-Paying User]],0)</f>
        <v>0</v>
      </c>
      <c r="Q1365" t="str" cm="1">
        <f t="array" ref="Q1365">_xlfn.IFS(Sales[[#This Row],[Current Upsell $]]=0,"",Sales[[#This Row],[Current Upsell $]]&gt;=400,"High",Sales[[#This Row],[Current Upsell $]]&gt;=100,"Medium",Sales[[#This Row],[Current Upsell $]]&lt;100,"Low")</f>
        <v/>
      </c>
      <c r="R1365" t="str">
        <f>IF(Sales[[#This Row],[Current Upsell $]]&gt;0,_xlfn.CONCAT(Sales[[#This Row],[Subscription Type]]," ",Sales[[#This Row],[Upsell Priority]]," ",TEXT(Sales[[#This Row],[Current Upsell $]],"$#,#")),"")</f>
        <v/>
      </c>
    </row>
    <row r="1366" spans="1:18" x14ac:dyDescent="0.25">
      <c r="A1366">
        <v>100137</v>
      </c>
      <c r="B1366" t="s">
        <v>3</v>
      </c>
      <c r="F1366">
        <v>0</v>
      </c>
      <c r="G1366">
        <v>2</v>
      </c>
      <c r="H1366" s="1">
        <v>44075</v>
      </c>
      <c r="I1366" s="1">
        <v>44287</v>
      </c>
      <c r="J1366">
        <v>7</v>
      </c>
      <c r="K1366">
        <v>2</v>
      </c>
      <c r="L1366" s="1">
        <v>44197</v>
      </c>
      <c r="M1366">
        <v>0</v>
      </c>
      <c r="N1366" s="8" cm="1">
        <f t="array" ref="N1366">_xlfn.SWITCH(Sales[[#This Row],[Subscription Type]],"Basic",10,"Premium",10,"Business",25,"Enterprise",27)</f>
        <v>10</v>
      </c>
      <c r="O1366">
        <f>IF(Sales[[#This Row],[Number of Users]]-Sales[[#This Row],[Licenses Bought]]&lt;0,0,Sales[[#This Row],[Number of Users]]-Sales[[#This Row],[Licenses Bought]])</f>
        <v>2</v>
      </c>
      <c r="P1366" s="8">
        <f>IF(Sales[[#This Row],[Sales Month]]=MAX(Sales[Sales Month]),Sales[[#This Row],[Non-Paying Users]]*Sales[[#This Row],[Upsell $ per Non-Paying User]],0)</f>
        <v>0</v>
      </c>
      <c r="Q1366" t="str" cm="1">
        <f t="array" ref="Q1366">_xlfn.IFS(Sales[[#This Row],[Current Upsell $]]=0,"",Sales[[#This Row],[Current Upsell $]]&gt;=400,"High",Sales[[#This Row],[Current Upsell $]]&gt;=100,"Medium",Sales[[#This Row],[Current Upsell $]]&lt;100,"Low")</f>
        <v/>
      </c>
      <c r="R1366" t="str">
        <f>IF(Sales[[#This Row],[Current Upsell $]]&gt;0,_xlfn.CONCAT(Sales[[#This Row],[Subscription Type]]," ",Sales[[#This Row],[Upsell Priority]]," ",TEXT(Sales[[#This Row],[Current Upsell $]],"$#,#")),"")</f>
        <v/>
      </c>
    </row>
    <row r="1367" spans="1:18" x14ac:dyDescent="0.25">
      <c r="A1367">
        <v>100137</v>
      </c>
      <c r="B1367" t="s">
        <v>3</v>
      </c>
      <c r="F1367">
        <v>0</v>
      </c>
      <c r="G1367">
        <v>2</v>
      </c>
      <c r="H1367" s="1">
        <v>44075</v>
      </c>
      <c r="I1367" s="1">
        <v>44287</v>
      </c>
      <c r="J1367">
        <v>7</v>
      </c>
      <c r="K1367">
        <v>2</v>
      </c>
      <c r="L1367" s="1">
        <v>44228</v>
      </c>
      <c r="M1367">
        <v>0</v>
      </c>
      <c r="N1367" s="8" cm="1">
        <f t="array" ref="N1367">_xlfn.SWITCH(Sales[[#This Row],[Subscription Type]],"Basic",10,"Premium",10,"Business",25,"Enterprise",27)</f>
        <v>10</v>
      </c>
      <c r="O1367">
        <f>IF(Sales[[#This Row],[Number of Users]]-Sales[[#This Row],[Licenses Bought]]&lt;0,0,Sales[[#This Row],[Number of Users]]-Sales[[#This Row],[Licenses Bought]])</f>
        <v>2</v>
      </c>
      <c r="P1367" s="8">
        <f>IF(Sales[[#This Row],[Sales Month]]=MAX(Sales[Sales Month]),Sales[[#This Row],[Non-Paying Users]]*Sales[[#This Row],[Upsell $ per Non-Paying User]],0)</f>
        <v>0</v>
      </c>
      <c r="Q1367" t="str" cm="1">
        <f t="array" ref="Q1367">_xlfn.IFS(Sales[[#This Row],[Current Upsell $]]=0,"",Sales[[#This Row],[Current Upsell $]]&gt;=400,"High",Sales[[#This Row],[Current Upsell $]]&gt;=100,"Medium",Sales[[#This Row],[Current Upsell $]]&lt;100,"Low")</f>
        <v/>
      </c>
      <c r="R1367" t="str">
        <f>IF(Sales[[#This Row],[Current Upsell $]]&gt;0,_xlfn.CONCAT(Sales[[#This Row],[Subscription Type]]," ",Sales[[#This Row],[Upsell Priority]]," ",TEXT(Sales[[#This Row],[Current Upsell $]],"$#,#")),"")</f>
        <v/>
      </c>
    </row>
    <row r="1368" spans="1:18" x14ac:dyDescent="0.25">
      <c r="A1368">
        <v>100137</v>
      </c>
      <c r="B1368" t="s">
        <v>3</v>
      </c>
      <c r="F1368">
        <v>0</v>
      </c>
      <c r="G1368">
        <v>2</v>
      </c>
      <c r="H1368" s="1">
        <v>44075</v>
      </c>
      <c r="I1368" s="1">
        <v>44287</v>
      </c>
      <c r="J1368">
        <v>7</v>
      </c>
      <c r="K1368">
        <v>2</v>
      </c>
      <c r="L1368" s="1">
        <v>44256</v>
      </c>
      <c r="M1368">
        <v>0</v>
      </c>
      <c r="N1368" s="8" cm="1">
        <f t="array" ref="N1368">_xlfn.SWITCH(Sales[[#This Row],[Subscription Type]],"Basic",10,"Premium",10,"Business",25,"Enterprise",27)</f>
        <v>10</v>
      </c>
      <c r="O1368">
        <f>IF(Sales[[#This Row],[Number of Users]]-Sales[[#This Row],[Licenses Bought]]&lt;0,0,Sales[[#This Row],[Number of Users]]-Sales[[#This Row],[Licenses Bought]])</f>
        <v>2</v>
      </c>
      <c r="P1368" s="8">
        <f>IF(Sales[[#This Row],[Sales Month]]=MAX(Sales[Sales Month]),Sales[[#This Row],[Non-Paying Users]]*Sales[[#This Row],[Upsell $ per Non-Paying User]],0)</f>
        <v>0</v>
      </c>
      <c r="Q1368" t="str" cm="1">
        <f t="array" ref="Q1368">_xlfn.IFS(Sales[[#This Row],[Current Upsell $]]=0,"",Sales[[#This Row],[Current Upsell $]]&gt;=400,"High",Sales[[#This Row],[Current Upsell $]]&gt;=100,"Medium",Sales[[#This Row],[Current Upsell $]]&lt;100,"Low")</f>
        <v/>
      </c>
      <c r="R1368" t="str">
        <f>IF(Sales[[#This Row],[Current Upsell $]]&gt;0,_xlfn.CONCAT(Sales[[#This Row],[Subscription Type]]," ",Sales[[#This Row],[Upsell Priority]]," ",TEXT(Sales[[#This Row],[Current Upsell $]],"$#,#")),"")</f>
        <v/>
      </c>
    </row>
    <row r="1369" spans="1:18" x14ac:dyDescent="0.25">
      <c r="A1369">
        <v>100137</v>
      </c>
      <c r="B1369" t="s">
        <v>3</v>
      </c>
      <c r="F1369">
        <v>0</v>
      </c>
      <c r="G1369">
        <v>2</v>
      </c>
      <c r="H1369" s="1">
        <v>44075</v>
      </c>
      <c r="I1369" s="1">
        <v>44287</v>
      </c>
      <c r="J1369">
        <v>7</v>
      </c>
      <c r="K1369">
        <v>2</v>
      </c>
      <c r="L1369" s="1">
        <v>44287</v>
      </c>
      <c r="M1369">
        <v>0</v>
      </c>
      <c r="N1369" s="8" cm="1">
        <f t="array" ref="N1369">_xlfn.SWITCH(Sales[[#This Row],[Subscription Type]],"Basic",10,"Premium",10,"Business",25,"Enterprise",27)</f>
        <v>10</v>
      </c>
      <c r="O1369">
        <f>IF(Sales[[#This Row],[Number of Users]]-Sales[[#This Row],[Licenses Bought]]&lt;0,0,Sales[[#This Row],[Number of Users]]-Sales[[#This Row],[Licenses Bought]])</f>
        <v>2</v>
      </c>
      <c r="P1369" s="8">
        <f>IF(Sales[[#This Row],[Sales Month]]=MAX(Sales[Sales Month]),Sales[[#This Row],[Non-Paying Users]]*Sales[[#This Row],[Upsell $ per Non-Paying User]],0)</f>
        <v>0</v>
      </c>
      <c r="Q1369" t="str" cm="1">
        <f t="array" ref="Q1369">_xlfn.IFS(Sales[[#This Row],[Current Upsell $]]=0,"",Sales[[#This Row],[Current Upsell $]]&gt;=400,"High",Sales[[#This Row],[Current Upsell $]]&gt;=100,"Medium",Sales[[#This Row],[Current Upsell $]]&lt;100,"Low")</f>
        <v/>
      </c>
      <c r="R1369" t="str">
        <f>IF(Sales[[#This Row],[Current Upsell $]]&gt;0,_xlfn.CONCAT(Sales[[#This Row],[Subscription Type]]," ",Sales[[#This Row],[Upsell Priority]]," ",TEXT(Sales[[#This Row],[Current Upsell $]],"$#,#")),"")</f>
        <v/>
      </c>
    </row>
    <row r="1370" spans="1:18" x14ac:dyDescent="0.25">
      <c r="A1370">
        <v>100138</v>
      </c>
      <c r="B1370" t="s">
        <v>3</v>
      </c>
      <c r="F1370">
        <v>0</v>
      </c>
      <c r="G1370">
        <v>2</v>
      </c>
      <c r="H1370" s="1">
        <v>44075</v>
      </c>
      <c r="I1370" s="1">
        <v>44378</v>
      </c>
      <c r="J1370">
        <v>10</v>
      </c>
      <c r="K1370">
        <v>0</v>
      </c>
      <c r="L1370" s="1">
        <v>44075</v>
      </c>
      <c r="M1370">
        <v>0</v>
      </c>
      <c r="N1370" s="8" cm="1">
        <f t="array" ref="N1370">_xlfn.SWITCH(Sales[[#This Row],[Subscription Type]],"Basic",10,"Premium",10,"Business",25,"Enterprise",27)</f>
        <v>10</v>
      </c>
      <c r="O1370">
        <f>IF(Sales[[#This Row],[Number of Users]]-Sales[[#This Row],[Licenses Bought]]&lt;0,0,Sales[[#This Row],[Number of Users]]-Sales[[#This Row],[Licenses Bought]])</f>
        <v>2</v>
      </c>
      <c r="P1370" s="8">
        <f>IF(Sales[[#This Row],[Sales Month]]=MAX(Sales[Sales Month]),Sales[[#This Row],[Non-Paying Users]]*Sales[[#This Row],[Upsell $ per Non-Paying User]],0)</f>
        <v>0</v>
      </c>
      <c r="Q1370" t="str" cm="1">
        <f t="array" ref="Q1370">_xlfn.IFS(Sales[[#This Row],[Current Upsell $]]=0,"",Sales[[#This Row],[Current Upsell $]]&gt;=400,"High",Sales[[#This Row],[Current Upsell $]]&gt;=100,"Medium",Sales[[#This Row],[Current Upsell $]]&lt;100,"Low")</f>
        <v/>
      </c>
      <c r="R1370" t="str">
        <f>IF(Sales[[#This Row],[Current Upsell $]]&gt;0,_xlfn.CONCAT(Sales[[#This Row],[Subscription Type]]," ",Sales[[#This Row],[Upsell Priority]]," ",TEXT(Sales[[#This Row],[Current Upsell $]],"$#,#")),"")</f>
        <v/>
      </c>
    </row>
    <row r="1371" spans="1:18" x14ac:dyDescent="0.25">
      <c r="A1371">
        <v>100138</v>
      </c>
      <c r="B1371" t="s">
        <v>0</v>
      </c>
      <c r="F1371">
        <v>1</v>
      </c>
      <c r="G1371">
        <v>2</v>
      </c>
      <c r="H1371" s="1">
        <v>44075</v>
      </c>
      <c r="I1371" s="1">
        <v>44378</v>
      </c>
      <c r="J1371">
        <v>10</v>
      </c>
      <c r="K1371">
        <v>0</v>
      </c>
      <c r="L1371" s="1">
        <v>44105</v>
      </c>
      <c r="M1371">
        <v>10</v>
      </c>
      <c r="N1371" s="8" cm="1">
        <f t="array" ref="N1371">_xlfn.SWITCH(Sales[[#This Row],[Subscription Type]],"Basic",10,"Premium",10,"Business",25,"Enterprise",27)</f>
        <v>10</v>
      </c>
      <c r="O1371">
        <f>IF(Sales[[#This Row],[Number of Users]]-Sales[[#This Row],[Licenses Bought]]&lt;0,0,Sales[[#This Row],[Number of Users]]-Sales[[#This Row],[Licenses Bought]])</f>
        <v>1</v>
      </c>
      <c r="P1371" s="8">
        <f>IF(Sales[[#This Row],[Sales Month]]=MAX(Sales[Sales Month]),Sales[[#This Row],[Non-Paying Users]]*Sales[[#This Row],[Upsell $ per Non-Paying User]],0)</f>
        <v>0</v>
      </c>
      <c r="Q1371" t="str" cm="1">
        <f t="array" ref="Q1371">_xlfn.IFS(Sales[[#This Row],[Current Upsell $]]=0,"",Sales[[#This Row],[Current Upsell $]]&gt;=400,"High",Sales[[#This Row],[Current Upsell $]]&gt;=100,"Medium",Sales[[#This Row],[Current Upsell $]]&lt;100,"Low")</f>
        <v/>
      </c>
      <c r="R1371" t="str">
        <f>IF(Sales[[#This Row],[Current Upsell $]]&gt;0,_xlfn.CONCAT(Sales[[#This Row],[Subscription Type]]," ",Sales[[#This Row],[Upsell Priority]]," ",TEXT(Sales[[#This Row],[Current Upsell $]],"$#,#")),"")</f>
        <v/>
      </c>
    </row>
    <row r="1372" spans="1:18" x14ac:dyDescent="0.25">
      <c r="A1372">
        <v>100138</v>
      </c>
      <c r="B1372" t="s">
        <v>0</v>
      </c>
      <c r="F1372">
        <v>1</v>
      </c>
      <c r="G1372">
        <v>2</v>
      </c>
      <c r="H1372" s="1">
        <v>44075</v>
      </c>
      <c r="I1372" s="1">
        <v>44378</v>
      </c>
      <c r="J1372">
        <v>10</v>
      </c>
      <c r="K1372">
        <v>0</v>
      </c>
      <c r="L1372" s="1">
        <v>44136</v>
      </c>
      <c r="M1372">
        <v>10</v>
      </c>
      <c r="N1372" s="8" cm="1">
        <f t="array" ref="N1372">_xlfn.SWITCH(Sales[[#This Row],[Subscription Type]],"Basic",10,"Premium",10,"Business",25,"Enterprise",27)</f>
        <v>10</v>
      </c>
      <c r="O1372">
        <f>IF(Sales[[#This Row],[Number of Users]]-Sales[[#This Row],[Licenses Bought]]&lt;0,0,Sales[[#This Row],[Number of Users]]-Sales[[#This Row],[Licenses Bought]])</f>
        <v>1</v>
      </c>
      <c r="P1372" s="8">
        <f>IF(Sales[[#This Row],[Sales Month]]=MAX(Sales[Sales Month]),Sales[[#This Row],[Non-Paying Users]]*Sales[[#This Row],[Upsell $ per Non-Paying User]],0)</f>
        <v>0</v>
      </c>
      <c r="Q1372" t="str" cm="1">
        <f t="array" ref="Q1372">_xlfn.IFS(Sales[[#This Row],[Current Upsell $]]=0,"",Sales[[#This Row],[Current Upsell $]]&gt;=400,"High",Sales[[#This Row],[Current Upsell $]]&gt;=100,"Medium",Sales[[#This Row],[Current Upsell $]]&lt;100,"Low")</f>
        <v/>
      </c>
      <c r="R1372" t="str">
        <f>IF(Sales[[#This Row],[Current Upsell $]]&gt;0,_xlfn.CONCAT(Sales[[#This Row],[Subscription Type]]," ",Sales[[#This Row],[Upsell Priority]]," ",TEXT(Sales[[#This Row],[Current Upsell $]],"$#,#")),"")</f>
        <v/>
      </c>
    </row>
    <row r="1373" spans="1:18" x14ac:dyDescent="0.25">
      <c r="A1373">
        <v>100138</v>
      </c>
      <c r="B1373" t="s">
        <v>0</v>
      </c>
      <c r="F1373">
        <v>1</v>
      </c>
      <c r="G1373">
        <v>2</v>
      </c>
      <c r="H1373" s="1">
        <v>44075</v>
      </c>
      <c r="I1373" s="1">
        <v>44378</v>
      </c>
      <c r="J1373">
        <v>10</v>
      </c>
      <c r="K1373">
        <v>0</v>
      </c>
      <c r="L1373" s="1">
        <v>44166</v>
      </c>
      <c r="M1373">
        <v>10</v>
      </c>
      <c r="N1373" s="8" cm="1">
        <f t="array" ref="N1373">_xlfn.SWITCH(Sales[[#This Row],[Subscription Type]],"Basic",10,"Premium",10,"Business",25,"Enterprise",27)</f>
        <v>10</v>
      </c>
      <c r="O1373">
        <f>IF(Sales[[#This Row],[Number of Users]]-Sales[[#This Row],[Licenses Bought]]&lt;0,0,Sales[[#This Row],[Number of Users]]-Sales[[#This Row],[Licenses Bought]])</f>
        <v>1</v>
      </c>
      <c r="P1373" s="8">
        <f>IF(Sales[[#This Row],[Sales Month]]=MAX(Sales[Sales Month]),Sales[[#This Row],[Non-Paying Users]]*Sales[[#This Row],[Upsell $ per Non-Paying User]],0)</f>
        <v>0</v>
      </c>
      <c r="Q1373" t="str" cm="1">
        <f t="array" ref="Q1373">_xlfn.IFS(Sales[[#This Row],[Current Upsell $]]=0,"",Sales[[#This Row],[Current Upsell $]]&gt;=400,"High",Sales[[#This Row],[Current Upsell $]]&gt;=100,"Medium",Sales[[#This Row],[Current Upsell $]]&lt;100,"Low")</f>
        <v/>
      </c>
      <c r="R1373" t="str">
        <f>IF(Sales[[#This Row],[Current Upsell $]]&gt;0,_xlfn.CONCAT(Sales[[#This Row],[Subscription Type]]," ",Sales[[#This Row],[Upsell Priority]]," ",TEXT(Sales[[#This Row],[Current Upsell $]],"$#,#")),"")</f>
        <v/>
      </c>
    </row>
    <row r="1374" spans="1:18" x14ac:dyDescent="0.25">
      <c r="A1374">
        <v>100138</v>
      </c>
      <c r="B1374" t="s">
        <v>0</v>
      </c>
      <c r="F1374">
        <v>1</v>
      </c>
      <c r="G1374">
        <v>2</v>
      </c>
      <c r="H1374" s="1">
        <v>44075</v>
      </c>
      <c r="I1374" s="1">
        <v>44378</v>
      </c>
      <c r="J1374">
        <v>10</v>
      </c>
      <c r="K1374">
        <v>0</v>
      </c>
      <c r="L1374" s="1">
        <v>44197</v>
      </c>
      <c r="M1374">
        <v>10</v>
      </c>
      <c r="N1374" s="8" cm="1">
        <f t="array" ref="N1374">_xlfn.SWITCH(Sales[[#This Row],[Subscription Type]],"Basic",10,"Premium",10,"Business",25,"Enterprise",27)</f>
        <v>10</v>
      </c>
      <c r="O1374">
        <f>IF(Sales[[#This Row],[Number of Users]]-Sales[[#This Row],[Licenses Bought]]&lt;0,0,Sales[[#This Row],[Number of Users]]-Sales[[#This Row],[Licenses Bought]])</f>
        <v>1</v>
      </c>
      <c r="P1374" s="8">
        <f>IF(Sales[[#This Row],[Sales Month]]=MAX(Sales[Sales Month]),Sales[[#This Row],[Non-Paying Users]]*Sales[[#This Row],[Upsell $ per Non-Paying User]],0)</f>
        <v>0</v>
      </c>
      <c r="Q1374" t="str" cm="1">
        <f t="array" ref="Q1374">_xlfn.IFS(Sales[[#This Row],[Current Upsell $]]=0,"",Sales[[#This Row],[Current Upsell $]]&gt;=400,"High",Sales[[#This Row],[Current Upsell $]]&gt;=100,"Medium",Sales[[#This Row],[Current Upsell $]]&lt;100,"Low")</f>
        <v/>
      </c>
      <c r="R1374" t="str">
        <f>IF(Sales[[#This Row],[Current Upsell $]]&gt;0,_xlfn.CONCAT(Sales[[#This Row],[Subscription Type]]," ",Sales[[#This Row],[Upsell Priority]]," ",TEXT(Sales[[#This Row],[Current Upsell $]],"$#,#")),"")</f>
        <v/>
      </c>
    </row>
    <row r="1375" spans="1:18" x14ac:dyDescent="0.25">
      <c r="A1375">
        <v>100138</v>
      </c>
      <c r="B1375" t="s">
        <v>0</v>
      </c>
      <c r="F1375">
        <v>1</v>
      </c>
      <c r="G1375">
        <v>2</v>
      </c>
      <c r="H1375" s="1">
        <v>44075</v>
      </c>
      <c r="I1375" s="1">
        <v>44378</v>
      </c>
      <c r="J1375">
        <v>10</v>
      </c>
      <c r="K1375">
        <v>0</v>
      </c>
      <c r="L1375" s="1">
        <v>44228</v>
      </c>
      <c r="M1375">
        <v>10</v>
      </c>
      <c r="N1375" s="8" cm="1">
        <f t="array" ref="N1375">_xlfn.SWITCH(Sales[[#This Row],[Subscription Type]],"Basic",10,"Premium",10,"Business",25,"Enterprise",27)</f>
        <v>10</v>
      </c>
      <c r="O1375">
        <f>IF(Sales[[#This Row],[Number of Users]]-Sales[[#This Row],[Licenses Bought]]&lt;0,0,Sales[[#This Row],[Number of Users]]-Sales[[#This Row],[Licenses Bought]])</f>
        <v>1</v>
      </c>
      <c r="P1375" s="8">
        <f>IF(Sales[[#This Row],[Sales Month]]=MAX(Sales[Sales Month]),Sales[[#This Row],[Non-Paying Users]]*Sales[[#This Row],[Upsell $ per Non-Paying User]],0)</f>
        <v>0</v>
      </c>
      <c r="Q1375" t="str" cm="1">
        <f t="array" ref="Q1375">_xlfn.IFS(Sales[[#This Row],[Current Upsell $]]=0,"",Sales[[#This Row],[Current Upsell $]]&gt;=400,"High",Sales[[#This Row],[Current Upsell $]]&gt;=100,"Medium",Sales[[#This Row],[Current Upsell $]]&lt;100,"Low")</f>
        <v/>
      </c>
      <c r="R1375" t="str">
        <f>IF(Sales[[#This Row],[Current Upsell $]]&gt;0,_xlfn.CONCAT(Sales[[#This Row],[Subscription Type]]," ",Sales[[#This Row],[Upsell Priority]]," ",TEXT(Sales[[#This Row],[Current Upsell $]],"$#,#")),"")</f>
        <v/>
      </c>
    </row>
    <row r="1376" spans="1:18" x14ac:dyDescent="0.25">
      <c r="A1376">
        <v>100138</v>
      </c>
      <c r="B1376" t="s">
        <v>0</v>
      </c>
      <c r="F1376">
        <v>1</v>
      </c>
      <c r="G1376">
        <v>2</v>
      </c>
      <c r="H1376" s="1">
        <v>44075</v>
      </c>
      <c r="I1376" s="1">
        <v>44378</v>
      </c>
      <c r="J1376">
        <v>10</v>
      </c>
      <c r="K1376">
        <v>0</v>
      </c>
      <c r="L1376" s="1">
        <v>44256</v>
      </c>
      <c r="M1376">
        <v>10</v>
      </c>
      <c r="N1376" s="8" cm="1">
        <f t="array" ref="N1376">_xlfn.SWITCH(Sales[[#This Row],[Subscription Type]],"Basic",10,"Premium",10,"Business",25,"Enterprise",27)</f>
        <v>10</v>
      </c>
      <c r="O1376">
        <f>IF(Sales[[#This Row],[Number of Users]]-Sales[[#This Row],[Licenses Bought]]&lt;0,0,Sales[[#This Row],[Number of Users]]-Sales[[#This Row],[Licenses Bought]])</f>
        <v>1</v>
      </c>
      <c r="P1376" s="8">
        <f>IF(Sales[[#This Row],[Sales Month]]=MAX(Sales[Sales Month]),Sales[[#This Row],[Non-Paying Users]]*Sales[[#This Row],[Upsell $ per Non-Paying User]],0)</f>
        <v>0</v>
      </c>
      <c r="Q1376" t="str" cm="1">
        <f t="array" ref="Q1376">_xlfn.IFS(Sales[[#This Row],[Current Upsell $]]=0,"",Sales[[#This Row],[Current Upsell $]]&gt;=400,"High",Sales[[#This Row],[Current Upsell $]]&gt;=100,"Medium",Sales[[#This Row],[Current Upsell $]]&lt;100,"Low")</f>
        <v/>
      </c>
      <c r="R1376" t="str">
        <f>IF(Sales[[#This Row],[Current Upsell $]]&gt;0,_xlfn.CONCAT(Sales[[#This Row],[Subscription Type]]," ",Sales[[#This Row],[Upsell Priority]]," ",TEXT(Sales[[#This Row],[Current Upsell $]],"$#,#")),"")</f>
        <v/>
      </c>
    </row>
    <row r="1377" spans="1:18" x14ac:dyDescent="0.25">
      <c r="A1377">
        <v>100138</v>
      </c>
      <c r="B1377" t="s">
        <v>0</v>
      </c>
      <c r="F1377">
        <v>1</v>
      </c>
      <c r="G1377">
        <v>2</v>
      </c>
      <c r="H1377" s="1">
        <v>44075</v>
      </c>
      <c r="I1377" s="1">
        <v>44378</v>
      </c>
      <c r="J1377">
        <v>10</v>
      </c>
      <c r="K1377">
        <v>0</v>
      </c>
      <c r="L1377" s="1">
        <v>44287</v>
      </c>
      <c r="M1377">
        <v>10</v>
      </c>
      <c r="N1377" s="8" cm="1">
        <f t="array" ref="N1377">_xlfn.SWITCH(Sales[[#This Row],[Subscription Type]],"Basic",10,"Premium",10,"Business",25,"Enterprise",27)</f>
        <v>10</v>
      </c>
      <c r="O1377">
        <f>IF(Sales[[#This Row],[Number of Users]]-Sales[[#This Row],[Licenses Bought]]&lt;0,0,Sales[[#This Row],[Number of Users]]-Sales[[#This Row],[Licenses Bought]])</f>
        <v>1</v>
      </c>
      <c r="P1377" s="8">
        <f>IF(Sales[[#This Row],[Sales Month]]=MAX(Sales[Sales Month]),Sales[[#This Row],[Non-Paying Users]]*Sales[[#This Row],[Upsell $ per Non-Paying User]],0)</f>
        <v>0</v>
      </c>
      <c r="Q1377" t="str" cm="1">
        <f t="array" ref="Q1377">_xlfn.IFS(Sales[[#This Row],[Current Upsell $]]=0,"",Sales[[#This Row],[Current Upsell $]]&gt;=400,"High",Sales[[#This Row],[Current Upsell $]]&gt;=100,"Medium",Sales[[#This Row],[Current Upsell $]]&lt;100,"Low")</f>
        <v/>
      </c>
      <c r="R1377" t="str">
        <f>IF(Sales[[#This Row],[Current Upsell $]]&gt;0,_xlfn.CONCAT(Sales[[#This Row],[Subscription Type]]," ",Sales[[#This Row],[Upsell Priority]]," ",TEXT(Sales[[#This Row],[Current Upsell $]],"$#,#")),"")</f>
        <v/>
      </c>
    </row>
    <row r="1378" spans="1:18" x14ac:dyDescent="0.25">
      <c r="A1378">
        <v>100138</v>
      </c>
      <c r="B1378" t="s">
        <v>0</v>
      </c>
      <c r="F1378">
        <v>1</v>
      </c>
      <c r="G1378">
        <v>2</v>
      </c>
      <c r="H1378" s="1">
        <v>44075</v>
      </c>
      <c r="I1378" s="1">
        <v>44378</v>
      </c>
      <c r="J1378">
        <v>10</v>
      </c>
      <c r="K1378">
        <v>0</v>
      </c>
      <c r="L1378" s="1">
        <v>44317</v>
      </c>
      <c r="M1378">
        <v>10</v>
      </c>
      <c r="N1378" s="8" cm="1">
        <f t="array" ref="N1378">_xlfn.SWITCH(Sales[[#This Row],[Subscription Type]],"Basic",10,"Premium",10,"Business",25,"Enterprise",27)</f>
        <v>10</v>
      </c>
      <c r="O1378">
        <f>IF(Sales[[#This Row],[Number of Users]]-Sales[[#This Row],[Licenses Bought]]&lt;0,0,Sales[[#This Row],[Number of Users]]-Sales[[#This Row],[Licenses Bought]])</f>
        <v>1</v>
      </c>
      <c r="P1378" s="8">
        <f>IF(Sales[[#This Row],[Sales Month]]=MAX(Sales[Sales Month]),Sales[[#This Row],[Non-Paying Users]]*Sales[[#This Row],[Upsell $ per Non-Paying User]],0)</f>
        <v>0</v>
      </c>
      <c r="Q1378" t="str" cm="1">
        <f t="array" ref="Q1378">_xlfn.IFS(Sales[[#This Row],[Current Upsell $]]=0,"",Sales[[#This Row],[Current Upsell $]]&gt;=400,"High",Sales[[#This Row],[Current Upsell $]]&gt;=100,"Medium",Sales[[#This Row],[Current Upsell $]]&lt;100,"Low")</f>
        <v/>
      </c>
      <c r="R1378" t="str">
        <f>IF(Sales[[#This Row],[Current Upsell $]]&gt;0,_xlfn.CONCAT(Sales[[#This Row],[Subscription Type]]," ",Sales[[#This Row],[Upsell Priority]]," ",TEXT(Sales[[#This Row],[Current Upsell $]],"$#,#")),"")</f>
        <v/>
      </c>
    </row>
    <row r="1379" spans="1:18" x14ac:dyDescent="0.25">
      <c r="A1379">
        <v>100138</v>
      </c>
      <c r="B1379" t="s">
        <v>0</v>
      </c>
      <c r="F1379">
        <v>1</v>
      </c>
      <c r="G1379">
        <v>2</v>
      </c>
      <c r="H1379" s="1">
        <v>44075</v>
      </c>
      <c r="I1379" s="1">
        <v>44378</v>
      </c>
      <c r="J1379">
        <v>10</v>
      </c>
      <c r="K1379">
        <v>0</v>
      </c>
      <c r="L1379" s="1">
        <v>44348</v>
      </c>
      <c r="M1379">
        <v>10</v>
      </c>
      <c r="N1379" s="8" cm="1">
        <f t="array" ref="N1379">_xlfn.SWITCH(Sales[[#This Row],[Subscription Type]],"Basic",10,"Premium",10,"Business",25,"Enterprise",27)</f>
        <v>10</v>
      </c>
      <c r="O1379">
        <f>IF(Sales[[#This Row],[Number of Users]]-Sales[[#This Row],[Licenses Bought]]&lt;0,0,Sales[[#This Row],[Number of Users]]-Sales[[#This Row],[Licenses Bought]])</f>
        <v>1</v>
      </c>
      <c r="P1379" s="8">
        <f>IF(Sales[[#This Row],[Sales Month]]=MAX(Sales[Sales Month]),Sales[[#This Row],[Non-Paying Users]]*Sales[[#This Row],[Upsell $ per Non-Paying User]],0)</f>
        <v>10</v>
      </c>
      <c r="Q1379" t="str" cm="1">
        <f t="array" ref="Q1379">_xlfn.IFS(Sales[[#This Row],[Current Upsell $]]=0,"",Sales[[#This Row],[Current Upsell $]]&gt;=400,"High",Sales[[#This Row],[Current Upsell $]]&gt;=100,"Medium",Sales[[#This Row],[Current Upsell $]]&lt;100,"Low")</f>
        <v>Low</v>
      </c>
      <c r="R1379" t="str">
        <f>IF(Sales[[#This Row],[Current Upsell $]]&gt;0,_xlfn.CONCAT(Sales[[#This Row],[Subscription Type]]," ",Sales[[#This Row],[Upsell Priority]]," ",TEXT(Sales[[#This Row],[Current Upsell $]],"$#,#")),"")</f>
        <v>Premium Low $10</v>
      </c>
    </row>
    <row r="1380" spans="1:18" x14ac:dyDescent="0.25">
      <c r="A1380">
        <v>100139</v>
      </c>
      <c r="B1380" t="s">
        <v>3</v>
      </c>
      <c r="F1380">
        <v>0</v>
      </c>
      <c r="G1380">
        <v>2</v>
      </c>
      <c r="H1380" s="1">
        <v>44075</v>
      </c>
      <c r="I1380" s="1">
        <v>44197</v>
      </c>
      <c r="J1380">
        <v>4</v>
      </c>
      <c r="K1380">
        <v>5</v>
      </c>
      <c r="L1380" s="1">
        <v>44075</v>
      </c>
      <c r="M1380">
        <v>0</v>
      </c>
      <c r="N1380" s="8" cm="1">
        <f t="array" ref="N1380">_xlfn.SWITCH(Sales[[#This Row],[Subscription Type]],"Basic",10,"Premium",10,"Business",25,"Enterprise",27)</f>
        <v>10</v>
      </c>
      <c r="O1380">
        <f>IF(Sales[[#This Row],[Number of Users]]-Sales[[#This Row],[Licenses Bought]]&lt;0,0,Sales[[#This Row],[Number of Users]]-Sales[[#This Row],[Licenses Bought]])</f>
        <v>2</v>
      </c>
      <c r="P1380" s="8">
        <f>IF(Sales[[#This Row],[Sales Month]]=MAX(Sales[Sales Month]),Sales[[#This Row],[Non-Paying Users]]*Sales[[#This Row],[Upsell $ per Non-Paying User]],0)</f>
        <v>0</v>
      </c>
      <c r="Q1380" t="str" cm="1">
        <f t="array" ref="Q1380">_xlfn.IFS(Sales[[#This Row],[Current Upsell $]]=0,"",Sales[[#This Row],[Current Upsell $]]&gt;=400,"High",Sales[[#This Row],[Current Upsell $]]&gt;=100,"Medium",Sales[[#This Row],[Current Upsell $]]&lt;100,"Low")</f>
        <v/>
      </c>
      <c r="R1380" t="str">
        <f>IF(Sales[[#This Row],[Current Upsell $]]&gt;0,_xlfn.CONCAT(Sales[[#This Row],[Subscription Type]]," ",Sales[[#This Row],[Upsell Priority]]," ",TEXT(Sales[[#This Row],[Current Upsell $]],"$#,#")),"")</f>
        <v/>
      </c>
    </row>
    <row r="1381" spans="1:18" x14ac:dyDescent="0.25">
      <c r="A1381">
        <v>100139</v>
      </c>
      <c r="B1381" t="s">
        <v>3</v>
      </c>
      <c r="F1381">
        <v>0</v>
      </c>
      <c r="G1381">
        <v>2</v>
      </c>
      <c r="H1381" s="1">
        <v>44075</v>
      </c>
      <c r="I1381" s="1">
        <v>44197</v>
      </c>
      <c r="J1381">
        <v>4</v>
      </c>
      <c r="K1381">
        <v>5</v>
      </c>
      <c r="L1381" s="1">
        <v>44105</v>
      </c>
      <c r="M1381">
        <v>0</v>
      </c>
      <c r="N1381" s="8" cm="1">
        <f t="array" ref="N1381">_xlfn.SWITCH(Sales[[#This Row],[Subscription Type]],"Basic",10,"Premium",10,"Business",25,"Enterprise",27)</f>
        <v>10</v>
      </c>
      <c r="O1381">
        <f>IF(Sales[[#This Row],[Number of Users]]-Sales[[#This Row],[Licenses Bought]]&lt;0,0,Sales[[#This Row],[Number of Users]]-Sales[[#This Row],[Licenses Bought]])</f>
        <v>2</v>
      </c>
      <c r="P1381" s="8">
        <f>IF(Sales[[#This Row],[Sales Month]]=MAX(Sales[Sales Month]),Sales[[#This Row],[Non-Paying Users]]*Sales[[#This Row],[Upsell $ per Non-Paying User]],0)</f>
        <v>0</v>
      </c>
      <c r="Q1381" t="str" cm="1">
        <f t="array" ref="Q1381">_xlfn.IFS(Sales[[#This Row],[Current Upsell $]]=0,"",Sales[[#This Row],[Current Upsell $]]&gt;=400,"High",Sales[[#This Row],[Current Upsell $]]&gt;=100,"Medium",Sales[[#This Row],[Current Upsell $]]&lt;100,"Low")</f>
        <v/>
      </c>
      <c r="R1381" t="str">
        <f>IF(Sales[[#This Row],[Current Upsell $]]&gt;0,_xlfn.CONCAT(Sales[[#This Row],[Subscription Type]]," ",Sales[[#This Row],[Upsell Priority]]," ",TEXT(Sales[[#This Row],[Current Upsell $]],"$#,#")),"")</f>
        <v/>
      </c>
    </row>
    <row r="1382" spans="1:18" x14ac:dyDescent="0.25">
      <c r="A1382">
        <v>100139</v>
      </c>
      <c r="B1382" t="s">
        <v>3</v>
      </c>
      <c r="F1382">
        <v>0</v>
      </c>
      <c r="G1382">
        <v>2</v>
      </c>
      <c r="H1382" s="1">
        <v>44075</v>
      </c>
      <c r="I1382" s="1">
        <v>44197</v>
      </c>
      <c r="J1382">
        <v>4</v>
      </c>
      <c r="K1382">
        <v>5</v>
      </c>
      <c r="L1382" s="1">
        <v>44136</v>
      </c>
      <c r="M1382">
        <v>0</v>
      </c>
      <c r="N1382" s="8" cm="1">
        <f t="array" ref="N1382">_xlfn.SWITCH(Sales[[#This Row],[Subscription Type]],"Basic",10,"Premium",10,"Business",25,"Enterprise",27)</f>
        <v>10</v>
      </c>
      <c r="O1382">
        <f>IF(Sales[[#This Row],[Number of Users]]-Sales[[#This Row],[Licenses Bought]]&lt;0,0,Sales[[#This Row],[Number of Users]]-Sales[[#This Row],[Licenses Bought]])</f>
        <v>2</v>
      </c>
      <c r="P1382" s="8">
        <f>IF(Sales[[#This Row],[Sales Month]]=MAX(Sales[Sales Month]),Sales[[#This Row],[Non-Paying Users]]*Sales[[#This Row],[Upsell $ per Non-Paying User]],0)</f>
        <v>0</v>
      </c>
      <c r="Q1382" t="str" cm="1">
        <f t="array" ref="Q1382">_xlfn.IFS(Sales[[#This Row],[Current Upsell $]]=0,"",Sales[[#This Row],[Current Upsell $]]&gt;=400,"High",Sales[[#This Row],[Current Upsell $]]&gt;=100,"Medium",Sales[[#This Row],[Current Upsell $]]&lt;100,"Low")</f>
        <v/>
      </c>
      <c r="R1382" t="str">
        <f>IF(Sales[[#This Row],[Current Upsell $]]&gt;0,_xlfn.CONCAT(Sales[[#This Row],[Subscription Type]]," ",Sales[[#This Row],[Upsell Priority]]," ",TEXT(Sales[[#This Row],[Current Upsell $]],"$#,#")),"")</f>
        <v/>
      </c>
    </row>
    <row r="1383" spans="1:18" x14ac:dyDescent="0.25">
      <c r="A1383">
        <v>100139</v>
      </c>
      <c r="B1383" t="s">
        <v>3</v>
      </c>
      <c r="F1383">
        <v>0</v>
      </c>
      <c r="G1383">
        <v>1</v>
      </c>
      <c r="H1383" s="1">
        <v>44075</v>
      </c>
      <c r="I1383" s="1">
        <v>44197</v>
      </c>
      <c r="J1383">
        <v>4</v>
      </c>
      <c r="K1383">
        <v>5</v>
      </c>
      <c r="L1383" s="1">
        <v>44166</v>
      </c>
      <c r="M1383">
        <v>0</v>
      </c>
      <c r="N1383" s="8" cm="1">
        <f t="array" ref="N1383">_xlfn.SWITCH(Sales[[#This Row],[Subscription Type]],"Basic",10,"Premium",10,"Business",25,"Enterprise",27)</f>
        <v>10</v>
      </c>
      <c r="O1383">
        <f>IF(Sales[[#This Row],[Number of Users]]-Sales[[#This Row],[Licenses Bought]]&lt;0,0,Sales[[#This Row],[Number of Users]]-Sales[[#This Row],[Licenses Bought]])</f>
        <v>1</v>
      </c>
      <c r="P1383" s="8">
        <f>IF(Sales[[#This Row],[Sales Month]]=MAX(Sales[Sales Month]),Sales[[#This Row],[Non-Paying Users]]*Sales[[#This Row],[Upsell $ per Non-Paying User]],0)</f>
        <v>0</v>
      </c>
      <c r="Q1383" t="str" cm="1">
        <f t="array" ref="Q1383">_xlfn.IFS(Sales[[#This Row],[Current Upsell $]]=0,"",Sales[[#This Row],[Current Upsell $]]&gt;=400,"High",Sales[[#This Row],[Current Upsell $]]&gt;=100,"Medium",Sales[[#This Row],[Current Upsell $]]&lt;100,"Low")</f>
        <v/>
      </c>
      <c r="R1383" t="str">
        <f>IF(Sales[[#This Row],[Current Upsell $]]&gt;0,_xlfn.CONCAT(Sales[[#This Row],[Subscription Type]]," ",Sales[[#This Row],[Upsell Priority]]," ",TEXT(Sales[[#This Row],[Current Upsell $]],"$#,#")),"")</f>
        <v/>
      </c>
    </row>
    <row r="1384" spans="1:18" x14ac:dyDescent="0.25">
      <c r="A1384">
        <v>100139</v>
      </c>
      <c r="B1384" t="s">
        <v>3</v>
      </c>
      <c r="F1384">
        <v>0</v>
      </c>
      <c r="G1384">
        <v>2</v>
      </c>
      <c r="H1384" s="1">
        <v>44075</v>
      </c>
      <c r="I1384" s="1">
        <v>44197</v>
      </c>
      <c r="J1384">
        <v>4</v>
      </c>
      <c r="K1384">
        <v>5</v>
      </c>
      <c r="L1384" s="1">
        <v>44197</v>
      </c>
      <c r="M1384">
        <v>0</v>
      </c>
      <c r="N1384" s="8" cm="1">
        <f t="array" ref="N1384">_xlfn.SWITCH(Sales[[#This Row],[Subscription Type]],"Basic",10,"Premium",10,"Business",25,"Enterprise",27)</f>
        <v>10</v>
      </c>
      <c r="O1384">
        <f>IF(Sales[[#This Row],[Number of Users]]-Sales[[#This Row],[Licenses Bought]]&lt;0,0,Sales[[#This Row],[Number of Users]]-Sales[[#This Row],[Licenses Bought]])</f>
        <v>2</v>
      </c>
      <c r="P1384" s="8">
        <f>IF(Sales[[#This Row],[Sales Month]]=MAX(Sales[Sales Month]),Sales[[#This Row],[Non-Paying Users]]*Sales[[#This Row],[Upsell $ per Non-Paying User]],0)</f>
        <v>0</v>
      </c>
      <c r="Q1384" t="str" cm="1">
        <f t="array" ref="Q1384">_xlfn.IFS(Sales[[#This Row],[Current Upsell $]]=0,"",Sales[[#This Row],[Current Upsell $]]&gt;=400,"High",Sales[[#This Row],[Current Upsell $]]&gt;=100,"Medium",Sales[[#This Row],[Current Upsell $]]&lt;100,"Low")</f>
        <v/>
      </c>
      <c r="R1384" t="str">
        <f>IF(Sales[[#This Row],[Current Upsell $]]&gt;0,_xlfn.CONCAT(Sales[[#This Row],[Subscription Type]]," ",Sales[[#This Row],[Upsell Priority]]," ",TEXT(Sales[[#This Row],[Current Upsell $]],"$#,#")),"")</f>
        <v/>
      </c>
    </row>
    <row r="1385" spans="1:18" x14ac:dyDescent="0.25">
      <c r="A1385">
        <v>100140</v>
      </c>
      <c r="B1385" t="s">
        <v>3</v>
      </c>
      <c r="F1385">
        <v>0</v>
      </c>
      <c r="G1385">
        <v>2</v>
      </c>
      <c r="H1385" s="1">
        <v>44075</v>
      </c>
      <c r="I1385" s="1">
        <v>44136</v>
      </c>
      <c r="J1385">
        <v>2</v>
      </c>
      <c r="K1385">
        <v>7</v>
      </c>
      <c r="L1385" s="1">
        <v>44075</v>
      </c>
      <c r="M1385">
        <v>0</v>
      </c>
      <c r="N1385" s="8" cm="1">
        <f t="array" ref="N1385">_xlfn.SWITCH(Sales[[#This Row],[Subscription Type]],"Basic",10,"Premium",10,"Business",25,"Enterprise",27)</f>
        <v>10</v>
      </c>
      <c r="O1385">
        <f>IF(Sales[[#This Row],[Number of Users]]-Sales[[#This Row],[Licenses Bought]]&lt;0,0,Sales[[#This Row],[Number of Users]]-Sales[[#This Row],[Licenses Bought]])</f>
        <v>2</v>
      </c>
      <c r="P1385" s="8">
        <f>IF(Sales[[#This Row],[Sales Month]]=MAX(Sales[Sales Month]),Sales[[#This Row],[Non-Paying Users]]*Sales[[#This Row],[Upsell $ per Non-Paying User]],0)</f>
        <v>0</v>
      </c>
      <c r="Q1385" t="str" cm="1">
        <f t="array" ref="Q1385">_xlfn.IFS(Sales[[#This Row],[Current Upsell $]]=0,"",Sales[[#This Row],[Current Upsell $]]&gt;=400,"High",Sales[[#This Row],[Current Upsell $]]&gt;=100,"Medium",Sales[[#This Row],[Current Upsell $]]&lt;100,"Low")</f>
        <v/>
      </c>
      <c r="R1385" t="str">
        <f>IF(Sales[[#This Row],[Current Upsell $]]&gt;0,_xlfn.CONCAT(Sales[[#This Row],[Subscription Type]]," ",Sales[[#This Row],[Upsell Priority]]," ",TEXT(Sales[[#This Row],[Current Upsell $]],"$#,#")),"")</f>
        <v/>
      </c>
    </row>
    <row r="1386" spans="1:18" x14ac:dyDescent="0.25">
      <c r="A1386">
        <v>100140</v>
      </c>
      <c r="B1386" t="s">
        <v>3</v>
      </c>
      <c r="F1386">
        <v>0</v>
      </c>
      <c r="G1386">
        <v>2</v>
      </c>
      <c r="H1386" s="1">
        <v>44075</v>
      </c>
      <c r="I1386" s="1">
        <v>44136</v>
      </c>
      <c r="J1386">
        <v>2</v>
      </c>
      <c r="K1386">
        <v>7</v>
      </c>
      <c r="L1386" s="1">
        <v>44105</v>
      </c>
      <c r="M1386">
        <v>0</v>
      </c>
      <c r="N1386" s="8" cm="1">
        <f t="array" ref="N1386">_xlfn.SWITCH(Sales[[#This Row],[Subscription Type]],"Basic",10,"Premium",10,"Business",25,"Enterprise",27)</f>
        <v>10</v>
      </c>
      <c r="O1386">
        <f>IF(Sales[[#This Row],[Number of Users]]-Sales[[#This Row],[Licenses Bought]]&lt;0,0,Sales[[#This Row],[Number of Users]]-Sales[[#This Row],[Licenses Bought]])</f>
        <v>2</v>
      </c>
      <c r="P1386" s="8">
        <f>IF(Sales[[#This Row],[Sales Month]]=MAX(Sales[Sales Month]),Sales[[#This Row],[Non-Paying Users]]*Sales[[#This Row],[Upsell $ per Non-Paying User]],0)</f>
        <v>0</v>
      </c>
      <c r="Q1386" t="str" cm="1">
        <f t="array" ref="Q1386">_xlfn.IFS(Sales[[#This Row],[Current Upsell $]]=0,"",Sales[[#This Row],[Current Upsell $]]&gt;=400,"High",Sales[[#This Row],[Current Upsell $]]&gt;=100,"Medium",Sales[[#This Row],[Current Upsell $]]&lt;100,"Low")</f>
        <v/>
      </c>
      <c r="R1386" t="str">
        <f>IF(Sales[[#This Row],[Current Upsell $]]&gt;0,_xlfn.CONCAT(Sales[[#This Row],[Subscription Type]]," ",Sales[[#This Row],[Upsell Priority]]," ",TEXT(Sales[[#This Row],[Current Upsell $]],"$#,#")),"")</f>
        <v/>
      </c>
    </row>
    <row r="1387" spans="1:18" x14ac:dyDescent="0.25">
      <c r="A1387">
        <v>100140</v>
      </c>
      <c r="B1387" t="s">
        <v>3</v>
      </c>
      <c r="F1387">
        <v>0</v>
      </c>
      <c r="G1387">
        <v>2</v>
      </c>
      <c r="H1387" s="1">
        <v>44075</v>
      </c>
      <c r="I1387" s="1">
        <v>44136</v>
      </c>
      <c r="J1387">
        <v>2</v>
      </c>
      <c r="K1387">
        <v>7</v>
      </c>
      <c r="L1387" s="1">
        <v>44136</v>
      </c>
      <c r="M1387">
        <v>0</v>
      </c>
      <c r="N1387" s="8" cm="1">
        <f t="array" ref="N1387">_xlfn.SWITCH(Sales[[#This Row],[Subscription Type]],"Basic",10,"Premium",10,"Business",25,"Enterprise",27)</f>
        <v>10</v>
      </c>
      <c r="O1387">
        <f>IF(Sales[[#This Row],[Number of Users]]-Sales[[#This Row],[Licenses Bought]]&lt;0,0,Sales[[#This Row],[Number of Users]]-Sales[[#This Row],[Licenses Bought]])</f>
        <v>2</v>
      </c>
      <c r="P1387" s="8">
        <f>IF(Sales[[#This Row],[Sales Month]]=MAX(Sales[Sales Month]),Sales[[#This Row],[Non-Paying Users]]*Sales[[#This Row],[Upsell $ per Non-Paying User]],0)</f>
        <v>0</v>
      </c>
      <c r="Q1387" t="str" cm="1">
        <f t="array" ref="Q1387">_xlfn.IFS(Sales[[#This Row],[Current Upsell $]]=0,"",Sales[[#This Row],[Current Upsell $]]&gt;=400,"High",Sales[[#This Row],[Current Upsell $]]&gt;=100,"Medium",Sales[[#This Row],[Current Upsell $]]&lt;100,"Low")</f>
        <v/>
      </c>
      <c r="R1387" t="str">
        <f>IF(Sales[[#This Row],[Current Upsell $]]&gt;0,_xlfn.CONCAT(Sales[[#This Row],[Subscription Type]]," ",Sales[[#This Row],[Upsell Priority]]," ",TEXT(Sales[[#This Row],[Current Upsell $]],"$#,#")),"")</f>
        <v/>
      </c>
    </row>
    <row r="1388" spans="1:18" x14ac:dyDescent="0.25">
      <c r="A1388">
        <v>100141</v>
      </c>
      <c r="B1388" t="s">
        <v>3</v>
      </c>
      <c r="D1388" s="1"/>
      <c r="E1388" s="1"/>
      <c r="F1388">
        <v>0</v>
      </c>
      <c r="G1388">
        <v>2</v>
      </c>
      <c r="H1388" s="1">
        <v>44075</v>
      </c>
      <c r="I1388" s="1">
        <v>44378</v>
      </c>
      <c r="J1388">
        <v>10</v>
      </c>
      <c r="K1388">
        <v>0</v>
      </c>
      <c r="L1388" s="1">
        <v>44075</v>
      </c>
      <c r="M1388">
        <v>0</v>
      </c>
      <c r="N1388" s="8" cm="1">
        <f t="array" ref="N1388">_xlfn.SWITCH(Sales[[#This Row],[Subscription Type]],"Basic",10,"Premium",10,"Business",25,"Enterprise",27)</f>
        <v>10</v>
      </c>
      <c r="O1388">
        <f>IF(Sales[[#This Row],[Number of Users]]-Sales[[#This Row],[Licenses Bought]]&lt;0,0,Sales[[#This Row],[Number of Users]]-Sales[[#This Row],[Licenses Bought]])</f>
        <v>2</v>
      </c>
      <c r="P1388" s="8">
        <f>IF(Sales[[#This Row],[Sales Month]]=MAX(Sales[Sales Month]),Sales[[#This Row],[Non-Paying Users]]*Sales[[#This Row],[Upsell $ per Non-Paying User]],0)</f>
        <v>0</v>
      </c>
      <c r="Q1388" t="str" cm="1">
        <f t="array" ref="Q1388">_xlfn.IFS(Sales[[#This Row],[Current Upsell $]]=0,"",Sales[[#This Row],[Current Upsell $]]&gt;=400,"High",Sales[[#This Row],[Current Upsell $]]&gt;=100,"Medium",Sales[[#This Row],[Current Upsell $]]&lt;100,"Low")</f>
        <v/>
      </c>
      <c r="R1388" t="str">
        <f>IF(Sales[[#This Row],[Current Upsell $]]&gt;0,_xlfn.CONCAT(Sales[[#This Row],[Subscription Type]]," ",Sales[[#This Row],[Upsell Priority]]," ",TEXT(Sales[[#This Row],[Current Upsell $]],"$#,#")),"")</f>
        <v/>
      </c>
    </row>
    <row r="1389" spans="1:18" x14ac:dyDescent="0.25">
      <c r="A1389">
        <v>100141</v>
      </c>
      <c r="B1389" t="s">
        <v>0</v>
      </c>
      <c r="D1389" s="1"/>
      <c r="E1389" s="1"/>
      <c r="F1389">
        <v>1</v>
      </c>
      <c r="G1389">
        <v>1</v>
      </c>
      <c r="H1389" s="1">
        <v>44075</v>
      </c>
      <c r="I1389" s="1">
        <v>44378</v>
      </c>
      <c r="J1389">
        <v>10</v>
      </c>
      <c r="K1389">
        <v>0</v>
      </c>
      <c r="L1389" s="1">
        <v>44105</v>
      </c>
      <c r="M1389">
        <v>10</v>
      </c>
      <c r="N1389" s="8" cm="1">
        <f t="array" ref="N1389">_xlfn.SWITCH(Sales[[#This Row],[Subscription Type]],"Basic",10,"Premium",10,"Business",25,"Enterprise",27)</f>
        <v>10</v>
      </c>
      <c r="O1389">
        <f>IF(Sales[[#This Row],[Number of Users]]-Sales[[#This Row],[Licenses Bought]]&lt;0,0,Sales[[#This Row],[Number of Users]]-Sales[[#This Row],[Licenses Bought]])</f>
        <v>0</v>
      </c>
      <c r="P1389" s="8">
        <f>IF(Sales[[#This Row],[Sales Month]]=MAX(Sales[Sales Month]),Sales[[#This Row],[Non-Paying Users]]*Sales[[#This Row],[Upsell $ per Non-Paying User]],0)</f>
        <v>0</v>
      </c>
      <c r="Q1389" t="str" cm="1">
        <f t="array" ref="Q1389">_xlfn.IFS(Sales[[#This Row],[Current Upsell $]]=0,"",Sales[[#This Row],[Current Upsell $]]&gt;=400,"High",Sales[[#This Row],[Current Upsell $]]&gt;=100,"Medium",Sales[[#This Row],[Current Upsell $]]&lt;100,"Low")</f>
        <v/>
      </c>
      <c r="R1389" t="str">
        <f>IF(Sales[[#This Row],[Current Upsell $]]&gt;0,_xlfn.CONCAT(Sales[[#This Row],[Subscription Type]]," ",Sales[[#This Row],[Upsell Priority]]," ",TEXT(Sales[[#This Row],[Current Upsell $]],"$#,#")),"")</f>
        <v/>
      </c>
    </row>
    <row r="1390" spans="1:18" x14ac:dyDescent="0.25">
      <c r="A1390">
        <v>100141</v>
      </c>
      <c r="B1390" t="s">
        <v>0</v>
      </c>
      <c r="D1390" s="1"/>
      <c r="E1390" s="1"/>
      <c r="F1390">
        <v>1</v>
      </c>
      <c r="G1390">
        <v>2</v>
      </c>
      <c r="H1390" s="1">
        <v>44075</v>
      </c>
      <c r="I1390" s="1">
        <v>44378</v>
      </c>
      <c r="J1390">
        <v>10</v>
      </c>
      <c r="K1390">
        <v>0</v>
      </c>
      <c r="L1390" s="1">
        <v>44136</v>
      </c>
      <c r="M1390">
        <v>10</v>
      </c>
      <c r="N1390" s="8" cm="1">
        <f t="array" ref="N1390">_xlfn.SWITCH(Sales[[#This Row],[Subscription Type]],"Basic",10,"Premium",10,"Business",25,"Enterprise",27)</f>
        <v>10</v>
      </c>
      <c r="O1390">
        <f>IF(Sales[[#This Row],[Number of Users]]-Sales[[#This Row],[Licenses Bought]]&lt;0,0,Sales[[#This Row],[Number of Users]]-Sales[[#This Row],[Licenses Bought]])</f>
        <v>1</v>
      </c>
      <c r="P1390" s="8">
        <f>IF(Sales[[#This Row],[Sales Month]]=MAX(Sales[Sales Month]),Sales[[#This Row],[Non-Paying Users]]*Sales[[#This Row],[Upsell $ per Non-Paying User]],0)</f>
        <v>0</v>
      </c>
      <c r="Q1390" t="str" cm="1">
        <f t="array" ref="Q1390">_xlfn.IFS(Sales[[#This Row],[Current Upsell $]]=0,"",Sales[[#This Row],[Current Upsell $]]&gt;=400,"High",Sales[[#This Row],[Current Upsell $]]&gt;=100,"Medium",Sales[[#This Row],[Current Upsell $]]&lt;100,"Low")</f>
        <v/>
      </c>
      <c r="R1390" t="str">
        <f>IF(Sales[[#This Row],[Current Upsell $]]&gt;0,_xlfn.CONCAT(Sales[[#This Row],[Subscription Type]]," ",Sales[[#This Row],[Upsell Priority]]," ",TEXT(Sales[[#This Row],[Current Upsell $]],"$#,#")),"")</f>
        <v/>
      </c>
    </row>
    <row r="1391" spans="1:18" x14ac:dyDescent="0.25">
      <c r="A1391">
        <v>100141</v>
      </c>
      <c r="B1391" t="s">
        <v>0</v>
      </c>
      <c r="D1391" s="1"/>
      <c r="E1391" s="1"/>
      <c r="F1391">
        <v>1</v>
      </c>
      <c r="G1391">
        <v>2</v>
      </c>
      <c r="H1391" s="1">
        <v>44075</v>
      </c>
      <c r="I1391" s="1">
        <v>44378</v>
      </c>
      <c r="J1391">
        <v>10</v>
      </c>
      <c r="K1391">
        <v>0</v>
      </c>
      <c r="L1391" s="1">
        <v>44166</v>
      </c>
      <c r="M1391">
        <v>10</v>
      </c>
      <c r="N1391" s="8" cm="1">
        <f t="array" ref="N1391">_xlfn.SWITCH(Sales[[#This Row],[Subscription Type]],"Basic",10,"Premium",10,"Business",25,"Enterprise",27)</f>
        <v>10</v>
      </c>
      <c r="O1391">
        <f>IF(Sales[[#This Row],[Number of Users]]-Sales[[#This Row],[Licenses Bought]]&lt;0,0,Sales[[#This Row],[Number of Users]]-Sales[[#This Row],[Licenses Bought]])</f>
        <v>1</v>
      </c>
      <c r="P1391" s="8">
        <f>IF(Sales[[#This Row],[Sales Month]]=MAX(Sales[Sales Month]),Sales[[#This Row],[Non-Paying Users]]*Sales[[#This Row],[Upsell $ per Non-Paying User]],0)</f>
        <v>0</v>
      </c>
      <c r="Q1391" t="str" cm="1">
        <f t="array" ref="Q1391">_xlfn.IFS(Sales[[#This Row],[Current Upsell $]]=0,"",Sales[[#This Row],[Current Upsell $]]&gt;=400,"High",Sales[[#This Row],[Current Upsell $]]&gt;=100,"Medium",Sales[[#This Row],[Current Upsell $]]&lt;100,"Low")</f>
        <v/>
      </c>
      <c r="R1391" t="str">
        <f>IF(Sales[[#This Row],[Current Upsell $]]&gt;0,_xlfn.CONCAT(Sales[[#This Row],[Subscription Type]]," ",Sales[[#This Row],[Upsell Priority]]," ",TEXT(Sales[[#This Row],[Current Upsell $]],"$#,#")),"")</f>
        <v/>
      </c>
    </row>
    <row r="1392" spans="1:18" x14ac:dyDescent="0.25">
      <c r="A1392">
        <v>100141</v>
      </c>
      <c r="B1392" t="s">
        <v>0</v>
      </c>
      <c r="D1392" s="1"/>
      <c r="E1392" s="1"/>
      <c r="F1392">
        <v>1</v>
      </c>
      <c r="G1392">
        <v>1</v>
      </c>
      <c r="H1392" s="1">
        <v>44075</v>
      </c>
      <c r="I1392" s="1">
        <v>44378</v>
      </c>
      <c r="J1392">
        <v>10</v>
      </c>
      <c r="K1392">
        <v>0</v>
      </c>
      <c r="L1392" s="1">
        <v>44197</v>
      </c>
      <c r="M1392">
        <v>10</v>
      </c>
      <c r="N1392" s="8" cm="1">
        <f t="array" ref="N1392">_xlfn.SWITCH(Sales[[#This Row],[Subscription Type]],"Basic",10,"Premium",10,"Business",25,"Enterprise",27)</f>
        <v>10</v>
      </c>
      <c r="O1392">
        <f>IF(Sales[[#This Row],[Number of Users]]-Sales[[#This Row],[Licenses Bought]]&lt;0,0,Sales[[#This Row],[Number of Users]]-Sales[[#This Row],[Licenses Bought]])</f>
        <v>0</v>
      </c>
      <c r="P1392" s="8">
        <f>IF(Sales[[#This Row],[Sales Month]]=MAX(Sales[Sales Month]),Sales[[#This Row],[Non-Paying Users]]*Sales[[#This Row],[Upsell $ per Non-Paying User]],0)</f>
        <v>0</v>
      </c>
      <c r="Q1392" t="str" cm="1">
        <f t="array" ref="Q1392">_xlfn.IFS(Sales[[#This Row],[Current Upsell $]]=0,"",Sales[[#This Row],[Current Upsell $]]&gt;=400,"High",Sales[[#This Row],[Current Upsell $]]&gt;=100,"Medium",Sales[[#This Row],[Current Upsell $]]&lt;100,"Low")</f>
        <v/>
      </c>
      <c r="R1392" t="str">
        <f>IF(Sales[[#This Row],[Current Upsell $]]&gt;0,_xlfn.CONCAT(Sales[[#This Row],[Subscription Type]]," ",Sales[[#This Row],[Upsell Priority]]," ",TEXT(Sales[[#This Row],[Current Upsell $]],"$#,#")),"")</f>
        <v/>
      </c>
    </row>
    <row r="1393" spans="1:18" x14ac:dyDescent="0.25">
      <c r="A1393">
        <v>100141</v>
      </c>
      <c r="B1393" t="s">
        <v>0</v>
      </c>
      <c r="D1393" s="1"/>
      <c r="E1393" s="1"/>
      <c r="F1393">
        <v>1</v>
      </c>
      <c r="G1393">
        <v>2</v>
      </c>
      <c r="H1393" s="1">
        <v>44075</v>
      </c>
      <c r="I1393" s="1">
        <v>44378</v>
      </c>
      <c r="J1393">
        <v>10</v>
      </c>
      <c r="K1393">
        <v>0</v>
      </c>
      <c r="L1393" s="1">
        <v>44228</v>
      </c>
      <c r="M1393">
        <v>10</v>
      </c>
      <c r="N1393" s="8" cm="1">
        <f t="array" ref="N1393">_xlfn.SWITCH(Sales[[#This Row],[Subscription Type]],"Basic",10,"Premium",10,"Business",25,"Enterprise",27)</f>
        <v>10</v>
      </c>
      <c r="O1393">
        <f>IF(Sales[[#This Row],[Number of Users]]-Sales[[#This Row],[Licenses Bought]]&lt;0,0,Sales[[#This Row],[Number of Users]]-Sales[[#This Row],[Licenses Bought]])</f>
        <v>1</v>
      </c>
      <c r="P1393" s="8">
        <f>IF(Sales[[#This Row],[Sales Month]]=MAX(Sales[Sales Month]),Sales[[#This Row],[Non-Paying Users]]*Sales[[#This Row],[Upsell $ per Non-Paying User]],0)</f>
        <v>0</v>
      </c>
      <c r="Q1393" t="str" cm="1">
        <f t="array" ref="Q1393">_xlfn.IFS(Sales[[#This Row],[Current Upsell $]]=0,"",Sales[[#This Row],[Current Upsell $]]&gt;=400,"High",Sales[[#This Row],[Current Upsell $]]&gt;=100,"Medium",Sales[[#This Row],[Current Upsell $]]&lt;100,"Low")</f>
        <v/>
      </c>
      <c r="R1393" t="str">
        <f>IF(Sales[[#This Row],[Current Upsell $]]&gt;0,_xlfn.CONCAT(Sales[[#This Row],[Subscription Type]]," ",Sales[[#This Row],[Upsell Priority]]," ",TEXT(Sales[[#This Row],[Current Upsell $]],"$#,#")),"")</f>
        <v/>
      </c>
    </row>
    <row r="1394" spans="1:18" x14ac:dyDescent="0.25">
      <c r="A1394">
        <v>100141</v>
      </c>
      <c r="B1394" t="s">
        <v>0</v>
      </c>
      <c r="D1394" s="1"/>
      <c r="E1394" s="1"/>
      <c r="F1394">
        <v>1</v>
      </c>
      <c r="G1394">
        <v>2</v>
      </c>
      <c r="H1394" s="1">
        <v>44075</v>
      </c>
      <c r="I1394" s="1">
        <v>44378</v>
      </c>
      <c r="J1394">
        <v>10</v>
      </c>
      <c r="K1394">
        <v>0</v>
      </c>
      <c r="L1394" s="1">
        <v>44256</v>
      </c>
      <c r="M1394">
        <v>10</v>
      </c>
      <c r="N1394" s="8" cm="1">
        <f t="array" ref="N1394">_xlfn.SWITCH(Sales[[#This Row],[Subscription Type]],"Basic",10,"Premium",10,"Business",25,"Enterprise",27)</f>
        <v>10</v>
      </c>
      <c r="O1394">
        <f>IF(Sales[[#This Row],[Number of Users]]-Sales[[#This Row],[Licenses Bought]]&lt;0,0,Sales[[#This Row],[Number of Users]]-Sales[[#This Row],[Licenses Bought]])</f>
        <v>1</v>
      </c>
      <c r="P1394" s="8">
        <f>IF(Sales[[#This Row],[Sales Month]]=MAX(Sales[Sales Month]),Sales[[#This Row],[Non-Paying Users]]*Sales[[#This Row],[Upsell $ per Non-Paying User]],0)</f>
        <v>0</v>
      </c>
      <c r="Q1394" t="str" cm="1">
        <f t="array" ref="Q1394">_xlfn.IFS(Sales[[#This Row],[Current Upsell $]]=0,"",Sales[[#This Row],[Current Upsell $]]&gt;=400,"High",Sales[[#This Row],[Current Upsell $]]&gt;=100,"Medium",Sales[[#This Row],[Current Upsell $]]&lt;100,"Low")</f>
        <v/>
      </c>
      <c r="R1394" t="str">
        <f>IF(Sales[[#This Row],[Current Upsell $]]&gt;0,_xlfn.CONCAT(Sales[[#This Row],[Subscription Type]]," ",Sales[[#This Row],[Upsell Priority]]," ",TEXT(Sales[[#This Row],[Current Upsell $]],"$#,#")),"")</f>
        <v/>
      </c>
    </row>
    <row r="1395" spans="1:18" x14ac:dyDescent="0.25">
      <c r="A1395">
        <v>100141</v>
      </c>
      <c r="B1395" t="s">
        <v>0</v>
      </c>
      <c r="D1395" s="1"/>
      <c r="E1395" s="1"/>
      <c r="F1395">
        <v>1</v>
      </c>
      <c r="G1395">
        <v>2</v>
      </c>
      <c r="H1395" s="1">
        <v>44075</v>
      </c>
      <c r="I1395" s="1">
        <v>44378</v>
      </c>
      <c r="J1395">
        <v>10</v>
      </c>
      <c r="K1395">
        <v>0</v>
      </c>
      <c r="L1395" s="1">
        <v>44287</v>
      </c>
      <c r="M1395">
        <v>10</v>
      </c>
      <c r="N1395" s="8" cm="1">
        <f t="array" ref="N1395">_xlfn.SWITCH(Sales[[#This Row],[Subscription Type]],"Basic",10,"Premium",10,"Business",25,"Enterprise",27)</f>
        <v>10</v>
      </c>
      <c r="O1395">
        <f>IF(Sales[[#This Row],[Number of Users]]-Sales[[#This Row],[Licenses Bought]]&lt;0,0,Sales[[#This Row],[Number of Users]]-Sales[[#This Row],[Licenses Bought]])</f>
        <v>1</v>
      </c>
      <c r="P1395" s="8">
        <f>IF(Sales[[#This Row],[Sales Month]]=MAX(Sales[Sales Month]),Sales[[#This Row],[Non-Paying Users]]*Sales[[#This Row],[Upsell $ per Non-Paying User]],0)</f>
        <v>0</v>
      </c>
      <c r="Q1395" t="str" cm="1">
        <f t="array" ref="Q1395">_xlfn.IFS(Sales[[#This Row],[Current Upsell $]]=0,"",Sales[[#This Row],[Current Upsell $]]&gt;=400,"High",Sales[[#This Row],[Current Upsell $]]&gt;=100,"Medium",Sales[[#This Row],[Current Upsell $]]&lt;100,"Low")</f>
        <v/>
      </c>
      <c r="R1395" t="str">
        <f>IF(Sales[[#This Row],[Current Upsell $]]&gt;0,_xlfn.CONCAT(Sales[[#This Row],[Subscription Type]]," ",Sales[[#This Row],[Upsell Priority]]," ",TEXT(Sales[[#This Row],[Current Upsell $]],"$#,#")),"")</f>
        <v/>
      </c>
    </row>
    <row r="1396" spans="1:18" x14ac:dyDescent="0.25">
      <c r="A1396">
        <v>100141</v>
      </c>
      <c r="B1396" t="s">
        <v>0</v>
      </c>
      <c r="D1396" s="1"/>
      <c r="E1396" s="1"/>
      <c r="F1396">
        <v>1</v>
      </c>
      <c r="G1396">
        <v>2</v>
      </c>
      <c r="H1396" s="1">
        <v>44075</v>
      </c>
      <c r="I1396" s="1">
        <v>44378</v>
      </c>
      <c r="J1396">
        <v>10</v>
      </c>
      <c r="K1396">
        <v>0</v>
      </c>
      <c r="L1396" s="1">
        <v>44317</v>
      </c>
      <c r="M1396">
        <v>10</v>
      </c>
      <c r="N1396" s="8" cm="1">
        <f t="array" ref="N1396">_xlfn.SWITCH(Sales[[#This Row],[Subscription Type]],"Basic",10,"Premium",10,"Business",25,"Enterprise",27)</f>
        <v>10</v>
      </c>
      <c r="O1396">
        <f>IF(Sales[[#This Row],[Number of Users]]-Sales[[#This Row],[Licenses Bought]]&lt;0,0,Sales[[#This Row],[Number of Users]]-Sales[[#This Row],[Licenses Bought]])</f>
        <v>1</v>
      </c>
      <c r="P1396" s="8">
        <f>IF(Sales[[#This Row],[Sales Month]]=MAX(Sales[Sales Month]),Sales[[#This Row],[Non-Paying Users]]*Sales[[#This Row],[Upsell $ per Non-Paying User]],0)</f>
        <v>0</v>
      </c>
      <c r="Q1396" t="str" cm="1">
        <f t="array" ref="Q1396">_xlfn.IFS(Sales[[#This Row],[Current Upsell $]]=0,"",Sales[[#This Row],[Current Upsell $]]&gt;=400,"High",Sales[[#This Row],[Current Upsell $]]&gt;=100,"Medium",Sales[[#This Row],[Current Upsell $]]&lt;100,"Low")</f>
        <v/>
      </c>
      <c r="R1396" t="str">
        <f>IF(Sales[[#This Row],[Current Upsell $]]&gt;0,_xlfn.CONCAT(Sales[[#This Row],[Subscription Type]]," ",Sales[[#This Row],[Upsell Priority]]," ",TEXT(Sales[[#This Row],[Current Upsell $]],"$#,#")),"")</f>
        <v/>
      </c>
    </row>
    <row r="1397" spans="1:18" x14ac:dyDescent="0.25">
      <c r="A1397">
        <v>100141</v>
      </c>
      <c r="B1397" t="s">
        <v>0</v>
      </c>
      <c r="D1397" s="1"/>
      <c r="E1397" s="1"/>
      <c r="F1397">
        <v>1</v>
      </c>
      <c r="G1397">
        <v>2</v>
      </c>
      <c r="H1397" s="1">
        <v>44075</v>
      </c>
      <c r="I1397" s="1">
        <v>44378</v>
      </c>
      <c r="J1397">
        <v>10</v>
      </c>
      <c r="K1397">
        <v>0</v>
      </c>
      <c r="L1397" s="1">
        <v>44348</v>
      </c>
      <c r="M1397">
        <v>10</v>
      </c>
      <c r="N1397" s="8" cm="1">
        <f t="array" ref="N1397">_xlfn.SWITCH(Sales[[#This Row],[Subscription Type]],"Basic",10,"Premium",10,"Business",25,"Enterprise",27)</f>
        <v>10</v>
      </c>
      <c r="O1397">
        <f>IF(Sales[[#This Row],[Number of Users]]-Sales[[#This Row],[Licenses Bought]]&lt;0,0,Sales[[#This Row],[Number of Users]]-Sales[[#This Row],[Licenses Bought]])</f>
        <v>1</v>
      </c>
      <c r="P1397" s="8">
        <f>IF(Sales[[#This Row],[Sales Month]]=MAX(Sales[Sales Month]),Sales[[#This Row],[Non-Paying Users]]*Sales[[#This Row],[Upsell $ per Non-Paying User]],0)</f>
        <v>10</v>
      </c>
      <c r="Q1397" t="str" cm="1">
        <f t="array" ref="Q1397">_xlfn.IFS(Sales[[#This Row],[Current Upsell $]]=0,"",Sales[[#This Row],[Current Upsell $]]&gt;=400,"High",Sales[[#This Row],[Current Upsell $]]&gt;=100,"Medium",Sales[[#This Row],[Current Upsell $]]&lt;100,"Low")</f>
        <v>Low</v>
      </c>
      <c r="R1397" t="str">
        <f>IF(Sales[[#This Row],[Current Upsell $]]&gt;0,_xlfn.CONCAT(Sales[[#This Row],[Subscription Type]]," ",Sales[[#This Row],[Upsell Priority]]," ",TEXT(Sales[[#This Row],[Current Upsell $]],"$#,#")),"")</f>
        <v>Premium Low $10</v>
      </c>
    </row>
    <row r="1398" spans="1:18" x14ac:dyDescent="0.25">
      <c r="A1398">
        <v>100142</v>
      </c>
      <c r="B1398" t="s">
        <v>3</v>
      </c>
      <c r="D1398" s="1"/>
      <c r="E1398" s="1"/>
      <c r="F1398">
        <v>0</v>
      </c>
      <c r="G1398">
        <v>2</v>
      </c>
      <c r="H1398" s="1">
        <v>44075</v>
      </c>
      <c r="I1398" s="1">
        <v>44378</v>
      </c>
      <c r="J1398">
        <v>10</v>
      </c>
      <c r="K1398">
        <v>0</v>
      </c>
      <c r="L1398" s="1">
        <v>44075</v>
      </c>
      <c r="M1398">
        <v>0</v>
      </c>
      <c r="N1398" s="8" cm="1">
        <f t="array" ref="N1398">_xlfn.SWITCH(Sales[[#This Row],[Subscription Type]],"Basic",10,"Premium",10,"Business",25,"Enterprise",27)</f>
        <v>10</v>
      </c>
      <c r="O1398">
        <f>IF(Sales[[#This Row],[Number of Users]]-Sales[[#This Row],[Licenses Bought]]&lt;0,0,Sales[[#This Row],[Number of Users]]-Sales[[#This Row],[Licenses Bought]])</f>
        <v>2</v>
      </c>
      <c r="P1398" s="8">
        <f>IF(Sales[[#This Row],[Sales Month]]=MAX(Sales[Sales Month]),Sales[[#This Row],[Non-Paying Users]]*Sales[[#This Row],[Upsell $ per Non-Paying User]],0)</f>
        <v>0</v>
      </c>
      <c r="Q1398" t="str" cm="1">
        <f t="array" ref="Q1398">_xlfn.IFS(Sales[[#This Row],[Current Upsell $]]=0,"",Sales[[#This Row],[Current Upsell $]]&gt;=400,"High",Sales[[#This Row],[Current Upsell $]]&gt;=100,"Medium",Sales[[#This Row],[Current Upsell $]]&lt;100,"Low")</f>
        <v/>
      </c>
      <c r="R1398" t="str">
        <f>IF(Sales[[#This Row],[Current Upsell $]]&gt;0,_xlfn.CONCAT(Sales[[#This Row],[Subscription Type]]," ",Sales[[#This Row],[Upsell Priority]]," ",TEXT(Sales[[#This Row],[Current Upsell $]],"$#,#")),"")</f>
        <v/>
      </c>
    </row>
    <row r="1399" spans="1:18" x14ac:dyDescent="0.25">
      <c r="A1399">
        <v>100142</v>
      </c>
      <c r="B1399" t="s">
        <v>0</v>
      </c>
      <c r="D1399" s="1"/>
      <c r="E1399" s="1"/>
      <c r="F1399">
        <v>1</v>
      </c>
      <c r="G1399">
        <v>2</v>
      </c>
      <c r="H1399" s="1">
        <v>44075</v>
      </c>
      <c r="I1399" s="1">
        <v>44378</v>
      </c>
      <c r="J1399">
        <v>10</v>
      </c>
      <c r="K1399">
        <v>0</v>
      </c>
      <c r="L1399" s="1">
        <v>44105</v>
      </c>
      <c r="M1399">
        <v>10</v>
      </c>
      <c r="N1399" s="8" cm="1">
        <f t="array" ref="N1399">_xlfn.SWITCH(Sales[[#This Row],[Subscription Type]],"Basic",10,"Premium",10,"Business",25,"Enterprise",27)</f>
        <v>10</v>
      </c>
      <c r="O1399">
        <f>IF(Sales[[#This Row],[Number of Users]]-Sales[[#This Row],[Licenses Bought]]&lt;0,0,Sales[[#This Row],[Number of Users]]-Sales[[#This Row],[Licenses Bought]])</f>
        <v>1</v>
      </c>
      <c r="P1399" s="8">
        <f>IF(Sales[[#This Row],[Sales Month]]=MAX(Sales[Sales Month]),Sales[[#This Row],[Non-Paying Users]]*Sales[[#This Row],[Upsell $ per Non-Paying User]],0)</f>
        <v>0</v>
      </c>
      <c r="Q1399" t="str" cm="1">
        <f t="array" ref="Q1399">_xlfn.IFS(Sales[[#This Row],[Current Upsell $]]=0,"",Sales[[#This Row],[Current Upsell $]]&gt;=400,"High",Sales[[#This Row],[Current Upsell $]]&gt;=100,"Medium",Sales[[#This Row],[Current Upsell $]]&lt;100,"Low")</f>
        <v/>
      </c>
      <c r="R1399" t="str">
        <f>IF(Sales[[#This Row],[Current Upsell $]]&gt;0,_xlfn.CONCAT(Sales[[#This Row],[Subscription Type]]," ",Sales[[#This Row],[Upsell Priority]]," ",TEXT(Sales[[#This Row],[Current Upsell $]],"$#,#")),"")</f>
        <v/>
      </c>
    </row>
    <row r="1400" spans="1:18" x14ac:dyDescent="0.25">
      <c r="A1400">
        <v>100142</v>
      </c>
      <c r="B1400" t="s">
        <v>0</v>
      </c>
      <c r="D1400" s="1"/>
      <c r="E1400" s="1"/>
      <c r="F1400">
        <v>1</v>
      </c>
      <c r="G1400">
        <v>2</v>
      </c>
      <c r="H1400" s="1">
        <v>44075</v>
      </c>
      <c r="I1400" s="1">
        <v>44378</v>
      </c>
      <c r="J1400">
        <v>10</v>
      </c>
      <c r="K1400">
        <v>0</v>
      </c>
      <c r="L1400" s="1">
        <v>44136</v>
      </c>
      <c r="M1400">
        <v>10</v>
      </c>
      <c r="N1400" s="8" cm="1">
        <f t="array" ref="N1400">_xlfn.SWITCH(Sales[[#This Row],[Subscription Type]],"Basic",10,"Premium",10,"Business",25,"Enterprise",27)</f>
        <v>10</v>
      </c>
      <c r="O1400">
        <f>IF(Sales[[#This Row],[Number of Users]]-Sales[[#This Row],[Licenses Bought]]&lt;0,0,Sales[[#This Row],[Number of Users]]-Sales[[#This Row],[Licenses Bought]])</f>
        <v>1</v>
      </c>
      <c r="P1400" s="8">
        <f>IF(Sales[[#This Row],[Sales Month]]=MAX(Sales[Sales Month]),Sales[[#This Row],[Non-Paying Users]]*Sales[[#This Row],[Upsell $ per Non-Paying User]],0)</f>
        <v>0</v>
      </c>
      <c r="Q1400" t="str" cm="1">
        <f t="array" ref="Q1400">_xlfn.IFS(Sales[[#This Row],[Current Upsell $]]=0,"",Sales[[#This Row],[Current Upsell $]]&gt;=400,"High",Sales[[#This Row],[Current Upsell $]]&gt;=100,"Medium",Sales[[#This Row],[Current Upsell $]]&lt;100,"Low")</f>
        <v/>
      </c>
      <c r="R1400" t="str">
        <f>IF(Sales[[#This Row],[Current Upsell $]]&gt;0,_xlfn.CONCAT(Sales[[#This Row],[Subscription Type]]," ",Sales[[#This Row],[Upsell Priority]]," ",TEXT(Sales[[#This Row],[Current Upsell $]],"$#,#")),"")</f>
        <v/>
      </c>
    </row>
    <row r="1401" spans="1:18" x14ac:dyDescent="0.25">
      <c r="A1401">
        <v>100142</v>
      </c>
      <c r="B1401" t="s">
        <v>0</v>
      </c>
      <c r="D1401" s="1"/>
      <c r="E1401" s="1"/>
      <c r="F1401">
        <v>1</v>
      </c>
      <c r="G1401">
        <v>2</v>
      </c>
      <c r="H1401" s="1">
        <v>44075</v>
      </c>
      <c r="I1401" s="1">
        <v>44378</v>
      </c>
      <c r="J1401">
        <v>10</v>
      </c>
      <c r="K1401">
        <v>0</v>
      </c>
      <c r="L1401" s="1">
        <v>44166</v>
      </c>
      <c r="M1401">
        <v>10</v>
      </c>
      <c r="N1401" s="8" cm="1">
        <f t="array" ref="N1401">_xlfn.SWITCH(Sales[[#This Row],[Subscription Type]],"Basic",10,"Premium",10,"Business",25,"Enterprise",27)</f>
        <v>10</v>
      </c>
      <c r="O1401">
        <f>IF(Sales[[#This Row],[Number of Users]]-Sales[[#This Row],[Licenses Bought]]&lt;0,0,Sales[[#This Row],[Number of Users]]-Sales[[#This Row],[Licenses Bought]])</f>
        <v>1</v>
      </c>
      <c r="P1401" s="8">
        <f>IF(Sales[[#This Row],[Sales Month]]=MAX(Sales[Sales Month]),Sales[[#This Row],[Non-Paying Users]]*Sales[[#This Row],[Upsell $ per Non-Paying User]],0)</f>
        <v>0</v>
      </c>
      <c r="Q1401" t="str" cm="1">
        <f t="array" ref="Q1401">_xlfn.IFS(Sales[[#This Row],[Current Upsell $]]=0,"",Sales[[#This Row],[Current Upsell $]]&gt;=400,"High",Sales[[#This Row],[Current Upsell $]]&gt;=100,"Medium",Sales[[#This Row],[Current Upsell $]]&lt;100,"Low")</f>
        <v/>
      </c>
      <c r="R1401" t="str">
        <f>IF(Sales[[#This Row],[Current Upsell $]]&gt;0,_xlfn.CONCAT(Sales[[#This Row],[Subscription Type]]," ",Sales[[#This Row],[Upsell Priority]]," ",TEXT(Sales[[#This Row],[Current Upsell $]],"$#,#")),"")</f>
        <v/>
      </c>
    </row>
    <row r="1402" spans="1:18" x14ac:dyDescent="0.25">
      <c r="A1402">
        <v>100142</v>
      </c>
      <c r="B1402" t="s">
        <v>0</v>
      </c>
      <c r="D1402" s="1"/>
      <c r="E1402" s="1"/>
      <c r="F1402">
        <v>1</v>
      </c>
      <c r="G1402">
        <v>1</v>
      </c>
      <c r="H1402" s="1">
        <v>44075</v>
      </c>
      <c r="I1402" s="1">
        <v>44378</v>
      </c>
      <c r="J1402">
        <v>10</v>
      </c>
      <c r="K1402">
        <v>0</v>
      </c>
      <c r="L1402" s="1">
        <v>44197</v>
      </c>
      <c r="M1402">
        <v>10</v>
      </c>
      <c r="N1402" s="8" cm="1">
        <f t="array" ref="N1402">_xlfn.SWITCH(Sales[[#This Row],[Subscription Type]],"Basic",10,"Premium",10,"Business",25,"Enterprise",27)</f>
        <v>10</v>
      </c>
      <c r="O1402">
        <f>IF(Sales[[#This Row],[Number of Users]]-Sales[[#This Row],[Licenses Bought]]&lt;0,0,Sales[[#This Row],[Number of Users]]-Sales[[#This Row],[Licenses Bought]])</f>
        <v>0</v>
      </c>
      <c r="P1402" s="8">
        <f>IF(Sales[[#This Row],[Sales Month]]=MAX(Sales[Sales Month]),Sales[[#This Row],[Non-Paying Users]]*Sales[[#This Row],[Upsell $ per Non-Paying User]],0)</f>
        <v>0</v>
      </c>
      <c r="Q1402" t="str" cm="1">
        <f t="array" ref="Q1402">_xlfn.IFS(Sales[[#This Row],[Current Upsell $]]=0,"",Sales[[#This Row],[Current Upsell $]]&gt;=400,"High",Sales[[#This Row],[Current Upsell $]]&gt;=100,"Medium",Sales[[#This Row],[Current Upsell $]]&lt;100,"Low")</f>
        <v/>
      </c>
      <c r="R1402" t="str">
        <f>IF(Sales[[#This Row],[Current Upsell $]]&gt;0,_xlfn.CONCAT(Sales[[#This Row],[Subscription Type]]," ",Sales[[#This Row],[Upsell Priority]]," ",TEXT(Sales[[#This Row],[Current Upsell $]],"$#,#")),"")</f>
        <v/>
      </c>
    </row>
    <row r="1403" spans="1:18" x14ac:dyDescent="0.25">
      <c r="A1403">
        <v>100142</v>
      </c>
      <c r="B1403" t="s">
        <v>0</v>
      </c>
      <c r="D1403" s="1"/>
      <c r="E1403" s="1"/>
      <c r="F1403">
        <v>1</v>
      </c>
      <c r="G1403">
        <v>2</v>
      </c>
      <c r="H1403" s="1">
        <v>44075</v>
      </c>
      <c r="I1403" s="1">
        <v>44378</v>
      </c>
      <c r="J1403">
        <v>10</v>
      </c>
      <c r="K1403">
        <v>0</v>
      </c>
      <c r="L1403" s="1">
        <v>44228</v>
      </c>
      <c r="M1403">
        <v>10</v>
      </c>
      <c r="N1403" s="8" cm="1">
        <f t="array" ref="N1403">_xlfn.SWITCH(Sales[[#This Row],[Subscription Type]],"Basic",10,"Premium",10,"Business",25,"Enterprise",27)</f>
        <v>10</v>
      </c>
      <c r="O1403">
        <f>IF(Sales[[#This Row],[Number of Users]]-Sales[[#This Row],[Licenses Bought]]&lt;0,0,Sales[[#This Row],[Number of Users]]-Sales[[#This Row],[Licenses Bought]])</f>
        <v>1</v>
      </c>
      <c r="P1403" s="8">
        <f>IF(Sales[[#This Row],[Sales Month]]=MAX(Sales[Sales Month]),Sales[[#This Row],[Non-Paying Users]]*Sales[[#This Row],[Upsell $ per Non-Paying User]],0)</f>
        <v>0</v>
      </c>
      <c r="Q1403" t="str" cm="1">
        <f t="array" ref="Q1403">_xlfn.IFS(Sales[[#This Row],[Current Upsell $]]=0,"",Sales[[#This Row],[Current Upsell $]]&gt;=400,"High",Sales[[#This Row],[Current Upsell $]]&gt;=100,"Medium",Sales[[#This Row],[Current Upsell $]]&lt;100,"Low")</f>
        <v/>
      </c>
      <c r="R1403" t="str">
        <f>IF(Sales[[#This Row],[Current Upsell $]]&gt;0,_xlfn.CONCAT(Sales[[#This Row],[Subscription Type]]," ",Sales[[#This Row],[Upsell Priority]]," ",TEXT(Sales[[#This Row],[Current Upsell $]],"$#,#")),"")</f>
        <v/>
      </c>
    </row>
    <row r="1404" spans="1:18" x14ac:dyDescent="0.25">
      <c r="A1404">
        <v>100142</v>
      </c>
      <c r="B1404" t="s">
        <v>0</v>
      </c>
      <c r="D1404" s="1"/>
      <c r="E1404" s="1"/>
      <c r="F1404">
        <v>1</v>
      </c>
      <c r="G1404">
        <v>2</v>
      </c>
      <c r="H1404" s="1">
        <v>44075</v>
      </c>
      <c r="I1404" s="1">
        <v>44378</v>
      </c>
      <c r="J1404">
        <v>10</v>
      </c>
      <c r="K1404">
        <v>0</v>
      </c>
      <c r="L1404" s="1">
        <v>44256</v>
      </c>
      <c r="M1404">
        <v>10</v>
      </c>
      <c r="N1404" s="8" cm="1">
        <f t="array" ref="N1404">_xlfn.SWITCH(Sales[[#This Row],[Subscription Type]],"Basic",10,"Premium",10,"Business",25,"Enterprise",27)</f>
        <v>10</v>
      </c>
      <c r="O1404">
        <f>IF(Sales[[#This Row],[Number of Users]]-Sales[[#This Row],[Licenses Bought]]&lt;0,0,Sales[[#This Row],[Number of Users]]-Sales[[#This Row],[Licenses Bought]])</f>
        <v>1</v>
      </c>
      <c r="P1404" s="8">
        <f>IF(Sales[[#This Row],[Sales Month]]=MAX(Sales[Sales Month]),Sales[[#This Row],[Non-Paying Users]]*Sales[[#This Row],[Upsell $ per Non-Paying User]],0)</f>
        <v>0</v>
      </c>
      <c r="Q1404" t="str" cm="1">
        <f t="array" ref="Q1404">_xlfn.IFS(Sales[[#This Row],[Current Upsell $]]=0,"",Sales[[#This Row],[Current Upsell $]]&gt;=400,"High",Sales[[#This Row],[Current Upsell $]]&gt;=100,"Medium",Sales[[#This Row],[Current Upsell $]]&lt;100,"Low")</f>
        <v/>
      </c>
      <c r="R1404" t="str">
        <f>IF(Sales[[#This Row],[Current Upsell $]]&gt;0,_xlfn.CONCAT(Sales[[#This Row],[Subscription Type]]," ",Sales[[#This Row],[Upsell Priority]]," ",TEXT(Sales[[#This Row],[Current Upsell $]],"$#,#")),"")</f>
        <v/>
      </c>
    </row>
    <row r="1405" spans="1:18" x14ac:dyDescent="0.25">
      <c r="A1405">
        <v>100142</v>
      </c>
      <c r="B1405" t="s">
        <v>0</v>
      </c>
      <c r="D1405" s="1"/>
      <c r="E1405" s="1"/>
      <c r="F1405">
        <v>1</v>
      </c>
      <c r="G1405">
        <v>2</v>
      </c>
      <c r="H1405" s="1">
        <v>44075</v>
      </c>
      <c r="I1405" s="1">
        <v>44378</v>
      </c>
      <c r="J1405">
        <v>10</v>
      </c>
      <c r="K1405">
        <v>0</v>
      </c>
      <c r="L1405" s="1">
        <v>44287</v>
      </c>
      <c r="M1405">
        <v>10</v>
      </c>
      <c r="N1405" s="8" cm="1">
        <f t="array" ref="N1405">_xlfn.SWITCH(Sales[[#This Row],[Subscription Type]],"Basic",10,"Premium",10,"Business",25,"Enterprise",27)</f>
        <v>10</v>
      </c>
      <c r="O1405">
        <f>IF(Sales[[#This Row],[Number of Users]]-Sales[[#This Row],[Licenses Bought]]&lt;0,0,Sales[[#This Row],[Number of Users]]-Sales[[#This Row],[Licenses Bought]])</f>
        <v>1</v>
      </c>
      <c r="P1405" s="8">
        <f>IF(Sales[[#This Row],[Sales Month]]=MAX(Sales[Sales Month]),Sales[[#This Row],[Non-Paying Users]]*Sales[[#This Row],[Upsell $ per Non-Paying User]],0)</f>
        <v>0</v>
      </c>
      <c r="Q1405" t="str" cm="1">
        <f t="array" ref="Q1405">_xlfn.IFS(Sales[[#This Row],[Current Upsell $]]=0,"",Sales[[#This Row],[Current Upsell $]]&gt;=400,"High",Sales[[#This Row],[Current Upsell $]]&gt;=100,"Medium",Sales[[#This Row],[Current Upsell $]]&lt;100,"Low")</f>
        <v/>
      </c>
      <c r="R1405" t="str">
        <f>IF(Sales[[#This Row],[Current Upsell $]]&gt;0,_xlfn.CONCAT(Sales[[#This Row],[Subscription Type]]," ",Sales[[#This Row],[Upsell Priority]]," ",TEXT(Sales[[#This Row],[Current Upsell $]],"$#,#")),"")</f>
        <v/>
      </c>
    </row>
    <row r="1406" spans="1:18" x14ac:dyDescent="0.25">
      <c r="A1406">
        <v>100142</v>
      </c>
      <c r="B1406" t="s">
        <v>0</v>
      </c>
      <c r="D1406" s="1"/>
      <c r="E1406" s="1"/>
      <c r="F1406">
        <v>1</v>
      </c>
      <c r="G1406">
        <v>2</v>
      </c>
      <c r="H1406" s="1">
        <v>44075</v>
      </c>
      <c r="I1406" s="1">
        <v>44378</v>
      </c>
      <c r="J1406">
        <v>10</v>
      </c>
      <c r="K1406">
        <v>0</v>
      </c>
      <c r="L1406" s="1">
        <v>44317</v>
      </c>
      <c r="M1406">
        <v>10</v>
      </c>
      <c r="N1406" s="8" cm="1">
        <f t="array" ref="N1406">_xlfn.SWITCH(Sales[[#This Row],[Subscription Type]],"Basic",10,"Premium",10,"Business",25,"Enterprise",27)</f>
        <v>10</v>
      </c>
      <c r="O1406">
        <f>IF(Sales[[#This Row],[Number of Users]]-Sales[[#This Row],[Licenses Bought]]&lt;0,0,Sales[[#This Row],[Number of Users]]-Sales[[#This Row],[Licenses Bought]])</f>
        <v>1</v>
      </c>
      <c r="P1406" s="8">
        <f>IF(Sales[[#This Row],[Sales Month]]=MAX(Sales[Sales Month]),Sales[[#This Row],[Non-Paying Users]]*Sales[[#This Row],[Upsell $ per Non-Paying User]],0)</f>
        <v>0</v>
      </c>
      <c r="Q1406" t="str" cm="1">
        <f t="array" ref="Q1406">_xlfn.IFS(Sales[[#This Row],[Current Upsell $]]=0,"",Sales[[#This Row],[Current Upsell $]]&gt;=400,"High",Sales[[#This Row],[Current Upsell $]]&gt;=100,"Medium",Sales[[#This Row],[Current Upsell $]]&lt;100,"Low")</f>
        <v/>
      </c>
      <c r="R1406" t="str">
        <f>IF(Sales[[#This Row],[Current Upsell $]]&gt;0,_xlfn.CONCAT(Sales[[#This Row],[Subscription Type]]," ",Sales[[#This Row],[Upsell Priority]]," ",TEXT(Sales[[#This Row],[Current Upsell $]],"$#,#")),"")</f>
        <v/>
      </c>
    </row>
    <row r="1407" spans="1:18" x14ac:dyDescent="0.25">
      <c r="A1407">
        <v>100142</v>
      </c>
      <c r="B1407" t="s">
        <v>0</v>
      </c>
      <c r="D1407" s="1"/>
      <c r="E1407" s="1"/>
      <c r="F1407">
        <v>1</v>
      </c>
      <c r="G1407">
        <v>1</v>
      </c>
      <c r="H1407" s="1">
        <v>44075</v>
      </c>
      <c r="I1407" s="1">
        <v>44378</v>
      </c>
      <c r="J1407">
        <v>10</v>
      </c>
      <c r="K1407">
        <v>0</v>
      </c>
      <c r="L1407" s="1">
        <v>44348</v>
      </c>
      <c r="M1407">
        <v>10</v>
      </c>
      <c r="N1407" s="8" cm="1">
        <f t="array" ref="N1407">_xlfn.SWITCH(Sales[[#This Row],[Subscription Type]],"Basic",10,"Premium",10,"Business",25,"Enterprise",27)</f>
        <v>10</v>
      </c>
      <c r="O1407">
        <f>IF(Sales[[#This Row],[Number of Users]]-Sales[[#This Row],[Licenses Bought]]&lt;0,0,Sales[[#This Row],[Number of Users]]-Sales[[#This Row],[Licenses Bought]])</f>
        <v>0</v>
      </c>
      <c r="P1407" s="8">
        <f>IF(Sales[[#This Row],[Sales Month]]=MAX(Sales[Sales Month]),Sales[[#This Row],[Non-Paying Users]]*Sales[[#This Row],[Upsell $ per Non-Paying User]],0)</f>
        <v>0</v>
      </c>
      <c r="Q1407" t="str" cm="1">
        <f t="array" ref="Q1407">_xlfn.IFS(Sales[[#This Row],[Current Upsell $]]=0,"",Sales[[#This Row],[Current Upsell $]]&gt;=400,"High",Sales[[#This Row],[Current Upsell $]]&gt;=100,"Medium",Sales[[#This Row],[Current Upsell $]]&lt;100,"Low")</f>
        <v/>
      </c>
      <c r="R1407" t="str">
        <f>IF(Sales[[#This Row],[Current Upsell $]]&gt;0,_xlfn.CONCAT(Sales[[#This Row],[Subscription Type]]," ",Sales[[#This Row],[Upsell Priority]]," ",TEXT(Sales[[#This Row],[Current Upsell $]],"$#,#")),"")</f>
        <v/>
      </c>
    </row>
    <row r="1408" spans="1:18" x14ac:dyDescent="0.25">
      <c r="A1408">
        <v>100143</v>
      </c>
      <c r="B1408" t="s">
        <v>3</v>
      </c>
      <c r="D1408" s="1"/>
      <c r="E1408" s="1"/>
      <c r="F1408">
        <v>0</v>
      </c>
      <c r="G1408">
        <v>2</v>
      </c>
      <c r="H1408" s="1">
        <v>44075</v>
      </c>
      <c r="I1408" s="1">
        <v>44378</v>
      </c>
      <c r="J1408">
        <v>10</v>
      </c>
      <c r="K1408">
        <v>0</v>
      </c>
      <c r="L1408" s="1">
        <v>44075</v>
      </c>
      <c r="M1408">
        <v>0</v>
      </c>
      <c r="N1408" s="8" cm="1">
        <f t="array" ref="N1408">_xlfn.SWITCH(Sales[[#This Row],[Subscription Type]],"Basic",10,"Premium",10,"Business",25,"Enterprise",27)</f>
        <v>10</v>
      </c>
      <c r="O1408">
        <f>IF(Sales[[#This Row],[Number of Users]]-Sales[[#This Row],[Licenses Bought]]&lt;0,0,Sales[[#This Row],[Number of Users]]-Sales[[#This Row],[Licenses Bought]])</f>
        <v>2</v>
      </c>
      <c r="P1408" s="8">
        <f>IF(Sales[[#This Row],[Sales Month]]=MAX(Sales[Sales Month]),Sales[[#This Row],[Non-Paying Users]]*Sales[[#This Row],[Upsell $ per Non-Paying User]],0)</f>
        <v>0</v>
      </c>
      <c r="Q1408" t="str" cm="1">
        <f t="array" ref="Q1408">_xlfn.IFS(Sales[[#This Row],[Current Upsell $]]=0,"",Sales[[#This Row],[Current Upsell $]]&gt;=400,"High",Sales[[#This Row],[Current Upsell $]]&gt;=100,"Medium",Sales[[#This Row],[Current Upsell $]]&lt;100,"Low")</f>
        <v/>
      </c>
      <c r="R1408" t="str">
        <f>IF(Sales[[#This Row],[Current Upsell $]]&gt;0,_xlfn.CONCAT(Sales[[#This Row],[Subscription Type]]," ",Sales[[#This Row],[Upsell Priority]]," ",TEXT(Sales[[#This Row],[Current Upsell $]],"$#,#")),"")</f>
        <v/>
      </c>
    </row>
    <row r="1409" spans="1:18" x14ac:dyDescent="0.25">
      <c r="A1409">
        <v>100143</v>
      </c>
      <c r="B1409" t="s">
        <v>0</v>
      </c>
      <c r="D1409" s="1"/>
      <c r="E1409" s="1"/>
      <c r="F1409">
        <v>1</v>
      </c>
      <c r="G1409">
        <v>2</v>
      </c>
      <c r="H1409" s="1">
        <v>44075</v>
      </c>
      <c r="I1409" s="1">
        <v>44378</v>
      </c>
      <c r="J1409">
        <v>10</v>
      </c>
      <c r="K1409">
        <v>0</v>
      </c>
      <c r="L1409" s="1">
        <v>44105</v>
      </c>
      <c r="M1409">
        <v>10</v>
      </c>
      <c r="N1409" s="8" cm="1">
        <f t="array" ref="N1409">_xlfn.SWITCH(Sales[[#This Row],[Subscription Type]],"Basic",10,"Premium",10,"Business",25,"Enterprise",27)</f>
        <v>10</v>
      </c>
      <c r="O1409">
        <f>IF(Sales[[#This Row],[Number of Users]]-Sales[[#This Row],[Licenses Bought]]&lt;0,0,Sales[[#This Row],[Number of Users]]-Sales[[#This Row],[Licenses Bought]])</f>
        <v>1</v>
      </c>
      <c r="P1409" s="8">
        <f>IF(Sales[[#This Row],[Sales Month]]=MAX(Sales[Sales Month]),Sales[[#This Row],[Non-Paying Users]]*Sales[[#This Row],[Upsell $ per Non-Paying User]],0)</f>
        <v>0</v>
      </c>
      <c r="Q1409" t="str" cm="1">
        <f t="array" ref="Q1409">_xlfn.IFS(Sales[[#This Row],[Current Upsell $]]=0,"",Sales[[#This Row],[Current Upsell $]]&gt;=400,"High",Sales[[#This Row],[Current Upsell $]]&gt;=100,"Medium",Sales[[#This Row],[Current Upsell $]]&lt;100,"Low")</f>
        <v/>
      </c>
      <c r="R1409" t="str">
        <f>IF(Sales[[#This Row],[Current Upsell $]]&gt;0,_xlfn.CONCAT(Sales[[#This Row],[Subscription Type]]," ",Sales[[#This Row],[Upsell Priority]]," ",TEXT(Sales[[#This Row],[Current Upsell $]],"$#,#")),"")</f>
        <v/>
      </c>
    </row>
    <row r="1410" spans="1:18" x14ac:dyDescent="0.25">
      <c r="A1410">
        <v>100143</v>
      </c>
      <c r="B1410" t="s">
        <v>0</v>
      </c>
      <c r="D1410" s="1"/>
      <c r="E1410" s="1"/>
      <c r="F1410">
        <v>1</v>
      </c>
      <c r="G1410">
        <v>2</v>
      </c>
      <c r="H1410" s="1">
        <v>44075</v>
      </c>
      <c r="I1410" s="1">
        <v>44378</v>
      </c>
      <c r="J1410">
        <v>10</v>
      </c>
      <c r="K1410">
        <v>0</v>
      </c>
      <c r="L1410" s="1">
        <v>44136</v>
      </c>
      <c r="M1410">
        <v>10</v>
      </c>
      <c r="N1410" s="8" cm="1">
        <f t="array" ref="N1410">_xlfn.SWITCH(Sales[[#This Row],[Subscription Type]],"Basic",10,"Premium",10,"Business",25,"Enterprise",27)</f>
        <v>10</v>
      </c>
      <c r="O1410">
        <f>IF(Sales[[#This Row],[Number of Users]]-Sales[[#This Row],[Licenses Bought]]&lt;0,0,Sales[[#This Row],[Number of Users]]-Sales[[#This Row],[Licenses Bought]])</f>
        <v>1</v>
      </c>
      <c r="P1410" s="8">
        <f>IF(Sales[[#This Row],[Sales Month]]=MAX(Sales[Sales Month]),Sales[[#This Row],[Non-Paying Users]]*Sales[[#This Row],[Upsell $ per Non-Paying User]],0)</f>
        <v>0</v>
      </c>
      <c r="Q1410" t="str" cm="1">
        <f t="array" ref="Q1410">_xlfn.IFS(Sales[[#This Row],[Current Upsell $]]=0,"",Sales[[#This Row],[Current Upsell $]]&gt;=400,"High",Sales[[#This Row],[Current Upsell $]]&gt;=100,"Medium",Sales[[#This Row],[Current Upsell $]]&lt;100,"Low")</f>
        <v/>
      </c>
      <c r="R1410" t="str">
        <f>IF(Sales[[#This Row],[Current Upsell $]]&gt;0,_xlfn.CONCAT(Sales[[#This Row],[Subscription Type]]," ",Sales[[#This Row],[Upsell Priority]]," ",TEXT(Sales[[#This Row],[Current Upsell $]],"$#,#")),"")</f>
        <v/>
      </c>
    </row>
    <row r="1411" spans="1:18" x14ac:dyDescent="0.25">
      <c r="A1411">
        <v>100143</v>
      </c>
      <c r="B1411" t="s">
        <v>0</v>
      </c>
      <c r="D1411" s="1"/>
      <c r="E1411" s="1"/>
      <c r="F1411">
        <v>1</v>
      </c>
      <c r="G1411">
        <v>2</v>
      </c>
      <c r="H1411" s="1">
        <v>44075</v>
      </c>
      <c r="I1411" s="1">
        <v>44378</v>
      </c>
      <c r="J1411">
        <v>10</v>
      </c>
      <c r="K1411">
        <v>0</v>
      </c>
      <c r="L1411" s="1">
        <v>44166</v>
      </c>
      <c r="M1411">
        <v>10</v>
      </c>
      <c r="N1411" s="8" cm="1">
        <f t="array" ref="N1411">_xlfn.SWITCH(Sales[[#This Row],[Subscription Type]],"Basic",10,"Premium",10,"Business",25,"Enterprise",27)</f>
        <v>10</v>
      </c>
      <c r="O1411">
        <f>IF(Sales[[#This Row],[Number of Users]]-Sales[[#This Row],[Licenses Bought]]&lt;0,0,Sales[[#This Row],[Number of Users]]-Sales[[#This Row],[Licenses Bought]])</f>
        <v>1</v>
      </c>
      <c r="P1411" s="8">
        <f>IF(Sales[[#This Row],[Sales Month]]=MAX(Sales[Sales Month]),Sales[[#This Row],[Non-Paying Users]]*Sales[[#This Row],[Upsell $ per Non-Paying User]],0)</f>
        <v>0</v>
      </c>
      <c r="Q1411" t="str" cm="1">
        <f t="array" ref="Q1411">_xlfn.IFS(Sales[[#This Row],[Current Upsell $]]=0,"",Sales[[#This Row],[Current Upsell $]]&gt;=400,"High",Sales[[#This Row],[Current Upsell $]]&gt;=100,"Medium",Sales[[#This Row],[Current Upsell $]]&lt;100,"Low")</f>
        <v/>
      </c>
      <c r="R1411" t="str">
        <f>IF(Sales[[#This Row],[Current Upsell $]]&gt;0,_xlfn.CONCAT(Sales[[#This Row],[Subscription Type]]," ",Sales[[#This Row],[Upsell Priority]]," ",TEXT(Sales[[#This Row],[Current Upsell $]],"$#,#")),"")</f>
        <v/>
      </c>
    </row>
    <row r="1412" spans="1:18" x14ac:dyDescent="0.25">
      <c r="A1412">
        <v>100143</v>
      </c>
      <c r="B1412" t="s">
        <v>0</v>
      </c>
      <c r="D1412" s="1"/>
      <c r="E1412" s="1"/>
      <c r="F1412">
        <v>1</v>
      </c>
      <c r="G1412">
        <v>2</v>
      </c>
      <c r="H1412" s="1">
        <v>44075</v>
      </c>
      <c r="I1412" s="1">
        <v>44378</v>
      </c>
      <c r="J1412">
        <v>10</v>
      </c>
      <c r="K1412">
        <v>0</v>
      </c>
      <c r="L1412" s="1">
        <v>44197</v>
      </c>
      <c r="M1412">
        <v>10</v>
      </c>
      <c r="N1412" s="8" cm="1">
        <f t="array" ref="N1412">_xlfn.SWITCH(Sales[[#This Row],[Subscription Type]],"Basic",10,"Premium",10,"Business",25,"Enterprise",27)</f>
        <v>10</v>
      </c>
      <c r="O1412">
        <f>IF(Sales[[#This Row],[Number of Users]]-Sales[[#This Row],[Licenses Bought]]&lt;0,0,Sales[[#This Row],[Number of Users]]-Sales[[#This Row],[Licenses Bought]])</f>
        <v>1</v>
      </c>
      <c r="P1412" s="8">
        <f>IF(Sales[[#This Row],[Sales Month]]=MAX(Sales[Sales Month]),Sales[[#This Row],[Non-Paying Users]]*Sales[[#This Row],[Upsell $ per Non-Paying User]],0)</f>
        <v>0</v>
      </c>
      <c r="Q1412" t="str" cm="1">
        <f t="array" ref="Q1412">_xlfn.IFS(Sales[[#This Row],[Current Upsell $]]=0,"",Sales[[#This Row],[Current Upsell $]]&gt;=400,"High",Sales[[#This Row],[Current Upsell $]]&gt;=100,"Medium",Sales[[#This Row],[Current Upsell $]]&lt;100,"Low")</f>
        <v/>
      </c>
      <c r="R1412" t="str">
        <f>IF(Sales[[#This Row],[Current Upsell $]]&gt;0,_xlfn.CONCAT(Sales[[#This Row],[Subscription Type]]," ",Sales[[#This Row],[Upsell Priority]]," ",TEXT(Sales[[#This Row],[Current Upsell $]],"$#,#")),"")</f>
        <v/>
      </c>
    </row>
    <row r="1413" spans="1:18" x14ac:dyDescent="0.25">
      <c r="A1413">
        <v>100143</v>
      </c>
      <c r="B1413" t="s">
        <v>0</v>
      </c>
      <c r="D1413" s="1"/>
      <c r="E1413" s="1"/>
      <c r="F1413">
        <v>1</v>
      </c>
      <c r="G1413">
        <v>2</v>
      </c>
      <c r="H1413" s="1">
        <v>44075</v>
      </c>
      <c r="I1413" s="1">
        <v>44378</v>
      </c>
      <c r="J1413">
        <v>10</v>
      </c>
      <c r="K1413">
        <v>0</v>
      </c>
      <c r="L1413" s="1">
        <v>44228</v>
      </c>
      <c r="M1413">
        <v>10</v>
      </c>
      <c r="N1413" s="8" cm="1">
        <f t="array" ref="N1413">_xlfn.SWITCH(Sales[[#This Row],[Subscription Type]],"Basic",10,"Premium",10,"Business",25,"Enterprise",27)</f>
        <v>10</v>
      </c>
      <c r="O1413">
        <f>IF(Sales[[#This Row],[Number of Users]]-Sales[[#This Row],[Licenses Bought]]&lt;0,0,Sales[[#This Row],[Number of Users]]-Sales[[#This Row],[Licenses Bought]])</f>
        <v>1</v>
      </c>
      <c r="P1413" s="8">
        <f>IF(Sales[[#This Row],[Sales Month]]=MAX(Sales[Sales Month]),Sales[[#This Row],[Non-Paying Users]]*Sales[[#This Row],[Upsell $ per Non-Paying User]],0)</f>
        <v>0</v>
      </c>
      <c r="Q1413" t="str" cm="1">
        <f t="array" ref="Q1413">_xlfn.IFS(Sales[[#This Row],[Current Upsell $]]=0,"",Sales[[#This Row],[Current Upsell $]]&gt;=400,"High",Sales[[#This Row],[Current Upsell $]]&gt;=100,"Medium",Sales[[#This Row],[Current Upsell $]]&lt;100,"Low")</f>
        <v/>
      </c>
      <c r="R1413" t="str">
        <f>IF(Sales[[#This Row],[Current Upsell $]]&gt;0,_xlfn.CONCAT(Sales[[#This Row],[Subscription Type]]," ",Sales[[#This Row],[Upsell Priority]]," ",TEXT(Sales[[#This Row],[Current Upsell $]],"$#,#")),"")</f>
        <v/>
      </c>
    </row>
    <row r="1414" spans="1:18" x14ac:dyDescent="0.25">
      <c r="A1414">
        <v>100143</v>
      </c>
      <c r="B1414" t="s">
        <v>0</v>
      </c>
      <c r="D1414" s="1"/>
      <c r="E1414" s="1"/>
      <c r="F1414">
        <v>1</v>
      </c>
      <c r="G1414">
        <v>2</v>
      </c>
      <c r="H1414" s="1">
        <v>44075</v>
      </c>
      <c r="I1414" s="1">
        <v>44378</v>
      </c>
      <c r="J1414">
        <v>10</v>
      </c>
      <c r="K1414">
        <v>0</v>
      </c>
      <c r="L1414" s="1">
        <v>44256</v>
      </c>
      <c r="M1414">
        <v>10</v>
      </c>
      <c r="N1414" s="8" cm="1">
        <f t="array" ref="N1414">_xlfn.SWITCH(Sales[[#This Row],[Subscription Type]],"Basic",10,"Premium",10,"Business",25,"Enterprise",27)</f>
        <v>10</v>
      </c>
      <c r="O1414">
        <f>IF(Sales[[#This Row],[Number of Users]]-Sales[[#This Row],[Licenses Bought]]&lt;0,0,Sales[[#This Row],[Number of Users]]-Sales[[#This Row],[Licenses Bought]])</f>
        <v>1</v>
      </c>
      <c r="P1414" s="8">
        <f>IF(Sales[[#This Row],[Sales Month]]=MAX(Sales[Sales Month]),Sales[[#This Row],[Non-Paying Users]]*Sales[[#This Row],[Upsell $ per Non-Paying User]],0)</f>
        <v>0</v>
      </c>
      <c r="Q1414" t="str" cm="1">
        <f t="array" ref="Q1414">_xlfn.IFS(Sales[[#This Row],[Current Upsell $]]=0,"",Sales[[#This Row],[Current Upsell $]]&gt;=400,"High",Sales[[#This Row],[Current Upsell $]]&gt;=100,"Medium",Sales[[#This Row],[Current Upsell $]]&lt;100,"Low")</f>
        <v/>
      </c>
      <c r="R1414" t="str">
        <f>IF(Sales[[#This Row],[Current Upsell $]]&gt;0,_xlfn.CONCAT(Sales[[#This Row],[Subscription Type]]," ",Sales[[#This Row],[Upsell Priority]]," ",TEXT(Sales[[#This Row],[Current Upsell $]],"$#,#")),"")</f>
        <v/>
      </c>
    </row>
    <row r="1415" spans="1:18" x14ac:dyDescent="0.25">
      <c r="A1415">
        <v>100143</v>
      </c>
      <c r="B1415" t="s">
        <v>0</v>
      </c>
      <c r="D1415" s="1"/>
      <c r="E1415" s="1"/>
      <c r="F1415">
        <v>1</v>
      </c>
      <c r="G1415">
        <v>2</v>
      </c>
      <c r="H1415" s="1">
        <v>44075</v>
      </c>
      <c r="I1415" s="1">
        <v>44378</v>
      </c>
      <c r="J1415">
        <v>10</v>
      </c>
      <c r="K1415">
        <v>0</v>
      </c>
      <c r="L1415" s="1">
        <v>44287</v>
      </c>
      <c r="M1415">
        <v>10</v>
      </c>
      <c r="N1415" s="8" cm="1">
        <f t="array" ref="N1415">_xlfn.SWITCH(Sales[[#This Row],[Subscription Type]],"Basic",10,"Premium",10,"Business",25,"Enterprise",27)</f>
        <v>10</v>
      </c>
      <c r="O1415">
        <f>IF(Sales[[#This Row],[Number of Users]]-Sales[[#This Row],[Licenses Bought]]&lt;0,0,Sales[[#This Row],[Number of Users]]-Sales[[#This Row],[Licenses Bought]])</f>
        <v>1</v>
      </c>
      <c r="P1415" s="8">
        <f>IF(Sales[[#This Row],[Sales Month]]=MAX(Sales[Sales Month]),Sales[[#This Row],[Non-Paying Users]]*Sales[[#This Row],[Upsell $ per Non-Paying User]],0)</f>
        <v>0</v>
      </c>
      <c r="Q1415" t="str" cm="1">
        <f t="array" ref="Q1415">_xlfn.IFS(Sales[[#This Row],[Current Upsell $]]=0,"",Sales[[#This Row],[Current Upsell $]]&gt;=400,"High",Sales[[#This Row],[Current Upsell $]]&gt;=100,"Medium",Sales[[#This Row],[Current Upsell $]]&lt;100,"Low")</f>
        <v/>
      </c>
      <c r="R1415" t="str">
        <f>IF(Sales[[#This Row],[Current Upsell $]]&gt;0,_xlfn.CONCAT(Sales[[#This Row],[Subscription Type]]," ",Sales[[#This Row],[Upsell Priority]]," ",TEXT(Sales[[#This Row],[Current Upsell $]],"$#,#")),"")</f>
        <v/>
      </c>
    </row>
    <row r="1416" spans="1:18" x14ac:dyDescent="0.25">
      <c r="A1416">
        <v>100143</v>
      </c>
      <c r="B1416" t="s">
        <v>0</v>
      </c>
      <c r="D1416" s="1"/>
      <c r="E1416" s="1"/>
      <c r="F1416">
        <v>1</v>
      </c>
      <c r="G1416">
        <v>2</v>
      </c>
      <c r="H1416" s="1">
        <v>44075</v>
      </c>
      <c r="I1416" s="1">
        <v>44378</v>
      </c>
      <c r="J1416">
        <v>10</v>
      </c>
      <c r="K1416">
        <v>0</v>
      </c>
      <c r="L1416" s="1">
        <v>44317</v>
      </c>
      <c r="M1416">
        <v>10</v>
      </c>
      <c r="N1416" s="8" cm="1">
        <f t="array" ref="N1416">_xlfn.SWITCH(Sales[[#This Row],[Subscription Type]],"Basic",10,"Premium",10,"Business",25,"Enterprise",27)</f>
        <v>10</v>
      </c>
      <c r="O1416">
        <f>IF(Sales[[#This Row],[Number of Users]]-Sales[[#This Row],[Licenses Bought]]&lt;0,0,Sales[[#This Row],[Number of Users]]-Sales[[#This Row],[Licenses Bought]])</f>
        <v>1</v>
      </c>
      <c r="P1416" s="8">
        <f>IF(Sales[[#This Row],[Sales Month]]=MAX(Sales[Sales Month]),Sales[[#This Row],[Non-Paying Users]]*Sales[[#This Row],[Upsell $ per Non-Paying User]],0)</f>
        <v>0</v>
      </c>
      <c r="Q1416" t="str" cm="1">
        <f t="array" ref="Q1416">_xlfn.IFS(Sales[[#This Row],[Current Upsell $]]=0,"",Sales[[#This Row],[Current Upsell $]]&gt;=400,"High",Sales[[#This Row],[Current Upsell $]]&gt;=100,"Medium",Sales[[#This Row],[Current Upsell $]]&lt;100,"Low")</f>
        <v/>
      </c>
      <c r="R1416" t="str">
        <f>IF(Sales[[#This Row],[Current Upsell $]]&gt;0,_xlfn.CONCAT(Sales[[#This Row],[Subscription Type]]," ",Sales[[#This Row],[Upsell Priority]]," ",TEXT(Sales[[#This Row],[Current Upsell $]],"$#,#")),"")</f>
        <v/>
      </c>
    </row>
    <row r="1417" spans="1:18" x14ac:dyDescent="0.25">
      <c r="A1417">
        <v>100143</v>
      </c>
      <c r="B1417" t="s">
        <v>0</v>
      </c>
      <c r="D1417" s="1"/>
      <c r="E1417" s="1"/>
      <c r="F1417">
        <v>1</v>
      </c>
      <c r="G1417">
        <v>2</v>
      </c>
      <c r="H1417" s="1">
        <v>44075</v>
      </c>
      <c r="I1417" s="1">
        <v>44378</v>
      </c>
      <c r="J1417">
        <v>10</v>
      </c>
      <c r="K1417">
        <v>0</v>
      </c>
      <c r="L1417" s="1">
        <v>44348</v>
      </c>
      <c r="M1417">
        <v>10</v>
      </c>
      <c r="N1417" s="8" cm="1">
        <f t="array" ref="N1417">_xlfn.SWITCH(Sales[[#This Row],[Subscription Type]],"Basic",10,"Premium",10,"Business",25,"Enterprise",27)</f>
        <v>10</v>
      </c>
      <c r="O1417">
        <f>IF(Sales[[#This Row],[Number of Users]]-Sales[[#This Row],[Licenses Bought]]&lt;0,0,Sales[[#This Row],[Number of Users]]-Sales[[#This Row],[Licenses Bought]])</f>
        <v>1</v>
      </c>
      <c r="P1417" s="8">
        <f>IF(Sales[[#This Row],[Sales Month]]=MAX(Sales[Sales Month]),Sales[[#This Row],[Non-Paying Users]]*Sales[[#This Row],[Upsell $ per Non-Paying User]],0)</f>
        <v>10</v>
      </c>
      <c r="Q1417" t="str" cm="1">
        <f t="array" ref="Q1417">_xlfn.IFS(Sales[[#This Row],[Current Upsell $]]=0,"",Sales[[#This Row],[Current Upsell $]]&gt;=400,"High",Sales[[#This Row],[Current Upsell $]]&gt;=100,"Medium",Sales[[#This Row],[Current Upsell $]]&lt;100,"Low")</f>
        <v>Low</v>
      </c>
      <c r="R1417" t="str">
        <f>IF(Sales[[#This Row],[Current Upsell $]]&gt;0,_xlfn.CONCAT(Sales[[#This Row],[Subscription Type]]," ",Sales[[#This Row],[Upsell Priority]]," ",TEXT(Sales[[#This Row],[Current Upsell $]],"$#,#")),"")</f>
        <v>Premium Low $10</v>
      </c>
    </row>
    <row r="1418" spans="1:18" x14ac:dyDescent="0.25">
      <c r="A1418">
        <v>100144</v>
      </c>
      <c r="B1418" t="s">
        <v>3</v>
      </c>
      <c r="D1418" s="1"/>
      <c r="E1418" s="1"/>
      <c r="F1418">
        <v>0</v>
      </c>
      <c r="G1418">
        <v>2</v>
      </c>
      <c r="H1418" s="1">
        <v>44075</v>
      </c>
      <c r="I1418" s="1">
        <v>44378</v>
      </c>
      <c r="J1418">
        <v>10</v>
      </c>
      <c r="K1418">
        <v>0</v>
      </c>
      <c r="L1418" s="1">
        <v>44075</v>
      </c>
      <c r="M1418">
        <v>0</v>
      </c>
      <c r="N1418" s="8" cm="1">
        <f t="array" ref="N1418">_xlfn.SWITCH(Sales[[#This Row],[Subscription Type]],"Basic",10,"Premium",10,"Business",25,"Enterprise",27)</f>
        <v>10</v>
      </c>
      <c r="O1418">
        <f>IF(Sales[[#This Row],[Number of Users]]-Sales[[#This Row],[Licenses Bought]]&lt;0,0,Sales[[#This Row],[Number of Users]]-Sales[[#This Row],[Licenses Bought]])</f>
        <v>2</v>
      </c>
      <c r="P1418" s="8">
        <f>IF(Sales[[#This Row],[Sales Month]]=MAX(Sales[Sales Month]),Sales[[#This Row],[Non-Paying Users]]*Sales[[#This Row],[Upsell $ per Non-Paying User]],0)</f>
        <v>0</v>
      </c>
      <c r="Q1418" t="str" cm="1">
        <f t="array" ref="Q1418">_xlfn.IFS(Sales[[#This Row],[Current Upsell $]]=0,"",Sales[[#This Row],[Current Upsell $]]&gt;=400,"High",Sales[[#This Row],[Current Upsell $]]&gt;=100,"Medium",Sales[[#This Row],[Current Upsell $]]&lt;100,"Low")</f>
        <v/>
      </c>
      <c r="R1418" t="str">
        <f>IF(Sales[[#This Row],[Current Upsell $]]&gt;0,_xlfn.CONCAT(Sales[[#This Row],[Subscription Type]]," ",Sales[[#This Row],[Upsell Priority]]," ",TEXT(Sales[[#This Row],[Current Upsell $]],"$#,#")),"")</f>
        <v/>
      </c>
    </row>
    <row r="1419" spans="1:18" x14ac:dyDescent="0.25">
      <c r="A1419">
        <v>100144</v>
      </c>
      <c r="B1419" t="s">
        <v>0</v>
      </c>
      <c r="D1419" s="1"/>
      <c r="E1419" s="1"/>
      <c r="F1419">
        <v>1</v>
      </c>
      <c r="G1419">
        <v>2</v>
      </c>
      <c r="H1419" s="1">
        <v>44075</v>
      </c>
      <c r="I1419" s="1">
        <v>44378</v>
      </c>
      <c r="J1419">
        <v>10</v>
      </c>
      <c r="K1419">
        <v>0</v>
      </c>
      <c r="L1419" s="1">
        <v>44105</v>
      </c>
      <c r="M1419">
        <v>10</v>
      </c>
      <c r="N1419" s="8" cm="1">
        <f t="array" ref="N1419">_xlfn.SWITCH(Sales[[#This Row],[Subscription Type]],"Basic",10,"Premium",10,"Business",25,"Enterprise",27)</f>
        <v>10</v>
      </c>
      <c r="O1419">
        <f>IF(Sales[[#This Row],[Number of Users]]-Sales[[#This Row],[Licenses Bought]]&lt;0,0,Sales[[#This Row],[Number of Users]]-Sales[[#This Row],[Licenses Bought]])</f>
        <v>1</v>
      </c>
      <c r="P1419" s="8">
        <f>IF(Sales[[#This Row],[Sales Month]]=MAX(Sales[Sales Month]),Sales[[#This Row],[Non-Paying Users]]*Sales[[#This Row],[Upsell $ per Non-Paying User]],0)</f>
        <v>0</v>
      </c>
      <c r="Q1419" t="str" cm="1">
        <f t="array" ref="Q1419">_xlfn.IFS(Sales[[#This Row],[Current Upsell $]]=0,"",Sales[[#This Row],[Current Upsell $]]&gt;=400,"High",Sales[[#This Row],[Current Upsell $]]&gt;=100,"Medium",Sales[[#This Row],[Current Upsell $]]&lt;100,"Low")</f>
        <v/>
      </c>
      <c r="R1419" t="str">
        <f>IF(Sales[[#This Row],[Current Upsell $]]&gt;0,_xlfn.CONCAT(Sales[[#This Row],[Subscription Type]]," ",Sales[[#This Row],[Upsell Priority]]," ",TEXT(Sales[[#This Row],[Current Upsell $]],"$#,#")),"")</f>
        <v/>
      </c>
    </row>
    <row r="1420" spans="1:18" x14ac:dyDescent="0.25">
      <c r="A1420">
        <v>100144</v>
      </c>
      <c r="B1420" t="s">
        <v>0</v>
      </c>
      <c r="D1420" s="1"/>
      <c r="E1420" s="1"/>
      <c r="F1420">
        <v>1</v>
      </c>
      <c r="G1420">
        <v>2</v>
      </c>
      <c r="H1420" s="1">
        <v>44075</v>
      </c>
      <c r="I1420" s="1">
        <v>44378</v>
      </c>
      <c r="J1420">
        <v>10</v>
      </c>
      <c r="K1420">
        <v>0</v>
      </c>
      <c r="L1420" s="1">
        <v>44136</v>
      </c>
      <c r="M1420">
        <v>10</v>
      </c>
      <c r="N1420" s="8" cm="1">
        <f t="array" ref="N1420">_xlfn.SWITCH(Sales[[#This Row],[Subscription Type]],"Basic",10,"Premium",10,"Business",25,"Enterprise",27)</f>
        <v>10</v>
      </c>
      <c r="O1420">
        <f>IF(Sales[[#This Row],[Number of Users]]-Sales[[#This Row],[Licenses Bought]]&lt;0,0,Sales[[#This Row],[Number of Users]]-Sales[[#This Row],[Licenses Bought]])</f>
        <v>1</v>
      </c>
      <c r="P1420" s="8">
        <f>IF(Sales[[#This Row],[Sales Month]]=MAX(Sales[Sales Month]),Sales[[#This Row],[Non-Paying Users]]*Sales[[#This Row],[Upsell $ per Non-Paying User]],0)</f>
        <v>0</v>
      </c>
      <c r="Q1420" t="str" cm="1">
        <f t="array" ref="Q1420">_xlfn.IFS(Sales[[#This Row],[Current Upsell $]]=0,"",Sales[[#This Row],[Current Upsell $]]&gt;=400,"High",Sales[[#This Row],[Current Upsell $]]&gt;=100,"Medium",Sales[[#This Row],[Current Upsell $]]&lt;100,"Low")</f>
        <v/>
      </c>
      <c r="R1420" t="str">
        <f>IF(Sales[[#This Row],[Current Upsell $]]&gt;0,_xlfn.CONCAT(Sales[[#This Row],[Subscription Type]]," ",Sales[[#This Row],[Upsell Priority]]," ",TEXT(Sales[[#This Row],[Current Upsell $]],"$#,#")),"")</f>
        <v/>
      </c>
    </row>
    <row r="1421" spans="1:18" x14ac:dyDescent="0.25">
      <c r="A1421">
        <v>100144</v>
      </c>
      <c r="B1421" t="s">
        <v>0</v>
      </c>
      <c r="D1421" s="1"/>
      <c r="E1421" s="1"/>
      <c r="F1421">
        <v>1</v>
      </c>
      <c r="G1421">
        <v>2</v>
      </c>
      <c r="H1421" s="1">
        <v>44075</v>
      </c>
      <c r="I1421" s="1">
        <v>44378</v>
      </c>
      <c r="J1421">
        <v>10</v>
      </c>
      <c r="K1421">
        <v>0</v>
      </c>
      <c r="L1421" s="1">
        <v>44166</v>
      </c>
      <c r="M1421">
        <v>10</v>
      </c>
      <c r="N1421" s="8" cm="1">
        <f t="array" ref="N1421">_xlfn.SWITCH(Sales[[#This Row],[Subscription Type]],"Basic",10,"Premium",10,"Business",25,"Enterprise",27)</f>
        <v>10</v>
      </c>
      <c r="O1421">
        <f>IF(Sales[[#This Row],[Number of Users]]-Sales[[#This Row],[Licenses Bought]]&lt;0,0,Sales[[#This Row],[Number of Users]]-Sales[[#This Row],[Licenses Bought]])</f>
        <v>1</v>
      </c>
      <c r="P1421" s="8">
        <f>IF(Sales[[#This Row],[Sales Month]]=MAX(Sales[Sales Month]),Sales[[#This Row],[Non-Paying Users]]*Sales[[#This Row],[Upsell $ per Non-Paying User]],0)</f>
        <v>0</v>
      </c>
      <c r="Q1421" t="str" cm="1">
        <f t="array" ref="Q1421">_xlfn.IFS(Sales[[#This Row],[Current Upsell $]]=0,"",Sales[[#This Row],[Current Upsell $]]&gt;=400,"High",Sales[[#This Row],[Current Upsell $]]&gt;=100,"Medium",Sales[[#This Row],[Current Upsell $]]&lt;100,"Low")</f>
        <v/>
      </c>
      <c r="R1421" t="str">
        <f>IF(Sales[[#This Row],[Current Upsell $]]&gt;0,_xlfn.CONCAT(Sales[[#This Row],[Subscription Type]]," ",Sales[[#This Row],[Upsell Priority]]," ",TEXT(Sales[[#This Row],[Current Upsell $]],"$#,#")),"")</f>
        <v/>
      </c>
    </row>
    <row r="1422" spans="1:18" x14ac:dyDescent="0.25">
      <c r="A1422">
        <v>100144</v>
      </c>
      <c r="B1422" t="s">
        <v>0</v>
      </c>
      <c r="D1422" s="1"/>
      <c r="E1422" s="1"/>
      <c r="F1422">
        <v>1</v>
      </c>
      <c r="G1422">
        <v>2</v>
      </c>
      <c r="H1422" s="1">
        <v>44075</v>
      </c>
      <c r="I1422" s="1">
        <v>44378</v>
      </c>
      <c r="J1422">
        <v>10</v>
      </c>
      <c r="K1422">
        <v>0</v>
      </c>
      <c r="L1422" s="1">
        <v>44197</v>
      </c>
      <c r="M1422">
        <v>10</v>
      </c>
      <c r="N1422" s="8" cm="1">
        <f t="array" ref="N1422">_xlfn.SWITCH(Sales[[#This Row],[Subscription Type]],"Basic",10,"Premium",10,"Business",25,"Enterprise",27)</f>
        <v>10</v>
      </c>
      <c r="O1422">
        <f>IF(Sales[[#This Row],[Number of Users]]-Sales[[#This Row],[Licenses Bought]]&lt;0,0,Sales[[#This Row],[Number of Users]]-Sales[[#This Row],[Licenses Bought]])</f>
        <v>1</v>
      </c>
      <c r="P1422" s="8">
        <f>IF(Sales[[#This Row],[Sales Month]]=MAX(Sales[Sales Month]),Sales[[#This Row],[Non-Paying Users]]*Sales[[#This Row],[Upsell $ per Non-Paying User]],0)</f>
        <v>0</v>
      </c>
      <c r="Q1422" t="str" cm="1">
        <f t="array" ref="Q1422">_xlfn.IFS(Sales[[#This Row],[Current Upsell $]]=0,"",Sales[[#This Row],[Current Upsell $]]&gt;=400,"High",Sales[[#This Row],[Current Upsell $]]&gt;=100,"Medium",Sales[[#This Row],[Current Upsell $]]&lt;100,"Low")</f>
        <v/>
      </c>
      <c r="R1422" t="str">
        <f>IF(Sales[[#This Row],[Current Upsell $]]&gt;0,_xlfn.CONCAT(Sales[[#This Row],[Subscription Type]]," ",Sales[[#This Row],[Upsell Priority]]," ",TEXT(Sales[[#This Row],[Current Upsell $]],"$#,#")),"")</f>
        <v/>
      </c>
    </row>
    <row r="1423" spans="1:18" x14ac:dyDescent="0.25">
      <c r="A1423">
        <v>100144</v>
      </c>
      <c r="B1423" t="s">
        <v>0</v>
      </c>
      <c r="D1423" s="1"/>
      <c r="E1423" s="1"/>
      <c r="F1423">
        <v>1</v>
      </c>
      <c r="G1423">
        <v>2</v>
      </c>
      <c r="H1423" s="1">
        <v>44075</v>
      </c>
      <c r="I1423" s="1">
        <v>44378</v>
      </c>
      <c r="J1423">
        <v>10</v>
      </c>
      <c r="K1423">
        <v>0</v>
      </c>
      <c r="L1423" s="1">
        <v>44228</v>
      </c>
      <c r="M1423">
        <v>10</v>
      </c>
      <c r="N1423" s="8" cm="1">
        <f t="array" ref="N1423">_xlfn.SWITCH(Sales[[#This Row],[Subscription Type]],"Basic",10,"Premium",10,"Business",25,"Enterprise",27)</f>
        <v>10</v>
      </c>
      <c r="O1423">
        <f>IF(Sales[[#This Row],[Number of Users]]-Sales[[#This Row],[Licenses Bought]]&lt;0,0,Sales[[#This Row],[Number of Users]]-Sales[[#This Row],[Licenses Bought]])</f>
        <v>1</v>
      </c>
      <c r="P1423" s="8">
        <f>IF(Sales[[#This Row],[Sales Month]]=MAX(Sales[Sales Month]),Sales[[#This Row],[Non-Paying Users]]*Sales[[#This Row],[Upsell $ per Non-Paying User]],0)</f>
        <v>0</v>
      </c>
      <c r="Q1423" t="str" cm="1">
        <f t="array" ref="Q1423">_xlfn.IFS(Sales[[#This Row],[Current Upsell $]]=0,"",Sales[[#This Row],[Current Upsell $]]&gt;=400,"High",Sales[[#This Row],[Current Upsell $]]&gt;=100,"Medium",Sales[[#This Row],[Current Upsell $]]&lt;100,"Low")</f>
        <v/>
      </c>
      <c r="R1423" t="str">
        <f>IF(Sales[[#This Row],[Current Upsell $]]&gt;0,_xlfn.CONCAT(Sales[[#This Row],[Subscription Type]]," ",Sales[[#This Row],[Upsell Priority]]," ",TEXT(Sales[[#This Row],[Current Upsell $]],"$#,#")),"")</f>
        <v/>
      </c>
    </row>
    <row r="1424" spans="1:18" x14ac:dyDescent="0.25">
      <c r="A1424">
        <v>100144</v>
      </c>
      <c r="B1424" t="s">
        <v>0</v>
      </c>
      <c r="D1424" s="1"/>
      <c r="E1424" s="1"/>
      <c r="F1424">
        <v>1</v>
      </c>
      <c r="G1424">
        <v>2</v>
      </c>
      <c r="H1424" s="1">
        <v>44075</v>
      </c>
      <c r="I1424" s="1">
        <v>44378</v>
      </c>
      <c r="J1424">
        <v>10</v>
      </c>
      <c r="K1424">
        <v>0</v>
      </c>
      <c r="L1424" s="1">
        <v>44256</v>
      </c>
      <c r="M1424">
        <v>10</v>
      </c>
      <c r="N1424" s="8" cm="1">
        <f t="array" ref="N1424">_xlfn.SWITCH(Sales[[#This Row],[Subscription Type]],"Basic",10,"Premium",10,"Business",25,"Enterprise",27)</f>
        <v>10</v>
      </c>
      <c r="O1424">
        <f>IF(Sales[[#This Row],[Number of Users]]-Sales[[#This Row],[Licenses Bought]]&lt;0,0,Sales[[#This Row],[Number of Users]]-Sales[[#This Row],[Licenses Bought]])</f>
        <v>1</v>
      </c>
      <c r="P1424" s="8">
        <f>IF(Sales[[#This Row],[Sales Month]]=MAX(Sales[Sales Month]),Sales[[#This Row],[Non-Paying Users]]*Sales[[#This Row],[Upsell $ per Non-Paying User]],0)</f>
        <v>0</v>
      </c>
      <c r="Q1424" t="str" cm="1">
        <f t="array" ref="Q1424">_xlfn.IFS(Sales[[#This Row],[Current Upsell $]]=0,"",Sales[[#This Row],[Current Upsell $]]&gt;=400,"High",Sales[[#This Row],[Current Upsell $]]&gt;=100,"Medium",Sales[[#This Row],[Current Upsell $]]&lt;100,"Low")</f>
        <v/>
      </c>
      <c r="R1424" t="str">
        <f>IF(Sales[[#This Row],[Current Upsell $]]&gt;0,_xlfn.CONCAT(Sales[[#This Row],[Subscription Type]]," ",Sales[[#This Row],[Upsell Priority]]," ",TEXT(Sales[[#This Row],[Current Upsell $]],"$#,#")),"")</f>
        <v/>
      </c>
    </row>
    <row r="1425" spans="1:18" x14ac:dyDescent="0.25">
      <c r="A1425">
        <v>100144</v>
      </c>
      <c r="B1425" t="s">
        <v>0</v>
      </c>
      <c r="D1425" s="1"/>
      <c r="E1425" s="1"/>
      <c r="F1425">
        <v>1</v>
      </c>
      <c r="G1425">
        <v>2</v>
      </c>
      <c r="H1425" s="1">
        <v>44075</v>
      </c>
      <c r="I1425" s="1">
        <v>44378</v>
      </c>
      <c r="J1425">
        <v>10</v>
      </c>
      <c r="K1425">
        <v>0</v>
      </c>
      <c r="L1425" s="1">
        <v>44287</v>
      </c>
      <c r="M1425">
        <v>10</v>
      </c>
      <c r="N1425" s="8" cm="1">
        <f t="array" ref="N1425">_xlfn.SWITCH(Sales[[#This Row],[Subscription Type]],"Basic",10,"Premium",10,"Business",25,"Enterprise",27)</f>
        <v>10</v>
      </c>
      <c r="O1425">
        <f>IF(Sales[[#This Row],[Number of Users]]-Sales[[#This Row],[Licenses Bought]]&lt;0,0,Sales[[#This Row],[Number of Users]]-Sales[[#This Row],[Licenses Bought]])</f>
        <v>1</v>
      </c>
      <c r="P1425" s="8">
        <f>IF(Sales[[#This Row],[Sales Month]]=MAX(Sales[Sales Month]),Sales[[#This Row],[Non-Paying Users]]*Sales[[#This Row],[Upsell $ per Non-Paying User]],0)</f>
        <v>0</v>
      </c>
      <c r="Q1425" t="str" cm="1">
        <f t="array" ref="Q1425">_xlfn.IFS(Sales[[#This Row],[Current Upsell $]]=0,"",Sales[[#This Row],[Current Upsell $]]&gt;=400,"High",Sales[[#This Row],[Current Upsell $]]&gt;=100,"Medium",Sales[[#This Row],[Current Upsell $]]&lt;100,"Low")</f>
        <v/>
      </c>
      <c r="R1425" t="str">
        <f>IF(Sales[[#This Row],[Current Upsell $]]&gt;0,_xlfn.CONCAT(Sales[[#This Row],[Subscription Type]]," ",Sales[[#This Row],[Upsell Priority]]," ",TEXT(Sales[[#This Row],[Current Upsell $]],"$#,#")),"")</f>
        <v/>
      </c>
    </row>
    <row r="1426" spans="1:18" x14ac:dyDescent="0.25">
      <c r="A1426">
        <v>100144</v>
      </c>
      <c r="B1426" t="s">
        <v>0</v>
      </c>
      <c r="D1426" s="1"/>
      <c r="E1426" s="1"/>
      <c r="F1426">
        <v>1</v>
      </c>
      <c r="G1426">
        <v>2</v>
      </c>
      <c r="H1426" s="1">
        <v>44075</v>
      </c>
      <c r="I1426" s="1">
        <v>44378</v>
      </c>
      <c r="J1426">
        <v>10</v>
      </c>
      <c r="K1426">
        <v>0</v>
      </c>
      <c r="L1426" s="1">
        <v>44317</v>
      </c>
      <c r="M1426">
        <v>10</v>
      </c>
      <c r="N1426" s="8" cm="1">
        <f t="array" ref="N1426">_xlfn.SWITCH(Sales[[#This Row],[Subscription Type]],"Basic",10,"Premium",10,"Business",25,"Enterprise",27)</f>
        <v>10</v>
      </c>
      <c r="O1426">
        <f>IF(Sales[[#This Row],[Number of Users]]-Sales[[#This Row],[Licenses Bought]]&lt;0,0,Sales[[#This Row],[Number of Users]]-Sales[[#This Row],[Licenses Bought]])</f>
        <v>1</v>
      </c>
      <c r="P1426" s="8">
        <f>IF(Sales[[#This Row],[Sales Month]]=MAX(Sales[Sales Month]),Sales[[#This Row],[Non-Paying Users]]*Sales[[#This Row],[Upsell $ per Non-Paying User]],0)</f>
        <v>0</v>
      </c>
      <c r="Q1426" t="str" cm="1">
        <f t="array" ref="Q1426">_xlfn.IFS(Sales[[#This Row],[Current Upsell $]]=0,"",Sales[[#This Row],[Current Upsell $]]&gt;=400,"High",Sales[[#This Row],[Current Upsell $]]&gt;=100,"Medium",Sales[[#This Row],[Current Upsell $]]&lt;100,"Low")</f>
        <v/>
      </c>
      <c r="R1426" t="str">
        <f>IF(Sales[[#This Row],[Current Upsell $]]&gt;0,_xlfn.CONCAT(Sales[[#This Row],[Subscription Type]]," ",Sales[[#This Row],[Upsell Priority]]," ",TEXT(Sales[[#This Row],[Current Upsell $]],"$#,#")),"")</f>
        <v/>
      </c>
    </row>
    <row r="1427" spans="1:18" x14ac:dyDescent="0.25">
      <c r="A1427">
        <v>100144</v>
      </c>
      <c r="B1427" t="s">
        <v>0</v>
      </c>
      <c r="D1427" s="1"/>
      <c r="E1427" s="1"/>
      <c r="F1427">
        <v>1</v>
      </c>
      <c r="G1427">
        <v>2</v>
      </c>
      <c r="H1427" s="1">
        <v>44075</v>
      </c>
      <c r="I1427" s="1">
        <v>44378</v>
      </c>
      <c r="J1427">
        <v>10</v>
      </c>
      <c r="K1427">
        <v>0</v>
      </c>
      <c r="L1427" s="1">
        <v>44348</v>
      </c>
      <c r="M1427">
        <v>10</v>
      </c>
      <c r="N1427" s="8" cm="1">
        <f t="array" ref="N1427">_xlfn.SWITCH(Sales[[#This Row],[Subscription Type]],"Basic",10,"Premium",10,"Business",25,"Enterprise",27)</f>
        <v>10</v>
      </c>
      <c r="O1427">
        <f>IF(Sales[[#This Row],[Number of Users]]-Sales[[#This Row],[Licenses Bought]]&lt;0,0,Sales[[#This Row],[Number of Users]]-Sales[[#This Row],[Licenses Bought]])</f>
        <v>1</v>
      </c>
      <c r="P1427" s="8">
        <f>IF(Sales[[#This Row],[Sales Month]]=MAX(Sales[Sales Month]),Sales[[#This Row],[Non-Paying Users]]*Sales[[#This Row],[Upsell $ per Non-Paying User]],0)</f>
        <v>10</v>
      </c>
      <c r="Q1427" t="str" cm="1">
        <f t="array" ref="Q1427">_xlfn.IFS(Sales[[#This Row],[Current Upsell $]]=0,"",Sales[[#This Row],[Current Upsell $]]&gt;=400,"High",Sales[[#This Row],[Current Upsell $]]&gt;=100,"Medium",Sales[[#This Row],[Current Upsell $]]&lt;100,"Low")</f>
        <v>Low</v>
      </c>
      <c r="R1427" t="str">
        <f>IF(Sales[[#This Row],[Current Upsell $]]&gt;0,_xlfn.CONCAT(Sales[[#This Row],[Subscription Type]]," ",Sales[[#This Row],[Upsell Priority]]," ",TEXT(Sales[[#This Row],[Current Upsell $]],"$#,#")),"")</f>
        <v>Premium Low $10</v>
      </c>
    </row>
    <row r="1428" spans="1:18" x14ac:dyDescent="0.25">
      <c r="A1428">
        <v>100145</v>
      </c>
      <c r="B1428" t="s">
        <v>3</v>
      </c>
      <c r="D1428" s="1"/>
      <c r="E1428" s="1"/>
      <c r="F1428">
        <v>0</v>
      </c>
      <c r="G1428">
        <v>2</v>
      </c>
      <c r="H1428" s="1">
        <v>44075</v>
      </c>
      <c r="I1428" s="1">
        <v>44378</v>
      </c>
      <c r="J1428">
        <v>10</v>
      </c>
      <c r="K1428">
        <v>0</v>
      </c>
      <c r="L1428" s="1">
        <v>44075</v>
      </c>
      <c r="M1428">
        <v>0</v>
      </c>
      <c r="N1428" s="8" cm="1">
        <f t="array" ref="N1428">_xlfn.SWITCH(Sales[[#This Row],[Subscription Type]],"Basic",10,"Premium",10,"Business",25,"Enterprise",27)</f>
        <v>10</v>
      </c>
      <c r="O1428">
        <f>IF(Sales[[#This Row],[Number of Users]]-Sales[[#This Row],[Licenses Bought]]&lt;0,0,Sales[[#This Row],[Number of Users]]-Sales[[#This Row],[Licenses Bought]])</f>
        <v>2</v>
      </c>
      <c r="P1428" s="8">
        <f>IF(Sales[[#This Row],[Sales Month]]=MAX(Sales[Sales Month]),Sales[[#This Row],[Non-Paying Users]]*Sales[[#This Row],[Upsell $ per Non-Paying User]],0)</f>
        <v>0</v>
      </c>
      <c r="Q1428" t="str" cm="1">
        <f t="array" ref="Q1428">_xlfn.IFS(Sales[[#This Row],[Current Upsell $]]=0,"",Sales[[#This Row],[Current Upsell $]]&gt;=400,"High",Sales[[#This Row],[Current Upsell $]]&gt;=100,"Medium",Sales[[#This Row],[Current Upsell $]]&lt;100,"Low")</f>
        <v/>
      </c>
      <c r="R1428" t="str">
        <f>IF(Sales[[#This Row],[Current Upsell $]]&gt;0,_xlfn.CONCAT(Sales[[#This Row],[Subscription Type]]," ",Sales[[#This Row],[Upsell Priority]]," ",TEXT(Sales[[#This Row],[Current Upsell $]],"$#,#")),"")</f>
        <v/>
      </c>
    </row>
    <row r="1429" spans="1:18" x14ac:dyDescent="0.25">
      <c r="A1429">
        <v>100145</v>
      </c>
      <c r="B1429" t="s">
        <v>0</v>
      </c>
      <c r="D1429" s="1"/>
      <c r="E1429" s="1"/>
      <c r="F1429">
        <v>1</v>
      </c>
      <c r="G1429">
        <v>2</v>
      </c>
      <c r="H1429" s="1">
        <v>44075</v>
      </c>
      <c r="I1429" s="1">
        <v>44378</v>
      </c>
      <c r="J1429">
        <v>10</v>
      </c>
      <c r="K1429">
        <v>0</v>
      </c>
      <c r="L1429" s="1">
        <v>44105</v>
      </c>
      <c r="M1429">
        <v>10</v>
      </c>
      <c r="N1429" s="8" cm="1">
        <f t="array" ref="N1429">_xlfn.SWITCH(Sales[[#This Row],[Subscription Type]],"Basic",10,"Premium",10,"Business",25,"Enterprise",27)</f>
        <v>10</v>
      </c>
      <c r="O1429">
        <f>IF(Sales[[#This Row],[Number of Users]]-Sales[[#This Row],[Licenses Bought]]&lt;0,0,Sales[[#This Row],[Number of Users]]-Sales[[#This Row],[Licenses Bought]])</f>
        <v>1</v>
      </c>
      <c r="P1429" s="8">
        <f>IF(Sales[[#This Row],[Sales Month]]=MAX(Sales[Sales Month]),Sales[[#This Row],[Non-Paying Users]]*Sales[[#This Row],[Upsell $ per Non-Paying User]],0)</f>
        <v>0</v>
      </c>
      <c r="Q1429" t="str" cm="1">
        <f t="array" ref="Q1429">_xlfn.IFS(Sales[[#This Row],[Current Upsell $]]=0,"",Sales[[#This Row],[Current Upsell $]]&gt;=400,"High",Sales[[#This Row],[Current Upsell $]]&gt;=100,"Medium",Sales[[#This Row],[Current Upsell $]]&lt;100,"Low")</f>
        <v/>
      </c>
      <c r="R1429" t="str">
        <f>IF(Sales[[#This Row],[Current Upsell $]]&gt;0,_xlfn.CONCAT(Sales[[#This Row],[Subscription Type]]," ",Sales[[#This Row],[Upsell Priority]]," ",TEXT(Sales[[#This Row],[Current Upsell $]],"$#,#")),"")</f>
        <v/>
      </c>
    </row>
    <row r="1430" spans="1:18" x14ac:dyDescent="0.25">
      <c r="A1430">
        <v>100145</v>
      </c>
      <c r="B1430" t="s">
        <v>0</v>
      </c>
      <c r="D1430" s="1"/>
      <c r="E1430" s="1"/>
      <c r="F1430">
        <v>1</v>
      </c>
      <c r="G1430">
        <v>2</v>
      </c>
      <c r="H1430" s="1">
        <v>44075</v>
      </c>
      <c r="I1430" s="1">
        <v>44378</v>
      </c>
      <c r="J1430">
        <v>10</v>
      </c>
      <c r="K1430">
        <v>0</v>
      </c>
      <c r="L1430" s="1">
        <v>44136</v>
      </c>
      <c r="M1430">
        <v>10</v>
      </c>
      <c r="N1430" s="8" cm="1">
        <f t="array" ref="N1430">_xlfn.SWITCH(Sales[[#This Row],[Subscription Type]],"Basic",10,"Premium",10,"Business",25,"Enterprise",27)</f>
        <v>10</v>
      </c>
      <c r="O1430">
        <f>IF(Sales[[#This Row],[Number of Users]]-Sales[[#This Row],[Licenses Bought]]&lt;0,0,Sales[[#This Row],[Number of Users]]-Sales[[#This Row],[Licenses Bought]])</f>
        <v>1</v>
      </c>
      <c r="P1430" s="8">
        <f>IF(Sales[[#This Row],[Sales Month]]=MAX(Sales[Sales Month]),Sales[[#This Row],[Non-Paying Users]]*Sales[[#This Row],[Upsell $ per Non-Paying User]],0)</f>
        <v>0</v>
      </c>
      <c r="Q1430" t="str" cm="1">
        <f t="array" ref="Q1430">_xlfn.IFS(Sales[[#This Row],[Current Upsell $]]=0,"",Sales[[#This Row],[Current Upsell $]]&gt;=400,"High",Sales[[#This Row],[Current Upsell $]]&gt;=100,"Medium",Sales[[#This Row],[Current Upsell $]]&lt;100,"Low")</f>
        <v/>
      </c>
      <c r="R1430" t="str">
        <f>IF(Sales[[#This Row],[Current Upsell $]]&gt;0,_xlfn.CONCAT(Sales[[#This Row],[Subscription Type]]," ",Sales[[#This Row],[Upsell Priority]]," ",TEXT(Sales[[#This Row],[Current Upsell $]],"$#,#")),"")</f>
        <v/>
      </c>
    </row>
    <row r="1431" spans="1:18" x14ac:dyDescent="0.25">
      <c r="A1431">
        <v>100145</v>
      </c>
      <c r="B1431" t="s">
        <v>0</v>
      </c>
      <c r="D1431" s="1"/>
      <c r="E1431" s="1"/>
      <c r="F1431">
        <v>1</v>
      </c>
      <c r="G1431">
        <v>2</v>
      </c>
      <c r="H1431" s="1">
        <v>44075</v>
      </c>
      <c r="I1431" s="1">
        <v>44378</v>
      </c>
      <c r="J1431">
        <v>10</v>
      </c>
      <c r="K1431">
        <v>0</v>
      </c>
      <c r="L1431" s="1">
        <v>44166</v>
      </c>
      <c r="M1431">
        <v>10</v>
      </c>
      <c r="N1431" s="8" cm="1">
        <f t="array" ref="N1431">_xlfn.SWITCH(Sales[[#This Row],[Subscription Type]],"Basic",10,"Premium",10,"Business",25,"Enterprise",27)</f>
        <v>10</v>
      </c>
      <c r="O1431">
        <f>IF(Sales[[#This Row],[Number of Users]]-Sales[[#This Row],[Licenses Bought]]&lt;0,0,Sales[[#This Row],[Number of Users]]-Sales[[#This Row],[Licenses Bought]])</f>
        <v>1</v>
      </c>
      <c r="P1431" s="8">
        <f>IF(Sales[[#This Row],[Sales Month]]=MAX(Sales[Sales Month]),Sales[[#This Row],[Non-Paying Users]]*Sales[[#This Row],[Upsell $ per Non-Paying User]],0)</f>
        <v>0</v>
      </c>
      <c r="Q1431" t="str" cm="1">
        <f t="array" ref="Q1431">_xlfn.IFS(Sales[[#This Row],[Current Upsell $]]=0,"",Sales[[#This Row],[Current Upsell $]]&gt;=400,"High",Sales[[#This Row],[Current Upsell $]]&gt;=100,"Medium",Sales[[#This Row],[Current Upsell $]]&lt;100,"Low")</f>
        <v/>
      </c>
      <c r="R1431" t="str">
        <f>IF(Sales[[#This Row],[Current Upsell $]]&gt;0,_xlfn.CONCAT(Sales[[#This Row],[Subscription Type]]," ",Sales[[#This Row],[Upsell Priority]]," ",TEXT(Sales[[#This Row],[Current Upsell $]],"$#,#")),"")</f>
        <v/>
      </c>
    </row>
    <row r="1432" spans="1:18" x14ac:dyDescent="0.25">
      <c r="A1432">
        <v>100145</v>
      </c>
      <c r="B1432" t="s">
        <v>0</v>
      </c>
      <c r="D1432" s="1"/>
      <c r="E1432" s="1"/>
      <c r="F1432">
        <v>1</v>
      </c>
      <c r="G1432">
        <v>2</v>
      </c>
      <c r="H1432" s="1">
        <v>44075</v>
      </c>
      <c r="I1432" s="1">
        <v>44378</v>
      </c>
      <c r="J1432">
        <v>10</v>
      </c>
      <c r="K1432">
        <v>0</v>
      </c>
      <c r="L1432" s="1">
        <v>44197</v>
      </c>
      <c r="M1432">
        <v>10</v>
      </c>
      <c r="N1432" s="8" cm="1">
        <f t="array" ref="N1432">_xlfn.SWITCH(Sales[[#This Row],[Subscription Type]],"Basic",10,"Premium",10,"Business",25,"Enterprise",27)</f>
        <v>10</v>
      </c>
      <c r="O1432">
        <f>IF(Sales[[#This Row],[Number of Users]]-Sales[[#This Row],[Licenses Bought]]&lt;0,0,Sales[[#This Row],[Number of Users]]-Sales[[#This Row],[Licenses Bought]])</f>
        <v>1</v>
      </c>
      <c r="P1432" s="8">
        <f>IF(Sales[[#This Row],[Sales Month]]=MAX(Sales[Sales Month]),Sales[[#This Row],[Non-Paying Users]]*Sales[[#This Row],[Upsell $ per Non-Paying User]],0)</f>
        <v>0</v>
      </c>
      <c r="Q1432" t="str" cm="1">
        <f t="array" ref="Q1432">_xlfn.IFS(Sales[[#This Row],[Current Upsell $]]=0,"",Sales[[#This Row],[Current Upsell $]]&gt;=400,"High",Sales[[#This Row],[Current Upsell $]]&gt;=100,"Medium",Sales[[#This Row],[Current Upsell $]]&lt;100,"Low")</f>
        <v/>
      </c>
      <c r="R1432" t="str">
        <f>IF(Sales[[#This Row],[Current Upsell $]]&gt;0,_xlfn.CONCAT(Sales[[#This Row],[Subscription Type]]," ",Sales[[#This Row],[Upsell Priority]]," ",TEXT(Sales[[#This Row],[Current Upsell $]],"$#,#")),"")</f>
        <v/>
      </c>
    </row>
    <row r="1433" spans="1:18" x14ac:dyDescent="0.25">
      <c r="A1433">
        <v>100145</v>
      </c>
      <c r="B1433" t="s">
        <v>0</v>
      </c>
      <c r="D1433" s="1"/>
      <c r="E1433" s="1"/>
      <c r="F1433">
        <v>1</v>
      </c>
      <c r="G1433">
        <v>2</v>
      </c>
      <c r="H1433" s="1">
        <v>44075</v>
      </c>
      <c r="I1433" s="1">
        <v>44378</v>
      </c>
      <c r="J1433">
        <v>10</v>
      </c>
      <c r="K1433">
        <v>0</v>
      </c>
      <c r="L1433" s="1">
        <v>44228</v>
      </c>
      <c r="M1433">
        <v>10</v>
      </c>
      <c r="N1433" s="8" cm="1">
        <f t="array" ref="N1433">_xlfn.SWITCH(Sales[[#This Row],[Subscription Type]],"Basic",10,"Premium",10,"Business",25,"Enterprise",27)</f>
        <v>10</v>
      </c>
      <c r="O1433">
        <f>IF(Sales[[#This Row],[Number of Users]]-Sales[[#This Row],[Licenses Bought]]&lt;0,0,Sales[[#This Row],[Number of Users]]-Sales[[#This Row],[Licenses Bought]])</f>
        <v>1</v>
      </c>
      <c r="P1433" s="8">
        <f>IF(Sales[[#This Row],[Sales Month]]=MAX(Sales[Sales Month]),Sales[[#This Row],[Non-Paying Users]]*Sales[[#This Row],[Upsell $ per Non-Paying User]],0)</f>
        <v>0</v>
      </c>
      <c r="Q1433" t="str" cm="1">
        <f t="array" ref="Q1433">_xlfn.IFS(Sales[[#This Row],[Current Upsell $]]=0,"",Sales[[#This Row],[Current Upsell $]]&gt;=400,"High",Sales[[#This Row],[Current Upsell $]]&gt;=100,"Medium",Sales[[#This Row],[Current Upsell $]]&lt;100,"Low")</f>
        <v/>
      </c>
      <c r="R1433" t="str">
        <f>IF(Sales[[#This Row],[Current Upsell $]]&gt;0,_xlfn.CONCAT(Sales[[#This Row],[Subscription Type]]," ",Sales[[#This Row],[Upsell Priority]]," ",TEXT(Sales[[#This Row],[Current Upsell $]],"$#,#")),"")</f>
        <v/>
      </c>
    </row>
    <row r="1434" spans="1:18" x14ac:dyDescent="0.25">
      <c r="A1434">
        <v>100145</v>
      </c>
      <c r="B1434" t="s">
        <v>0</v>
      </c>
      <c r="D1434" s="1"/>
      <c r="E1434" s="1"/>
      <c r="F1434">
        <v>1</v>
      </c>
      <c r="G1434">
        <v>1</v>
      </c>
      <c r="H1434" s="1">
        <v>44075</v>
      </c>
      <c r="I1434" s="1">
        <v>44378</v>
      </c>
      <c r="J1434">
        <v>10</v>
      </c>
      <c r="K1434">
        <v>0</v>
      </c>
      <c r="L1434" s="1">
        <v>44256</v>
      </c>
      <c r="M1434">
        <v>10</v>
      </c>
      <c r="N1434" s="8" cm="1">
        <f t="array" ref="N1434">_xlfn.SWITCH(Sales[[#This Row],[Subscription Type]],"Basic",10,"Premium",10,"Business",25,"Enterprise",27)</f>
        <v>10</v>
      </c>
      <c r="O1434">
        <f>IF(Sales[[#This Row],[Number of Users]]-Sales[[#This Row],[Licenses Bought]]&lt;0,0,Sales[[#This Row],[Number of Users]]-Sales[[#This Row],[Licenses Bought]])</f>
        <v>0</v>
      </c>
      <c r="P1434" s="8">
        <f>IF(Sales[[#This Row],[Sales Month]]=MAX(Sales[Sales Month]),Sales[[#This Row],[Non-Paying Users]]*Sales[[#This Row],[Upsell $ per Non-Paying User]],0)</f>
        <v>0</v>
      </c>
      <c r="Q1434" t="str" cm="1">
        <f t="array" ref="Q1434">_xlfn.IFS(Sales[[#This Row],[Current Upsell $]]=0,"",Sales[[#This Row],[Current Upsell $]]&gt;=400,"High",Sales[[#This Row],[Current Upsell $]]&gt;=100,"Medium",Sales[[#This Row],[Current Upsell $]]&lt;100,"Low")</f>
        <v/>
      </c>
      <c r="R1434" t="str">
        <f>IF(Sales[[#This Row],[Current Upsell $]]&gt;0,_xlfn.CONCAT(Sales[[#This Row],[Subscription Type]]," ",Sales[[#This Row],[Upsell Priority]]," ",TEXT(Sales[[#This Row],[Current Upsell $]],"$#,#")),"")</f>
        <v/>
      </c>
    </row>
    <row r="1435" spans="1:18" x14ac:dyDescent="0.25">
      <c r="A1435">
        <v>100145</v>
      </c>
      <c r="B1435" t="s">
        <v>0</v>
      </c>
      <c r="D1435" s="1"/>
      <c r="E1435" s="1"/>
      <c r="F1435">
        <v>1</v>
      </c>
      <c r="G1435">
        <v>2</v>
      </c>
      <c r="H1435" s="1">
        <v>44075</v>
      </c>
      <c r="I1435" s="1">
        <v>44378</v>
      </c>
      <c r="J1435">
        <v>10</v>
      </c>
      <c r="K1435">
        <v>0</v>
      </c>
      <c r="L1435" s="1">
        <v>44287</v>
      </c>
      <c r="M1435">
        <v>10</v>
      </c>
      <c r="N1435" s="8" cm="1">
        <f t="array" ref="N1435">_xlfn.SWITCH(Sales[[#This Row],[Subscription Type]],"Basic",10,"Premium",10,"Business",25,"Enterprise",27)</f>
        <v>10</v>
      </c>
      <c r="O1435">
        <f>IF(Sales[[#This Row],[Number of Users]]-Sales[[#This Row],[Licenses Bought]]&lt;0,0,Sales[[#This Row],[Number of Users]]-Sales[[#This Row],[Licenses Bought]])</f>
        <v>1</v>
      </c>
      <c r="P1435" s="8">
        <f>IF(Sales[[#This Row],[Sales Month]]=MAX(Sales[Sales Month]),Sales[[#This Row],[Non-Paying Users]]*Sales[[#This Row],[Upsell $ per Non-Paying User]],0)</f>
        <v>0</v>
      </c>
      <c r="Q1435" t="str" cm="1">
        <f t="array" ref="Q1435">_xlfn.IFS(Sales[[#This Row],[Current Upsell $]]=0,"",Sales[[#This Row],[Current Upsell $]]&gt;=400,"High",Sales[[#This Row],[Current Upsell $]]&gt;=100,"Medium",Sales[[#This Row],[Current Upsell $]]&lt;100,"Low")</f>
        <v/>
      </c>
      <c r="R1435" t="str">
        <f>IF(Sales[[#This Row],[Current Upsell $]]&gt;0,_xlfn.CONCAT(Sales[[#This Row],[Subscription Type]]," ",Sales[[#This Row],[Upsell Priority]]," ",TEXT(Sales[[#This Row],[Current Upsell $]],"$#,#")),"")</f>
        <v/>
      </c>
    </row>
    <row r="1436" spans="1:18" x14ac:dyDescent="0.25">
      <c r="A1436">
        <v>100145</v>
      </c>
      <c r="B1436" t="s">
        <v>0</v>
      </c>
      <c r="D1436" s="1"/>
      <c r="E1436" s="1"/>
      <c r="F1436">
        <v>1</v>
      </c>
      <c r="G1436">
        <v>2</v>
      </c>
      <c r="H1436" s="1">
        <v>44075</v>
      </c>
      <c r="I1436" s="1">
        <v>44378</v>
      </c>
      <c r="J1436">
        <v>10</v>
      </c>
      <c r="K1436">
        <v>0</v>
      </c>
      <c r="L1436" s="1">
        <v>44317</v>
      </c>
      <c r="M1436">
        <v>10</v>
      </c>
      <c r="N1436" s="8" cm="1">
        <f t="array" ref="N1436">_xlfn.SWITCH(Sales[[#This Row],[Subscription Type]],"Basic",10,"Premium",10,"Business",25,"Enterprise",27)</f>
        <v>10</v>
      </c>
      <c r="O1436">
        <f>IF(Sales[[#This Row],[Number of Users]]-Sales[[#This Row],[Licenses Bought]]&lt;0,0,Sales[[#This Row],[Number of Users]]-Sales[[#This Row],[Licenses Bought]])</f>
        <v>1</v>
      </c>
      <c r="P1436" s="8">
        <f>IF(Sales[[#This Row],[Sales Month]]=MAX(Sales[Sales Month]),Sales[[#This Row],[Non-Paying Users]]*Sales[[#This Row],[Upsell $ per Non-Paying User]],0)</f>
        <v>0</v>
      </c>
      <c r="Q1436" t="str" cm="1">
        <f t="array" ref="Q1436">_xlfn.IFS(Sales[[#This Row],[Current Upsell $]]=0,"",Sales[[#This Row],[Current Upsell $]]&gt;=400,"High",Sales[[#This Row],[Current Upsell $]]&gt;=100,"Medium",Sales[[#This Row],[Current Upsell $]]&lt;100,"Low")</f>
        <v/>
      </c>
      <c r="R1436" t="str">
        <f>IF(Sales[[#This Row],[Current Upsell $]]&gt;0,_xlfn.CONCAT(Sales[[#This Row],[Subscription Type]]," ",Sales[[#This Row],[Upsell Priority]]," ",TEXT(Sales[[#This Row],[Current Upsell $]],"$#,#")),"")</f>
        <v/>
      </c>
    </row>
    <row r="1437" spans="1:18" x14ac:dyDescent="0.25">
      <c r="A1437">
        <v>100145</v>
      </c>
      <c r="B1437" t="s">
        <v>0</v>
      </c>
      <c r="D1437" s="1"/>
      <c r="E1437" s="1"/>
      <c r="F1437">
        <v>1</v>
      </c>
      <c r="G1437">
        <v>2</v>
      </c>
      <c r="H1437" s="1">
        <v>44075</v>
      </c>
      <c r="I1437" s="1">
        <v>44378</v>
      </c>
      <c r="J1437">
        <v>10</v>
      </c>
      <c r="K1437">
        <v>0</v>
      </c>
      <c r="L1437" s="1">
        <v>44348</v>
      </c>
      <c r="M1437">
        <v>10</v>
      </c>
      <c r="N1437" s="8" cm="1">
        <f t="array" ref="N1437">_xlfn.SWITCH(Sales[[#This Row],[Subscription Type]],"Basic",10,"Premium",10,"Business",25,"Enterprise",27)</f>
        <v>10</v>
      </c>
      <c r="O1437">
        <f>IF(Sales[[#This Row],[Number of Users]]-Sales[[#This Row],[Licenses Bought]]&lt;0,0,Sales[[#This Row],[Number of Users]]-Sales[[#This Row],[Licenses Bought]])</f>
        <v>1</v>
      </c>
      <c r="P1437" s="8">
        <f>IF(Sales[[#This Row],[Sales Month]]=MAX(Sales[Sales Month]),Sales[[#This Row],[Non-Paying Users]]*Sales[[#This Row],[Upsell $ per Non-Paying User]],0)</f>
        <v>10</v>
      </c>
      <c r="Q1437" t="str" cm="1">
        <f t="array" ref="Q1437">_xlfn.IFS(Sales[[#This Row],[Current Upsell $]]=0,"",Sales[[#This Row],[Current Upsell $]]&gt;=400,"High",Sales[[#This Row],[Current Upsell $]]&gt;=100,"Medium",Sales[[#This Row],[Current Upsell $]]&lt;100,"Low")</f>
        <v>Low</v>
      </c>
      <c r="R1437" t="str">
        <f>IF(Sales[[#This Row],[Current Upsell $]]&gt;0,_xlfn.CONCAT(Sales[[#This Row],[Subscription Type]]," ",Sales[[#This Row],[Upsell Priority]]," ",TEXT(Sales[[#This Row],[Current Upsell $]],"$#,#")),"")</f>
        <v>Premium Low $10</v>
      </c>
    </row>
    <row r="1438" spans="1:18" x14ac:dyDescent="0.25">
      <c r="A1438">
        <v>100146</v>
      </c>
      <c r="B1438" t="s">
        <v>3</v>
      </c>
      <c r="D1438" s="1"/>
      <c r="E1438" s="1"/>
      <c r="F1438">
        <v>0</v>
      </c>
      <c r="G1438">
        <v>38</v>
      </c>
      <c r="H1438" s="1">
        <v>44105</v>
      </c>
      <c r="I1438" s="1">
        <v>44378</v>
      </c>
      <c r="J1438">
        <v>9</v>
      </c>
      <c r="K1438">
        <v>0</v>
      </c>
      <c r="L1438" s="1">
        <v>44105</v>
      </c>
      <c r="M1438">
        <v>0</v>
      </c>
      <c r="N1438" s="8" cm="1">
        <f t="array" ref="N1438">_xlfn.SWITCH(Sales[[#This Row],[Subscription Type]],"Basic",10,"Premium",10,"Business",25,"Enterprise",27)</f>
        <v>10</v>
      </c>
      <c r="O1438">
        <f>IF(Sales[[#This Row],[Number of Users]]-Sales[[#This Row],[Licenses Bought]]&lt;0,0,Sales[[#This Row],[Number of Users]]-Sales[[#This Row],[Licenses Bought]])</f>
        <v>38</v>
      </c>
      <c r="P1438" s="8">
        <f>IF(Sales[[#This Row],[Sales Month]]=MAX(Sales[Sales Month]),Sales[[#This Row],[Non-Paying Users]]*Sales[[#This Row],[Upsell $ per Non-Paying User]],0)</f>
        <v>0</v>
      </c>
      <c r="Q1438" t="str" cm="1">
        <f t="array" ref="Q1438">_xlfn.IFS(Sales[[#This Row],[Current Upsell $]]=0,"",Sales[[#This Row],[Current Upsell $]]&gt;=400,"High",Sales[[#This Row],[Current Upsell $]]&gt;=100,"Medium",Sales[[#This Row],[Current Upsell $]]&lt;100,"Low")</f>
        <v/>
      </c>
      <c r="R1438" t="str">
        <f>IF(Sales[[#This Row],[Current Upsell $]]&gt;0,_xlfn.CONCAT(Sales[[#This Row],[Subscription Type]]," ",Sales[[#This Row],[Upsell Priority]]," ",TEXT(Sales[[#This Row],[Current Upsell $]],"$#,#")),"")</f>
        <v/>
      </c>
    </row>
    <row r="1439" spans="1:18" x14ac:dyDescent="0.25">
      <c r="A1439">
        <v>100146</v>
      </c>
      <c r="B1439" t="s">
        <v>0</v>
      </c>
      <c r="D1439" s="1"/>
      <c r="E1439" s="1"/>
      <c r="F1439">
        <v>41</v>
      </c>
      <c r="G1439">
        <v>39</v>
      </c>
      <c r="H1439" s="1">
        <v>44105</v>
      </c>
      <c r="I1439" s="1">
        <v>44378</v>
      </c>
      <c r="J1439">
        <v>9</v>
      </c>
      <c r="K1439">
        <v>0</v>
      </c>
      <c r="L1439" s="1">
        <v>44136</v>
      </c>
      <c r="M1439">
        <v>410</v>
      </c>
      <c r="N1439" s="8" cm="1">
        <f t="array" ref="N1439">_xlfn.SWITCH(Sales[[#This Row],[Subscription Type]],"Basic",10,"Premium",10,"Business",25,"Enterprise",27)</f>
        <v>10</v>
      </c>
      <c r="O1439">
        <f>IF(Sales[[#This Row],[Number of Users]]-Sales[[#This Row],[Licenses Bought]]&lt;0,0,Sales[[#This Row],[Number of Users]]-Sales[[#This Row],[Licenses Bought]])</f>
        <v>0</v>
      </c>
      <c r="P1439" s="8">
        <f>IF(Sales[[#This Row],[Sales Month]]=MAX(Sales[Sales Month]),Sales[[#This Row],[Non-Paying Users]]*Sales[[#This Row],[Upsell $ per Non-Paying User]],0)</f>
        <v>0</v>
      </c>
      <c r="Q1439" t="str" cm="1">
        <f t="array" ref="Q1439">_xlfn.IFS(Sales[[#This Row],[Current Upsell $]]=0,"",Sales[[#This Row],[Current Upsell $]]&gt;=400,"High",Sales[[#This Row],[Current Upsell $]]&gt;=100,"Medium",Sales[[#This Row],[Current Upsell $]]&lt;100,"Low")</f>
        <v/>
      </c>
      <c r="R1439" t="str">
        <f>IF(Sales[[#This Row],[Current Upsell $]]&gt;0,_xlfn.CONCAT(Sales[[#This Row],[Subscription Type]]," ",Sales[[#This Row],[Upsell Priority]]," ",TEXT(Sales[[#This Row],[Current Upsell $]],"$#,#")),"")</f>
        <v/>
      </c>
    </row>
    <row r="1440" spans="1:18" x14ac:dyDescent="0.25">
      <c r="A1440">
        <v>100146</v>
      </c>
      <c r="B1440" t="s">
        <v>0</v>
      </c>
      <c r="D1440" s="1"/>
      <c r="E1440" s="1"/>
      <c r="F1440">
        <v>52</v>
      </c>
      <c r="G1440">
        <v>48</v>
      </c>
      <c r="H1440" s="1">
        <v>44105</v>
      </c>
      <c r="I1440" s="1">
        <v>44378</v>
      </c>
      <c r="J1440">
        <v>9</v>
      </c>
      <c r="K1440">
        <v>0</v>
      </c>
      <c r="L1440" s="1">
        <v>44166</v>
      </c>
      <c r="M1440">
        <v>520</v>
      </c>
      <c r="N1440" s="8" cm="1">
        <f t="array" ref="N1440">_xlfn.SWITCH(Sales[[#This Row],[Subscription Type]],"Basic",10,"Premium",10,"Business",25,"Enterprise",27)</f>
        <v>10</v>
      </c>
      <c r="O1440">
        <f>IF(Sales[[#This Row],[Number of Users]]-Sales[[#This Row],[Licenses Bought]]&lt;0,0,Sales[[#This Row],[Number of Users]]-Sales[[#This Row],[Licenses Bought]])</f>
        <v>0</v>
      </c>
      <c r="P1440" s="8">
        <f>IF(Sales[[#This Row],[Sales Month]]=MAX(Sales[Sales Month]),Sales[[#This Row],[Non-Paying Users]]*Sales[[#This Row],[Upsell $ per Non-Paying User]],0)</f>
        <v>0</v>
      </c>
      <c r="Q1440" t="str" cm="1">
        <f t="array" ref="Q1440">_xlfn.IFS(Sales[[#This Row],[Current Upsell $]]=0,"",Sales[[#This Row],[Current Upsell $]]&gt;=400,"High",Sales[[#This Row],[Current Upsell $]]&gt;=100,"Medium",Sales[[#This Row],[Current Upsell $]]&lt;100,"Low")</f>
        <v/>
      </c>
      <c r="R1440" t="str">
        <f>IF(Sales[[#This Row],[Current Upsell $]]&gt;0,_xlfn.CONCAT(Sales[[#This Row],[Subscription Type]]," ",Sales[[#This Row],[Upsell Priority]]," ",TEXT(Sales[[#This Row],[Current Upsell $]],"$#,#")),"")</f>
        <v/>
      </c>
    </row>
    <row r="1441" spans="1:18" x14ac:dyDescent="0.25">
      <c r="A1441">
        <v>100146</v>
      </c>
      <c r="B1441" t="s">
        <v>0</v>
      </c>
      <c r="D1441" s="1"/>
      <c r="E1441" s="1"/>
      <c r="F1441">
        <v>41</v>
      </c>
      <c r="G1441">
        <v>60</v>
      </c>
      <c r="H1441" s="1">
        <v>44105</v>
      </c>
      <c r="I1441" s="1">
        <v>44378</v>
      </c>
      <c r="J1441">
        <v>9</v>
      </c>
      <c r="K1441">
        <v>0</v>
      </c>
      <c r="L1441" s="1">
        <v>44197</v>
      </c>
      <c r="M1441">
        <v>410</v>
      </c>
      <c r="N1441" s="8" cm="1">
        <f t="array" ref="N1441">_xlfn.SWITCH(Sales[[#This Row],[Subscription Type]],"Basic",10,"Premium",10,"Business",25,"Enterprise",27)</f>
        <v>10</v>
      </c>
      <c r="O1441">
        <f>IF(Sales[[#This Row],[Number of Users]]-Sales[[#This Row],[Licenses Bought]]&lt;0,0,Sales[[#This Row],[Number of Users]]-Sales[[#This Row],[Licenses Bought]])</f>
        <v>19</v>
      </c>
      <c r="P1441" s="8">
        <f>IF(Sales[[#This Row],[Sales Month]]=MAX(Sales[Sales Month]),Sales[[#This Row],[Non-Paying Users]]*Sales[[#This Row],[Upsell $ per Non-Paying User]],0)</f>
        <v>0</v>
      </c>
      <c r="Q1441" t="str" cm="1">
        <f t="array" ref="Q1441">_xlfn.IFS(Sales[[#This Row],[Current Upsell $]]=0,"",Sales[[#This Row],[Current Upsell $]]&gt;=400,"High",Sales[[#This Row],[Current Upsell $]]&gt;=100,"Medium",Sales[[#This Row],[Current Upsell $]]&lt;100,"Low")</f>
        <v/>
      </c>
      <c r="R1441" t="str">
        <f>IF(Sales[[#This Row],[Current Upsell $]]&gt;0,_xlfn.CONCAT(Sales[[#This Row],[Subscription Type]]," ",Sales[[#This Row],[Upsell Priority]]," ",TEXT(Sales[[#This Row],[Current Upsell $]],"$#,#")),"")</f>
        <v/>
      </c>
    </row>
    <row r="1442" spans="1:18" x14ac:dyDescent="0.25">
      <c r="A1442">
        <v>100146</v>
      </c>
      <c r="B1442" t="s">
        <v>0</v>
      </c>
      <c r="D1442" s="1"/>
      <c r="E1442" s="1"/>
      <c r="F1442">
        <v>52</v>
      </c>
      <c r="G1442">
        <v>64</v>
      </c>
      <c r="H1442" s="1">
        <v>44105</v>
      </c>
      <c r="I1442" s="1">
        <v>44378</v>
      </c>
      <c r="J1442">
        <v>9</v>
      </c>
      <c r="K1442">
        <v>0</v>
      </c>
      <c r="L1442" s="1">
        <v>44228</v>
      </c>
      <c r="M1442">
        <v>520</v>
      </c>
      <c r="N1442" s="8" cm="1">
        <f t="array" ref="N1442">_xlfn.SWITCH(Sales[[#This Row],[Subscription Type]],"Basic",10,"Premium",10,"Business",25,"Enterprise",27)</f>
        <v>10</v>
      </c>
      <c r="O1442">
        <f>IF(Sales[[#This Row],[Number of Users]]-Sales[[#This Row],[Licenses Bought]]&lt;0,0,Sales[[#This Row],[Number of Users]]-Sales[[#This Row],[Licenses Bought]])</f>
        <v>12</v>
      </c>
      <c r="P1442" s="8">
        <f>IF(Sales[[#This Row],[Sales Month]]=MAX(Sales[Sales Month]),Sales[[#This Row],[Non-Paying Users]]*Sales[[#This Row],[Upsell $ per Non-Paying User]],0)</f>
        <v>0</v>
      </c>
      <c r="Q1442" t="str" cm="1">
        <f t="array" ref="Q1442">_xlfn.IFS(Sales[[#This Row],[Current Upsell $]]=0,"",Sales[[#This Row],[Current Upsell $]]&gt;=400,"High",Sales[[#This Row],[Current Upsell $]]&gt;=100,"Medium",Sales[[#This Row],[Current Upsell $]]&lt;100,"Low")</f>
        <v/>
      </c>
      <c r="R1442" t="str">
        <f>IF(Sales[[#This Row],[Current Upsell $]]&gt;0,_xlfn.CONCAT(Sales[[#This Row],[Subscription Type]]," ",Sales[[#This Row],[Upsell Priority]]," ",TEXT(Sales[[#This Row],[Current Upsell $]],"$#,#")),"")</f>
        <v/>
      </c>
    </row>
    <row r="1443" spans="1:18" x14ac:dyDescent="0.25">
      <c r="A1443">
        <v>100146</v>
      </c>
      <c r="B1443" t="s">
        <v>0</v>
      </c>
      <c r="D1443" s="1"/>
      <c r="E1443" s="1"/>
      <c r="F1443">
        <v>52</v>
      </c>
      <c r="G1443">
        <v>59</v>
      </c>
      <c r="H1443" s="1">
        <v>44105</v>
      </c>
      <c r="I1443" s="1">
        <v>44378</v>
      </c>
      <c r="J1443">
        <v>9</v>
      </c>
      <c r="K1443">
        <v>0</v>
      </c>
      <c r="L1443" s="1">
        <v>44256</v>
      </c>
      <c r="M1443">
        <v>520</v>
      </c>
      <c r="N1443" s="8" cm="1">
        <f t="array" ref="N1443">_xlfn.SWITCH(Sales[[#This Row],[Subscription Type]],"Basic",10,"Premium",10,"Business",25,"Enterprise",27)</f>
        <v>10</v>
      </c>
      <c r="O1443">
        <f>IF(Sales[[#This Row],[Number of Users]]-Sales[[#This Row],[Licenses Bought]]&lt;0,0,Sales[[#This Row],[Number of Users]]-Sales[[#This Row],[Licenses Bought]])</f>
        <v>7</v>
      </c>
      <c r="P1443" s="8">
        <f>IF(Sales[[#This Row],[Sales Month]]=MAX(Sales[Sales Month]),Sales[[#This Row],[Non-Paying Users]]*Sales[[#This Row],[Upsell $ per Non-Paying User]],0)</f>
        <v>0</v>
      </c>
      <c r="Q1443" t="str" cm="1">
        <f t="array" ref="Q1443">_xlfn.IFS(Sales[[#This Row],[Current Upsell $]]=0,"",Sales[[#This Row],[Current Upsell $]]&gt;=400,"High",Sales[[#This Row],[Current Upsell $]]&gt;=100,"Medium",Sales[[#This Row],[Current Upsell $]]&lt;100,"Low")</f>
        <v/>
      </c>
      <c r="R1443" t="str">
        <f>IF(Sales[[#This Row],[Current Upsell $]]&gt;0,_xlfn.CONCAT(Sales[[#This Row],[Subscription Type]]," ",Sales[[#This Row],[Upsell Priority]]," ",TEXT(Sales[[#This Row],[Current Upsell $]],"$#,#")),"")</f>
        <v/>
      </c>
    </row>
    <row r="1444" spans="1:18" x14ac:dyDescent="0.25">
      <c r="A1444">
        <v>100146</v>
      </c>
      <c r="B1444" t="s">
        <v>0</v>
      </c>
      <c r="D1444" s="1"/>
      <c r="E1444" s="1"/>
      <c r="F1444">
        <v>52</v>
      </c>
      <c r="G1444">
        <v>56</v>
      </c>
      <c r="H1444" s="1">
        <v>44105</v>
      </c>
      <c r="I1444" s="1">
        <v>44378</v>
      </c>
      <c r="J1444">
        <v>9</v>
      </c>
      <c r="K1444">
        <v>0</v>
      </c>
      <c r="L1444" s="1">
        <v>44287</v>
      </c>
      <c r="M1444">
        <v>520</v>
      </c>
      <c r="N1444" s="8" cm="1">
        <f t="array" ref="N1444">_xlfn.SWITCH(Sales[[#This Row],[Subscription Type]],"Basic",10,"Premium",10,"Business",25,"Enterprise",27)</f>
        <v>10</v>
      </c>
      <c r="O1444">
        <f>IF(Sales[[#This Row],[Number of Users]]-Sales[[#This Row],[Licenses Bought]]&lt;0,0,Sales[[#This Row],[Number of Users]]-Sales[[#This Row],[Licenses Bought]])</f>
        <v>4</v>
      </c>
      <c r="P1444" s="8">
        <f>IF(Sales[[#This Row],[Sales Month]]=MAX(Sales[Sales Month]),Sales[[#This Row],[Non-Paying Users]]*Sales[[#This Row],[Upsell $ per Non-Paying User]],0)</f>
        <v>0</v>
      </c>
      <c r="Q1444" t="str" cm="1">
        <f t="array" ref="Q1444">_xlfn.IFS(Sales[[#This Row],[Current Upsell $]]=0,"",Sales[[#This Row],[Current Upsell $]]&gt;=400,"High",Sales[[#This Row],[Current Upsell $]]&gt;=100,"Medium",Sales[[#This Row],[Current Upsell $]]&lt;100,"Low")</f>
        <v/>
      </c>
      <c r="R1444" t="str">
        <f>IF(Sales[[#This Row],[Current Upsell $]]&gt;0,_xlfn.CONCAT(Sales[[#This Row],[Subscription Type]]," ",Sales[[#This Row],[Upsell Priority]]," ",TEXT(Sales[[#This Row],[Current Upsell $]],"$#,#")),"")</f>
        <v/>
      </c>
    </row>
    <row r="1445" spans="1:18" x14ac:dyDescent="0.25">
      <c r="A1445">
        <v>100146</v>
      </c>
      <c r="B1445" t="s">
        <v>0</v>
      </c>
      <c r="D1445" s="1"/>
      <c r="E1445" s="1"/>
      <c r="F1445">
        <v>52</v>
      </c>
      <c r="G1445">
        <v>52</v>
      </c>
      <c r="H1445" s="1">
        <v>44105</v>
      </c>
      <c r="I1445" s="1">
        <v>44378</v>
      </c>
      <c r="J1445">
        <v>9</v>
      </c>
      <c r="K1445">
        <v>0</v>
      </c>
      <c r="L1445" s="1">
        <v>44317</v>
      </c>
      <c r="M1445">
        <v>520</v>
      </c>
      <c r="N1445" s="8" cm="1">
        <f t="array" ref="N1445">_xlfn.SWITCH(Sales[[#This Row],[Subscription Type]],"Basic",10,"Premium",10,"Business",25,"Enterprise",27)</f>
        <v>10</v>
      </c>
      <c r="O1445">
        <f>IF(Sales[[#This Row],[Number of Users]]-Sales[[#This Row],[Licenses Bought]]&lt;0,0,Sales[[#This Row],[Number of Users]]-Sales[[#This Row],[Licenses Bought]])</f>
        <v>0</v>
      </c>
      <c r="P1445" s="8">
        <f>IF(Sales[[#This Row],[Sales Month]]=MAX(Sales[Sales Month]),Sales[[#This Row],[Non-Paying Users]]*Sales[[#This Row],[Upsell $ per Non-Paying User]],0)</f>
        <v>0</v>
      </c>
      <c r="Q1445" t="str" cm="1">
        <f t="array" ref="Q1445">_xlfn.IFS(Sales[[#This Row],[Current Upsell $]]=0,"",Sales[[#This Row],[Current Upsell $]]&gt;=400,"High",Sales[[#This Row],[Current Upsell $]]&gt;=100,"Medium",Sales[[#This Row],[Current Upsell $]]&lt;100,"Low")</f>
        <v/>
      </c>
      <c r="R1445" t="str">
        <f>IF(Sales[[#This Row],[Current Upsell $]]&gt;0,_xlfn.CONCAT(Sales[[#This Row],[Subscription Type]]," ",Sales[[#This Row],[Upsell Priority]]," ",TEXT(Sales[[#This Row],[Current Upsell $]],"$#,#")),"")</f>
        <v/>
      </c>
    </row>
    <row r="1446" spans="1:18" x14ac:dyDescent="0.25">
      <c r="A1446">
        <v>100146</v>
      </c>
      <c r="B1446" t="s">
        <v>0</v>
      </c>
      <c r="D1446" s="1"/>
      <c r="E1446" s="1"/>
      <c r="F1446">
        <v>52</v>
      </c>
      <c r="G1446">
        <v>62</v>
      </c>
      <c r="H1446" s="1">
        <v>44105</v>
      </c>
      <c r="I1446" s="1">
        <v>44378</v>
      </c>
      <c r="J1446">
        <v>9</v>
      </c>
      <c r="K1446">
        <v>0</v>
      </c>
      <c r="L1446" s="1">
        <v>44348</v>
      </c>
      <c r="M1446">
        <v>520</v>
      </c>
      <c r="N1446" s="8" cm="1">
        <f t="array" ref="N1446">_xlfn.SWITCH(Sales[[#This Row],[Subscription Type]],"Basic",10,"Premium",10,"Business",25,"Enterprise",27)</f>
        <v>10</v>
      </c>
      <c r="O1446">
        <f>IF(Sales[[#This Row],[Number of Users]]-Sales[[#This Row],[Licenses Bought]]&lt;0,0,Sales[[#This Row],[Number of Users]]-Sales[[#This Row],[Licenses Bought]])</f>
        <v>10</v>
      </c>
      <c r="P1446" s="8">
        <f>IF(Sales[[#This Row],[Sales Month]]=MAX(Sales[Sales Month]),Sales[[#This Row],[Non-Paying Users]]*Sales[[#This Row],[Upsell $ per Non-Paying User]],0)</f>
        <v>100</v>
      </c>
      <c r="Q1446" t="str" cm="1">
        <f t="array" ref="Q1446">_xlfn.IFS(Sales[[#This Row],[Current Upsell $]]=0,"",Sales[[#This Row],[Current Upsell $]]&gt;=400,"High",Sales[[#This Row],[Current Upsell $]]&gt;=100,"Medium",Sales[[#This Row],[Current Upsell $]]&lt;100,"Low")</f>
        <v>Medium</v>
      </c>
      <c r="R1446" t="str">
        <f>IF(Sales[[#This Row],[Current Upsell $]]&gt;0,_xlfn.CONCAT(Sales[[#This Row],[Subscription Type]]," ",Sales[[#This Row],[Upsell Priority]]," ",TEXT(Sales[[#This Row],[Current Upsell $]],"$#,#")),"")</f>
        <v>Premium Medium $100</v>
      </c>
    </row>
    <row r="1447" spans="1:18" x14ac:dyDescent="0.25">
      <c r="A1447">
        <v>100147</v>
      </c>
      <c r="B1447" t="s">
        <v>3</v>
      </c>
      <c r="D1447" s="1"/>
      <c r="E1447" s="1"/>
      <c r="F1447">
        <v>0</v>
      </c>
      <c r="G1447">
        <v>67</v>
      </c>
      <c r="H1447" s="1">
        <v>44105</v>
      </c>
      <c r="I1447" s="1">
        <v>44378</v>
      </c>
      <c r="J1447">
        <v>9</v>
      </c>
      <c r="K1447">
        <v>0</v>
      </c>
      <c r="L1447" s="1">
        <v>44105</v>
      </c>
      <c r="M1447">
        <v>0</v>
      </c>
      <c r="N1447" s="8" cm="1">
        <f t="array" ref="N1447">_xlfn.SWITCH(Sales[[#This Row],[Subscription Type]],"Basic",10,"Premium",10,"Business",25,"Enterprise",27)</f>
        <v>10</v>
      </c>
      <c r="O1447">
        <f>IF(Sales[[#This Row],[Number of Users]]-Sales[[#This Row],[Licenses Bought]]&lt;0,0,Sales[[#This Row],[Number of Users]]-Sales[[#This Row],[Licenses Bought]])</f>
        <v>67</v>
      </c>
      <c r="P1447" s="8">
        <f>IF(Sales[[#This Row],[Sales Month]]=MAX(Sales[Sales Month]),Sales[[#This Row],[Non-Paying Users]]*Sales[[#This Row],[Upsell $ per Non-Paying User]],0)</f>
        <v>0</v>
      </c>
      <c r="Q1447" t="str" cm="1">
        <f t="array" ref="Q1447">_xlfn.IFS(Sales[[#This Row],[Current Upsell $]]=0,"",Sales[[#This Row],[Current Upsell $]]&gt;=400,"High",Sales[[#This Row],[Current Upsell $]]&gt;=100,"Medium",Sales[[#This Row],[Current Upsell $]]&lt;100,"Low")</f>
        <v/>
      </c>
      <c r="R1447" t="str">
        <f>IF(Sales[[#This Row],[Current Upsell $]]&gt;0,_xlfn.CONCAT(Sales[[#This Row],[Subscription Type]]," ",Sales[[#This Row],[Upsell Priority]]," ",TEXT(Sales[[#This Row],[Current Upsell $]],"$#,#")),"")</f>
        <v/>
      </c>
    </row>
    <row r="1448" spans="1:18" x14ac:dyDescent="0.25">
      <c r="A1448">
        <v>100147</v>
      </c>
      <c r="B1448" t="s">
        <v>0</v>
      </c>
      <c r="D1448" s="1"/>
      <c r="E1448" s="1"/>
      <c r="F1448">
        <v>28</v>
      </c>
      <c r="G1448">
        <v>51</v>
      </c>
      <c r="H1448" s="1">
        <v>44105</v>
      </c>
      <c r="I1448" s="1">
        <v>44378</v>
      </c>
      <c r="J1448">
        <v>9</v>
      </c>
      <c r="K1448">
        <v>0</v>
      </c>
      <c r="L1448" s="1">
        <v>44136</v>
      </c>
      <c r="M1448">
        <v>280</v>
      </c>
      <c r="N1448" s="8" cm="1">
        <f t="array" ref="N1448">_xlfn.SWITCH(Sales[[#This Row],[Subscription Type]],"Basic",10,"Premium",10,"Business",25,"Enterprise",27)</f>
        <v>10</v>
      </c>
      <c r="O1448">
        <f>IF(Sales[[#This Row],[Number of Users]]-Sales[[#This Row],[Licenses Bought]]&lt;0,0,Sales[[#This Row],[Number of Users]]-Sales[[#This Row],[Licenses Bought]])</f>
        <v>23</v>
      </c>
      <c r="P1448" s="8">
        <f>IF(Sales[[#This Row],[Sales Month]]=MAX(Sales[Sales Month]),Sales[[#This Row],[Non-Paying Users]]*Sales[[#This Row],[Upsell $ per Non-Paying User]],0)</f>
        <v>0</v>
      </c>
      <c r="Q1448" t="str" cm="1">
        <f t="array" ref="Q1448">_xlfn.IFS(Sales[[#This Row],[Current Upsell $]]=0,"",Sales[[#This Row],[Current Upsell $]]&gt;=400,"High",Sales[[#This Row],[Current Upsell $]]&gt;=100,"Medium",Sales[[#This Row],[Current Upsell $]]&lt;100,"Low")</f>
        <v/>
      </c>
      <c r="R1448" t="str">
        <f>IF(Sales[[#This Row],[Current Upsell $]]&gt;0,_xlfn.CONCAT(Sales[[#This Row],[Subscription Type]]," ",Sales[[#This Row],[Upsell Priority]]," ",TEXT(Sales[[#This Row],[Current Upsell $]],"$#,#")),"")</f>
        <v/>
      </c>
    </row>
    <row r="1449" spans="1:18" x14ac:dyDescent="0.25">
      <c r="A1449">
        <v>100147</v>
      </c>
      <c r="B1449" t="s">
        <v>0</v>
      </c>
      <c r="D1449" s="1"/>
      <c r="E1449" s="1"/>
      <c r="F1449">
        <v>46</v>
      </c>
      <c r="G1449">
        <v>50</v>
      </c>
      <c r="H1449" s="1">
        <v>44105</v>
      </c>
      <c r="I1449" s="1">
        <v>44378</v>
      </c>
      <c r="J1449">
        <v>9</v>
      </c>
      <c r="K1449">
        <v>0</v>
      </c>
      <c r="L1449" s="1">
        <v>44166</v>
      </c>
      <c r="M1449">
        <v>460</v>
      </c>
      <c r="N1449" s="8" cm="1">
        <f t="array" ref="N1449">_xlfn.SWITCH(Sales[[#This Row],[Subscription Type]],"Basic",10,"Premium",10,"Business",25,"Enterprise",27)</f>
        <v>10</v>
      </c>
      <c r="O1449">
        <f>IF(Sales[[#This Row],[Number of Users]]-Sales[[#This Row],[Licenses Bought]]&lt;0,0,Sales[[#This Row],[Number of Users]]-Sales[[#This Row],[Licenses Bought]])</f>
        <v>4</v>
      </c>
      <c r="P1449" s="8">
        <f>IF(Sales[[#This Row],[Sales Month]]=MAX(Sales[Sales Month]),Sales[[#This Row],[Non-Paying Users]]*Sales[[#This Row],[Upsell $ per Non-Paying User]],0)</f>
        <v>0</v>
      </c>
      <c r="Q1449" t="str" cm="1">
        <f t="array" ref="Q1449">_xlfn.IFS(Sales[[#This Row],[Current Upsell $]]=0,"",Sales[[#This Row],[Current Upsell $]]&gt;=400,"High",Sales[[#This Row],[Current Upsell $]]&gt;=100,"Medium",Sales[[#This Row],[Current Upsell $]]&lt;100,"Low")</f>
        <v/>
      </c>
      <c r="R1449" t="str">
        <f>IF(Sales[[#This Row],[Current Upsell $]]&gt;0,_xlfn.CONCAT(Sales[[#This Row],[Subscription Type]]," ",Sales[[#This Row],[Upsell Priority]]," ",TEXT(Sales[[#This Row],[Current Upsell $]],"$#,#")),"")</f>
        <v/>
      </c>
    </row>
    <row r="1450" spans="1:18" x14ac:dyDescent="0.25">
      <c r="A1450">
        <v>100147</v>
      </c>
      <c r="B1450" t="s">
        <v>0</v>
      </c>
      <c r="D1450" s="1"/>
      <c r="E1450" s="1"/>
      <c r="F1450">
        <v>51</v>
      </c>
      <c r="G1450">
        <v>70</v>
      </c>
      <c r="H1450" s="1">
        <v>44105</v>
      </c>
      <c r="I1450" s="1">
        <v>44378</v>
      </c>
      <c r="J1450">
        <v>9</v>
      </c>
      <c r="K1450">
        <v>0</v>
      </c>
      <c r="L1450" s="1">
        <v>44197</v>
      </c>
      <c r="M1450">
        <v>510</v>
      </c>
      <c r="N1450" s="8" cm="1">
        <f t="array" ref="N1450">_xlfn.SWITCH(Sales[[#This Row],[Subscription Type]],"Basic",10,"Premium",10,"Business",25,"Enterprise",27)</f>
        <v>10</v>
      </c>
      <c r="O1450">
        <f>IF(Sales[[#This Row],[Number of Users]]-Sales[[#This Row],[Licenses Bought]]&lt;0,0,Sales[[#This Row],[Number of Users]]-Sales[[#This Row],[Licenses Bought]])</f>
        <v>19</v>
      </c>
      <c r="P1450" s="8">
        <f>IF(Sales[[#This Row],[Sales Month]]=MAX(Sales[Sales Month]),Sales[[#This Row],[Non-Paying Users]]*Sales[[#This Row],[Upsell $ per Non-Paying User]],0)</f>
        <v>0</v>
      </c>
      <c r="Q1450" t="str" cm="1">
        <f t="array" ref="Q1450">_xlfn.IFS(Sales[[#This Row],[Current Upsell $]]=0,"",Sales[[#This Row],[Current Upsell $]]&gt;=400,"High",Sales[[#This Row],[Current Upsell $]]&gt;=100,"Medium",Sales[[#This Row],[Current Upsell $]]&lt;100,"Low")</f>
        <v/>
      </c>
      <c r="R1450" t="str">
        <f>IF(Sales[[#This Row],[Current Upsell $]]&gt;0,_xlfn.CONCAT(Sales[[#This Row],[Subscription Type]]," ",Sales[[#This Row],[Upsell Priority]]," ",TEXT(Sales[[#This Row],[Current Upsell $]],"$#,#")),"")</f>
        <v/>
      </c>
    </row>
    <row r="1451" spans="1:18" x14ac:dyDescent="0.25">
      <c r="A1451">
        <v>100147</v>
      </c>
      <c r="B1451" t="s">
        <v>0</v>
      </c>
      <c r="D1451" s="1"/>
      <c r="E1451" s="1"/>
      <c r="F1451">
        <v>51</v>
      </c>
      <c r="G1451">
        <v>61</v>
      </c>
      <c r="H1451" s="1">
        <v>44105</v>
      </c>
      <c r="I1451" s="1">
        <v>44378</v>
      </c>
      <c r="J1451">
        <v>9</v>
      </c>
      <c r="K1451">
        <v>0</v>
      </c>
      <c r="L1451" s="1">
        <v>44228</v>
      </c>
      <c r="M1451">
        <v>510</v>
      </c>
      <c r="N1451" s="8" cm="1">
        <f t="array" ref="N1451">_xlfn.SWITCH(Sales[[#This Row],[Subscription Type]],"Basic",10,"Premium",10,"Business",25,"Enterprise",27)</f>
        <v>10</v>
      </c>
      <c r="O1451">
        <f>IF(Sales[[#This Row],[Number of Users]]-Sales[[#This Row],[Licenses Bought]]&lt;0,0,Sales[[#This Row],[Number of Users]]-Sales[[#This Row],[Licenses Bought]])</f>
        <v>10</v>
      </c>
      <c r="P1451" s="8">
        <f>IF(Sales[[#This Row],[Sales Month]]=MAX(Sales[Sales Month]),Sales[[#This Row],[Non-Paying Users]]*Sales[[#This Row],[Upsell $ per Non-Paying User]],0)</f>
        <v>0</v>
      </c>
      <c r="Q1451" t="str" cm="1">
        <f t="array" ref="Q1451">_xlfn.IFS(Sales[[#This Row],[Current Upsell $]]=0,"",Sales[[#This Row],[Current Upsell $]]&gt;=400,"High",Sales[[#This Row],[Current Upsell $]]&gt;=100,"Medium",Sales[[#This Row],[Current Upsell $]]&lt;100,"Low")</f>
        <v/>
      </c>
      <c r="R1451" t="str">
        <f>IF(Sales[[#This Row],[Current Upsell $]]&gt;0,_xlfn.CONCAT(Sales[[#This Row],[Subscription Type]]," ",Sales[[#This Row],[Upsell Priority]]," ",TEXT(Sales[[#This Row],[Current Upsell $]],"$#,#")),"")</f>
        <v/>
      </c>
    </row>
    <row r="1452" spans="1:18" x14ac:dyDescent="0.25">
      <c r="A1452">
        <v>100147</v>
      </c>
      <c r="B1452" t="s">
        <v>0</v>
      </c>
      <c r="D1452" s="1"/>
      <c r="E1452" s="1"/>
      <c r="F1452">
        <v>51</v>
      </c>
      <c r="G1452">
        <v>57</v>
      </c>
      <c r="H1452" s="1">
        <v>44105</v>
      </c>
      <c r="I1452" s="1">
        <v>44378</v>
      </c>
      <c r="J1452">
        <v>9</v>
      </c>
      <c r="K1452">
        <v>0</v>
      </c>
      <c r="L1452" s="1">
        <v>44256</v>
      </c>
      <c r="M1452">
        <v>510</v>
      </c>
      <c r="N1452" s="8" cm="1">
        <f t="array" ref="N1452">_xlfn.SWITCH(Sales[[#This Row],[Subscription Type]],"Basic",10,"Premium",10,"Business",25,"Enterprise",27)</f>
        <v>10</v>
      </c>
      <c r="O1452">
        <f>IF(Sales[[#This Row],[Number of Users]]-Sales[[#This Row],[Licenses Bought]]&lt;0,0,Sales[[#This Row],[Number of Users]]-Sales[[#This Row],[Licenses Bought]])</f>
        <v>6</v>
      </c>
      <c r="P1452" s="8">
        <f>IF(Sales[[#This Row],[Sales Month]]=MAX(Sales[Sales Month]),Sales[[#This Row],[Non-Paying Users]]*Sales[[#This Row],[Upsell $ per Non-Paying User]],0)</f>
        <v>0</v>
      </c>
      <c r="Q1452" t="str" cm="1">
        <f t="array" ref="Q1452">_xlfn.IFS(Sales[[#This Row],[Current Upsell $]]=0,"",Sales[[#This Row],[Current Upsell $]]&gt;=400,"High",Sales[[#This Row],[Current Upsell $]]&gt;=100,"Medium",Sales[[#This Row],[Current Upsell $]]&lt;100,"Low")</f>
        <v/>
      </c>
      <c r="R1452" t="str">
        <f>IF(Sales[[#This Row],[Current Upsell $]]&gt;0,_xlfn.CONCAT(Sales[[#This Row],[Subscription Type]]," ",Sales[[#This Row],[Upsell Priority]]," ",TEXT(Sales[[#This Row],[Current Upsell $]],"$#,#")),"")</f>
        <v/>
      </c>
    </row>
    <row r="1453" spans="1:18" x14ac:dyDescent="0.25">
      <c r="A1453">
        <v>100147</v>
      </c>
      <c r="B1453" t="s">
        <v>0</v>
      </c>
      <c r="D1453" s="1"/>
      <c r="E1453" s="1"/>
      <c r="F1453">
        <v>51</v>
      </c>
      <c r="G1453">
        <v>67</v>
      </c>
      <c r="H1453" s="1">
        <v>44105</v>
      </c>
      <c r="I1453" s="1">
        <v>44378</v>
      </c>
      <c r="J1453">
        <v>9</v>
      </c>
      <c r="K1453">
        <v>0</v>
      </c>
      <c r="L1453" s="1">
        <v>44287</v>
      </c>
      <c r="M1453">
        <v>510</v>
      </c>
      <c r="N1453" s="8" cm="1">
        <f t="array" ref="N1453">_xlfn.SWITCH(Sales[[#This Row],[Subscription Type]],"Basic",10,"Premium",10,"Business",25,"Enterprise",27)</f>
        <v>10</v>
      </c>
      <c r="O1453">
        <f>IF(Sales[[#This Row],[Number of Users]]-Sales[[#This Row],[Licenses Bought]]&lt;0,0,Sales[[#This Row],[Number of Users]]-Sales[[#This Row],[Licenses Bought]])</f>
        <v>16</v>
      </c>
      <c r="P1453" s="8">
        <f>IF(Sales[[#This Row],[Sales Month]]=MAX(Sales[Sales Month]),Sales[[#This Row],[Non-Paying Users]]*Sales[[#This Row],[Upsell $ per Non-Paying User]],0)</f>
        <v>0</v>
      </c>
      <c r="Q1453" t="str" cm="1">
        <f t="array" ref="Q1453">_xlfn.IFS(Sales[[#This Row],[Current Upsell $]]=0,"",Sales[[#This Row],[Current Upsell $]]&gt;=400,"High",Sales[[#This Row],[Current Upsell $]]&gt;=100,"Medium",Sales[[#This Row],[Current Upsell $]]&lt;100,"Low")</f>
        <v/>
      </c>
      <c r="R1453" t="str">
        <f>IF(Sales[[#This Row],[Current Upsell $]]&gt;0,_xlfn.CONCAT(Sales[[#This Row],[Subscription Type]]," ",Sales[[#This Row],[Upsell Priority]]," ",TEXT(Sales[[#This Row],[Current Upsell $]],"$#,#")),"")</f>
        <v/>
      </c>
    </row>
    <row r="1454" spans="1:18" x14ac:dyDescent="0.25">
      <c r="A1454">
        <v>100147</v>
      </c>
      <c r="B1454" t="s">
        <v>0</v>
      </c>
      <c r="D1454" s="1"/>
      <c r="E1454" s="1"/>
      <c r="F1454">
        <v>51</v>
      </c>
      <c r="G1454">
        <v>68</v>
      </c>
      <c r="H1454" s="1">
        <v>44105</v>
      </c>
      <c r="I1454" s="1">
        <v>44378</v>
      </c>
      <c r="J1454">
        <v>9</v>
      </c>
      <c r="K1454">
        <v>0</v>
      </c>
      <c r="L1454" s="1">
        <v>44317</v>
      </c>
      <c r="M1454">
        <v>510</v>
      </c>
      <c r="N1454" s="8" cm="1">
        <f t="array" ref="N1454">_xlfn.SWITCH(Sales[[#This Row],[Subscription Type]],"Basic",10,"Premium",10,"Business",25,"Enterprise",27)</f>
        <v>10</v>
      </c>
      <c r="O1454">
        <f>IF(Sales[[#This Row],[Number of Users]]-Sales[[#This Row],[Licenses Bought]]&lt;0,0,Sales[[#This Row],[Number of Users]]-Sales[[#This Row],[Licenses Bought]])</f>
        <v>17</v>
      </c>
      <c r="P1454" s="8">
        <f>IF(Sales[[#This Row],[Sales Month]]=MAX(Sales[Sales Month]),Sales[[#This Row],[Non-Paying Users]]*Sales[[#This Row],[Upsell $ per Non-Paying User]],0)</f>
        <v>0</v>
      </c>
      <c r="Q1454" t="str" cm="1">
        <f t="array" ref="Q1454">_xlfn.IFS(Sales[[#This Row],[Current Upsell $]]=0,"",Sales[[#This Row],[Current Upsell $]]&gt;=400,"High",Sales[[#This Row],[Current Upsell $]]&gt;=100,"Medium",Sales[[#This Row],[Current Upsell $]]&lt;100,"Low")</f>
        <v/>
      </c>
      <c r="R1454" t="str">
        <f>IF(Sales[[#This Row],[Current Upsell $]]&gt;0,_xlfn.CONCAT(Sales[[#This Row],[Subscription Type]]," ",Sales[[#This Row],[Upsell Priority]]," ",TEXT(Sales[[#This Row],[Current Upsell $]],"$#,#")),"")</f>
        <v/>
      </c>
    </row>
    <row r="1455" spans="1:18" x14ac:dyDescent="0.25">
      <c r="A1455">
        <v>100147</v>
      </c>
      <c r="B1455" t="s">
        <v>0</v>
      </c>
      <c r="D1455" s="1"/>
      <c r="E1455" s="1"/>
      <c r="F1455">
        <v>51</v>
      </c>
      <c r="G1455">
        <v>55</v>
      </c>
      <c r="H1455" s="1">
        <v>44105</v>
      </c>
      <c r="I1455" s="1">
        <v>44378</v>
      </c>
      <c r="J1455">
        <v>9</v>
      </c>
      <c r="K1455">
        <v>0</v>
      </c>
      <c r="L1455" s="1">
        <v>44348</v>
      </c>
      <c r="M1455">
        <v>510</v>
      </c>
      <c r="N1455" s="8" cm="1">
        <f t="array" ref="N1455">_xlfn.SWITCH(Sales[[#This Row],[Subscription Type]],"Basic",10,"Premium",10,"Business",25,"Enterprise",27)</f>
        <v>10</v>
      </c>
      <c r="O1455">
        <f>IF(Sales[[#This Row],[Number of Users]]-Sales[[#This Row],[Licenses Bought]]&lt;0,0,Sales[[#This Row],[Number of Users]]-Sales[[#This Row],[Licenses Bought]])</f>
        <v>4</v>
      </c>
      <c r="P1455" s="8">
        <f>IF(Sales[[#This Row],[Sales Month]]=MAX(Sales[Sales Month]),Sales[[#This Row],[Non-Paying Users]]*Sales[[#This Row],[Upsell $ per Non-Paying User]],0)</f>
        <v>40</v>
      </c>
      <c r="Q1455" t="str" cm="1">
        <f t="array" ref="Q1455">_xlfn.IFS(Sales[[#This Row],[Current Upsell $]]=0,"",Sales[[#This Row],[Current Upsell $]]&gt;=400,"High",Sales[[#This Row],[Current Upsell $]]&gt;=100,"Medium",Sales[[#This Row],[Current Upsell $]]&lt;100,"Low")</f>
        <v>Low</v>
      </c>
      <c r="R1455" t="str">
        <f>IF(Sales[[#This Row],[Current Upsell $]]&gt;0,_xlfn.CONCAT(Sales[[#This Row],[Subscription Type]]," ",Sales[[#This Row],[Upsell Priority]]," ",TEXT(Sales[[#This Row],[Current Upsell $]],"$#,#")),"")</f>
        <v>Premium Low $40</v>
      </c>
    </row>
    <row r="1456" spans="1:18" x14ac:dyDescent="0.25">
      <c r="A1456">
        <v>100148</v>
      </c>
      <c r="B1456" t="s">
        <v>3</v>
      </c>
      <c r="D1456" s="1"/>
      <c r="E1456" s="1"/>
      <c r="F1456">
        <v>0</v>
      </c>
      <c r="G1456">
        <v>69</v>
      </c>
      <c r="H1456" s="1">
        <v>44105</v>
      </c>
      <c r="I1456" s="1">
        <v>44378</v>
      </c>
      <c r="J1456">
        <v>9</v>
      </c>
      <c r="K1456">
        <v>0</v>
      </c>
      <c r="L1456" s="1">
        <v>44105</v>
      </c>
      <c r="M1456">
        <v>0</v>
      </c>
      <c r="N1456" s="8" cm="1">
        <f t="array" ref="N1456">_xlfn.SWITCH(Sales[[#This Row],[Subscription Type]],"Basic",10,"Premium",10,"Business",25,"Enterprise",27)</f>
        <v>10</v>
      </c>
      <c r="O1456">
        <f>IF(Sales[[#This Row],[Number of Users]]-Sales[[#This Row],[Licenses Bought]]&lt;0,0,Sales[[#This Row],[Number of Users]]-Sales[[#This Row],[Licenses Bought]])</f>
        <v>69</v>
      </c>
      <c r="P1456" s="8">
        <f>IF(Sales[[#This Row],[Sales Month]]=MAX(Sales[Sales Month]),Sales[[#This Row],[Non-Paying Users]]*Sales[[#This Row],[Upsell $ per Non-Paying User]],0)</f>
        <v>0</v>
      </c>
      <c r="Q1456" t="str" cm="1">
        <f t="array" ref="Q1456">_xlfn.IFS(Sales[[#This Row],[Current Upsell $]]=0,"",Sales[[#This Row],[Current Upsell $]]&gt;=400,"High",Sales[[#This Row],[Current Upsell $]]&gt;=100,"Medium",Sales[[#This Row],[Current Upsell $]]&lt;100,"Low")</f>
        <v/>
      </c>
      <c r="R1456" t="str">
        <f>IF(Sales[[#This Row],[Current Upsell $]]&gt;0,_xlfn.CONCAT(Sales[[#This Row],[Subscription Type]]," ",Sales[[#This Row],[Upsell Priority]]," ",TEXT(Sales[[#This Row],[Current Upsell $]],"$#,#")),"")</f>
        <v/>
      </c>
    </row>
    <row r="1457" spans="1:18" x14ac:dyDescent="0.25">
      <c r="A1457">
        <v>100148</v>
      </c>
      <c r="B1457" t="s">
        <v>0</v>
      </c>
      <c r="D1457" s="1"/>
      <c r="E1457" s="1"/>
      <c r="F1457">
        <v>14</v>
      </c>
      <c r="G1457">
        <v>59</v>
      </c>
      <c r="H1457" s="1">
        <v>44105</v>
      </c>
      <c r="I1457" s="1">
        <v>44378</v>
      </c>
      <c r="J1457">
        <v>9</v>
      </c>
      <c r="K1457">
        <v>0</v>
      </c>
      <c r="L1457" s="1">
        <v>44136</v>
      </c>
      <c r="M1457">
        <v>140</v>
      </c>
      <c r="N1457" s="8" cm="1">
        <f t="array" ref="N1457">_xlfn.SWITCH(Sales[[#This Row],[Subscription Type]],"Basic",10,"Premium",10,"Business",25,"Enterprise",27)</f>
        <v>10</v>
      </c>
      <c r="O1457">
        <f>IF(Sales[[#This Row],[Number of Users]]-Sales[[#This Row],[Licenses Bought]]&lt;0,0,Sales[[#This Row],[Number of Users]]-Sales[[#This Row],[Licenses Bought]])</f>
        <v>45</v>
      </c>
      <c r="P1457" s="8">
        <f>IF(Sales[[#This Row],[Sales Month]]=MAX(Sales[Sales Month]),Sales[[#This Row],[Non-Paying Users]]*Sales[[#This Row],[Upsell $ per Non-Paying User]],0)</f>
        <v>0</v>
      </c>
      <c r="Q1457" t="str" cm="1">
        <f t="array" ref="Q1457">_xlfn.IFS(Sales[[#This Row],[Current Upsell $]]=0,"",Sales[[#This Row],[Current Upsell $]]&gt;=400,"High",Sales[[#This Row],[Current Upsell $]]&gt;=100,"Medium",Sales[[#This Row],[Current Upsell $]]&lt;100,"Low")</f>
        <v/>
      </c>
      <c r="R1457" t="str">
        <f>IF(Sales[[#This Row],[Current Upsell $]]&gt;0,_xlfn.CONCAT(Sales[[#This Row],[Subscription Type]]," ",Sales[[#This Row],[Upsell Priority]]," ",TEXT(Sales[[#This Row],[Current Upsell $]],"$#,#")),"")</f>
        <v/>
      </c>
    </row>
    <row r="1458" spans="1:18" x14ac:dyDescent="0.25">
      <c r="A1458">
        <v>100148</v>
      </c>
      <c r="B1458" t="s">
        <v>0</v>
      </c>
      <c r="D1458" s="1"/>
      <c r="E1458" s="1"/>
      <c r="F1458">
        <v>48</v>
      </c>
      <c r="G1458">
        <v>45</v>
      </c>
      <c r="H1458" s="1">
        <v>44105</v>
      </c>
      <c r="I1458" s="1">
        <v>44378</v>
      </c>
      <c r="J1458">
        <v>9</v>
      </c>
      <c r="K1458">
        <v>0</v>
      </c>
      <c r="L1458" s="1">
        <v>44166</v>
      </c>
      <c r="M1458">
        <v>480</v>
      </c>
      <c r="N1458" s="8" cm="1">
        <f t="array" ref="N1458">_xlfn.SWITCH(Sales[[#This Row],[Subscription Type]],"Basic",10,"Premium",10,"Business",25,"Enterprise",27)</f>
        <v>10</v>
      </c>
      <c r="O1458">
        <f>IF(Sales[[#This Row],[Number of Users]]-Sales[[#This Row],[Licenses Bought]]&lt;0,0,Sales[[#This Row],[Number of Users]]-Sales[[#This Row],[Licenses Bought]])</f>
        <v>0</v>
      </c>
      <c r="P1458" s="8">
        <f>IF(Sales[[#This Row],[Sales Month]]=MAX(Sales[Sales Month]),Sales[[#This Row],[Non-Paying Users]]*Sales[[#This Row],[Upsell $ per Non-Paying User]],0)</f>
        <v>0</v>
      </c>
      <c r="Q1458" t="str" cm="1">
        <f t="array" ref="Q1458">_xlfn.IFS(Sales[[#This Row],[Current Upsell $]]=0,"",Sales[[#This Row],[Current Upsell $]]&gt;=400,"High",Sales[[#This Row],[Current Upsell $]]&gt;=100,"Medium",Sales[[#This Row],[Current Upsell $]]&lt;100,"Low")</f>
        <v/>
      </c>
      <c r="R1458" t="str">
        <f>IF(Sales[[#This Row],[Current Upsell $]]&gt;0,_xlfn.CONCAT(Sales[[#This Row],[Subscription Type]]," ",Sales[[#This Row],[Upsell Priority]]," ",TEXT(Sales[[#This Row],[Current Upsell $]],"$#,#")),"")</f>
        <v/>
      </c>
    </row>
    <row r="1459" spans="1:18" x14ac:dyDescent="0.25">
      <c r="A1459">
        <v>100148</v>
      </c>
      <c r="B1459" t="s">
        <v>0</v>
      </c>
      <c r="D1459" s="1"/>
      <c r="E1459" s="1"/>
      <c r="F1459">
        <v>48</v>
      </c>
      <c r="G1459">
        <v>46</v>
      </c>
      <c r="H1459" s="1">
        <v>44105</v>
      </c>
      <c r="I1459" s="1">
        <v>44378</v>
      </c>
      <c r="J1459">
        <v>9</v>
      </c>
      <c r="K1459">
        <v>0</v>
      </c>
      <c r="L1459" s="1">
        <v>44197</v>
      </c>
      <c r="M1459">
        <v>480</v>
      </c>
      <c r="N1459" s="8" cm="1">
        <f t="array" ref="N1459">_xlfn.SWITCH(Sales[[#This Row],[Subscription Type]],"Basic",10,"Premium",10,"Business",25,"Enterprise",27)</f>
        <v>10</v>
      </c>
      <c r="O1459">
        <f>IF(Sales[[#This Row],[Number of Users]]-Sales[[#This Row],[Licenses Bought]]&lt;0,0,Sales[[#This Row],[Number of Users]]-Sales[[#This Row],[Licenses Bought]])</f>
        <v>0</v>
      </c>
      <c r="P1459" s="8">
        <f>IF(Sales[[#This Row],[Sales Month]]=MAX(Sales[Sales Month]),Sales[[#This Row],[Non-Paying Users]]*Sales[[#This Row],[Upsell $ per Non-Paying User]],0)</f>
        <v>0</v>
      </c>
      <c r="Q1459" t="str" cm="1">
        <f t="array" ref="Q1459">_xlfn.IFS(Sales[[#This Row],[Current Upsell $]]=0,"",Sales[[#This Row],[Current Upsell $]]&gt;=400,"High",Sales[[#This Row],[Current Upsell $]]&gt;=100,"Medium",Sales[[#This Row],[Current Upsell $]]&lt;100,"Low")</f>
        <v/>
      </c>
      <c r="R1459" t="str">
        <f>IF(Sales[[#This Row],[Current Upsell $]]&gt;0,_xlfn.CONCAT(Sales[[#This Row],[Subscription Type]]," ",Sales[[#This Row],[Upsell Priority]]," ",TEXT(Sales[[#This Row],[Current Upsell $]],"$#,#")),"")</f>
        <v/>
      </c>
    </row>
    <row r="1460" spans="1:18" x14ac:dyDescent="0.25">
      <c r="A1460">
        <v>100148</v>
      </c>
      <c r="B1460" t="s">
        <v>0</v>
      </c>
      <c r="D1460" s="1"/>
      <c r="E1460" s="1"/>
      <c r="F1460">
        <v>48</v>
      </c>
      <c r="G1460">
        <v>61</v>
      </c>
      <c r="H1460" s="1">
        <v>44105</v>
      </c>
      <c r="I1460" s="1">
        <v>44378</v>
      </c>
      <c r="J1460">
        <v>9</v>
      </c>
      <c r="K1460">
        <v>0</v>
      </c>
      <c r="L1460" s="1">
        <v>44228</v>
      </c>
      <c r="M1460">
        <v>480</v>
      </c>
      <c r="N1460" s="8" cm="1">
        <f t="array" ref="N1460">_xlfn.SWITCH(Sales[[#This Row],[Subscription Type]],"Basic",10,"Premium",10,"Business",25,"Enterprise",27)</f>
        <v>10</v>
      </c>
      <c r="O1460">
        <f>IF(Sales[[#This Row],[Number of Users]]-Sales[[#This Row],[Licenses Bought]]&lt;0,0,Sales[[#This Row],[Number of Users]]-Sales[[#This Row],[Licenses Bought]])</f>
        <v>13</v>
      </c>
      <c r="P1460" s="8">
        <f>IF(Sales[[#This Row],[Sales Month]]=MAX(Sales[Sales Month]),Sales[[#This Row],[Non-Paying Users]]*Sales[[#This Row],[Upsell $ per Non-Paying User]],0)</f>
        <v>0</v>
      </c>
      <c r="Q1460" t="str" cm="1">
        <f t="array" ref="Q1460">_xlfn.IFS(Sales[[#This Row],[Current Upsell $]]=0,"",Sales[[#This Row],[Current Upsell $]]&gt;=400,"High",Sales[[#This Row],[Current Upsell $]]&gt;=100,"Medium",Sales[[#This Row],[Current Upsell $]]&lt;100,"Low")</f>
        <v/>
      </c>
      <c r="R1460" t="str">
        <f>IF(Sales[[#This Row],[Current Upsell $]]&gt;0,_xlfn.CONCAT(Sales[[#This Row],[Subscription Type]]," ",Sales[[#This Row],[Upsell Priority]]," ",TEXT(Sales[[#This Row],[Current Upsell $]],"$#,#")),"")</f>
        <v/>
      </c>
    </row>
    <row r="1461" spans="1:18" x14ac:dyDescent="0.25">
      <c r="A1461">
        <v>100148</v>
      </c>
      <c r="B1461" t="s">
        <v>0</v>
      </c>
      <c r="D1461" s="1"/>
      <c r="E1461" s="1"/>
      <c r="F1461">
        <v>48</v>
      </c>
      <c r="G1461">
        <v>50</v>
      </c>
      <c r="H1461" s="1">
        <v>44105</v>
      </c>
      <c r="I1461" s="1">
        <v>44378</v>
      </c>
      <c r="J1461">
        <v>9</v>
      </c>
      <c r="K1461">
        <v>0</v>
      </c>
      <c r="L1461" s="1">
        <v>44256</v>
      </c>
      <c r="M1461">
        <v>480</v>
      </c>
      <c r="N1461" s="8" cm="1">
        <f t="array" ref="N1461">_xlfn.SWITCH(Sales[[#This Row],[Subscription Type]],"Basic",10,"Premium",10,"Business",25,"Enterprise",27)</f>
        <v>10</v>
      </c>
      <c r="O1461">
        <f>IF(Sales[[#This Row],[Number of Users]]-Sales[[#This Row],[Licenses Bought]]&lt;0,0,Sales[[#This Row],[Number of Users]]-Sales[[#This Row],[Licenses Bought]])</f>
        <v>2</v>
      </c>
      <c r="P1461" s="8">
        <f>IF(Sales[[#This Row],[Sales Month]]=MAX(Sales[Sales Month]),Sales[[#This Row],[Non-Paying Users]]*Sales[[#This Row],[Upsell $ per Non-Paying User]],0)</f>
        <v>0</v>
      </c>
      <c r="Q1461" t="str" cm="1">
        <f t="array" ref="Q1461">_xlfn.IFS(Sales[[#This Row],[Current Upsell $]]=0,"",Sales[[#This Row],[Current Upsell $]]&gt;=400,"High",Sales[[#This Row],[Current Upsell $]]&gt;=100,"Medium",Sales[[#This Row],[Current Upsell $]]&lt;100,"Low")</f>
        <v/>
      </c>
      <c r="R1461" t="str">
        <f>IF(Sales[[#This Row],[Current Upsell $]]&gt;0,_xlfn.CONCAT(Sales[[#This Row],[Subscription Type]]," ",Sales[[#This Row],[Upsell Priority]]," ",TEXT(Sales[[#This Row],[Current Upsell $]],"$#,#")),"")</f>
        <v/>
      </c>
    </row>
    <row r="1462" spans="1:18" x14ac:dyDescent="0.25">
      <c r="A1462">
        <v>100148</v>
      </c>
      <c r="B1462" t="s">
        <v>0</v>
      </c>
      <c r="D1462" s="1"/>
      <c r="E1462" s="1"/>
      <c r="F1462">
        <v>48</v>
      </c>
      <c r="G1462">
        <v>62</v>
      </c>
      <c r="H1462" s="1">
        <v>44105</v>
      </c>
      <c r="I1462" s="1">
        <v>44378</v>
      </c>
      <c r="J1462">
        <v>9</v>
      </c>
      <c r="K1462">
        <v>0</v>
      </c>
      <c r="L1462" s="1">
        <v>44287</v>
      </c>
      <c r="M1462">
        <v>480</v>
      </c>
      <c r="N1462" s="8" cm="1">
        <f t="array" ref="N1462">_xlfn.SWITCH(Sales[[#This Row],[Subscription Type]],"Basic",10,"Premium",10,"Business",25,"Enterprise",27)</f>
        <v>10</v>
      </c>
      <c r="O1462">
        <f>IF(Sales[[#This Row],[Number of Users]]-Sales[[#This Row],[Licenses Bought]]&lt;0,0,Sales[[#This Row],[Number of Users]]-Sales[[#This Row],[Licenses Bought]])</f>
        <v>14</v>
      </c>
      <c r="P1462" s="8">
        <f>IF(Sales[[#This Row],[Sales Month]]=MAX(Sales[Sales Month]),Sales[[#This Row],[Non-Paying Users]]*Sales[[#This Row],[Upsell $ per Non-Paying User]],0)</f>
        <v>0</v>
      </c>
      <c r="Q1462" t="str" cm="1">
        <f t="array" ref="Q1462">_xlfn.IFS(Sales[[#This Row],[Current Upsell $]]=0,"",Sales[[#This Row],[Current Upsell $]]&gt;=400,"High",Sales[[#This Row],[Current Upsell $]]&gt;=100,"Medium",Sales[[#This Row],[Current Upsell $]]&lt;100,"Low")</f>
        <v/>
      </c>
      <c r="R1462" t="str">
        <f>IF(Sales[[#This Row],[Current Upsell $]]&gt;0,_xlfn.CONCAT(Sales[[#This Row],[Subscription Type]]," ",Sales[[#This Row],[Upsell Priority]]," ",TEXT(Sales[[#This Row],[Current Upsell $]],"$#,#")),"")</f>
        <v/>
      </c>
    </row>
    <row r="1463" spans="1:18" x14ac:dyDescent="0.25">
      <c r="A1463">
        <v>100148</v>
      </c>
      <c r="B1463" t="s">
        <v>0</v>
      </c>
      <c r="D1463" s="1"/>
      <c r="E1463" s="1"/>
      <c r="F1463">
        <v>48</v>
      </c>
      <c r="G1463">
        <v>57</v>
      </c>
      <c r="H1463" s="1">
        <v>44105</v>
      </c>
      <c r="I1463" s="1">
        <v>44378</v>
      </c>
      <c r="J1463">
        <v>9</v>
      </c>
      <c r="K1463">
        <v>0</v>
      </c>
      <c r="L1463" s="1">
        <v>44317</v>
      </c>
      <c r="M1463">
        <v>480</v>
      </c>
      <c r="N1463" s="8" cm="1">
        <f t="array" ref="N1463">_xlfn.SWITCH(Sales[[#This Row],[Subscription Type]],"Basic",10,"Premium",10,"Business",25,"Enterprise",27)</f>
        <v>10</v>
      </c>
      <c r="O1463">
        <f>IF(Sales[[#This Row],[Number of Users]]-Sales[[#This Row],[Licenses Bought]]&lt;0,0,Sales[[#This Row],[Number of Users]]-Sales[[#This Row],[Licenses Bought]])</f>
        <v>9</v>
      </c>
      <c r="P1463" s="8">
        <f>IF(Sales[[#This Row],[Sales Month]]=MAX(Sales[Sales Month]),Sales[[#This Row],[Non-Paying Users]]*Sales[[#This Row],[Upsell $ per Non-Paying User]],0)</f>
        <v>0</v>
      </c>
      <c r="Q1463" t="str" cm="1">
        <f t="array" ref="Q1463">_xlfn.IFS(Sales[[#This Row],[Current Upsell $]]=0,"",Sales[[#This Row],[Current Upsell $]]&gt;=400,"High",Sales[[#This Row],[Current Upsell $]]&gt;=100,"Medium",Sales[[#This Row],[Current Upsell $]]&lt;100,"Low")</f>
        <v/>
      </c>
      <c r="R1463" t="str">
        <f>IF(Sales[[#This Row],[Current Upsell $]]&gt;0,_xlfn.CONCAT(Sales[[#This Row],[Subscription Type]]," ",Sales[[#This Row],[Upsell Priority]]," ",TEXT(Sales[[#This Row],[Current Upsell $]],"$#,#")),"")</f>
        <v/>
      </c>
    </row>
    <row r="1464" spans="1:18" x14ac:dyDescent="0.25">
      <c r="A1464">
        <v>100148</v>
      </c>
      <c r="B1464" t="s">
        <v>0</v>
      </c>
      <c r="D1464" s="1"/>
      <c r="E1464" s="1"/>
      <c r="F1464">
        <v>48</v>
      </c>
      <c r="G1464">
        <v>56</v>
      </c>
      <c r="H1464" s="1">
        <v>44105</v>
      </c>
      <c r="I1464" s="1">
        <v>44378</v>
      </c>
      <c r="J1464">
        <v>9</v>
      </c>
      <c r="K1464">
        <v>0</v>
      </c>
      <c r="L1464" s="1">
        <v>44348</v>
      </c>
      <c r="M1464">
        <v>480</v>
      </c>
      <c r="N1464" s="8" cm="1">
        <f t="array" ref="N1464">_xlfn.SWITCH(Sales[[#This Row],[Subscription Type]],"Basic",10,"Premium",10,"Business",25,"Enterprise",27)</f>
        <v>10</v>
      </c>
      <c r="O1464">
        <f>IF(Sales[[#This Row],[Number of Users]]-Sales[[#This Row],[Licenses Bought]]&lt;0,0,Sales[[#This Row],[Number of Users]]-Sales[[#This Row],[Licenses Bought]])</f>
        <v>8</v>
      </c>
      <c r="P1464" s="8">
        <f>IF(Sales[[#This Row],[Sales Month]]=MAX(Sales[Sales Month]),Sales[[#This Row],[Non-Paying Users]]*Sales[[#This Row],[Upsell $ per Non-Paying User]],0)</f>
        <v>80</v>
      </c>
      <c r="Q1464" t="str" cm="1">
        <f t="array" ref="Q1464">_xlfn.IFS(Sales[[#This Row],[Current Upsell $]]=0,"",Sales[[#This Row],[Current Upsell $]]&gt;=400,"High",Sales[[#This Row],[Current Upsell $]]&gt;=100,"Medium",Sales[[#This Row],[Current Upsell $]]&lt;100,"Low")</f>
        <v>Low</v>
      </c>
      <c r="R1464" t="str">
        <f>IF(Sales[[#This Row],[Current Upsell $]]&gt;0,_xlfn.CONCAT(Sales[[#This Row],[Subscription Type]]," ",Sales[[#This Row],[Upsell Priority]]," ",TEXT(Sales[[#This Row],[Current Upsell $]],"$#,#")),"")</f>
        <v>Premium Low $80</v>
      </c>
    </row>
    <row r="1465" spans="1:18" x14ac:dyDescent="0.25">
      <c r="A1465">
        <v>100149</v>
      </c>
      <c r="B1465" t="s">
        <v>3</v>
      </c>
      <c r="D1465" s="1"/>
      <c r="E1465" s="1"/>
      <c r="F1465">
        <v>0</v>
      </c>
      <c r="G1465">
        <v>45</v>
      </c>
      <c r="H1465" s="1">
        <v>44105</v>
      </c>
      <c r="I1465" s="1">
        <v>44378</v>
      </c>
      <c r="J1465">
        <v>9</v>
      </c>
      <c r="K1465">
        <v>0</v>
      </c>
      <c r="L1465" s="1">
        <v>44105</v>
      </c>
      <c r="M1465">
        <v>0</v>
      </c>
      <c r="N1465" s="8" cm="1">
        <f t="array" ref="N1465">_xlfn.SWITCH(Sales[[#This Row],[Subscription Type]],"Basic",10,"Premium",10,"Business",25,"Enterprise",27)</f>
        <v>10</v>
      </c>
      <c r="O1465">
        <f>IF(Sales[[#This Row],[Number of Users]]-Sales[[#This Row],[Licenses Bought]]&lt;0,0,Sales[[#This Row],[Number of Users]]-Sales[[#This Row],[Licenses Bought]])</f>
        <v>45</v>
      </c>
      <c r="P1465" s="8">
        <f>IF(Sales[[#This Row],[Sales Month]]=MAX(Sales[Sales Month]),Sales[[#This Row],[Non-Paying Users]]*Sales[[#This Row],[Upsell $ per Non-Paying User]],0)</f>
        <v>0</v>
      </c>
      <c r="Q1465" t="str" cm="1">
        <f t="array" ref="Q1465">_xlfn.IFS(Sales[[#This Row],[Current Upsell $]]=0,"",Sales[[#This Row],[Current Upsell $]]&gt;=400,"High",Sales[[#This Row],[Current Upsell $]]&gt;=100,"Medium",Sales[[#This Row],[Current Upsell $]]&lt;100,"Low")</f>
        <v/>
      </c>
      <c r="R1465" t="str">
        <f>IF(Sales[[#This Row],[Current Upsell $]]&gt;0,_xlfn.CONCAT(Sales[[#This Row],[Subscription Type]]," ",Sales[[#This Row],[Upsell Priority]]," ",TEXT(Sales[[#This Row],[Current Upsell $]],"$#,#")),"")</f>
        <v/>
      </c>
    </row>
    <row r="1466" spans="1:18" x14ac:dyDescent="0.25">
      <c r="A1466">
        <v>100149</v>
      </c>
      <c r="B1466" t="s">
        <v>0</v>
      </c>
      <c r="D1466" s="1"/>
      <c r="E1466" s="1"/>
      <c r="F1466">
        <v>24</v>
      </c>
      <c r="G1466">
        <v>44</v>
      </c>
      <c r="H1466" s="1">
        <v>44105</v>
      </c>
      <c r="I1466" s="1">
        <v>44378</v>
      </c>
      <c r="J1466">
        <v>9</v>
      </c>
      <c r="K1466">
        <v>0</v>
      </c>
      <c r="L1466" s="1">
        <v>44136</v>
      </c>
      <c r="M1466">
        <v>240</v>
      </c>
      <c r="N1466" s="8" cm="1">
        <f t="array" ref="N1466">_xlfn.SWITCH(Sales[[#This Row],[Subscription Type]],"Basic",10,"Premium",10,"Business",25,"Enterprise",27)</f>
        <v>10</v>
      </c>
      <c r="O1466">
        <f>IF(Sales[[#This Row],[Number of Users]]-Sales[[#This Row],[Licenses Bought]]&lt;0,0,Sales[[#This Row],[Number of Users]]-Sales[[#This Row],[Licenses Bought]])</f>
        <v>20</v>
      </c>
      <c r="P1466" s="8">
        <f>IF(Sales[[#This Row],[Sales Month]]=MAX(Sales[Sales Month]),Sales[[#This Row],[Non-Paying Users]]*Sales[[#This Row],[Upsell $ per Non-Paying User]],0)</f>
        <v>0</v>
      </c>
      <c r="Q1466" t="str" cm="1">
        <f t="array" ref="Q1466">_xlfn.IFS(Sales[[#This Row],[Current Upsell $]]=0,"",Sales[[#This Row],[Current Upsell $]]&gt;=400,"High",Sales[[#This Row],[Current Upsell $]]&gt;=100,"Medium",Sales[[#This Row],[Current Upsell $]]&lt;100,"Low")</f>
        <v/>
      </c>
      <c r="R1466" t="str">
        <f>IF(Sales[[#This Row],[Current Upsell $]]&gt;0,_xlfn.CONCAT(Sales[[#This Row],[Subscription Type]]," ",Sales[[#This Row],[Upsell Priority]]," ",TEXT(Sales[[#This Row],[Current Upsell $]],"$#,#")),"")</f>
        <v/>
      </c>
    </row>
    <row r="1467" spans="1:18" x14ac:dyDescent="0.25">
      <c r="A1467">
        <v>100149</v>
      </c>
      <c r="B1467" t="s">
        <v>0</v>
      </c>
      <c r="D1467" s="1"/>
      <c r="E1467" s="1"/>
      <c r="F1467">
        <v>26</v>
      </c>
      <c r="G1467">
        <v>39</v>
      </c>
      <c r="H1467" s="1">
        <v>44105</v>
      </c>
      <c r="I1467" s="1">
        <v>44378</v>
      </c>
      <c r="J1467">
        <v>9</v>
      </c>
      <c r="K1467">
        <v>0</v>
      </c>
      <c r="L1467" s="1">
        <v>44166</v>
      </c>
      <c r="M1467">
        <v>260</v>
      </c>
      <c r="N1467" s="8" cm="1">
        <f t="array" ref="N1467">_xlfn.SWITCH(Sales[[#This Row],[Subscription Type]],"Basic",10,"Premium",10,"Business",25,"Enterprise",27)</f>
        <v>10</v>
      </c>
      <c r="O1467">
        <f>IF(Sales[[#This Row],[Number of Users]]-Sales[[#This Row],[Licenses Bought]]&lt;0,0,Sales[[#This Row],[Number of Users]]-Sales[[#This Row],[Licenses Bought]])</f>
        <v>13</v>
      </c>
      <c r="P1467" s="8">
        <f>IF(Sales[[#This Row],[Sales Month]]=MAX(Sales[Sales Month]),Sales[[#This Row],[Non-Paying Users]]*Sales[[#This Row],[Upsell $ per Non-Paying User]],0)</f>
        <v>0</v>
      </c>
      <c r="Q1467" t="str" cm="1">
        <f t="array" ref="Q1467">_xlfn.IFS(Sales[[#This Row],[Current Upsell $]]=0,"",Sales[[#This Row],[Current Upsell $]]&gt;=400,"High",Sales[[#This Row],[Current Upsell $]]&gt;=100,"Medium",Sales[[#This Row],[Current Upsell $]]&lt;100,"Low")</f>
        <v/>
      </c>
      <c r="R1467" t="str">
        <f>IF(Sales[[#This Row],[Current Upsell $]]&gt;0,_xlfn.CONCAT(Sales[[#This Row],[Subscription Type]]," ",Sales[[#This Row],[Upsell Priority]]," ",TEXT(Sales[[#This Row],[Current Upsell $]],"$#,#")),"")</f>
        <v/>
      </c>
    </row>
    <row r="1468" spans="1:18" x14ac:dyDescent="0.25">
      <c r="A1468">
        <v>100149</v>
      </c>
      <c r="B1468" t="s">
        <v>0</v>
      </c>
      <c r="D1468" s="1"/>
      <c r="E1468" s="1"/>
      <c r="F1468">
        <v>33</v>
      </c>
      <c r="G1468">
        <v>42</v>
      </c>
      <c r="H1468" s="1">
        <v>44105</v>
      </c>
      <c r="I1468" s="1">
        <v>44378</v>
      </c>
      <c r="J1468">
        <v>9</v>
      </c>
      <c r="K1468">
        <v>0</v>
      </c>
      <c r="L1468" s="1">
        <v>44197</v>
      </c>
      <c r="M1468">
        <v>330</v>
      </c>
      <c r="N1468" s="8" cm="1">
        <f t="array" ref="N1468">_xlfn.SWITCH(Sales[[#This Row],[Subscription Type]],"Basic",10,"Premium",10,"Business",25,"Enterprise",27)</f>
        <v>10</v>
      </c>
      <c r="O1468">
        <f>IF(Sales[[#This Row],[Number of Users]]-Sales[[#This Row],[Licenses Bought]]&lt;0,0,Sales[[#This Row],[Number of Users]]-Sales[[#This Row],[Licenses Bought]])</f>
        <v>9</v>
      </c>
      <c r="P1468" s="8">
        <f>IF(Sales[[#This Row],[Sales Month]]=MAX(Sales[Sales Month]),Sales[[#This Row],[Non-Paying Users]]*Sales[[#This Row],[Upsell $ per Non-Paying User]],0)</f>
        <v>0</v>
      </c>
      <c r="Q1468" t="str" cm="1">
        <f t="array" ref="Q1468">_xlfn.IFS(Sales[[#This Row],[Current Upsell $]]=0,"",Sales[[#This Row],[Current Upsell $]]&gt;=400,"High",Sales[[#This Row],[Current Upsell $]]&gt;=100,"Medium",Sales[[#This Row],[Current Upsell $]]&lt;100,"Low")</f>
        <v/>
      </c>
      <c r="R1468" t="str">
        <f>IF(Sales[[#This Row],[Current Upsell $]]&gt;0,_xlfn.CONCAT(Sales[[#This Row],[Subscription Type]]," ",Sales[[#This Row],[Upsell Priority]]," ",TEXT(Sales[[#This Row],[Current Upsell $]],"$#,#")),"")</f>
        <v/>
      </c>
    </row>
    <row r="1469" spans="1:18" x14ac:dyDescent="0.25">
      <c r="A1469">
        <v>100149</v>
      </c>
      <c r="B1469" t="s">
        <v>0</v>
      </c>
      <c r="D1469" s="1"/>
      <c r="E1469" s="1"/>
      <c r="F1469">
        <v>33</v>
      </c>
      <c r="G1469">
        <v>53</v>
      </c>
      <c r="H1469" s="1">
        <v>44105</v>
      </c>
      <c r="I1469" s="1">
        <v>44378</v>
      </c>
      <c r="J1469">
        <v>9</v>
      </c>
      <c r="K1469">
        <v>0</v>
      </c>
      <c r="L1469" s="1">
        <v>44228</v>
      </c>
      <c r="M1469">
        <v>330</v>
      </c>
      <c r="N1469" s="8" cm="1">
        <f t="array" ref="N1469">_xlfn.SWITCH(Sales[[#This Row],[Subscription Type]],"Basic",10,"Premium",10,"Business",25,"Enterprise",27)</f>
        <v>10</v>
      </c>
      <c r="O1469">
        <f>IF(Sales[[#This Row],[Number of Users]]-Sales[[#This Row],[Licenses Bought]]&lt;0,0,Sales[[#This Row],[Number of Users]]-Sales[[#This Row],[Licenses Bought]])</f>
        <v>20</v>
      </c>
      <c r="P1469" s="8">
        <f>IF(Sales[[#This Row],[Sales Month]]=MAX(Sales[Sales Month]),Sales[[#This Row],[Non-Paying Users]]*Sales[[#This Row],[Upsell $ per Non-Paying User]],0)</f>
        <v>0</v>
      </c>
      <c r="Q1469" t="str" cm="1">
        <f t="array" ref="Q1469">_xlfn.IFS(Sales[[#This Row],[Current Upsell $]]=0,"",Sales[[#This Row],[Current Upsell $]]&gt;=400,"High",Sales[[#This Row],[Current Upsell $]]&gt;=100,"Medium",Sales[[#This Row],[Current Upsell $]]&lt;100,"Low")</f>
        <v/>
      </c>
      <c r="R1469" t="str">
        <f>IF(Sales[[#This Row],[Current Upsell $]]&gt;0,_xlfn.CONCAT(Sales[[#This Row],[Subscription Type]]," ",Sales[[#This Row],[Upsell Priority]]," ",TEXT(Sales[[#This Row],[Current Upsell $]],"$#,#")),"")</f>
        <v/>
      </c>
    </row>
    <row r="1470" spans="1:18" x14ac:dyDescent="0.25">
      <c r="A1470">
        <v>100149</v>
      </c>
      <c r="B1470" t="s">
        <v>0</v>
      </c>
      <c r="D1470" s="1"/>
      <c r="E1470" s="1"/>
      <c r="F1470">
        <v>33</v>
      </c>
      <c r="G1470">
        <v>34</v>
      </c>
      <c r="H1470" s="1">
        <v>44105</v>
      </c>
      <c r="I1470" s="1">
        <v>44378</v>
      </c>
      <c r="J1470">
        <v>9</v>
      </c>
      <c r="K1470">
        <v>0</v>
      </c>
      <c r="L1470" s="1">
        <v>44256</v>
      </c>
      <c r="M1470">
        <v>330</v>
      </c>
      <c r="N1470" s="8" cm="1">
        <f t="array" ref="N1470">_xlfn.SWITCH(Sales[[#This Row],[Subscription Type]],"Basic",10,"Premium",10,"Business",25,"Enterprise",27)</f>
        <v>10</v>
      </c>
      <c r="O1470">
        <f>IF(Sales[[#This Row],[Number of Users]]-Sales[[#This Row],[Licenses Bought]]&lt;0,0,Sales[[#This Row],[Number of Users]]-Sales[[#This Row],[Licenses Bought]])</f>
        <v>1</v>
      </c>
      <c r="P1470" s="8">
        <f>IF(Sales[[#This Row],[Sales Month]]=MAX(Sales[Sales Month]),Sales[[#This Row],[Non-Paying Users]]*Sales[[#This Row],[Upsell $ per Non-Paying User]],0)</f>
        <v>0</v>
      </c>
      <c r="Q1470" t="str" cm="1">
        <f t="array" ref="Q1470">_xlfn.IFS(Sales[[#This Row],[Current Upsell $]]=0,"",Sales[[#This Row],[Current Upsell $]]&gt;=400,"High",Sales[[#This Row],[Current Upsell $]]&gt;=100,"Medium",Sales[[#This Row],[Current Upsell $]]&lt;100,"Low")</f>
        <v/>
      </c>
      <c r="R1470" t="str">
        <f>IF(Sales[[#This Row],[Current Upsell $]]&gt;0,_xlfn.CONCAT(Sales[[#This Row],[Subscription Type]]," ",Sales[[#This Row],[Upsell Priority]]," ",TEXT(Sales[[#This Row],[Current Upsell $]],"$#,#")),"")</f>
        <v/>
      </c>
    </row>
    <row r="1471" spans="1:18" x14ac:dyDescent="0.25">
      <c r="A1471">
        <v>100149</v>
      </c>
      <c r="B1471" t="s">
        <v>0</v>
      </c>
      <c r="D1471" s="1"/>
      <c r="E1471" s="1"/>
      <c r="F1471">
        <v>33</v>
      </c>
      <c r="G1471">
        <v>38</v>
      </c>
      <c r="H1471" s="1">
        <v>44105</v>
      </c>
      <c r="I1471" s="1">
        <v>44378</v>
      </c>
      <c r="J1471">
        <v>9</v>
      </c>
      <c r="K1471">
        <v>0</v>
      </c>
      <c r="L1471" s="1">
        <v>44287</v>
      </c>
      <c r="M1471">
        <v>330</v>
      </c>
      <c r="N1471" s="8" cm="1">
        <f t="array" ref="N1471">_xlfn.SWITCH(Sales[[#This Row],[Subscription Type]],"Basic",10,"Premium",10,"Business",25,"Enterprise",27)</f>
        <v>10</v>
      </c>
      <c r="O1471">
        <f>IF(Sales[[#This Row],[Number of Users]]-Sales[[#This Row],[Licenses Bought]]&lt;0,0,Sales[[#This Row],[Number of Users]]-Sales[[#This Row],[Licenses Bought]])</f>
        <v>5</v>
      </c>
      <c r="P1471" s="8">
        <f>IF(Sales[[#This Row],[Sales Month]]=MAX(Sales[Sales Month]),Sales[[#This Row],[Non-Paying Users]]*Sales[[#This Row],[Upsell $ per Non-Paying User]],0)</f>
        <v>0</v>
      </c>
      <c r="Q1471" t="str" cm="1">
        <f t="array" ref="Q1471">_xlfn.IFS(Sales[[#This Row],[Current Upsell $]]=0,"",Sales[[#This Row],[Current Upsell $]]&gt;=400,"High",Sales[[#This Row],[Current Upsell $]]&gt;=100,"Medium",Sales[[#This Row],[Current Upsell $]]&lt;100,"Low")</f>
        <v/>
      </c>
      <c r="R1471" t="str">
        <f>IF(Sales[[#This Row],[Current Upsell $]]&gt;0,_xlfn.CONCAT(Sales[[#This Row],[Subscription Type]]," ",Sales[[#This Row],[Upsell Priority]]," ",TEXT(Sales[[#This Row],[Current Upsell $]],"$#,#")),"")</f>
        <v/>
      </c>
    </row>
    <row r="1472" spans="1:18" x14ac:dyDescent="0.25">
      <c r="A1472">
        <v>100149</v>
      </c>
      <c r="B1472" t="s">
        <v>0</v>
      </c>
      <c r="D1472" s="1"/>
      <c r="E1472" s="1"/>
      <c r="F1472">
        <v>33</v>
      </c>
      <c r="G1472">
        <v>37</v>
      </c>
      <c r="H1472" s="1">
        <v>44105</v>
      </c>
      <c r="I1472" s="1">
        <v>44378</v>
      </c>
      <c r="J1472">
        <v>9</v>
      </c>
      <c r="K1472">
        <v>0</v>
      </c>
      <c r="L1472" s="1">
        <v>44317</v>
      </c>
      <c r="M1472">
        <v>330</v>
      </c>
      <c r="N1472" s="8" cm="1">
        <f t="array" ref="N1472">_xlfn.SWITCH(Sales[[#This Row],[Subscription Type]],"Basic",10,"Premium",10,"Business",25,"Enterprise",27)</f>
        <v>10</v>
      </c>
      <c r="O1472">
        <f>IF(Sales[[#This Row],[Number of Users]]-Sales[[#This Row],[Licenses Bought]]&lt;0,0,Sales[[#This Row],[Number of Users]]-Sales[[#This Row],[Licenses Bought]])</f>
        <v>4</v>
      </c>
      <c r="P1472" s="8">
        <f>IF(Sales[[#This Row],[Sales Month]]=MAX(Sales[Sales Month]),Sales[[#This Row],[Non-Paying Users]]*Sales[[#This Row],[Upsell $ per Non-Paying User]],0)</f>
        <v>0</v>
      </c>
      <c r="Q1472" t="str" cm="1">
        <f t="array" ref="Q1472">_xlfn.IFS(Sales[[#This Row],[Current Upsell $]]=0,"",Sales[[#This Row],[Current Upsell $]]&gt;=400,"High",Sales[[#This Row],[Current Upsell $]]&gt;=100,"Medium",Sales[[#This Row],[Current Upsell $]]&lt;100,"Low")</f>
        <v/>
      </c>
      <c r="R1472" t="str">
        <f>IF(Sales[[#This Row],[Current Upsell $]]&gt;0,_xlfn.CONCAT(Sales[[#This Row],[Subscription Type]]," ",Sales[[#This Row],[Upsell Priority]]," ",TEXT(Sales[[#This Row],[Current Upsell $]],"$#,#")),"")</f>
        <v/>
      </c>
    </row>
    <row r="1473" spans="1:18" x14ac:dyDescent="0.25">
      <c r="A1473">
        <v>100149</v>
      </c>
      <c r="B1473" t="s">
        <v>0</v>
      </c>
      <c r="D1473" s="1"/>
      <c r="E1473" s="1"/>
      <c r="F1473">
        <v>33</v>
      </c>
      <c r="G1473">
        <v>37</v>
      </c>
      <c r="H1473" s="1">
        <v>44105</v>
      </c>
      <c r="I1473" s="1">
        <v>44378</v>
      </c>
      <c r="J1473">
        <v>9</v>
      </c>
      <c r="K1473">
        <v>0</v>
      </c>
      <c r="L1473" s="1">
        <v>44348</v>
      </c>
      <c r="M1473">
        <v>330</v>
      </c>
      <c r="N1473" s="8" cm="1">
        <f t="array" ref="N1473">_xlfn.SWITCH(Sales[[#This Row],[Subscription Type]],"Basic",10,"Premium",10,"Business",25,"Enterprise",27)</f>
        <v>10</v>
      </c>
      <c r="O1473">
        <f>IF(Sales[[#This Row],[Number of Users]]-Sales[[#This Row],[Licenses Bought]]&lt;0,0,Sales[[#This Row],[Number of Users]]-Sales[[#This Row],[Licenses Bought]])</f>
        <v>4</v>
      </c>
      <c r="P1473" s="8">
        <f>IF(Sales[[#This Row],[Sales Month]]=MAX(Sales[Sales Month]),Sales[[#This Row],[Non-Paying Users]]*Sales[[#This Row],[Upsell $ per Non-Paying User]],0)</f>
        <v>40</v>
      </c>
      <c r="Q1473" t="str" cm="1">
        <f t="array" ref="Q1473">_xlfn.IFS(Sales[[#This Row],[Current Upsell $]]=0,"",Sales[[#This Row],[Current Upsell $]]&gt;=400,"High",Sales[[#This Row],[Current Upsell $]]&gt;=100,"Medium",Sales[[#This Row],[Current Upsell $]]&lt;100,"Low")</f>
        <v>Low</v>
      </c>
      <c r="R1473" t="str">
        <f>IF(Sales[[#This Row],[Current Upsell $]]&gt;0,_xlfn.CONCAT(Sales[[#This Row],[Subscription Type]]," ",Sales[[#This Row],[Upsell Priority]]," ",TEXT(Sales[[#This Row],[Current Upsell $]],"$#,#")),"")</f>
        <v>Premium Low $40</v>
      </c>
    </row>
    <row r="1474" spans="1:18" x14ac:dyDescent="0.25">
      <c r="A1474">
        <v>100150</v>
      </c>
      <c r="B1474" t="s">
        <v>3</v>
      </c>
      <c r="D1474" s="1"/>
      <c r="E1474" s="1"/>
      <c r="F1474">
        <v>0</v>
      </c>
      <c r="G1474">
        <v>27</v>
      </c>
      <c r="H1474" s="1">
        <v>44105</v>
      </c>
      <c r="I1474" s="1">
        <v>44378</v>
      </c>
      <c r="J1474">
        <v>9</v>
      </c>
      <c r="K1474">
        <v>0</v>
      </c>
      <c r="L1474" s="1">
        <v>44105</v>
      </c>
      <c r="M1474">
        <v>0</v>
      </c>
      <c r="N1474" s="8" cm="1">
        <f t="array" ref="N1474">_xlfn.SWITCH(Sales[[#This Row],[Subscription Type]],"Basic",10,"Premium",10,"Business",25,"Enterprise",27)</f>
        <v>10</v>
      </c>
      <c r="O1474">
        <f>IF(Sales[[#This Row],[Number of Users]]-Sales[[#This Row],[Licenses Bought]]&lt;0,0,Sales[[#This Row],[Number of Users]]-Sales[[#This Row],[Licenses Bought]])</f>
        <v>27</v>
      </c>
      <c r="P1474" s="8">
        <f>IF(Sales[[#This Row],[Sales Month]]=MAX(Sales[Sales Month]),Sales[[#This Row],[Non-Paying Users]]*Sales[[#This Row],[Upsell $ per Non-Paying User]],0)</f>
        <v>0</v>
      </c>
      <c r="Q1474" t="str" cm="1">
        <f t="array" ref="Q1474">_xlfn.IFS(Sales[[#This Row],[Current Upsell $]]=0,"",Sales[[#This Row],[Current Upsell $]]&gt;=400,"High",Sales[[#This Row],[Current Upsell $]]&gt;=100,"Medium",Sales[[#This Row],[Current Upsell $]]&lt;100,"Low")</f>
        <v/>
      </c>
      <c r="R1474" t="str">
        <f>IF(Sales[[#This Row],[Current Upsell $]]&gt;0,_xlfn.CONCAT(Sales[[#This Row],[Subscription Type]]," ",Sales[[#This Row],[Upsell Priority]]," ",TEXT(Sales[[#This Row],[Current Upsell $]],"$#,#")),"")</f>
        <v/>
      </c>
    </row>
    <row r="1475" spans="1:18" x14ac:dyDescent="0.25">
      <c r="A1475">
        <v>100150</v>
      </c>
      <c r="B1475" t="s">
        <v>0</v>
      </c>
      <c r="D1475" s="1"/>
      <c r="E1475" s="1"/>
      <c r="F1475">
        <v>16</v>
      </c>
      <c r="G1475">
        <v>41</v>
      </c>
      <c r="H1475" s="1">
        <v>44105</v>
      </c>
      <c r="I1475" s="1">
        <v>44378</v>
      </c>
      <c r="J1475">
        <v>9</v>
      </c>
      <c r="K1475">
        <v>0</v>
      </c>
      <c r="L1475" s="1">
        <v>44136</v>
      </c>
      <c r="M1475">
        <v>160</v>
      </c>
      <c r="N1475" s="8" cm="1">
        <f t="array" ref="N1475">_xlfn.SWITCH(Sales[[#This Row],[Subscription Type]],"Basic",10,"Premium",10,"Business",25,"Enterprise",27)</f>
        <v>10</v>
      </c>
      <c r="O1475">
        <f>IF(Sales[[#This Row],[Number of Users]]-Sales[[#This Row],[Licenses Bought]]&lt;0,0,Sales[[#This Row],[Number of Users]]-Sales[[#This Row],[Licenses Bought]])</f>
        <v>25</v>
      </c>
      <c r="P1475" s="8">
        <f>IF(Sales[[#This Row],[Sales Month]]=MAX(Sales[Sales Month]),Sales[[#This Row],[Non-Paying Users]]*Sales[[#This Row],[Upsell $ per Non-Paying User]],0)</f>
        <v>0</v>
      </c>
      <c r="Q1475" t="str" cm="1">
        <f t="array" ref="Q1475">_xlfn.IFS(Sales[[#This Row],[Current Upsell $]]=0,"",Sales[[#This Row],[Current Upsell $]]&gt;=400,"High",Sales[[#This Row],[Current Upsell $]]&gt;=100,"Medium",Sales[[#This Row],[Current Upsell $]]&lt;100,"Low")</f>
        <v/>
      </c>
      <c r="R1475" t="str">
        <f>IF(Sales[[#This Row],[Current Upsell $]]&gt;0,_xlfn.CONCAT(Sales[[#This Row],[Subscription Type]]," ",Sales[[#This Row],[Upsell Priority]]," ",TEXT(Sales[[#This Row],[Current Upsell $]],"$#,#")),"")</f>
        <v/>
      </c>
    </row>
    <row r="1476" spans="1:18" x14ac:dyDescent="0.25">
      <c r="A1476">
        <v>100150</v>
      </c>
      <c r="B1476" t="s">
        <v>0</v>
      </c>
      <c r="D1476" s="1"/>
      <c r="E1476" s="1"/>
      <c r="F1476">
        <v>20</v>
      </c>
      <c r="G1476">
        <v>37</v>
      </c>
      <c r="H1476" s="1">
        <v>44105</v>
      </c>
      <c r="I1476" s="1">
        <v>44378</v>
      </c>
      <c r="J1476">
        <v>9</v>
      </c>
      <c r="K1476">
        <v>0</v>
      </c>
      <c r="L1476" s="1">
        <v>44166</v>
      </c>
      <c r="M1476">
        <v>200</v>
      </c>
      <c r="N1476" s="8" cm="1">
        <f t="array" ref="N1476">_xlfn.SWITCH(Sales[[#This Row],[Subscription Type]],"Basic",10,"Premium",10,"Business",25,"Enterprise",27)</f>
        <v>10</v>
      </c>
      <c r="O1476">
        <f>IF(Sales[[#This Row],[Number of Users]]-Sales[[#This Row],[Licenses Bought]]&lt;0,0,Sales[[#This Row],[Number of Users]]-Sales[[#This Row],[Licenses Bought]])</f>
        <v>17</v>
      </c>
      <c r="P1476" s="8">
        <f>IF(Sales[[#This Row],[Sales Month]]=MAX(Sales[Sales Month]),Sales[[#This Row],[Non-Paying Users]]*Sales[[#This Row],[Upsell $ per Non-Paying User]],0)</f>
        <v>0</v>
      </c>
      <c r="Q1476" t="str" cm="1">
        <f t="array" ref="Q1476">_xlfn.IFS(Sales[[#This Row],[Current Upsell $]]=0,"",Sales[[#This Row],[Current Upsell $]]&gt;=400,"High",Sales[[#This Row],[Current Upsell $]]&gt;=100,"Medium",Sales[[#This Row],[Current Upsell $]]&lt;100,"Low")</f>
        <v/>
      </c>
      <c r="R1476" t="str">
        <f>IF(Sales[[#This Row],[Current Upsell $]]&gt;0,_xlfn.CONCAT(Sales[[#This Row],[Subscription Type]]," ",Sales[[#This Row],[Upsell Priority]]," ",TEXT(Sales[[#This Row],[Current Upsell $]],"$#,#")),"")</f>
        <v/>
      </c>
    </row>
    <row r="1477" spans="1:18" x14ac:dyDescent="0.25">
      <c r="A1477">
        <v>100150</v>
      </c>
      <c r="B1477" t="s">
        <v>0</v>
      </c>
      <c r="D1477" s="1"/>
      <c r="E1477" s="1"/>
      <c r="F1477">
        <v>23</v>
      </c>
      <c r="G1477">
        <v>33</v>
      </c>
      <c r="H1477" s="1">
        <v>44105</v>
      </c>
      <c r="I1477" s="1">
        <v>44378</v>
      </c>
      <c r="J1477">
        <v>9</v>
      </c>
      <c r="K1477">
        <v>0</v>
      </c>
      <c r="L1477" s="1">
        <v>44197</v>
      </c>
      <c r="M1477">
        <v>230</v>
      </c>
      <c r="N1477" s="8" cm="1">
        <f t="array" ref="N1477">_xlfn.SWITCH(Sales[[#This Row],[Subscription Type]],"Basic",10,"Premium",10,"Business",25,"Enterprise",27)</f>
        <v>10</v>
      </c>
      <c r="O1477">
        <f>IF(Sales[[#This Row],[Number of Users]]-Sales[[#This Row],[Licenses Bought]]&lt;0,0,Sales[[#This Row],[Number of Users]]-Sales[[#This Row],[Licenses Bought]])</f>
        <v>10</v>
      </c>
      <c r="P1477" s="8">
        <f>IF(Sales[[#This Row],[Sales Month]]=MAX(Sales[Sales Month]),Sales[[#This Row],[Non-Paying Users]]*Sales[[#This Row],[Upsell $ per Non-Paying User]],0)</f>
        <v>0</v>
      </c>
      <c r="Q1477" t="str" cm="1">
        <f t="array" ref="Q1477">_xlfn.IFS(Sales[[#This Row],[Current Upsell $]]=0,"",Sales[[#This Row],[Current Upsell $]]&gt;=400,"High",Sales[[#This Row],[Current Upsell $]]&gt;=100,"Medium",Sales[[#This Row],[Current Upsell $]]&lt;100,"Low")</f>
        <v/>
      </c>
      <c r="R1477" t="str">
        <f>IF(Sales[[#This Row],[Current Upsell $]]&gt;0,_xlfn.CONCAT(Sales[[#This Row],[Subscription Type]]," ",Sales[[#This Row],[Upsell Priority]]," ",TEXT(Sales[[#This Row],[Current Upsell $]],"$#,#")),"")</f>
        <v/>
      </c>
    </row>
    <row r="1478" spans="1:18" x14ac:dyDescent="0.25">
      <c r="A1478">
        <v>100150</v>
      </c>
      <c r="B1478" t="s">
        <v>0</v>
      </c>
      <c r="D1478" s="1"/>
      <c r="E1478" s="1"/>
      <c r="F1478">
        <v>27</v>
      </c>
      <c r="G1478">
        <v>26</v>
      </c>
      <c r="H1478" s="1">
        <v>44105</v>
      </c>
      <c r="I1478" s="1">
        <v>44378</v>
      </c>
      <c r="J1478">
        <v>9</v>
      </c>
      <c r="K1478">
        <v>0</v>
      </c>
      <c r="L1478" s="1">
        <v>44228</v>
      </c>
      <c r="M1478">
        <v>270</v>
      </c>
      <c r="N1478" s="8" cm="1">
        <f t="array" ref="N1478">_xlfn.SWITCH(Sales[[#This Row],[Subscription Type]],"Basic",10,"Premium",10,"Business",25,"Enterprise",27)</f>
        <v>10</v>
      </c>
      <c r="O1478">
        <f>IF(Sales[[#This Row],[Number of Users]]-Sales[[#This Row],[Licenses Bought]]&lt;0,0,Sales[[#This Row],[Number of Users]]-Sales[[#This Row],[Licenses Bought]])</f>
        <v>0</v>
      </c>
      <c r="P1478" s="8">
        <f>IF(Sales[[#This Row],[Sales Month]]=MAX(Sales[Sales Month]),Sales[[#This Row],[Non-Paying Users]]*Sales[[#This Row],[Upsell $ per Non-Paying User]],0)</f>
        <v>0</v>
      </c>
      <c r="Q1478" t="str" cm="1">
        <f t="array" ref="Q1478">_xlfn.IFS(Sales[[#This Row],[Current Upsell $]]=0,"",Sales[[#This Row],[Current Upsell $]]&gt;=400,"High",Sales[[#This Row],[Current Upsell $]]&gt;=100,"Medium",Sales[[#This Row],[Current Upsell $]]&lt;100,"Low")</f>
        <v/>
      </c>
      <c r="R1478" t="str">
        <f>IF(Sales[[#This Row],[Current Upsell $]]&gt;0,_xlfn.CONCAT(Sales[[#This Row],[Subscription Type]]," ",Sales[[#This Row],[Upsell Priority]]," ",TEXT(Sales[[#This Row],[Current Upsell $]],"$#,#")),"")</f>
        <v/>
      </c>
    </row>
    <row r="1479" spans="1:18" x14ac:dyDescent="0.25">
      <c r="A1479">
        <v>100150</v>
      </c>
      <c r="B1479" t="s">
        <v>0</v>
      </c>
      <c r="D1479" s="1"/>
      <c r="E1479" s="1"/>
      <c r="F1479">
        <v>27</v>
      </c>
      <c r="G1479">
        <v>36</v>
      </c>
      <c r="H1479" s="1">
        <v>44105</v>
      </c>
      <c r="I1479" s="1">
        <v>44378</v>
      </c>
      <c r="J1479">
        <v>9</v>
      </c>
      <c r="K1479">
        <v>0</v>
      </c>
      <c r="L1479" s="1">
        <v>44256</v>
      </c>
      <c r="M1479">
        <v>270</v>
      </c>
      <c r="N1479" s="8" cm="1">
        <f t="array" ref="N1479">_xlfn.SWITCH(Sales[[#This Row],[Subscription Type]],"Basic",10,"Premium",10,"Business",25,"Enterprise",27)</f>
        <v>10</v>
      </c>
      <c r="O1479">
        <f>IF(Sales[[#This Row],[Number of Users]]-Sales[[#This Row],[Licenses Bought]]&lt;0,0,Sales[[#This Row],[Number of Users]]-Sales[[#This Row],[Licenses Bought]])</f>
        <v>9</v>
      </c>
      <c r="P1479" s="8">
        <f>IF(Sales[[#This Row],[Sales Month]]=MAX(Sales[Sales Month]),Sales[[#This Row],[Non-Paying Users]]*Sales[[#This Row],[Upsell $ per Non-Paying User]],0)</f>
        <v>0</v>
      </c>
      <c r="Q1479" t="str" cm="1">
        <f t="array" ref="Q1479">_xlfn.IFS(Sales[[#This Row],[Current Upsell $]]=0,"",Sales[[#This Row],[Current Upsell $]]&gt;=400,"High",Sales[[#This Row],[Current Upsell $]]&gt;=100,"Medium",Sales[[#This Row],[Current Upsell $]]&lt;100,"Low")</f>
        <v/>
      </c>
      <c r="R1479" t="str">
        <f>IF(Sales[[#This Row],[Current Upsell $]]&gt;0,_xlfn.CONCAT(Sales[[#This Row],[Subscription Type]]," ",Sales[[#This Row],[Upsell Priority]]," ",TEXT(Sales[[#This Row],[Current Upsell $]],"$#,#")),"")</f>
        <v/>
      </c>
    </row>
    <row r="1480" spans="1:18" x14ac:dyDescent="0.25">
      <c r="A1480">
        <v>100150</v>
      </c>
      <c r="B1480" t="s">
        <v>0</v>
      </c>
      <c r="D1480" s="1"/>
      <c r="E1480" s="1"/>
      <c r="F1480">
        <v>27</v>
      </c>
      <c r="G1480">
        <v>41</v>
      </c>
      <c r="H1480" s="1">
        <v>44105</v>
      </c>
      <c r="I1480" s="1">
        <v>44378</v>
      </c>
      <c r="J1480">
        <v>9</v>
      </c>
      <c r="K1480">
        <v>0</v>
      </c>
      <c r="L1480" s="1">
        <v>44287</v>
      </c>
      <c r="M1480">
        <v>270</v>
      </c>
      <c r="N1480" s="8" cm="1">
        <f t="array" ref="N1480">_xlfn.SWITCH(Sales[[#This Row],[Subscription Type]],"Basic",10,"Premium",10,"Business",25,"Enterprise",27)</f>
        <v>10</v>
      </c>
      <c r="O1480">
        <f>IF(Sales[[#This Row],[Number of Users]]-Sales[[#This Row],[Licenses Bought]]&lt;0,0,Sales[[#This Row],[Number of Users]]-Sales[[#This Row],[Licenses Bought]])</f>
        <v>14</v>
      </c>
      <c r="P1480" s="8">
        <f>IF(Sales[[#This Row],[Sales Month]]=MAX(Sales[Sales Month]),Sales[[#This Row],[Non-Paying Users]]*Sales[[#This Row],[Upsell $ per Non-Paying User]],0)</f>
        <v>0</v>
      </c>
      <c r="Q1480" t="str" cm="1">
        <f t="array" ref="Q1480">_xlfn.IFS(Sales[[#This Row],[Current Upsell $]]=0,"",Sales[[#This Row],[Current Upsell $]]&gt;=400,"High",Sales[[#This Row],[Current Upsell $]]&gt;=100,"Medium",Sales[[#This Row],[Current Upsell $]]&lt;100,"Low")</f>
        <v/>
      </c>
      <c r="R1480" t="str">
        <f>IF(Sales[[#This Row],[Current Upsell $]]&gt;0,_xlfn.CONCAT(Sales[[#This Row],[Subscription Type]]," ",Sales[[#This Row],[Upsell Priority]]," ",TEXT(Sales[[#This Row],[Current Upsell $]],"$#,#")),"")</f>
        <v/>
      </c>
    </row>
    <row r="1481" spans="1:18" x14ac:dyDescent="0.25">
      <c r="A1481">
        <v>100150</v>
      </c>
      <c r="B1481" t="s">
        <v>0</v>
      </c>
      <c r="D1481" s="1"/>
      <c r="E1481" s="1"/>
      <c r="F1481">
        <v>27</v>
      </c>
      <c r="G1481">
        <v>35</v>
      </c>
      <c r="H1481" s="1">
        <v>44105</v>
      </c>
      <c r="I1481" s="1">
        <v>44378</v>
      </c>
      <c r="J1481">
        <v>9</v>
      </c>
      <c r="K1481">
        <v>0</v>
      </c>
      <c r="L1481" s="1">
        <v>44317</v>
      </c>
      <c r="M1481">
        <v>270</v>
      </c>
      <c r="N1481" s="8" cm="1">
        <f t="array" ref="N1481">_xlfn.SWITCH(Sales[[#This Row],[Subscription Type]],"Basic",10,"Premium",10,"Business",25,"Enterprise",27)</f>
        <v>10</v>
      </c>
      <c r="O1481">
        <f>IF(Sales[[#This Row],[Number of Users]]-Sales[[#This Row],[Licenses Bought]]&lt;0,0,Sales[[#This Row],[Number of Users]]-Sales[[#This Row],[Licenses Bought]])</f>
        <v>8</v>
      </c>
      <c r="P1481" s="8">
        <f>IF(Sales[[#This Row],[Sales Month]]=MAX(Sales[Sales Month]),Sales[[#This Row],[Non-Paying Users]]*Sales[[#This Row],[Upsell $ per Non-Paying User]],0)</f>
        <v>0</v>
      </c>
      <c r="Q1481" t="str" cm="1">
        <f t="array" ref="Q1481">_xlfn.IFS(Sales[[#This Row],[Current Upsell $]]=0,"",Sales[[#This Row],[Current Upsell $]]&gt;=400,"High",Sales[[#This Row],[Current Upsell $]]&gt;=100,"Medium",Sales[[#This Row],[Current Upsell $]]&lt;100,"Low")</f>
        <v/>
      </c>
      <c r="R1481" t="str">
        <f>IF(Sales[[#This Row],[Current Upsell $]]&gt;0,_xlfn.CONCAT(Sales[[#This Row],[Subscription Type]]," ",Sales[[#This Row],[Upsell Priority]]," ",TEXT(Sales[[#This Row],[Current Upsell $]],"$#,#")),"")</f>
        <v/>
      </c>
    </row>
    <row r="1482" spans="1:18" x14ac:dyDescent="0.25">
      <c r="A1482">
        <v>100150</v>
      </c>
      <c r="B1482" t="s">
        <v>0</v>
      </c>
      <c r="D1482" s="1"/>
      <c r="E1482" s="1"/>
      <c r="F1482">
        <v>27</v>
      </c>
      <c r="G1482">
        <v>28</v>
      </c>
      <c r="H1482" s="1">
        <v>44105</v>
      </c>
      <c r="I1482" s="1">
        <v>44378</v>
      </c>
      <c r="J1482">
        <v>9</v>
      </c>
      <c r="K1482">
        <v>0</v>
      </c>
      <c r="L1482" s="1">
        <v>44348</v>
      </c>
      <c r="M1482">
        <v>270</v>
      </c>
      <c r="N1482" s="8" cm="1">
        <f t="array" ref="N1482">_xlfn.SWITCH(Sales[[#This Row],[Subscription Type]],"Basic",10,"Premium",10,"Business",25,"Enterprise",27)</f>
        <v>10</v>
      </c>
      <c r="O1482">
        <f>IF(Sales[[#This Row],[Number of Users]]-Sales[[#This Row],[Licenses Bought]]&lt;0,0,Sales[[#This Row],[Number of Users]]-Sales[[#This Row],[Licenses Bought]])</f>
        <v>1</v>
      </c>
      <c r="P1482" s="8">
        <f>IF(Sales[[#This Row],[Sales Month]]=MAX(Sales[Sales Month]),Sales[[#This Row],[Non-Paying Users]]*Sales[[#This Row],[Upsell $ per Non-Paying User]],0)</f>
        <v>10</v>
      </c>
      <c r="Q1482" t="str" cm="1">
        <f t="array" ref="Q1482">_xlfn.IFS(Sales[[#This Row],[Current Upsell $]]=0,"",Sales[[#This Row],[Current Upsell $]]&gt;=400,"High",Sales[[#This Row],[Current Upsell $]]&gt;=100,"Medium",Sales[[#This Row],[Current Upsell $]]&lt;100,"Low")</f>
        <v>Low</v>
      </c>
      <c r="R1482" t="str">
        <f>IF(Sales[[#This Row],[Current Upsell $]]&gt;0,_xlfn.CONCAT(Sales[[#This Row],[Subscription Type]]," ",Sales[[#This Row],[Upsell Priority]]," ",TEXT(Sales[[#This Row],[Current Upsell $]],"$#,#")),"")</f>
        <v>Premium Low $10</v>
      </c>
    </row>
    <row r="1483" spans="1:18" x14ac:dyDescent="0.25">
      <c r="A1483">
        <v>100151</v>
      </c>
      <c r="B1483" t="s">
        <v>3</v>
      </c>
      <c r="D1483" s="1"/>
      <c r="E1483" s="1"/>
      <c r="F1483">
        <v>0</v>
      </c>
      <c r="G1483">
        <v>21</v>
      </c>
      <c r="H1483" s="1">
        <v>44105</v>
      </c>
      <c r="I1483" s="1">
        <v>44378</v>
      </c>
      <c r="J1483">
        <v>9</v>
      </c>
      <c r="K1483">
        <v>0</v>
      </c>
      <c r="L1483" s="1">
        <v>44105</v>
      </c>
      <c r="M1483">
        <v>0</v>
      </c>
      <c r="N1483" s="8" cm="1">
        <f t="array" ref="N1483">_xlfn.SWITCH(Sales[[#This Row],[Subscription Type]],"Basic",10,"Premium",10,"Business",25,"Enterprise",27)</f>
        <v>10</v>
      </c>
      <c r="O1483">
        <f>IF(Sales[[#This Row],[Number of Users]]-Sales[[#This Row],[Licenses Bought]]&lt;0,0,Sales[[#This Row],[Number of Users]]-Sales[[#This Row],[Licenses Bought]])</f>
        <v>21</v>
      </c>
      <c r="P1483" s="8">
        <f>IF(Sales[[#This Row],[Sales Month]]=MAX(Sales[Sales Month]),Sales[[#This Row],[Non-Paying Users]]*Sales[[#This Row],[Upsell $ per Non-Paying User]],0)</f>
        <v>0</v>
      </c>
      <c r="Q1483" t="str" cm="1">
        <f t="array" ref="Q1483">_xlfn.IFS(Sales[[#This Row],[Current Upsell $]]=0,"",Sales[[#This Row],[Current Upsell $]]&gt;=400,"High",Sales[[#This Row],[Current Upsell $]]&gt;=100,"Medium",Sales[[#This Row],[Current Upsell $]]&lt;100,"Low")</f>
        <v/>
      </c>
      <c r="R1483" t="str">
        <f>IF(Sales[[#This Row],[Current Upsell $]]&gt;0,_xlfn.CONCAT(Sales[[#This Row],[Subscription Type]]," ",Sales[[#This Row],[Upsell Priority]]," ",TEXT(Sales[[#This Row],[Current Upsell $]],"$#,#")),"")</f>
        <v/>
      </c>
    </row>
    <row r="1484" spans="1:18" x14ac:dyDescent="0.25">
      <c r="A1484">
        <v>100151</v>
      </c>
      <c r="B1484" t="s">
        <v>0</v>
      </c>
      <c r="D1484" s="1"/>
      <c r="E1484" s="1"/>
      <c r="F1484">
        <v>8</v>
      </c>
      <c r="G1484">
        <v>27</v>
      </c>
      <c r="H1484" s="1">
        <v>44105</v>
      </c>
      <c r="I1484" s="1">
        <v>44378</v>
      </c>
      <c r="J1484">
        <v>9</v>
      </c>
      <c r="K1484">
        <v>0</v>
      </c>
      <c r="L1484" s="1">
        <v>44136</v>
      </c>
      <c r="M1484">
        <v>80</v>
      </c>
      <c r="N1484" s="8" cm="1">
        <f t="array" ref="N1484">_xlfn.SWITCH(Sales[[#This Row],[Subscription Type]],"Basic",10,"Premium",10,"Business",25,"Enterprise",27)</f>
        <v>10</v>
      </c>
      <c r="O1484">
        <f>IF(Sales[[#This Row],[Number of Users]]-Sales[[#This Row],[Licenses Bought]]&lt;0,0,Sales[[#This Row],[Number of Users]]-Sales[[#This Row],[Licenses Bought]])</f>
        <v>19</v>
      </c>
      <c r="P1484" s="8">
        <f>IF(Sales[[#This Row],[Sales Month]]=MAX(Sales[Sales Month]),Sales[[#This Row],[Non-Paying Users]]*Sales[[#This Row],[Upsell $ per Non-Paying User]],0)</f>
        <v>0</v>
      </c>
      <c r="Q1484" t="str" cm="1">
        <f t="array" ref="Q1484">_xlfn.IFS(Sales[[#This Row],[Current Upsell $]]=0,"",Sales[[#This Row],[Current Upsell $]]&gt;=400,"High",Sales[[#This Row],[Current Upsell $]]&gt;=100,"Medium",Sales[[#This Row],[Current Upsell $]]&lt;100,"Low")</f>
        <v/>
      </c>
      <c r="R1484" t="str">
        <f>IF(Sales[[#This Row],[Current Upsell $]]&gt;0,_xlfn.CONCAT(Sales[[#This Row],[Subscription Type]]," ",Sales[[#This Row],[Upsell Priority]]," ",TEXT(Sales[[#This Row],[Current Upsell $]],"$#,#")),"")</f>
        <v/>
      </c>
    </row>
    <row r="1485" spans="1:18" x14ac:dyDescent="0.25">
      <c r="A1485">
        <v>100151</v>
      </c>
      <c r="B1485" t="s">
        <v>0</v>
      </c>
      <c r="D1485" s="1"/>
      <c r="E1485" s="1"/>
      <c r="F1485">
        <v>20</v>
      </c>
      <c r="G1485">
        <v>22</v>
      </c>
      <c r="H1485" s="1">
        <v>44105</v>
      </c>
      <c r="I1485" s="1">
        <v>44378</v>
      </c>
      <c r="J1485">
        <v>9</v>
      </c>
      <c r="K1485">
        <v>0</v>
      </c>
      <c r="L1485" s="1">
        <v>44166</v>
      </c>
      <c r="M1485">
        <v>200</v>
      </c>
      <c r="N1485" s="8" cm="1">
        <f t="array" ref="N1485">_xlfn.SWITCH(Sales[[#This Row],[Subscription Type]],"Basic",10,"Premium",10,"Business",25,"Enterprise",27)</f>
        <v>10</v>
      </c>
      <c r="O1485">
        <f>IF(Sales[[#This Row],[Number of Users]]-Sales[[#This Row],[Licenses Bought]]&lt;0,0,Sales[[#This Row],[Number of Users]]-Sales[[#This Row],[Licenses Bought]])</f>
        <v>2</v>
      </c>
      <c r="P1485" s="8">
        <f>IF(Sales[[#This Row],[Sales Month]]=MAX(Sales[Sales Month]),Sales[[#This Row],[Non-Paying Users]]*Sales[[#This Row],[Upsell $ per Non-Paying User]],0)</f>
        <v>0</v>
      </c>
      <c r="Q1485" t="str" cm="1">
        <f t="array" ref="Q1485">_xlfn.IFS(Sales[[#This Row],[Current Upsell $]]=0,"",Sales[[#This Row],[Current Upsell $]]&gt;=400,"High",Sales[[#This Row],[Current Upsell $]]&gt;=100,"Medium",Sales[[#This Row],[Current Upsell $]]&lt;100,"Low")</f>
        <v/>
      </c>
      <c r="R1485" t="str">
        <f>IF(Sales[[#This Row],[Current Upsell $]]&gt;0,_xlfn.CONCAT(Sales[[#This Row],[Subscription Type]]," ",Sales[[#This Row],[Upsell Priority]]," ",TEXT(Sales[[#This Row],[Current Upsell $]],"$#,#")),"")</f>
        <v/>
      </c>
    </row>
    <row r="1486" spans="1:18" x14ac:dyDescent="0.25">
      <c r="A1486">
        <v>100151</v>
      </c>
      <c r="B1486" t="s">
        <v>0</v>
      </c>
      <c r="D1486" s="1"/>
      <c r="E1486" s="1"/>
      <c r="F1486">
        <v>16</v>
      </c>
      <c r="G1486">
        <v>29</v>
      </c>
      <c r="H1486" s="1">
        <v>44105</v>
      </c>
      <c r="I1486" s="1">
        <v>44378</v>
      </c>
      <c r="J1486">
        <v>9</v>
      </c>
      <c r="K1486">
        <v>0</v>
      </c>
      <c r="L1486" s="1">
        <v>44197</v>
      </c>
      <c r="M1486">
        <v>160</v>
      </c>
      <c r="N1486" s="8" cm="1">
        <f t="array" ref="N1486">_xlfn.SWITCH(Sales[[#This Row],[Subscription Type]],"Basic",10,"Premium",10,"Business",25,"Enterprise",27)</f>
        <v>10</v>
      </c>
      <c r="O1486">
        <f>IF(Sales[[#This Row],[Number of Users]]-Sales[[#This Row],[Licenses Bought]]&lt;0,0,Sales[[#This Row],[Number of Users]]-Sales[[#This Row],[Licenses Bought]])</f>
        <v>13</v>
      </c>
      <c r="P1486" s="8">
        <f>IF(Sales[[#This Row],[Sales Month]]=MAX(Sales[Sales Month]),Sales[[#This Row],[Non-Paying Users]]*Sales[[#This Row],[Upsell $ per Non-Paying User]],0)</f>
        <v>0</v>
      </c>
      <c r="Q1486" t="str" cm="1">
        <f t="array" ref="Q1486">_xlfn.IFS(Sales[[#This Row],[Current Upsell $]]=0,"",Sales[[#This Row],[Current Upsell $]]&gt;=400,"High",Sales[[#This Row],[Current Upsell $]]&gt;=100,"Medium",Sales[[#This Row],[Current Upsell $]]&lt;100,"Low")</f>
        <v/>
      </c>
      <c r="R1486" t="str">
        <f>IF(Sales[[#This Row],[Current Upsell $]]&gt;0,_xlfn.CONCAT(Sales[[#This Row],[Subscription Type]]," ",Sales[[#This Row],[Upsell Priority]]," ",TEXT(Sales[[#This Row],[Current Upsell $]],"$#,#")),"")</f>
        <v/>
      </c>
    </row>
    <row r="1487" spans="1:18" x14ac:dyDescent="0.25">
      <c r="A1487">
        <v>100151</v>
      </c>
      <c r="B1487" t="s">
        <v>0</v>
      </c>
      <c r="D1487" s="1"/>
      <c r="E1487" s="1"/>
      <c r="F1487">
        <v>20</v>
      </c>
      <c r="G1487">
        <v>28</v>
      </c>
      <c r="H1487" s="1">
        <v>44105</v>
      </c>
      <c r="I1487" s="1">
        <v>44378</v>
      </c>
      <c r="J1487">
        <v>9</v>
      </c>
      <c r="K1487">
        <v>0</v>
      </c>
      <c r="L1487" s="1">
        <v>44228</v>
      </c>
      <c r="M1487">
        <v>200</v>
      </c>
      <c r="N1487" s="8" cm="1">
        <f t="array" ref="N1487">_xlfn.SWITCH(Sales[[#This Row],[Subscription Type]],"Basic",10,"Premium",10,"Business",25,"Enterprise",27)</f>
        <v>10</v>
      </c>
      <c r="O1487">
        <f>IF(Sales[[#This Row],[Number of Users]]-Sales[[#This Row],[Licenses Bought]]&lt;0,0,Sales[[#This Row],[Number of Users]]-Sales[[#This Row],[Licenses Bought]])</f>
        <v>8</v>
      </c>
      <c r="P1487" s="8">
        <f>IF(Sales[[#This Row],[Sales Month]]=MAX(Sales[Sales Month]),Sales[[#This Row],[Non-Paying Users]]*Sales[[#This Row],[Upsell $ per Non-Paying User]],0)</f>
        <v>0</v>
      </c>
      <c r="Q1487" t="str" cm="1">
        <f t="array" ref="Q1487">_xlfn.IFS(Sales[[#This Row],[Current Upsell $]]=0,"",Sales[[#This Row],[Current Upsell $]]&gt;=400,"High",Sales[[#This Row],[Current Upsell $]]&gt;=100,"Medium",Sales[[#This Row],[Current Upsell $]]&lt;100,"Low")</f>
        <v/>
      </c>
      <c r="R1487" t="str">
        <f>IF(Sales[[#This Row],[Current Upsell $]]&gt;0,_xlfn.CONCAT(Sales[[#This Row],[Subscription Type]]," ",Sales[[#This Row],[Upsell Priority]]," ",TEXT(Sales[[#This Row],[Current Upsell $]],"$#,#")),"")</f>
        <v/>
      </c>
    </row>
    <row r="1488" spans="1:18" x14ac:dyDescent="0.25">
      <c r="A1488">
        <v>100151</v>
      </c>
      <c r="B1488" t="s">
        <v>0</v>
      </c>
      <c r="D1488" s="1"/>
      <c r="E1488" s="1"/>
      <c r="F1488">
        <v>20</v>
      </c>
      <c r="G1488">
        <v>25</v>
      </c>
      <c r="H1488" s="1">
        <v>44105</v>
      </c>
      <c r="I1488" s="1">
        <v>44378</v>
      </c>
      <c r="J1488">
        <v>9</v>
      </c>
      <c r="K1488">
        <v>0</v>
      </c>
      <c r="L1488" s="1">
        <v>44256</v>
      </c>
      <c r="M1488">
        <v>200</v>
      </c>
      <c r="N1488" s="8" cm="1">
        <f t="array" ref="N1488">_xlfn.SWITCH(Sales[[#This Row],[Subscription Type]],"Basic",10,"Premium",10,"Business",25,"Enterprise",27)</f>
        <v>10</v>
      </c>
      <c r="O1488">
        <f>IF(Sales[[#This Row],[Number of Users]]-Sales[[#This Row],[Licenses Bought]]&lt;0,0,Sales[[#This Row],[Number of Users]]-Sales[[#This Row],[Licenses Bought]])</f>
        <v>5</v>
      </c>
      <c r="P1488" s="8">
        <f>IF(Sales[[#This Row],[Sales Month]]=MAX(Sales[Sales Month]),Sales[[#This Row],[Non-Paying Users]]*Sales[[#This Row],[Upsell $ per Non-Paying User]],0)</f>
        <v>0</v>
      </c>
      <c r="Q1488" t="str" cm="1">
        <f t="array" ref="Q1488">_xlfn.IFS(Sales[[#This Row],[Current Upsell $]]=0,"",Sales[[#This Row],[Current Upsell $]]&gt;=400,"High",Sales[[#This Row],[Current Upsell $]]&gt;=100,"Medium",Sales[[#This Row],[Current Upsell $]]&lt;100,"Low")</f>
        <v/>
      </c>
      <c r="R1488" t="str">
        <f>IF(Sales[[#This Row],[Current Upsell $]]&gt;0,_xlfn.CONCAT(Sales[[#This Row],[Subscription Type]]," ",Sales[[#This Row],[Upsell Priority]]," ",TEXT(Sales[[#This Row],[Current Upsell $]],"$#,#")),"")</f>
        <v/>
      </c>
    </row>
    <row r="1489" spans="1:18" x14ac:dyDescent="0.25">
      <c r="A1489">
        <v>100151</v>
      </c>
      <c r="B1489" t="s">
        <v>0</v>
      </c>
      <c r="D1489" s="1"/>
      <c r="E1489" s="1"/>
      <c r="F1489">
        <v>20</v>
      </c>
      <c r="G1489">
        <v>25</v>
      </c>
      <c r="H1489" s="1">
        <v>44105</v>
      </c>
      <c r="I1489" s="1">
        <v>44378</v>
      </c>
      <c r="J1489">
        <v>9</v>
      </c>
      <c r="K1489">
        <v>0</v>
      </c>
      <c r="L1489" s="1">
        <v>44287</v>
      </c>
      <c r="M1489">
        <v>200</v>
      </c>
      <c r="N1489" s="8" cm="1">
        <f t="array" ref="N1489">_xlfn.SWITCH(Sales[[#This Row],[Subscription Type]],"Basic",10,"Premium",10,"Business",25,"Enterprise",27)</f>
        <v>10</v>
      </c>
      <c r="O1489">
        <f>IF(Sales[[#This Row],[Number of Users]]-Sales[[#This Row],[Licenses Bought]]&lt;0,0,Sales[[#This Row],[Number of Users]]-Sales[[#This Row],[Licenses Bought]])</f>
        <v>5</v>
      </c>
      <c r="P1489" s="8">
        <f>IF(Sales[[#This Row],[Sales Month]]=MAX(Sales[Sales Month]),Sales[[#This Row],[Non-Paying Users]]*Sales[[#This Row],[Upsell $ per Non-Paying User]],0)</f>
        <v>0</v>
      </c>
      <c r="Q1489" t="str" cm="1">
        <f t="array" ref="Q1489">_xlfn.IFS(Sales[[#This Row],[Current Upsell $]]=0,"",Sales[[#This Row],[Current Upsell $]]&gt;=400,"High",Sales[[#This Row],[Current Upsell $]]&gt;=100,"Medium",Sales[[#This Row],[Current Upsell $]]&lt;100,"Low")</f>
        <v/>
      </c>
      <c r="R1489" t="str">
        <f>IF(Sales[[#This Row],[Current Upsell $]]&gt;0,_xlfn.CONCAT(Sales[[#This Row],[Subscription Type]]," ",Sales[[#This Row],[Upsell Priority]]," ",TEXT(Sales[[#This Row],[Current Upsell $]],"$#,#")),"")</f>
        <v/>
      </c>
    </row>
    <row r="1490" spans="1:18" x14ac:dyDescent="0.25">
      <c r="A1490">
        <v>100151</v>
      </c>
      <c r="B1490" t="s">
        <v>0</v>
      </c>
      <c r="D1490" s="1"/>
      <c r="E1490" s="1"/>
      <c r="F1490">
        <v>20</v>
      </c>
      <c r="G1490">
        <v>29</v>
      </c>
      <c r="H1490" s="1">
        <v>44105</v>
      </c>
      <c r="I1490" s="1">
        <v>44378</v>
      </c>
      <c r="J1490">
        <v>9</v>
      </c>
      <c r="K1490">
        <v>0</v>
      </c>
      <c r="L1490" s="1">
        <v>44317</v>
      </c>
      <c r="M1490">
        <v>200</v>
      </c>
      <c r="N1490" s="8" cm="1">
        <f t="array" ref="N1490">_xlfn.SWITCH(Sales[[#This Row],[Subscription Type]],"Basic",10,"Premium",10,"Business",25,"Enterprise",27)</f>
        <v>10</v>
      </c>
      <c r="O1490">
        <f>IF(Sales[[#This Row],[Number of Users]]-Sales[[#This Row],[Licenses Bought]]&lt;0,0,Sales[[#This Row],[Number of Users]]-Sales[[#This Row],[Licenses Bought]])</f>
        <v>9</v>
      </c>
      <c r="P1490" s="8">
        <f>IF(Sales[[#This Row],[Sales Month]]=MAX(Sales[Sales Month]),Sales[[#This Row],[Non-Paying Users]]*Sales[[#This Row],[Upsell $ per Non-Paying User]],0)</f>
        <v>0</v>
      </c>
      <c r="Q1490" t="str" cm="1">
        <f t="array" ref="Q1490">_xlfn.IFS(Sales[[#This Row],[Current Upsell $]]=0,"",Sales[[#This Row],[Current Upsell $]]&gt;=400,"High",Sales[[#This Row],[Current Upsell $]]&gt;=100,"Medium",Sales[[#This Row],[Current Upsell $]]&lt;100,"Low")</f>
        <v/>
      </c>
      <c r="R1490" t="str">
        <f>IF(Sales[[#This Row],[Current Upsell $]]&gt;0,_xlfn.CONCAT(Sales[[#This Row],[Subscription Type]]," ",Sales[[#This Row],[Upsell Priority]]," ",TEXT(Sales[[#This Row],[Current Upsell $]],"$#,#")),"")</f>
        <v/>
      </c>
    </row>
    <row r="1491" spans="1:18" x14ac:dyDescent="0.25">
      <c r="A1491">
        <v>100151</v>
      </c>
      <c r="B1491" t="s">
        <v>0</v>
      </c>
      <c r="D1491" s="1"/>
      <c r="E1491" s="1"/>
      <c r="F1491">
        <v>20</v>
      </c>
      <c r="G1491">
        <v>21</v>
      </c>
      <c r="H1491" s="1">
        <v>44105</v>
      </c>
      <c r="I1491" s="1">
        <v>44378</v>
      </c>
      <c r="J1491">
        <v>9</v>
      </c>
      <c r="K1491">
        <v>0</v>
      </c>
      <c r="L1491" s="1">
        <v>44348</v>
      </c>
      <c r="M1491">
        <v>200</v>
      </c>
      <c r="N1491" s="8" cm="1">
        <f t="array" ref="N1491">_xlfn.SWITCH(Sales[[#This Row],[Subscription Type]],"Basic",10,"Premium",10,"Business",25,"Enterprise",27)</f>
        <v>10</v>
      </c>
      <c r="O1491">
        <f>IF(Sales[[#This Row],[Number of Users]]-Sales[[#This Row],[Licenses Bought]]&lt;0,0,Sales[[#This Row],[Number of Users]]-Sales[[#This Row],[Licenses Bought]])</f>
        <v>1</v>
      </c>
      <c r="P1491" s="8">
        <f>IF(Sales[[#This Row],[Sales Month]]=MAX(Sales[Sales Month]),Sales[[#This Row],[Non-Paying Users]]*Sales[[#This Row],[Upsell $ per Non-Paying User]],0)</f>
        <v>10</v>
      </c>
      <c r="Q1491" t="str" cm="1">
        <f t="array" ref="Q1491">_xlfn.IFS(Sales[[#This Row],[Current Upsell $]]=0,"",Sales[[#This Row],[Current Upsell $]]&gt;=400,"High",Sales[[#This Row],[Current Upsell $]]&gt;=100,"Medium",Sales[[#This Row],[Current Upsell $]]&lt;100,"Low")</f>
        <v>Low</v>
      </c>
      <c r="R1491" t="str">
        <f>IF(Sales[[#This Row],[Current Upsell $]]&gt;0,_xlfn.CONCAT(Sales[[#This Row],[Subscription Type]]," ",Sales[[#This Row],[Upsell Priority]]," ",TEXT(Sales[[#This Row],[Current Upsell $]],"$#,#")),"")</f>
        <v>Premium Low $10</v>
      </c>
    </row>
    <row r="1492" spans="1:18" x14ac:dyDescent="0.25">
      <c r="A1492">
        <v>100152</v>
      </c>
      <c r="B1492" t="s">
        <v>3</v>
      </c>
      <c r="D1492" s="1"/>
      <c r="E1492" s="1"/>
      <c r="F1492">
        <v>0</v>
      </c>
      <c r="G1492">
        <v>10</v>
      </c>
      <c r="H1492" s="1">
        <v>44105</v>
      </c>
      <c r="I1492" s="1">
        <v>44378</v>
      </c>
      <c r="J1492">
        <v>9</v>
      </c>
      <c r="K1492">
        <v>0</v>
      </c>
      <c r="L1492" s="1">
        <v>44105</v>
      </c>
      <c r="M1492">
        <v>0</v>
      </c>
      <c r="N1492" s="8" cm="1">
        <f t="array" ref="N1492">_xlfn.SWITCH(Sales[[#This Row],[Subscription Type]],"Basic",10,"Premium",10,"Business",25,"Enterprise",27)</f>
        <v>10</v>
      </c>
      <c r="O1492">
        <f>IF(Sales[[#This Row],[Number of Users]]-Sales[[#This Row],[Licenses Bought]]&lt;0,0,Sales[[#This Row],[Number of Users]]-Sales[[#This Row],[Licenses Bought]])</f>
        <v>10</v>
      </c>
      <c r="P1492" s="8">
        <f>IF(Sales[[#This Row],[Sales Month]]=MAX(Sales[Sales Month]),Sales[[#This Row],[Non-Paying Users]]*Sales[[#This Row],[Upsell $ per Non-Paying User]],0)</f>
        <v>0</v>
      </c>
      <c r="Q1492" t="str" cm="1">
        <f t="array" ref="Q1492">_xlfn.IFS(Sales[[#This Row],[Current Upsell $]]=0,"",Sales[[#This Row],[Current Upsell $]]&gt;=400,"High",Sales[[#This Row],[Current Upsell $]]&gt;=100,"Medium",Sales[[#This Row],[Current Upsell $]]&lt;100,"Low")</f>
        <v/>
      </c>
      <c r="R1492" t="str">
        <f>IF(Sales[[#This Row],[Current Upsell $]]&gt;0,_xlfn.CONCAT(Sales[[#This Row],[Subscription Type]]," ",Sales[[#This Row],[Upsell Priority]]," ",TEXT(Sales[[#This Row],[Current Upsell $]],"$#,#")),"")</f>
        <v/>
      </c>
    </row>
    <row r="1493" spans="1:18" x14ac:dyDescent="0.25">
      <c r="A1493">
        <v>100152</v>
      </c>
      <c r="B1493" t="s">
        <v>0</v>
      </c>
      <c r="D1493" s="1"/>
      <c r="E1493" s="1"/>
      <c r="F1493">
        <v>8</v>
      </c>
      <c r="G1493">
        <v>15</v>
      </c>
      <c r="H1493" s="1">
        <v>44105</v>
      </c>
      <c r="I1493" s="1">
        <v>44378</v>
      </c>
      <c r="J1493">
        <v>9</v>
      </c>
      <c r="K1493">
        <v>0</v>
      </c>
      <c r="L1493" s="1">
        <v>44136</v>
      </c>
      <c r="M1493">
        <v>80</v>
      </c>
      <c r="N1493" s="8" cm="1">
        <f t="array" ref="N1493">_xlfn.SWITCH(Sales[[#This Row],[Subscription Type]],"Basic",10,"Premium",10,"Business",25,"Enterprise",27)</f>
        <v>10</v>
      </c>
      <c r="O1493">
        <f>IF(Sales[[#This Row],[Number of Users]]-Sales[[#This Row],[Licenses Bought]]&lt;0,0,Sales[[#This Row],[Number of Users]]-Sales[[#This Row],[Licenses Bought]])</f>
        <v>7</v>
      </c>
      <c r="P1493" s="8">
        <f>IF(Sales[[#This Row],[Sales Month]]=MAX(Sales[Sales Month]),Sales[[#This Row],[Non-Paying Users]]*Sales[[#This Row],[Upsell $ per Non-Paying User]],0)</f>
        <v>0</v>
      </c>
      <c r="Q1493" t="str" cm="1">
        <f t="array" ref="Q1493">_xlfn.IFS(Sales[[#This Row],[Current Upsell $]]=0,"",Sales[[#This Row],[Current Upsell $]]&gt;=400,"High",Sales[[#This Row],[Current Upsell $]]&gt;=100,"Medium",Sales[[#This Row],[Current Upsell $]]&lt;100,"Low")</f>
        <v/>
      </c>
      <c r="R1493" t="str">
        <f>IF(Sales[[#This Row],[Current Upsell $]]&gt;0,_xlfn.CONCAT(Sales[[#This Row],[Subscription Type]]," ",Sales[[#This Row],[Upsell Priority]]," ",TEXT(Sales[[#This Row],[Current Upsell $]],"$#,#")),"")</f>
        <v/>
      </c>
    </row>
    <row r="1494" spans="1:18" x14ac:dyDescent="0.25">
      <c r="A1494">
        <v>100152</v>
      </c>
      <c r="B1494" t="s">
        <v>0</v>
      </c>
      <c r="D1494" s="1"/>
      <c r="E1494" s="1"/>
      <c r="F1494">
        <v>10</v>
      </c>
      <c r="G1494">
        <v>14</v>
      </c>
      <c r="H1494" s="1">
        <v>44105</v>
      </c>
      <c r="I1494" s="1">
        <v>44378</v>
      </c>
      <c r="J1494">
        <v>9</v>
      </c>
      <c r="K1494">
        <v>0</v>
      </c>
      <c r="L1494" s="1">
        <v>44166</v>
      </c>
      <c r="M1494">
        <v>100</v>
      </c>
      <c r="N1494" s="8" cm="1">
        <f t="array" ref="N1494">_xlfn.SWITCH(Sales[[#This Row],[Subscription Type]],"Basic",10,"Premium",10,"Business",25,"Enterprise",27)</f>
        <v>10</v>
      </c>
      <c r="O1494">
        <f>IF(Sales[[#This Row],[Number of Users]]-Sales[[#This Row],[Licenses Bought]]&lt;0,0,Sales[[#This Row],[Number of Users]]-Sales[[#This Row],[Licenses Bought]])</f>
        <v>4</v>
      </c>
      <c r="P1494" s="8">
        <f>IF(Sales[[#This Row],[Sales Month]]=MAX(Sales[Sales Month]),Sales[[#This Row],[Non-Paying Users]]*Sales[[#This Row],[Upsell $ per Non-Paying User]],0)</f>
        <v>0</v>
      </c>
      <c r="Q1494" t="str" cm="1">
        <f t="array" ref="Q1494">_xlfn.IFS(Sales[[#This Row],[Current Upsell $]]=0,"",Sales[[#This Row],[Current Upsell $]]&gt;=400,"High",Sales[[#This Row],[Current Upsell $]]&gt;=100,"Medium",Sales[[#This Row],[Current Upsell $]]&lt;100,"Low")</f>
        <v/>
      </c>
      <c r="R1494" t="str">
        <f>IF(Sales[[#This Row],[Current Upsell $]]&gt;0,_xlfn.CONCAT(Sales[[#This Row],[Subscription Type]]," ",Sales[[#This Row],[Upsell Priority]]," ",TEXT(Sales[[#This Row],[Current Upsell $]],"$#,#")),"")</f>
        <v/>
      </c>
    </row>
    <row r="1495" spans="1:18" x14ac:dyDescent="0.25">
      <c r="A1495">
        <v>100152</v>
      </c>
      <c r="B1495" t="s">
        <v>0</v>
      </c>
      <c r="D1495" s="1"/>
      <c r="E1495" s="1"/>
      <c r="F1495">
        <v>10</v>
      </c>
      <c r="G1495">
        <v>14</v>
      </c>
      <c r="H1495" s="1">
        <v>44105</v>
      </c>
      <c r="I1495" s="1">
        <v>44378</v>
      </c>
      <c r="J1495">
        <v>9</v>
      </c>
      <c r="K1495">
        <v>0</v>
      </c>
      <c r="L1495" s="1">
        <v>44197</v>
      </c>
      <c r="M1495">
        <v>100</v>
      </c>
      <c r="N1495" s="8" cm="1">
        <f t="array" ref="N1495">_xlfn.SWITCH(Sales[[#This Row],[Subscription Type]],"Basic",10,"Premium",10,"Business",25,"Enterprise",27)</f>
        <v>10</v>
      </c>
      <c r="O1495">
        <f>IF(Sales[[#This Row],[Number of Users]]-Sales[[#This Row],[Licenses Bought]]&lt;0,0,Sales[[#This Row],[Number of Users]]-Sales[[#This Row],[Licenses Bought]])</f>
        <v>4</v>
      </c>
      <c r="P1495" s="8">
        <f>IF(Sales[[#This Row],[Sales Month]]=MAX(Sales[Sales Month]),Sales[[#This Row],[Non-Paying Users]]*Sales[[#This Row],[Upsell $ per Non-Paying User]],0)</f>
        <v>0</v>
      </c>
      <c r="Q1495" t="str" cm="1">
        <f t="array" ref="Q1495">_xlfn.IFS(Sales[[#This Row],[Current Upsell $]]=0,"",Sales[[#This Row],[Current Upsell $]]&gt;=400,"High",Sales[[#This Row],[Current Upsell $]]&gt;=100,"Medium",Sales[[#This Row],[Current Upsell $]]&lt;100,"Low")</f>
        <v/>
      </c>
      <c r="R1495" t="str">
        <f>IF(Sales[[#This Row],[Current Upsell $]]&gt;0,_xlfn.CONCAT(Sales[[#This Row],[Subscription Type]]," ",Sales[[#This Row],[Upsell Priority]]," ",TEXT(Sales[[#This Row],[Current Upsell $]],"$#,#")),"")</f>
        <v/>
      </c>
    </row>
    <row r="1496" spans="1:18" x14ac:dyDescent="0.25">
      <c r="A1496">
        <v>100152</v>
      </c>
      <c r="B1496" t="s">
        <v>0</v>
      </c>
      <c r="D1496" s="1"/>
      <c r="E1496" s="1"/>
      <c r="F1496">
        <v>10</v>
      </c>
      <c r="G1496">
        <v>14</v>
      </c>
      <c r="H1496" s="1">
        <v>44105</v>
      </c>
      <c r="I1496" s="1">
        <v>44378</v>
      </c>
      <c r="J1496">
        <v>9</v>
      </c>
      <c r="K1496">
        <v>0</v>
      </c>
      <c r="L1496" s="1">
        <v>44228</v>
      </c>
      <c r="M1496">
        <v>100</v>
      </c>
      <c r="N1496" s="8" cm="1">
        <f t="array" ref="N1496">_xlfn.SWITCH(Sales[[#This Row],[Subscription Type]],"Basic",10,"Premium",10,"Business",25,"Enterprise",27)</f>
        <v>10</v>
      </c>
      <c r="O1496">
        <f>IF(Sales[[#This Row],[Number of Users]]-Sales[[#This Row],[Licenses Bought]]&lt;0,0,Sales[[#This Row],[Number of Users]]-Sales[[#This Row],[Licenses Bought]])</f>
        <v>4</v>
      </c>
      <c r="P1496" s="8">
        <f>IF(Sales[[#This Row],[Sales Month]]=MAX(Sales[Sales Month]),Sales[[#This Row],[Non-Paying Users]]*Sales[[#This Row],[Upsell $ per Non-Paying User]],0)</f>
        <v>0</v>
      </c>
      <c r="Q1496" t="str" cm="1">
        <f t="array" ref="Q1496">_xlfn.IFS(Sales[[#This Row],[Current Upsell $]]=0,"",Sales[[#This Row],[Current Upsell $]]&gt;=400,"High",Sales[[#This Row],[Current Upsell $]]&gt;=100,"Medium",Sales[[#This Row],[Current Upsell $]]&lt;100,"Low")</f>
        <v/>
      </c>
      <c r="R1496" t="str">
        <f>IF(Sales[[#This Row],[Current Upsell $]]&gt;0,_xlfn.CONCAT(Sales[[#This Row],[Subscription Type]]," ",Sales[[#This Row],[Upsell Priority]]," ",TEXT(Sales[[#This Row],[Current Upsell $]],"$#,#")),"")</f>
        <v/>
      </c>
    </row>
    <row r="1497" spans="1:18" x14ac:dyDescent="0.25">
      <c r="A1497">
        <v>100152</v>
      </c>
      <c r="B1497" t="s">
        <v>0</v>
      </c>
      <c r="D1497" s="1"/>
      <c r="E1497" s="1"/>
      <c r="F1497">
        <v>10</v>
      </c>
      <c r="G1497">
        <v>12</v>
      </c>
      <c r="H1497" s="1">
        <v>44105</v>
      </c>
      <c r="I1497" s="1">
        <v>44378</v>
      </c>
      <c r="J1497">
        <v>9</v>
      </c>
      <c r="K1497">
        <v>0</v>
      </c>
      <c r="L1497" s="1">
        <v>44256</v>
      </c>
      <c r="M1497">
        <v>100</v>
      </c>
      <c r="N1497" s="8" cm="1">
        <f t="array" ref="N1497">_xlfn.SWITCH(Sales[[#This Row],[Subscription Type]],"Basic",10,"Premium",10,"Business",25,"Enterprise",27)</f>
        <v>10</v>
      </c>
      <c r="O1497">
        <f>IF(Sales[[#This Row],[Number of Users]]-Sales[[#This Row],[Licenses Bought]]&lt;0,0,Sales[[#This Row],[Number of Users]]-Sales[[#This Row],[Licenses Bought]])</f>
        <v>2</v>
      </c>
      <c r="P1497" s="8">
        <f>IF(Sales[[#This Row],[Sales Month]]=MAX(Sales[Sales Month]),Sales[[#This Row],[Non-Paying Users]]*Sales[[#This Row],[Upsell $ per Non-Paying User]],0)</f>
        <v>0</v>
      </c>
      <c r="Q1497" t="str" cm="1">
        <f t="array" ref="Q1497">_xlfn.IFS(Sales[[#This Row],[Current Upsell $]]=0,"",Sales[[#This Row],[Current Upsell $]]&gt;=400,"High",Sales[[#This Row],[Current Upsell $]]&gt;=100,"Medium",Sales[[#This Row],[Current Upsell $]]&lt;100,"Low")</f>
        <v/>
      </c>
      <c r="R1497" t="str">
        <f>IF(Sales[[#This Row],[Current Upsell $]]&gt;0,_xlfn.CONCAT(Sales[[#This Row],[Subscription Type]]," ",Sales[[#This Row],[Upsell Priority]]," ",TEXT(Sales[[#This Row],[Current Upsell $]],"$#,#")),"")</f>
        <v/>
      </c>
    </row>
    <row r="1498" spans="1:18" x14ac:dyDescent="0.25">
      <c r="A1498">
        <v>100152</v>
      </c>
      <c r="B1498" t="s">
        <v>0</v>
      </c>
      <c r="D1498" s="1"/>
      <c r="E1498" s="1"/>
      <c r="F1498">
        <v>10</v>
      </c>
      <c r="G1498">
        <v>13</v>
      </c>
      <c r="H1498" s="1">
        <v>44105</v>
      </c>
      <c r="I1498" s="1">
        <v>44378</v>
      </c>
      <c r="J1498">
        <v>9</v>
      </c>
      <c r="K1498">
        <v>0</v>
      </c>
      <c r="L1498" s="1">
        <v>44287</v>
      </c>
      <c r="M1498">
        <v>100</v>
      </c>
      <c r="N1498" s="8" cm="1">
        <f t="array" ref="N1498">_xlfn.SWITCH(Sales[[#This Row],[Subscription Type]],"Basic",10,"Premium",10,"Business",25,"Enterprise",27)</f>
        <v>10</v>
      </c>
      <c r="O1498">
        <f>IF(Sales[[#This Row],[Number of Users]]-Sales[[#This Row],[Licenses Bought]]&lt;0,0,Sales[[#This Row],[Number of Users]]-Sales[[#This Row],[Licenses Bought]])</f>
        <v>3</v>
      </c>
      <c r="P1498" s="8">
        <f>IF(Sales[[#This Row],[Sales Month]]=MAX(Sales[Sales Month]),Sales[[#This Row],[Non-Paying Users]]*Sales[[#This Row],[Upsell $ per Non-Paying User]],0)</f>
        <v>0</v>
      </c>
      <c r="Q1498" t="str" cm="1">
        <f t="array" ref="Q1498">_xlfn.IFS(Sales[[#This Row],[Current Upsell $]]=0,"",Sales[[#This Row],[Current Upsell $]]&gt;=400,"High",Sales[[#This Row],[Current Upsell $]]&gt;=100,"Medium",Sales[[#This Row],[Current Upsell $]]&lt;100,"Low")</f>
        <v/>
      </c>
      <c r="R1498" t="str">
        <f>IF(Sales[[#This Row],[Current Upsell $]]&gt;0,_xlfn.CONCAT(Sales[[#This Row],[Subscription Type]]," ",Sales[[#This Row],[Upsell Priority]]," ",TEXT(Sales[[#This Row],[Current Upsell $]],"$#,#")),"")</f>
        <v/>
      </c>
    </row>
    <row r="1499" spans="1:18" x14ac:dyDescent="0.25">
      <c r="A1499">
        <v>100152</v>
      </c>
      <c r="B1499" t="s">
        <v>0</v>
      </c>
      <c r="D1499" s="1"/>
      <c r="E1499" s="1"/>
      <c r="F1499">
        <v>10</v>
      </c>
      <c r="G1499">
        <v>14</v>
      </c>
      <c r="H1499" s="1">
        <v>44105</v>
      </c>
      <c r="I1499" s="1">
        <v>44378</v>
      </c>
      <c r="J1499">
        <v>9</v>
      </c>
      <c r="K1499">
        <v>0</v>
      </c>
      <c r="L1499" s="1">
        <v>44317</v>
      </c>
      <c r="M1499">
        <v>100</v>
      </c>
      <c r="N1499" s="8" cm="1">
        <f t="array" ref="N1499">_xlfn.SWITCH(Sales[[#This Row],[Subscription Type]],"Basic",10,"Premium",10,"Business",25,"Enterprise",27)</f>
        <v>10</v>
      </c>
      <c r="O1499">
        <f>IF(Sales[[#This Row],[Number of Users]]-Sales[[#This Row],[Licenses Bought]]&lt;0,0,Sales[[#This Row],[Number of Users]]-Sales[[#This Row],[Licenses Bought]])</f>
        <v>4</v>
      </c>
      <c r="P1499" s="8">
        <f>IF(Sales[[#This Row],[Sales Month]]=MAX(Sales[Sales Month]),Sales[[#This Row],[Non-Paying Users]]*Sales[[#This Row],[Upsell $ per Non-Paying User]],0)</f>
        <v>0</v>
      </c>
      <c r="Q1499" t="str" cm="1">
        <f t="array" ref="Q1499">_xlfn.IFS(Sales[[#This Row],[Current Upsell $]]=0,"",Sales[[#This Row],[Current Upsell $]]&gt;=400,"High",Sales[[#This Row],[Current Upsell $]]&gt;=100,"Medium",Sales[[#This Row],[Current Upsell $]]&lt;100,"Low")</f>
        <v/>
      </c>
      <c r="R1499" t="str">
        <f>IF(Sales[[#This Row],[Current Upsell $]]&gt;0,_xlfn.CONCAT(Sales[[#This Row],[Subscription Type]]," ",Sales[[#This Row],[Upsell Priority]]," ",TEXT(Sales[[#This Row],[Current Upsell $]],"$#,#")),"")</f>
        <v/>
      </c>
    </row>
    <row r="1500" spans="1:18" x14ac:dyDescent="0.25">
      <c r="A1500">
        <v>100152</v>
      </c>
      <c r="B1500" t="s">
        <v>0</v>
      </c>
      <c r="D1500" s="1"/>
      <c r="E1500" s="1"/>
      <c r="F1500">
        <v>10</v>
      </c>
      <c r="G1500">
        <v>12</v>
      </c>
      <c r="H1500" s="1">
        <v>44105</v>
      </c>
      <c r="I1500" s="1">
        <v>44378</v>
      </c>
      <c r="J1500">
        <v>9</v>
      </c>
      <c r="K1500">
        <v>0</v>
      </c>
      <c r="L1500" s="1">
        <v>44348</v>
      </c>
      <c r="M1500">
        <v>100</v>
      </c>
      <c r="N1500" s="8" cm="1">
        <f t="array" ref="N1500">_xlfn.SWITCH(Sales[[#This Row],[Subscription Type]],"Basic",10,"Premium",10,"Business",25,"Enterprise",27)</f>
        <v>10</v>
      </c>
      <c r="O1500">
        <f>IF(Sales[[#This Row],[Number of Users]]-Sales[[#This Row],[Licenses Bought]]&lt;0,0,Sales[[#This Row],[Number of Users]]-Sales[[#This Row],[Licenses Bought]])</f>
        <v>2</v>
      </c>
      <c r="P1500" s="8">
        <f>IF(Sales[[#This Row],[Sales Month]]=MAX(Sales[Sales Month]),Sales[[#This Row],[Non-Paying Users]]*Sales[[#This Row],[Upsell $ per Non-Paying User]],0)</f>
        <v>20</v>
      </c>
      <c r="Q1500" t="str" cm="1">
        <f t="array" ref="Q1500">_xlfn.IFS(Sales[[#This Row],[Current Upsell $]]=0,"",Sales[[#This Row],[Current Upsell $]]&gt;=400,"High",Sales[[#This Row],[Current Upsell $]]&gt;=100,"Medium",Sales[[#This Row],[Current Upsell $]]&lt;100,"Low")</f>
        <v>Low</v>
      </c>
      <c r="R1500" t="str">
        <f>IF(Sales[[#This Row],[Current Upsell $]]&gt;0,_xlfn.CONCAT(Sales[[#This Row],[Subscription Type]]," ",Sales[[#This Row],[Upsell Priority]]," ",TEXT(Sales[[#This Row],[Current Upsell $]],"$#,#")),"")</f>
        <v>Premium Low $20</v>
      </c>
    </row>
    <row r="1501" spans="1:18" x14ac:dyDescent="0.25">
      <c r="A1501">
        <v>100153</v>
      </c>
      <c r="B1501" t="s">
        <v>3</v>
      </c>
      <c r="F1501">
        <v>0</v>
      </c>
      <c r="G1501">
        <v>8</v>
      </c>
      <c r="H1501" s="1">
        <v>44105</v>
      </c>
      <c r="I1501" s="1">
        <v>44197</v>
      </c>
      <c r="J1501">
        <v>3</v>
      </c>
      <c r="K1501">
        <v>5</v>
      </c>
      <c r="L1501" s="1">
        <v>44105</v>
      </c>
      <c r="M1501">
        <v>0</v>
      </c>
      <c r="N1501" s="8" cm="1">
        <f t="array" ref="N1501">_xlfn.SWITCH(Sales[[#This Row],[Subscription Type]],"Basic",10,"Premium",10,"Business",25,"Enterprise",27)</f>
        <v>10</v>
      </c>
      <c r="O1501">
        <f>IF(Sales[[#This Row],[Number of Users]]-Sales[[#This Row],[Licenses Bought]]&lt;0,0,Sales[[#This Row],[Number of Users]]-Sales[[#This Row],[Licenses Bought]])</f>
        <v>8</v>
      </c>
      <c r="P1501" s="8">
        <f>IF(Sales[[#This Row],[Sales Month]]=MAX(Sales[Sales Month]),Sales[[#This Row],[Non-Paying Users]]*Sales[[#This Row],[Upsell $ per Non-Paying User]],0)</f>
        <v>0</v>
      </c>
      <c r="Q1501" t="str" cm="1">
        <f t="array" ref="Q1501">_xlfn.IFS(Sales[[#This Row],[Current Upsell $]]=0,"",Sales[[#This Row],[Current Upsell $]]&gt;=400,"High",Sales[[#This Row],[Current Upsell $]]&gt;=100,"Medium",Sales[[#This Row],[Current Upsell $]]&lt;100,"Low")</f>
        <v/>
      </c>
      <c r="R1501" t="str">
        <f>IF(Sales[[#This Row],[Current Upsell $]]&gt;0,_xlfn.CONCAT(Sales[[#This Row],[Subscription Type]]," ",Sales[[#This Row],[Upsell Priority]]," ",TEXT(Sales[[#This Row],[Current Upsell $]],"$#,#")),"")</f>
        <v/>
      </c>
    </row>
    <row r="1502" spans="1:18" x14ac:dyDescent="0.25">
      <c r="A1502">
        <v>100153</v>
      </c>
      <c r="B1502" t="s">
        <v>3</v>
      </c>
      <c r="F1502">
        <v>0</v>
      </c>
      <c r="G1502">
        <v>8</v>
      </c>
      <c r="H1502" s="1">
        <v>44105</v>
      </c>
      <c r="I1502" s="1">
        <v>44197</v>
      </c>
      <c r="J1502">
        <v>3</v>
      </c>
      <c r="K1502">
        <v>5</v>
      </c>
      <c r="L1502" s="1">
        <v>44136</v>
      </c>
      <c r="M1502">
        <v>0</v>
      </c>
      <c r="N1502" s="8" cm="1">
        <f t="array" ref="N1502">_xlfn.SWITCH(Sales[[#This Row],[Subscription Type]],"Basic",10,"Premium",10,"Business",25,"Enterprise",27)</f>
        <v>10</v>
      </c>
      <c r="O1502">
        <f>IF(Sales[[#This Row],[Number of Users]]-Sales[[#This Row],[Licenses Bought]]&lt;0,0,Sales[[#This Row],[Number of Users]]-Sales[[#This Row],[Licenses Bought]])</f>
        <v>8</v>
      </c>
      <c r="P1502" s="8">
        <f>IF(Sales[[#This Row],[Sales Month]]=MAX(Sales[Sales Month]),Sales[[#This Row],[Non-Paying Users]]*Sales[[#This Row],[Upsell $ per Non-Paying User]],0)</f>
        <v>0</v>
      </c>
      <c r="Q1502" t="str" cm="1">
        <f t="array" ref="Q1502">_xlfn.IFS(Sales[[#This Row],[Current Upsell $]]=0,"",Sales[[#This Row],[Current Upsell $]]&gt;=400,"High",Sales[[#This Row],[Current Upsell $]]&gt;=100,"Medium",Sales[[#This Row],[Current Upsell $]]&lt;100,"Low")</f>
        <v/>
      </c>
      <c r="R1502" t="str">
        <f>IF(Sales[[#This Row],[Current Upsell $]]&gt;0,_xlfn.CONCAT(Sales[[#This Row],[Subscription Type]]," ",Sales[[#This Row],[Upsell Priority]]," ",TEXT(Sales[[#This Row],[Current Upsell $]],"$#,#")),"")</f>
        <v/>
      </c>
    </row>
    <row r="1503" spans="1:18" x14ac:dyDescent="0.25">
      <c r="A1503">
        <v>100153</v>
      </c>
      <c r="B1503" t="s">
        <v>3</v>
      </c>
      <c r="F1503">
        <v>0</v>
      </c>
      <c r="G1503">
        <v>10</v>
      </c>
      <c r="H1503" s="1">
        <v>44105</v>
      </c>
      <c r="I1503" s="1">
        <v>44197</v>
      </c>
      <c r="J1503">
        <v>3</v>
      </c>
      <c r="K1503">
        <v>5</v>
      </c>
      <c r="L1503" s="1">
        <v>44166</v>
      </c>
      <c r="M1503">
        <v>0</v>
      </c>
      <c r="N1503" s="8" cm="1">
        <f t="array" ref="N1503">_xlfn.SWITCH(Sales[[#This Row],[Subscription Type]],"Basic",10,"Premium",10,"Business",25,"Enterprise",27)</f>
        <v>10</v>
      </c>
      <c r="O1503">
        <f>IF(Sales[[#This Row],[Number of Users]]-Sales[[#This Row],[Licenses Bought]]&lt;0,0,Sales[[#This Row],[Number of Users]]-Sales[[#This Row],[Licenses Bought]])</f>
        <v>10</v>
      </c>
      <c r="P1503" s="8">
        <f>IF(Sales[[#This Row],[Sales Month]]=MAX(Sales[Sales Month]),Sales[[#This Row],[Non-Paying Users]]*Sales[[#This Row],[Upsell $ per Non-Paying User]],0)</f>
        <v>0</v>
      </c>
      <c r="Q1503" t="str" cm="1">
        <f t="array" ref="Q1503">_xlfn.IFS(Sales[[#This Row],[Current Upsell $]]=0,"",Sales[[#This Row],[Current Upsell $]]&gt;=400,"High",Sales[[#This Row],[Current Upsell $]]&gt;=100,"Medium",Sales[[#This Row],[Current Upsell $]]&lt;100,"Low")</f>
        <v/>
      </c>
      <c r="R1503" t="str">
        <f>IF(Sales[[#This Row],[Current Upsell $]]&gt;0,_xlfn.CONCAT(Sales[[#This Row],[Subscription Type]]," ",Sales[[#This Row],[Upsell Priority]]," ",TEXT(Sales[[#This Row],[Current Upsell $]],"$#,#")),"")</f>
        <v/>
      </c>
    </row>
    <row r="1504" spans="1:18" x14ac:dyDescent="0.25">
      <c r="A1504">
        <v>100153</v>
      </c>
      <c r="B1504" t="s">
        <v>3</v>
      </c>
      <c r="F1504">
        <v>0</v>
      </c>
      <c r="G1504">
        <v>7</v>
      </c>
      <c r="H1504" s="1">
        <v>44105</v>
      </c>
      <c r="I1504" s="1">
        <v>44197</v>
      </c>
      <c r="J1504">
        <v>3</v>
      </c>
      <c r="K1504">
        <v>5</v>
      </c>
      <c r="L1504" s="1">
        <v>44197</v>
      </c>
      <c r="M1504">
        <v>0</v>
      </c>
      <c r="N1504" s="8" cm="1">
        <f t="array" ref="N1504">_xlfn.SWITCH(Sales[[#This Row],[Subscription Type]],"Basic",10,"Premium",10,"Business",25,"Enterprise",27)</f>
        <v>10</v>
      </c>
      <c r="O1504">
        <f>IF(Sales[[#This Row],[Number of Users]]-Sales[[#This Row],[Licenses Bought]]&lt;0,0,Sales[[#This Row],[Number of Users]]-Sales[[#This Row],[Licenses Bought]])</f>
        <v>7</v>
      </c>
      <c r="P1504" s="8">
        <f>IF(Sales[[#This Row],[Sales Month]]=MAX(Sales[Sales Month]),Sales[[#This Row],[Non-Paying Users]]*Sales[[#This Row],[Upsell $ per Non-Paying User]],0)</f>
        <v>0</v>
      </c>
      <c r="Q1504" t="str" cm="1">
        <f t="array" ref="Q1504">_xlfn.IFS(Sales[[#This Row],[Current Upsell $]]=0,"",Sales[[#This Row],[Current Upsell $]]&gt;=400,"High",Sales[[#This Row],[Current Upsell $]]&gt;=100,"Medium",Sales[[#This Row],[Current Upsell $]]&lt;100,"Low")</f>
        <v/>
      </c>
      <c r="R1504" t="str">
        <f>IF(Sales[[#This Row],[Current Upsell $]]&gt;0,_xlfn.CONCAT(Sales[[#This Row],[Subscription Type]]," ",Sales[[#This Row],[Upsell Priority]]," ",TEXT(Sales[[#This Row],[Current Upsell $]],"$#,#")),"")</f>
        <v/>
      </c>
    </row>
    <row r="1505" spans="1:18" x14ac:dyDescent="0.25">
      <c r="A1505">
        <v>100154</v>
      </c>
      <c r="B1505" t="s">
        <v>3</v>
      </c>
      <c r="D1505" s="1"/>
      <c r="E1505" s="1"/>
      <c r="F1505">
        <v>0</v>
      </c>
      <c r="G1505">
        <v>8</v>
      </c>
      <c r="H1505" s="1">
        <v>44105</v>
      </c>
      <c r="I1505" s="1">
        <v>44378</v>
      </c>
      <c r="J1505">
        <v>9</v>
      </c>
      <c r="K1505">
        <v>0</v>
      </c>
      <c r="L1505" s="1">
        <v>44105</v>
      </c>
      <c r="M1505">
        <v>0</v>
      </c>
      <c r="N1505" s="8" cm="1">
        <f t="array" ref="N1505">_xlfn.SWITCH(Sales[[#This Row],[Subscription Type]],"Basic",10,"Premium",10,"Business",25,"Enterprise",27)</f>
        <v>10</v>
      </c>
      <c r="O1505">
        <f>IF(Sales[[#This Row],[Number of Users]]-Sales[[#This Row],[Licenses Bought]]&lt;0,0,Sales[[#This Row],[Number of Users]]-Sales[[#This Row],[Licenses Bought]])</f>
        <v>8</v>
      </c>
      <c r="P1505" s="8">
        <f>IF(Sales[[#This Row],[Sales Month]]=MAX(Sales[Sales Month]),Sales[[#This Row],[Non-Paying Users]]*Sales[[#This Row],[Upsell $ per Non-Paying User]],0)</f>
        <v>0</v>
      </c>
      <c r="Q1505" t="str" cm="1">
        <f t="array" ref="Q1505">_xlfn.IFS(Sales[[#This Row],[Current Upsell $]]=0,"",Sales[[#This Row],[Current Upsell $]]&gt;=400,"High",Sales[[#This Row],[Current Upsell $]]&gt;=100,"Medium",Sales[[#This Row],[Current Upsell $]]&lt;100,"Low")</f>
        <v/>
      </c>
      <c r="R1505" t="str">
        <f>IF(Sales[[#This Row],[Current Upsell $]]&gt;0,_xlfn.CONCAT(Sales[[#This Row],[Subscription Type]]," ",Sales[[#This Row],[Upsell Priority]]," ",TEXT(Sales[[#This Row],[Current Upsell $]],"$#,#")),"")</f>
        <v/>
      </c>
    </row>
    <row r="1506" spans="1:18" x14ac:dyDescent="0.25">
      <c r="A1506">
        <v>100154</v>
      </c>
      <c r="B1506" t="s">
        <v>0</v>
      </c>
      <c r="D1506" s="1"/>
      <c r="E1506" s="1"/>
      <c r="F1506">
        <v>3</v>
      </c>
      <c r="G1506">
        <v>9</v>
      </c>
      <c r="H1506" s="1">
        <v>44105</v>
      </c>
      <c r="I1506" s="1">
        <v>44378</v>
      </c>
      <c r="J1506">
        <v>9</v>
      </c>
      <c r="K1506">
        <v>0</v>
      </c>
      <c r="L1506" s="1">
        <v>44136</v>
      </c>
      <c r="M1506">
        <v>30</v>
      </c>
      <c r="N1506" s="8" cm="1">
        <f t="array" ref="N1506">_xlfn.SWITCH(Sales[[#This Row],[Subscription Type]],"Basic",10,"Premium",10,"Business",25,"Enterprise",27)</f>
        <v>10</v>
      </c>
      <c r="O1506">
        <f>IF(Sales[[#This Row],[Number of Users]]-Sales[[#This Row],[Licenses Bought]]&lt;0,0,Sales[[#This Row],[Number of Users]]-Sales[[#This Row],[Licenses Bought]])</f>
        <v>6</v>
      </c>
      <c r="P1506" s="8">
        <f>IF(Sales[[#This Row],[Sales Month]]=MAX(Sales[Sales Month]),Sales[[#This Row],[Non-Paying Users]]*Sales[[#This Row],[Upsell $ per Non-Paying User]],0)</f>
        <v>0</v>
      </c>
      <c r="Q1506" t="str" cm="1">
        <f t="array" ref="Q1506">_xlfn.IFS(Sales[[#This Row],[Current Upsell $]]=0,"",Sales[[#This Row],[Current Upsell $]]&gt;=400,"High",Sales[[#This Row],[Current Upsell $]]&gt;=100,"Medium",Sales[[#This Row],[Current Upsell $]]&lt;100,"Low")</f>
        <v/>
      </c>
      <c r="R1506" t="str">
        <f>IF(Sales[[#This Row],[Current Upsell $]]&gt;0,_xlfn.CONCAT(Sales[[#This Row],[Subscription Type]]," ",Sales[[#This Row],[Upsell Priority]]," ",TEXT(Sales[[#This Row],[Current Upsell $]],"$#,#")),"")</f>
        <v/>
      </c>
    </row>
    <row r="1507" spans="1:18" x14ac:dyDescent="0.25">
      <c r="A1507">
        <v>100154</v>
      </c>
      <c r="B1507" t="s">
        <v>0</v>
      </c>
      <c r="D1507" s="1"/>
      <c r="E1507" s="1"/>
      <c r="F1507">
        <v>6</v>
      </c>
      <c r="G1507">
        <v>8</v>
      </c>
      <c r="H1507" s="1">
        <v>44105</v>
      </c>
      <c r="I1507" s="1">
        <v>44378</v>
      </c>
      <c r="J1507">
        <v>9</v>
      </c>
      <c r="K1507">
        <v>0</v>
      </c>
      <c r="L1507" s="1">
        <v>44166</v>
      </c>
      <c r="M1507">
        <v>60</v>
      </c>
      <c r="N1507" s="8" cm="1">
        <f t="array" ref="N1507">_xlfn.SWITCH(Sales[[#This Row],[Subscription Type]],"Basic",10,"Premium",10,"Business",25,"Enterprise",27)</f>
        <v>10</v>
      </c>
      <c r="O1507">
        <f>IF(Sales[[#This Row],[Number of Users]]-Sales[[#This Row],[Licenses Bought]]&lt;0,0,Sales[[#This Row],[Number of Users]]-Sales[[#This Row],[Licenses Bought]])</f>
        <v>2</v>
      </c>
      <c r="P1507" s="8">
        <f>IF(Sales[[#This Row],[Sales Month]]=MAX(Sales[Sales Month]),Sales[[#This Row],[Non-Paying Users]]*Sales[[#This Row],[Upsell $ per Non-Paying User]],0)</f>
        <v>0</v>
      </c>
      <c r="Q1507" t="str" cm="1">
        <f t="array" ref="Q1507">_xlfn.IFS(Sales[[#This Row],[Current Upsell $]]=0,"",Sales[[#This Row],[Current Upsell $]]&gt;=400,"High",Sales[[#This Row],[Current Upsell $]]&gt;=100,"Medium",Sales[[#This Row],[Current Upsell $]]&lt;100,"Low")</f>
        <v/>
      </c>
      <c r="R1507" t="str">
        <f>IF(Sales[[#This Row],[Current Upsell $]]&gt;0,_xlfn.CONCAT(Sales[[#This Row],[Subscription Type]]," ",Sales[[#This Row],[Upsell Priority]]," ",TEXT(Sales[[#This Row],[Current Upsell $]],"$#,#")),"")</f>
        <v/>
      </c>
    </row>
    <row r="1508" spans="1:18" x14ac:dyDescent="0.25">
      <c r="A1508">
        <v>100154</v>
      </c>
      <c r="B1508" t="s">
        <v>0</v>
      </c>
      <c r="D1508" s="1"/>
      <c r="E1508" s="1"/>
      <c r="F1508">
        <v>6</v>
      </c>
      <c r="G1508">
        <v>7</v>
      </c>
      <c r="H1508" s="1">
        <v>44105</v>
      </c>
      <c r="I1508" s="1">
        <v>44378</v>
      </c>
      <c r="J1508">
        <v>9</v>
      </c>
      <c r="K1508">
        <v>0</v>
      </c>
      <c r="L1508" s="1">
        <v>44197</v>
      </c>
      <c r="M1508">
        <v>60</v>
      </c>
      <c r="N1508" s="8" cm="1">
        <f t="array" ref="N1508">_xlfn.SWITCH(Sales[[#This Row],[Subscription Type]],"Basic",10,"Premium",10,"Business",25,"Enterprise",27)</f>
        <v>10</v>
      </c>
      <c r="O1508">
        <f>IF(Sales[[#This Row],[Number of Users]]-Sales[[#This Row],[Licenses Bought]]&lt;0,0,Sales[[#This Row],[Number of Users]]-Sales[[#This Row],[Licenses Bought]])</f>
        <v>1</v>
      </c>
      <c r="P1508" s="8">
        <f>IF(Sales[[#This Row],[Sales Month]]=MAX(Sales[Sales Month]),Sales[[#This Row],[Non-Paying Users]]*Sales[[#This Row],[Upsell $ per Non-Paying User]],0)</f>
        <v>0</v>
      </c>
      <c r="Q1508" t="str" cm="1">
        <f t="array" ref="Q1508">_xlfn.IFS(Sales[[#This Row],[Current Upsell $]]=0,"",Sales[[#This Row],[Current Upsell $]]&gt;=400,"High",Sales[[#This Row],[Current Upsell $]]&gt;=100,"Medium",Sales[[#This Row],[Current Upsell $]]&lt;100,"Low")</f>
        <v/>
      </c>
      <c r="R1508" t="str">
        <f>IF(Sales[[#This Row],[Current Upsell $]]&gt;0,_xlfn.CONCAT(Sales[[#This Row],[Subscription Type]]," ",Sales[[#This Row],[Upsell Priority]]," ",TEXT(Sales[[#This Row],[Current Upsell $]],"$#,#")),"")</f>
        <v/>
      </c>
    </row>
    <row r="1509" spans="1:18" x14ac:dyDescent="0.25">
      <c r="A1509">
        <v>100154</v>
      </c>
      <c r="B1509" t="s">
        <v>0</v>
      </c>
      <c r="D1509" s="1"/>
      <c r="E1509" s="1"/>
      <c r="F1509">
        <v>6</v>
      </c>
      <c r="G1509">
        <v>6</v>
      </c>
      <c r="H1509" s="1">
        <v>44105</v>
      </c>
      <c r="I1509" s="1">
        <v>44378</v>
      </c>
      <c r="J1509">
        <v>9</v>
      </c>
      <c r="K1509">
        <v>0</v>
      </c>
      <c r="L1509" s="1">
        <v>44228</v>
      </c>
      <c r="M1509">
        <v>60</v>
      </c>
      <c r="N1509" s="8" cm="1">
        <f t="array" ref="N1509">_xlfn.SWITCH(Sales[[#This Row],[Subscription Type]],"Basic",10,"Premium",10,"Business",25,"Enterprise",27)</f>
        <v>10</v>
      </c>
      <c r="O1509">
        <f>IF(Sales[[#This Row],[Number of Users]]-Sales[[#This Row],[Licenses Bought]]&lt;0,0,Sales[[#This Row],[Number of Users]]-Sales[[#This Row],[Licenses Bought]])</f>
        <v>0</v>
      </c>
      <c r="P1509" s="8">
        <f>IF(Sales[[#This Row],[Sales Month]]=MAX(Sales[Sales Month]),Sales[[#This Row],[Non-Paying Users]]*Sales[[#This Row],[Upsell $ per Non-Paying User]],0)</f>
        <v>0</v>
      </c>
      <c r="Q1509" t="str" cm="1">
        <f t="array" ref="Q1509">_xlfn.IFS(Sales[[#This Row],[Current Upsell $]]=0,"",Sales[[#This Row],[Current Upsell $]]&gt;=400,"High",Sales[[#This Row],[Current Upsell $]]&gt;=100,"Medium",Sales[[#This Row],[Current Upsell $]]&lt;100,"Low")</f>
        <v/>
      </c>
      <c r="R1509" t="str">
        <f>IF(Sales[[#This Row],[Current Upsell $]]&gt;0,_xlfn.CONCAT(Sales[[#This Row],[Subscription Type]]," ",Sales[[#This Row],[Upsell Priority]]," ",TEXT(Sales[[#This Row],[Current Upsell $]],"$#,#")),"")</f>
        <v/>
      </c>
    </row>
    <row r="1510" spans="1:18" x14ac:dyDescent="0.25">
      <c r="A1510">
        <v>100154</v>
      </c>
      <c r="B1510" t="s">
        <v>0</v>
      </c>
      <c r="D1510" s="1"/>
      <c r="E1510" s="1"/>
      <c r="F1510">
        <v>6</v>
      </c>
      <c r="G1510">
        <v>7</v>
      </c>
      <c r="H1510" s="1">
        <v>44105</v>
      </c>
      <c r="I1510" s="1">
        <v>44378</v>
      </c>
      <c r="J1510">
        <v>9</v>
      </c>
      <c r="K1510">
        <v>0</v>
      </c>
      <c r="L1510" s="1">
        <v>44256</v>
      </c>
      <c r="M1510">
        <v>60</v>
      </c>
      <c r="N1510" s="8" cm="1">
        <f t="array" ref="N1510">_xlfn.SWITCH(Sales[[#This Row],[Subscription Type]],"Basic",10,"Premium",10,"Business",25,"Enterprise",27)</f>
        <v>10</v>
      </c>
      <c r="O1510">
        <f>IF(Sales[[#This Row],[Number of Users]]-Sales[[#This Row],[Licenses Bought]]&lt;0,0,Sales[[#This Row],[Number of Users]]-Sales[[#This Row],[Licenses Bought]])</f>
        <v>1</v>
      </c>
      <c r="P1510" s="8">
        <f>IF(Sales[[#This Row],[Sales Month]]=MAX(Sales[Sales Month]),Sales[[#This Row],[Non-Paying Users]]*Sales[[#This Row],[Upsell $ per Non-Paying User]],0)</f>
        <v>0</v>
      </c>
      <c r="Q1510" t="str" cm="1">
        <f t="array" ref="Q1510">_xlfn.IFS(Sales[[#This Row],[Current Upsell $]]=0,"",Sales[[#This Row],[Current Upsell $]]&gt;=400,"High",Sales[[#This Row],[Current Upsell $]]&gt;=100,"Medium",Sales[[#This Row],[Current Upsell $]]&lt;100,"Low")</f>
        <v/>
      </c>
      <c r="R1510" t="str">
        <f>IF(Sales[[#This Row],[Current Upsell $]]&gt;0,_xlfn.CONCAT(Sales[[#This Row],[Subscription Type]]," ",Sales[[#This Row],[Upsell Priority]]," ",TEXT(Sales[[#This Row],[Current Upsell $]],"$#,#")),"")</f>
        <v/>
      </c>
    </row>
    <row r="1511" spans="1:18" x14ac:dyDescent="0.25">
      <c r="A1511">
        <v>100154</v>
      </c>
      <c r="B1511" t="s">
        <v>0</v>
      </c>
      <c r="D1511" s="1"/>
      <c r="E1511" s="1"/>
      <c r="F1511">
        <v>6</v>
      </c>
      <c r="G1511">
        <v>7</v>
      </c>
      <c r="H1511" s="1">
        <v>44105</v>
      </c>
      <c r="I1511" s="1">
        <v>44378</v>
      </c>
      <c r="J1511">
        <v>9</v>
      </c>
      <c r="K1511">
        <v>0</v>
      </c>
      <c r="L1511" s="1">
        <v>44287</v>
      </c>
      <c r="M1511">
        <v>60</v>
      </c>
      <c r="N1511" s="8" cm="1">
        <f t="array" ref="N1511">_xlfn.SWITCH(Sales[[#This Row],[Subscription Type]],"Basic",10,"Premium",10,"Business",25,"Enterprise",27)</f>
        <v>10</v>
      </c>
      <c r="O1511">
        <f>IF(Sales[[#This Row],[Number of Users]]-Sales[[#This Row],[Licenses Bought]]&lt;0,0,Sales[[#This Row],[Number of Users]]-Sales[[#This Row],[Licenses Bought]])</f>
        <v>1</v>
      </c>
      <c r="P1511" s="8">
        <f>IF(Sales[[#This Row],[Sales Month]]=MAX(Sales[Sales Month]),Sales[[#This Row],[Non-Paying Users]]*Sales[[#This Row],[Upsell $ per Non-Paying User]],0)</f>
        <v>0</v>
      </c>
      <c r="Q1511" t="str" cm="1">
        <f t="array" ref="Q1511">_xlfn.IFS(Sales[[#This Row],[Current Upsell $]]=0,"",Sales[[#This Row],[Current Upsell $]]&gt;=400,"High",Sales[[#This Row],[Current Upsell $]]&gt;=100,"Medium",Sales[[#This Row],[Current Upsell $]]&lt;100,"Low")</f>
        <v/>
      </c>
      <c r="R1511" t="str">
        <f>IF(Sales[[#This Row],[Current Upsell $]]&gt;0,_xlfn.CONCAT(Sales[[#This Row],[Subscription Type]]," ",Sales[[#This Row],[Upsell Priority]]," ",TEXT(Sales[[#This Row],[Current Upsell $]],"$#,#")),"")</f>
        <v/>
      </c>
    </row>
    <row r="1512" spans="1:18" x14ac:dyDescent="0.25">
      <c r="A1512">
        <v>100154</v>
      </c>
      <c r="B1512" t="s">
        <v>0</v>
      </c>
      <c r="D1512" s="1"/>
      <c r="E1512" s="1"/>
      <c r="F1512">
        <v>6</v>
      </c>
      <c r="G1512">
        <v>8</v>
      </c>
      <c r="H1512" s="1">
        <v>44105</v>
      </c>
      <c r="I1512" s="1">
        <v>44378</v>
      </c>
      <c r="J1512">
        <v>9</v>
      </c>
      <c r="K1512">
        <v>0</v>
      </c>
      <c r="L1512" s="1">
        <v>44317</v>
      </c>
      <c r="M1512">
        <v>60</v>
      </c>
      <c r="N1512" s="8" cm="1">
        <f t="array" ref="N1512">_xlfn.SWITCH(Sales[[#This Row],[Subscription Type]],"Basic",10,"Premium",10,"Business",25,"Enterprise",27)</f>
        <v>10</v>
      </c>
      <c r="O1512">
        <f>IF(Sales[[#This Row],[Number of Users]]-Sales[[#This Row],[Licenses Bought]]&lt;0,0,Sales[[#This Row],[Number of Users]]-Sales[[#This Row],[Licenses Bought]])</f>
        <v>2</v>
      </c>
      <c r="P1512" s="8">
        <f>IF(Sales[[#This Row],[Sales Month]]=MAX(Sales[Sales Month]),Sales[[#This Row],[Non-Paying Users]]*Sales[[#This Row],[Upsell $ per Non-Paying User]],0)</f>
        <v>0</v>
      </c>
      <c r="Q1512" t="str" cm="1">
        <f t="array" ref="Q1512">_xlfn.IFS(Sales[[#This Row],[Current Upsell $]]=0,"",Sales[[#This Row],[Current Upsell $]]&gt;=400,"High",Sales[[#This Row],[Current Upsell $]]&gt;=100,"Medium",Sales[[#This Row],[Current Upsell $]]&lt;100,"Low")</f>
        <v/>
      </c>
      <c r="R1512" t="str">
        <f>IF(Sales[[#This Row],[Current Upsell $]]&gt;0,_xlfn.CONCAT(Sales[[#This Row],[Subscription Type]]," ",Sales[[#This Row],[Upsell Priority]]," ",TEXT(Sales[[#This Row],[Current Upsell $]],"$#,#")),"")</f>
        <v/>
      </c>
    </row>
    <row r="1513" spans="1:18" x14ac:dyDescent="0.25">
      <c r="A1513">
        <v>100154</v>
      </c>
      <c r="B1513" t="s">
        <v>0</v>
      </c>
      <c r="D1513" s="1"/>
      <c r="E1513" s="1"/>
      <c r="F1513">
        <v>6</v>
      </c>
      <c r="G1513">
        <v>8</v>
      </c>
      <c r="H1513" s="1">
        <v>44105</v>
      </c>
      <c r="I1513" s="1">
        <v>44378</v>
      </c>
      <c r="J1513">
        <v>9</v>
      </c>
      <c r="K1513">
        <v>0</v>
      </c>
      <c r="L1513" s="1">
        <v>44348</v>
      </c>
      <c r="M1513">
        <v>60</v>
      </c>
      <c r="N1513" s="8" cm="1">
        <f t="array" ref="N1513">_xlfn.SWITCH(Sales[[#This Row],[Subscription Type]],"Basic",10,"Premium",10,"Business",25,"Enterprise",27)</f>
        <v>10</v>
      </c>
      <c r="O1513">
        <f>IF(Sales[[#This Row],[Number of Users]]-Sales[[#This Row],[Licenses Bought]]&lt;0,0,Sales[[#This Row],[Number of Users]]-Sales[[#This Row],[Licenses Bought]])</f>
        <v>2</v>
      </c>
      <c r="P1513" s="8">
        <f>IF(Sales[[#This Row],[Sales Month]]=MAX(Sales[Sales Month]),Sales[[#This Row],[Non-Paying Users]]*Sales[[#This Row],[Upsell $ per Non-Paying User]],0)</f>
        <v>20</v>
      </c>
      <c r="Q1513" t="str" cm="1">
        <f t="array" ref="Q1513">_xlfn.IFS(Sales[[#This Row],[Current Upsell $]]=0,"",Sales[[#This Row],[Current Upsell $]]&gt;=400,"High",Sales[[#This Row],[Current Upsell $]]&gt;=100,"Medium",Sales[[#This Row],[Current Upsell $]]&lt;100,"Low")</f>
        <v>Low</v>
      </c>
      <c r="R1513" t="str">
        <f>IF(Sales[[#This Row],[Current Upsell $]]&gt;0,_xlfn.CONCAT(Sales[[#This Row],[Subscription Type]]," ",Sales[[#This Row],[Upsell Priority]]," ",TEXT(Sales[[#This Row],[Current Upsell $]],"$#,#")),"")</f>
        <v>Premium Low $20</v>
      </c>
    </row>
    <row r="1514" spans="1:18" x14ac:dyDescent="0.25">
      <c r="A1514">
        <v>100155</v>
      </c>
      <c r="B1514" t="s">
        <v>3</v>
      </c>
      <c r="D1514" s="1"/>
      <c r="E1514" s="1"/>
      <c r="F1514">
        <v>0</v>
      </c>
      <c r="G1514">
        <v>18</v>
      </c>
      <c r="H1514" s="1">
        <v>44105</v>
      </c>
      <c r="I1514" s="1">
        <v>44378</v>
      </c>
      <c r="J1514">
        <v>9</v>
      </c>
      <c r="K1514">
        <v>0</v>
      </c>
      <c r="L1514" s="1">
        <v>44105</v>
      </c>
      <c r="M1514">
        <v>0</v>
      </c>
      <c r="N1514" s="8" cm="1">
        <f t="array" ref="N1514">_xlfn.SWITCH(Sales[[#This Row],[Subscription Type]],"Basic",10,"Premium",10,"Business",25,"Enterprise",27)</f>
        <v>10</v>
      </c>
      <c r="O1514">
        <f>IF(Sales[[#This Row],[Number of Users]]-Sales[[#This Row],[Licenses Bought]]&lt;0,0,Sales[[#This Row],[Number of Users]]-Sales[[#This Row],[Licenses Bought]])</f>
        <v>18</v>
      </c>
      <c r="P1514" s="8">
        <f>IF(Sales[[#This Row],[Sales Month]]=MAX(Sales[Sales Month]),Sales[[#This Row],[Non-Paying Users]]*Sales[[#This Row],[Upsell $ per Non-Paying User]],0)</f>
        <v>0</v>
      </c>
      <c r="Q1514" t="str" cm="1">
        <f t="array" ref="Q1514">_xlfn.IFS(Sales[[#This Row],[Current Upsell $]]=0,"",Sales[[#This Row],[Current Upsell $]]&gt;=400,"High",Sales[[#This Row],[Current Upsell $]]&gt;=100,"Medium",Sales[[#This Row],[Current Upsell $]]&lt;100,"Low")</f>
        <v/>
      </c>
      <c r="R1514" t="str">
        <f>IF(Sales[[#This Row],[Current Upsell $]]&gt;0,_xlfn.CONCAT(Sales[[#This Row],[Subscription Type]]," ",Sales[[#This Row],[Upsell Priority]]," ",TEXT(Sales[[#This Row],[Current Upsell $]],"$#,#")),"")</f>
        <v/>
      </c>
    </row>
    <row r="1515" spans="1:18" x14ac:dyDescent="0.25">
      <c r="A1515">
        <v>100155</v>
      </c>
      <c r="B1515" t="s">
        <v>2</v>
      </c>
      <c r="C1515">
        <v>12</v>
      </c>
      <c r="D1515" s="1">
        <v>44501</v>
      </c>
      <c r="E1515" s="1">
        <v>44865</v>
      </c>
      <c r="F1515">
        <v>50</v>
      </c>
      <c r="G1515">
        <v>16</v>
      </c>
      <c r="H1515" s="1">
        <v>44105</v>
      </c>
      <c r="I1515" s="1">
        <v>44378</v>
      </c>
      <c r="J1515">
        <v>9</v>
      </c>
      <c r="K1515">
        <v>0</v>
      </c>
      <c r="L1515" s="1">
        <v>44136</v>
      </c>
      <c r="M1515">
        <v>1020</v>
      </c>
      <c r="N1515" s="8" cm="1">
        <f t="array" ref="N1515">_xlfn.SWITCH(Sales[[#This Row],[Subscription Type]],"Basic",10,"Premium",10,"Business",25,"Enterprise",27)</f>
        <v>27</v>
      </c>
      <c r="O1515">
        <f>IF(Sales[[#This Row],[Number of Users]]-Sales[[#This Row],[Licenses Bought]]&lt;0,0,Sales[[#This Row],[Number of Users]]-Sales[[#This Row],[Licenses Bought]])</f>
        <v>0</v>
      </c>
      <c r="P1515" s="8">
        <f>IF(Sales[[#This Row],[Sales Month]]=MAX(Sales[Sales Month]),Sales[[#This Row],[Non-Paying Users]]*Sales[[#This Row],[Upsell $ per Non-Paying User]],0)</f>
        <v>0</v>
      </c>
      <c r="Q1515" t="str" cm="1">
        <f t="array" ref="Q1515">_xlfn.IFS(Sales[[#This Row],[Current Upsell $]]=0,"",Sales[[#This Row],[Current Upsell $]]&gt;=400,"High",Sales[[#This Row],[Current Upsell $]]&gt;=100,"Medium",Sales[[#This Row],[Current Upsell $]]&lt;100,"Low")</f>
        <v/>
      </c>
      <c r="R1515" t="str">
        <f>IF(Sales[[#This Row],[Current Upsell $]]&gt;0,_xlfn.CONCAT(Sales[[#This Row],[Subscription Type]]," ",Sales[[#This Row],[Upsell Priority]]," ",TEXT(Sales[[#This Row],[Current Upsell $]],"$#,#")),"")</f>
        <v/>
      </c>
    </row>
    <row r="1516" spans="1:18" x14ac:dyDescent="0.25">
      <c r="A1516">
        <v>100155</v>
      </c>
      <c r="B1516" t="s">
        <v>2</v>
      </c>
      <c r="C1516">
        <v>12</v>
      </c>
      <c r="D1516" s="1">
        <v>44501</v>
      </c>
      <c r="E1516" s="1">
        <v>44865</v>
      </c>
      <c r="F1516">
        <v>50</v>
      </c>
      <c r="G1516">
        <v>16</v>
      </c>
      <c r="H1516" s="1">
        <v>44105</v>
      </c>
      <c r="I1516" s="1">
        <v>44378</v>
      </c>
      <c r="J1516">
        <v>9</v>
      </c>
      <c r="K1516">
        <v>0</v>
      </c>
      <c r="L1516" s="1">
        <v>44166</v>
      </c>
      <c r="M1516">
        <v>1110</v>
      </c>
      <c r="N1516" s="8" cm="1">
        <f t="array" ref="N1516">_xlfn.SWITCH(Sales[[#This Row],[Subscription Type]],"Basic",10,"Premium",10,"Business",25,"Enterprise",27)</f>
        <v>27</v>
      </c>
      <c r="O1516">
        <f>IF(Sales[[#This Row],[Number of Users]]-Sales[[#This Row],[Licenses Bought]]&lt;0,0,Sales[[#This Row],[Number of Users]]-Sales[[#This Row],[Licenses Bought]])</f>
        <v>0</v>
      </c>
      <c r="P1516" s="8">
        <f>IF(Sales[[#This Row],[Sales Month]]=MAX(Sales[Sales Month]),Sales[[#This Row],[Non-Paying Users]]*Sales[[#This Row],[Upsell $ per Non-Paying User]],0)</f>
        <v>0</v>
      </c>
      <c r="Q1516" t="str" cm="1">
        <f t="array" ref="Q1516">_xlfn.IFS(Sales[[#This Row],[Current Upsell $]]=0,"",Sales[[#This Row],[Current Upsell $]]&gt;=400,"High",Sales[[#This Row],[Current Upsell $]]&gt;=100,"Medium",Sales[[#This Row],[Current Upsell $]]&lt;100,"Low")</f>
        <v/>
      </c>
      <c r="R1516" t="str">
        <f>IF(Sales[[#This Row],[Current Upsell $]]&gt;0,_xlfn.CONCAT(Sales[[#This Row],[Subscription Type]]," ",Sales[[#This Row],[Upsell Priority]]," ",TEXT(Sales[[#This Row],[Current Upsell $]],"$#,#")),"")</f>
        <v/>
      </c>
    </row>
    <row r="1517" spans="1:18" x14ac:dyDescent="0.25">
      <c r="A1517">
        <v>100155</v>
      </c>
      <c r="B1517" t="s">
        <v>2</v>
      </c>
      <c r="C1517">
        <v>12</v>
      </c>
      <c r="D1517" s="1">
        <v>44501</v>
      </c>
      <c r="E1517" s="1">
        <v>44865</v>
      </c>
      <c r="F1517">
        <v>50</v>
      </c>
      <c r="G1517">
        <v>21</v>
      </c>
      <c r="H1517" s="1">
        <v>44105</v>
      </c>
      <c r="I1517" s="1">
        <v>44378</v>
      </c>
      <c r="J1517">
        <v>9</v>
      </c>
      <c r="K1517">
        <v>0</v>
      </c>
      <c r="L1517" s="1">
        <v>44197</v>
      </c>
      <c r="M1517">
        <v>1500</v>
      </c>
      <c r="N1517" s="8" cm="1">
        <f t="array" ref="N1517">_xlfn.SWITCH(Sales[[#This Row],[Subscription Type]],"Basic",10,"Premium",10,"Business",25,"Enterprise",27)</f>
        <v>27</v>
      </c>
      <c r="O1517">
        <f>IF(Sales[[#This Row],[Number of Users]]-Sales[[#This Row],[Licenses Bought]]&lt;0,0,Sales[[#This Row],[Number of Users]]-Sales[[#This Row],[Licenses Bought]])</f>
        <v>0</v>
      </c>
      <c r="P1517" s="8">
        <f>IF(Sales[[#This Row],[Sales Month]]=MAX(Sales[Sales Month]),Sales[[#This Row],[Non-Paying Users]]*Sales[[#This Row],[Upsell $ per Non-Paying User]],0)</f>
        <v>0</v>
      </c>
      <c r="Q1517" t="str" cm="1">
        <f t="array" ref="Q1517">_xlfn.IFS(Sales[[#This Row],[Current Upsell $]]=0,"",Sales[[#This Row],[Current Upsell $]]&gt;=400,"High",Sales[[#This Row],[Current Upsell $]]&gt;=100,"Medium",Sales[[#This Row],[Current Upsell $]]&lt;100,"Low")</f>
        <v/>
      </c>
      <c r="R1517" t="str">
        <f>IF(Sales[[#This Row],[Current Upsell $]]&gt;0,_xlfn.CONCAT(Sales[[#This Row],[Subscription Type]]," ",Sales[[#This Row],[Upsell Priority]]," ",TEXT(Sales[[#This Row],[Current Upsell $]],"$#,#")),"")</f>
        <v/>
      </c>
    </row>
    <row r="1518" spans="1:18" x14ac:dyDescent="0.25">
      <c r="A1518">
        <v>100155</v>
      </c>
      <c r="B1518" t="s">
        <v>2</v>
      </c>
      <c r="C1518">
        <v>12</v>
      </c>
      <c r="D1518" s="1">
        <v>44501</v>
      </c>
      <c r="E1518" s="1">
        <v>44865</v>
      </c>
      <c r="F1518">
        <v>50</v>
      </c>
      <c r="G1518">
        <v>21</v>
      </c>
      <c r="H1518" s="1">
        <v>44105</v>
      </c>
      <c r="I1518" s="1">
        <v>44378</v>
      </c>
      <c r="J1518">
        <v>9</v>
      </c>
      <c r="K1518">
        <v>0</v>
      </c>
      <c r="L1518" s="1">
        <v>44228</v>
      </c>
      <c r="M1518">
        <v>1500</v>
      </c>
      <c r="N1518" s="8" cm="1">
        <f t="array" ref="N1518">_xlfn.SWITCH(Sales[[#This Row],[Subscription Type]],"Basic",10,"Premium",10,"Business",25,"Enterprise",27)</f>
        <v>27</v>
      </c>
      <c r="O1518">
        <f>IF(Sales[[#This Row],[Number of Users]]-Sales[[#This Row],[Licenses Bought]]&lt;0,0,Sales[[#This Row],[Number of Users]]-Sales[[#This Row],[Licenses Bought]])</f>
        <v>0</v>
      </c>
      <c r="P1518" s="8">
        <f>IF(Sales[[#This Row],[Sales Month]]=MAX(Sales[Sales Month]),Sales[[#This Row],[Non-Paying Users]]*Sales[[#This Row],[Upsell $ per Non-Paying User]],0)</f>
        <v>0</v>
      </c>
      <c r="Q1518" t="str" cm="1">
        <f t="array" ref="Q1518">_xlfn.IFS(Sales[[#This Row],[Current Upsell $]]=0,"",Sales[[#This Row],[Current Upsell $]]&gt;=400,"High",Sales[[#This Row],[Current Upsell $]]&gt;=100,"Medium",Sales[[#This Row],[Current Upsell $]]&lt;100,"Low")</f>
        <v/>
      </c>
      <c r="R1518" t="str">
        <f>IF(Sales[[#This Row],[Current Upsell $]]&gt;0,_xlfn.CONCAT(Sales[[#This Row],[Subscription Type]]," ",Sales[[#This Row],[Upsell Priority]]," ",TEXT(Sales[[#This Row],[Current Upsell $]],"$#,#")),"")</f>
        <v/>
      </c>
    </row>
    <row r="1519" spans="1:18" x14ac:dyDescent="0.25">
      <c r="A1519">
        <v>100155</v>
      </c>
      <c r="B1519" t="s">
        <v>2</v>
      </c>
      <c r="C1519">
        <v>12</v>
      </c>
      <c r="D1519" s="1">
        <v>44501</v>
      </c>
      <c r="E1519" s="1">
        <v>44865</v>
      </c>
      <c r="F1519">
        <v>50</v>
      </c>
      <c r="G1519">
        <v>17</v>
      </c>
      <c r="H1519" s="1">
        <v>44105</v>
      </c>
      <c r="I1519" s="1">
        <v>44378</v>
      </c>
      <c r="J1519">
        <v>9</v>
      </c>
      <c r="K1519">
        <v>0</v>
      </c>
      <c r="L1519" s="1">
        <v>44256</v>
      </c>
      <c r="M1519">
        <v>1500</v>
      </c>
      <c r="N1519" s="8" cm="1">
        <f t="array" ref="N1519">_xlfn.SWITCH(Sales[[#This Row],[Subscription Type]],"Basic",10,"Premium",10,"Business",25,"Enterprise",27)</f>
        <v>27</v>
      </c>
      <c r="O1519">
        <f>IF(Sales[[#This Row],[Number of Users]]-Sales[[#This Row],[Licenses Bought]]&lt;0,0,Sales[[#This Row],[Number of Users]]-Sales[[#This Row],[Licenses Bought]])</f>
        <v>0</v>
      </c>
      <c r="P1519" s="8">
        <f>IF(Sales[[#This Row],[Sales Month]]=MAX(Sales[Sales Month]),Sales[[#This Row],[Non-Paying Users]]*Sales[[#This Row],[Upsell $ per Non-Paying User]],0)</f>
        <v>0</v>
      </c>
      <c r="Q1519" t="str" cm="1">
        <f t="array" ref="Q1519">_xlfn.IFS(Sales[[#This Row],[Current Upsell $]]=0,"",Sales[[#This Row],[Current Upsell $]]&gt;=400,"High",Sales[[#This Row],[Current Upsell $]]&gt;=100,"Medium",Sales[[#This Row],[Current Upsell $]]&lt;100,"Low")</f>
        <v/>
      </c>
      <c r="R1519" t="str">
        <f>IF(Sales[[#This Row],[Current Upsell $]]&gt;0,_xlfn.CONCAT(Sales[[#This Row],[Subscription Type]]," ",Sales[[#This Row],[Upsell Priority]]," ",TEXT(Sales[[#This Row],[Current Upsell $]],"$#,#")),"")</f>
        <v/>
      </c>
    </row>
    <row r="1520" spans="1:18" x14ac:dyDescent="0.25">
      <c r="A1520">
        <v>100155</v>
      </c>
      <c r="B1520" t="s">
        <v>2</v>
      </c>
      <c r="C1520">
        <v>12</v>
      </c>
      <c r="D1520" s="1">
        <v>44501</v>
      </c>
      <c r="E1520" s="1">
        <v>44865</v>
      </c>
      <c r="F1520">
        <v>50</v>
      </c>
      <c r="G1520">
        <v>19</v>
      </c>
      <c r="H1520" s="1">
        <v>44105</v>
      </c>
      <c r="I1520" s="1">
        <v>44378</v>
      </c>
      <c r="J1520">
        <v>9</v>
      </c>
      <c r="K1520">
        <v>0</v>
      </c>
      <c r="L1520" s="1">
        <v>44287</v>
      </c>
      <c r="M1520">
        <v>1500</v>
      </c>
      <c r="N1520" s="8" cm="1">
        <f t="array" ref="N1520">_xlfn.SWITCH(Sales[[#This Row],[Subscription Type]],"Basic",10,"Premium",10,"Business",25,"Enterprise",27)</f>
        <v>27</v>
      </c>
      <c r="O1520">
        <f>IF(Sales[[#This Row],[Number of Users]]-Sales[[#This Row],[Licenses Bought]]&lt;0,0,Sales[[#This Row],[Number of Users]]-Sales[[#This Row],[Licenses Bought]])</f>
        <v>0</v>
      </c>
      <c r="P1520" s="8">
        <f>IF(Sales[[#This Row],[Sales Month]]=MAX(Sales[Sales Month]),Sales[[#This Row],[Non-Paying Users]]*Sales[[#This Row],[Upsell $ per Non-Paying User]],0)</f>
        <v>0</v>
      </c>
      <c r="Q1520" t="str" cm="1">
        <f t="array" ref="Q1520">_xlfn.IFS(Sales[[#This Row],[Current Upsell $]]=0,"",Sales[[#This Row],[Current Upsell $]]&gt;=400,"High",Sales[[#This Row],[Current Upsell $]]&gt;=100,"Medium",Sales[[#This Row],[Current Upsell $]]&lt;100,"Low")</f>
        <v/>
      </c>
      <c r="R1520" t="str">
        <f>IF(Sales[[#This Row],[Current Upsell $]]&gt;0,_xlfn.CONCAT(Sales[[#This Row],[Subscription Type]]," ",Sales[[#This Row],[Upsell Priority]]," ",TEXT(Sales[[#This Row],[Current Upsell $]],"$#,#")),"")</f>
        <v/>
      </c>
    </row>
    <row r="1521" spans="1:18" x14ac:dyDescent="0.25">
      <c r="A1521">
        <v>100155</v>
      </c>
      <c r="B1521" t="s">
        <v>2</v>
      </c>
      <c r="C1521">
        <v>12</v>
      </c>
      <c r="D1521" s="1">
        <v>44501</v>
      </c>
      <c r="E1521" s="1">
        <v>44865</v>
      </c>
      <c r="F1521">
        <v>50</v>
      </c>
      <c r="G1521">
        <v>18</v>
      </c>
      <c r="H1521" s="1">
        <v>44105</v>
      </c>
      <c r="I1521" s="1">
        <v>44378</v>
      </c>
      <c r="J1521">
        <v>9</v>
      </c>
      <c r="K1521">
        <v>0</v>
      </c>
      <c r="L1521" s="1">
        <v>44317</v>
      </c>
      <c r="M1521">
        <v>1500</v>
      </c>
      <c r="N1521" s="8" cm="1">
        <f t="array" ref="N1521">_xlfn.SWITCH(Sales[[#This Row],[Subscription Type]],"Basic",10,"Premium",10,"Business",25,"Enterprise",27)</f>
        <v>27</v>
      </c>
      <c r="O1521">
        <f>IF(Sales[[#This Row],[Number of Users]]-Sales[[#This Row],[Licenses Bought]]&lt;0,0,Sales[[#This Row],[Number of Users]]-Sales[[#This Row],[Licenses Bought]])</f>
        <v>0</v>
      </c>
      <c r="P1521" s="8">
        <f>IF(Sales[[#This Row],[Sales Month]]=MAX(Sales[Sales Month]),Sales[[#This Row],[Non-Paying Users]]*Sales[[#This Row],[Upsell $ per Non-Paying User]],0)</f>
        <v>0</v>
      </c>
      <c r="Q1521" t="str" cm="1">
        <f t="array" ref="Q1521">_xlfn.IFS(Sales[[#This Row],[Current Upsell $]]=0,"",Sales[[#This Row],[Current Upsell $]]&gt;=400,"High",Sales[[#This Row],[Current Upsell $]]&gt;=100,"Medium",Sales[[#This Row],[Current Upsell $]]&lt;100,"Low")</f>
        <v/>
      </c>
      <c r="R1521" t="str">
        <f>IF(Sales[[#This Row],[Current Upsell $]]&gt;0,_xlfn.CONCAT(Sales[[#This Row],[Subscription Type]]," ",Sales[[#This Row],[Upsell Priority]]," ",TEXT(Sales[[#This Row],[Current Upsell $]],"$#,#")),"")</f>
        <v/>
      </c>
    </row>
    <row r="1522" spans="1:18" x14ac:dyDescent="0.25">
      <c r="A1522">
        <v>100155</v>
      </c>
      <c r="B1522" t="s">
        <v>2</v>
      </c>
      <c r="C1522">
        <v>12</v>
      </c>
      <c r="D1522" s="1">
        <v>44501</v>
      </c>
      <c r="E1522" s="1">
        <v>44865</v>
      </c>
      <c r="F1522">
        <v>50</v>
      </c>
      <c r="G1522">
        <v>21</v>
      </c>
      <c r="H1522" s="1">
        <v>44105</v>
      </c>
      <c r="I1522" s="1">
        <v>44378</v>
      </c>
      <c r="J1522">
        <v>9</v>
      </c>
      <c r="K1522">
        <v>0</v>
      </c>
      <c r="L1522" s="1">
        <v>44348</v>
      </c>
      <c r="M1522">
        <v>1500</v>
      </c>
      <c r="N1522" s="8" cm="1">
        <f t="array" ref="N1522">_xlfn.SWITCH(Sales[[#This Row],[Subscription Type]],"Basic",10,"Premium",10,"Business",25,"Enterprise",27)</f>
        <v>27</v>
      </c>
      <c r="O1522">
        <f>IF(Sales[[#This Row],[Number of Users]]-Sales[[#This Row],[Licenses Bought]]&lt;0,0,Sales[[#This Row],[Number of Users]]-Sales[[#This Row],[Licenses Bought]])</f>
        <v>0</v>
      </c>
      <c r="P1522" s="8">
        <f>IF(Sales[[#This Row],[Sales Month]]=MAX(Sales[Sales Month]),Sales[[#This Row],[Non-Paying Users]]*Sales[[#This Row],[Upsell $ per Non-Paying User]],0)</f>
        <v>0</v>
      </c>
      <c r="Q1522" t="str" cm="1">
        <f t="array" ref="Q1522">_xlfn.IFS(Sales[[#This Row],[Current Upsell $]]=0,"",Sales[[#This Row],[Current Upsell $]]&gt;=400,"High",Sales[[#This Row],[Current Upsell $]]&gt;=100,"Medium",Sales[[#This Row],[Current Upsell $]]&lt;100,"Low")</f>
        <v/>
      </c>
      <c r="R1522" t="str">
        <f>IF(Sales[[#This Row],[Current Upsell $]]&gt;0,_xlfn.CONCAT(Sales[[#This Row],[Subscription Type]]," ",Sales[[#This Row],[Upsell Priority]]," ",TEXT(Sales[[#This Row],[Current Upsell $]],"$#,#")),"")</f>
        <v/>
      </c>
    </row>
    <row r="1523" spans="1:18" x14ac:dyDescent="0.25">
      <c r="A1523">
        <v>100156</v>
      </c>
      <c r="B1523" t="s">
        <v>3</v>
      </c>
      <c r="F1523">
        <v>0</v>
      </c>
      <c r="G1523">
        <v>4</v>
      </c>
      <c r="H1523" s="1">
        <v>44105</v>
      </c>
      <c r="I1523" s="1">
        <v>44317</v>
      </c>
      <c r="J1523">
        <v>7</v>
      </c>
      <c r="K1523">
        <v>1</v>
      </c>
      <c r="L1523" s="1">
        <v>44105</v>
      </c>
      <c r="M1523">
        <v>0</v>
      </c>
      <c r="N1523" s="8" cm="1">
        <f t="array" ref="N1523">_xlfn.SWITCH(Sales[[#This Row],[Subscription Type]],"Basic",10,"Premium",10,"Business",25,"Enterprise",27)</f>
        <v>10</v>
      </c>
      <c r="O1523">
        <f>IF(Sales[[#This Row],[Number of Users]]-Sales[[#This Row],[Licenses Bought]]&lt;0,0,Sales[[#This Row],[Number of Users]]-Sales[[#This Row],[Licenses Bought]])</f>
        <v>4</v>
      </c>
      <c r="P1523" s="8">
        <f>IF(Sales[[#This Row],[Sales Month]]=MAX(Sales[Sales Month]),Sales[[#This Row],[Non-Paying Users]]*Sales[[#This Row],[Upsell $ per Non-Paying User]],0)</f>
        <v>0</v>
      </c>
      <c r="Q1523" t="str" cm="1">
        <f t="array" ref="Q1523">_xlfn.IFS(Sales[[#This Row],[Current Upsell $]]=0,"",Sales[[#This Row],[Current Upsell $]]&gt;=400,"High",Sales[[#This Row],[Current Upsell $]]&gt;=100,"Medium",Sales[[#This Row],[Current Upsell $]]&lt;100,"Low")</f>
        <v/>
      </c>
      <c r="R1523" t="str">
        <f>IF(Sales[[#This Row],[Current Upsell $]]&gt;0,_xlfn.CONCAT(Sales[[#This Row],[Subscription Type]]," ",Sales[[#This Row],[Upsell Priority]]," ",TEXT(Sales[[#This Row],[Current Upsell $]],"$#,#")),"")</f>
        <v/>
      </c>
    </row>
    <row r="1524" spans="1:18" x14ac:dyDescent="0.25">
      <c r="A1524">
        <v>100156</v>
      </c>
      <c r="B1524" t="s">
        <v>3</v>
      </c>
      <c r="F1524">
        <v>0</v>
      </c>
      <c r="G1524">
        <v>4</v>
      </c>
      <c r="H1524" s="1">
        <v>44105</v>
      </c>
      <c r="I1524" s="1">
        <v>44317</v>
      </c>
      <c r="J1524">
        <v>7</v>
      </c>
      <c r="K1524">
        <v>1</v>
      </c>
      <c r="L1524" s="1">
        <v>44136</v>
      </c>
      <c r="M1524">
        <v>0</v>
      </c>
      <c r="N1524" s="8" cm="1">
        <f t="array" ref="N1524">_xlfn.SWITCH(Sales[[#This Row],[Subscription Type]],"Basic",10,"Premium",10,"Business",25,"Enterprise",27)</f>
        <v>10</v>
      </c>
      <c r="O1524">
        <f>IF(Sales[[#This Row],[Number of Users]]-Sales[[#This Row],[Licenses Bought]]&lt;0,0,Sales[[#This Row],[Number of Users]]-Sales[[#This Row],[Licenses Bought]])</f>
        <v>4</v>
      </c>
      <c r="P1524" s="8">
        <f>IF(Sales[[#This Row],[Sales Month]]=MAX(Sales[Sales Month]),Sales[[#This Row],[Non-Paying Users]]*Sales[[#This Row],[Upsell $ per Non-Paying User]],0)</f>
        <v>0</v>
      </c>
      <c r="Q1524" t="str" cm="1">
        <f t="array" ref="Q1524">_xlfn.IFS(Sales[[#This Row],[Current Upsell $]]=0,"",Sales[[#This Row],[Current Upsell $]]&gt;=400,"High",Sales[[#This Row],[Current Upsell $]]&gt;=100,"Medium",Sales[[#This Row],[Current Upsell $]]&lt;100,"Low")</f>
        <v/>
      </c>
      <c r="R1524" t="str">
        <f>IF(Sales[[#This Row],[Current Upsell $]]&gt;0,_xlfn.CONCAT(Sales[[#This Row],[Subscription Type]]," ",Sales[[#This Row],[Upsell Priority]]," ",TEXT(Sales[[#This Row],[Current Upsell $]],"$#,#")),"")</f>
        <v/>
      </c>
    </row>
    <row r="1525" spans="1:18" x14ac:dyDescent="0.25">
      <c r="A1525">
        <v>100156</v>
      </c>
      <c r="B1525" t="s">
        <v>3</v>
      </c>
      <c r="F1525">
        <v>0</v>
      </c>
      <c r="G1525">
        <v>5</v>
      </c>
      <c r="H1525" s="1">
        <v>44105</v>
      </c>
      <c r="I1525" s="1">
        <v>44317</v>
      </c>
      <c r="J1525">
        <v>7</v>
      </c>
      <c r="K1525">
        <v>1</v>
      </c>
      <c r="L1525" s="1">
        <v>44166</v>
      </c>
      <c r="M1525">
        <v>0</v>
      </c>
      <c r="N1525" s="8" cm="1">
        <f t="array" ref="N1525">_xlfn.SWITCH(Sales[[#This Row],[Subscription Type]],"Basic",10,"Premium",10,"Business",25,"Enterprise",27)</f>
        <v>10</v>
      </c>
      <c r="O1525">
        <f>IF(Sales[[#This Row],[Number of Users]]-Sales[[#This Row],[Licenses Bought]]&lt;0,0,Sales[[#This Row],[Number of Users]]-Sales[[#This Row],[Licenses Bought]])</f>
        <v>5</v>
      </c>
      <c r="P1525" s="8">
        <f>IF(Sales[[#This Row],[Sales Month]]=MAX(Sales[Sales Month]),Sales[[#This Row],[Non-Paying Users]]*Sales[[#This Row],[Upsell $ per Non-Paying User]],0)</f>
        <v>0</v>
      </c>
      <c r="Q1525" t="str" cm="1">
        <f t="array" ref="Q1525">_xlfn.IFS(Sales[[#This Row],[Current Upsell $]]=0,"",Sales[[#This Row],[Current Upsell $]]&gt;=400,"High",Sales[[#This Row],[Current Upsell $]]&gt;=100,"Medium",Sales[[#This Row],[Current Upsell $]]&lt;100,"Low")</f>
        <v/>
      </c>
      <c r="R1525" t="str">
        <f>IF(Sales[[#This Row],[Current Upsell $]]&gt;0,_xlfn.CONCAT(Sales[[#This Row],[Subscription Type]]," ",Sales[[#This Row],[Upsell Priority]]," ",TEXT(Sales[[#This Row],[Current Upsell $]],"$#,#")),"")</f>
        <v/>
      </c>
    </row>
    <row r="1526" spans="1:18" x14ac:dyDescent="0.25">
      <c r="A1526">
        <v>100156</v>
      </c>
      <c r="B1526" t="s">
        <v>3</v>
      </c>
      <c r="F1526">
        <v>0</v>
      </c>
      <c r="G1526">
        <v>5</v>
      </c>
      <c r="H1526" s="1">
        <v>44105</v>
      </c>
      <c r="I1526" s="1">
        <v>44317</v>
      </c>
      <c r="J1526">
        <v>7</v>
      </c>
      <c r="K1526">
        <v>1</v>
      </c>
      <c r="L1526" s="1">
        <v>44197</v>
      </c>
      <c r="M1526">
        <v>0</v>
      </c>
      <c r="N1526" s="8" cm="1">
        <f t="array" ref="N1526">_xlfn.SWITCH(Sales[[#This Row],[Subscription Type]],"Basic",10,"Premium",10,"Business",25,"Enterprise",27)</f>
        <v>10</v>
      </c>
      <c r="O1526">
        <f>IF(Sales[[#This Row],[Number of Users]]-Sales[[#This Row],[Licenses Bought]]&lt;0,0,Sales[[#This Row],[Number of Users]]-Sales[[#This Row],[Licenses Bought]])</f>
        <v>5</v>
      </c>
      <c r="P1526" s="8">
        <f>IF(Sales[[#This Row],[Sales Month]]=MAX(Sales[Sales Month]),Sales[[#This Row],[Non-Paying Users]]*Sales[[#This Row],[Upsell $ per Non-Paying User]],0)</f>
        <v>0</v>
      </c>
      <c r="Q1526" t="str" cm="1">
        <f t="array" ref="Q1526">_xlfn.IFS(Sales[[#This Row],[Current Upsell $]]=0,"",Sales[[#This Row],[Current Upsell $]]&gt;=400,"High",Sales[[#This Row],[Current Upsell $]]&gt;=100,"Medium",Sales[[#This Row],[Current Upsell $]]&lt;100,"Low")</f>
        <v/>
      </c>
      <c r="R1526" t="str">
        <f>IF(Sales[[#This Row],[Current Upsell $]]&gt;0,_xlfn.CONCAT(Sales[[#This Row],[Subscription Type]]," ",Sales[[#This Row],[Upsell Priority]]," ",TEXT(Sales[[#This Row],[Current Upsell $]],"$#,#")),"")</f>
        <v/>
      </c>
    </row>
    <row r="1527" spans="1:18" x14ac:dyDescent="0.25">
      <c r="A1527">
        <v>100156</v>
      </c>
      <c r="B1527" t="s">
        <v>3</v>
      </c>
      <c r="F1527">
        <v>0</v>
      </c>
      <c r="G1527">
        <v>4</v>
      </c>
      <c r="H1527" s="1">
        <v>44105</v>
      </c>
      <c r="I1527" s="1">
        <v>44317</v>
      </c>
      <c r="J1527">
        <v>7</v>
      </c>
      <c r="K1527">
        <v>1</v>
      </c>
      <c r="L1527" s="1">
        <v>44228</v>
      </c>
      <c r="M1527">
        <v>0</v>
      </c>
      <c r="N1527" s="8" cm="1">
        <f t="array" ref="N1527">_xlfn.SWITCH(Sales[[#This Row],[Subscription Type]],"Basic",10,"Premium",10,"Business",25,"Enterprise",27)</f>
        <v>10</v>
      </c>
      <c r="O1527">
        <f>IF(Sales[[#This Row],[Number of Users]]-Sales[[#This Row],[Licenses Bought]]&lt;0,0,Sales[[#This Row],[Number of Users]]-Sales[[#This Row],[Licenses Bought]])</f>
        <v>4</v>
      </c>
      <c r="P1527" s="8">
        <f>IF(Sales[[#This Row],[Sales Month]]=MAX(Sales[Sales Month]),Sales[[#This Row],[Non-Paying Users]]*Sales[[#This Row],[Upsell $ per Non-Paying User]],0)</f>
        <v>0</v>
      </c>
      <c r="Q1527" t="str" cm="1">
        <f t="array" ref="Q1527">_xlfn.IFS(Sales[[#This Row],[Current Upsell $]]=0,"",Sales[[#This Row],[Current Upsell $]]&gt;=400,"High",Sales[[#This Row],[Current Upsell $]]&gt;=100,"Medium",Sales[[#This Row],[Current Upsell $]]&lt;100,"Low")</f>
        <v/>
      </c>
      <c r="R1527" t="str">
        <f>IF(Sales[[#This Row],[Current Upsell $]]&gt;0,_xlfn.CONCAT(Sales[[#This Row],[Subscription Type]]," ",Sales[[#This Row],[Upsell Priority]]," ",TEXT(Sales[[#This Row],[Current Upsell $]],"$#,#")),"")</f>
        <v/>
      </c>
    </row>
    <row r="1528" spans="1:18" x14ac:dyDescent="0.25">
      <c r="A1528">
        <v>100156</v>
      </c>
      <c r="B1528" t="s">
        <v>3</v>
      </c>
      <c r="F1528">
        <v>0</v>
      </c>
      <c r="G1528">
        <v>4</v>
      </c>
      <c r="H1528" s="1">
        <v>44105</v>
      </c>
      <c r="I1528" s="1">
        <v>44317</v>
      </c>
      <c r="J1528">
        <v>7</v>
      </c>
      <c r="K1528">
        <v>1</v>
      </c>
      <c r="L1528" s="1">
        <v>44256</v>
      </c>
      <c r="M1528">
        <v>0</v>
      </c>
      <c r="N1528" s="8" cm="1">
        <f t="array" ref="N1528">_xlfn.SWITCH(Sales[[#This Row],[Subscription Type]],"Basic",10,"Premium",10,"Business",25,"Enterprise",27)</f>
        <v>10</v>
      </c>
      <c r="O1528">
        <f>IF(Sales[[#This Row],[Number of Users]]-Sales[[#This Row],[Licenses Bought]]&lt;0,0,Sales[[#This Row],[Number of Users]]-Sales[[#This Row],[Licenses Bought]])</f>
        <v>4</v>
      </c>
      <c r="P1528" s="8">
        <f>IF(Sales[[#This Row],[Sales Month]]=MAX(Sales[Sales Month]),Sales[[#This Row],[Non-Paying Users]]*Sales[[#This Row],[Upsell $ per Non-Paying User]],0)</f>
        <v>0</v>
      </c>
      <c r="Q1528" t="str" cm="1">
        <f t="array" ref="Q1528">_xlfn.IFS(Sales[[#This Row],[Current Upsell $]]=0,"",Sales[[#This Row],[Current Upsell $]]&gt;=400,"High",Sales[[#This Row],[Current Upsell $]]&gt;=100,"Medium",Sales[[#This Row],[Current Upsell $]]&lt;100,"Low")</f>
        <v/>
      </c>
      <c r="R1528" t="str">
        <f>IF(Sales[[#This Row],[Current Upsell $]]&gt;0,_xlfn.CONCAT(Sales[[#This Row],[Subscription Type]]," ",Sales[[#This Row],[Upsell Priority]]," ",TEXT(Sales[[#This Row],[Current Upsell $]],"$#,#")),"")</f>
        <v/>
      </c>
    </row>
    <row r="1529" spans="1:18" x14ac:dyDescent="0.25">
      <c r="A1529">
        <v>100156</v>
      </c>
      <c r="B1529" t="s">
        <v>3</v>
      </c>
      <c r="F1529">
        <v>0</v>
      </c>
      <c r="G1529">
        <v>4</v>
      </c>
      <c r="H1529" s="1">
        <v>44105</v>
      </c>
      <c r="I1529" s="1">
        <v>44317</v>
      </c>
      <c r="J1529">
        <v>7</v>
      </c>
      <c r="K1529">
        <v>1</v>
      </c>
      <c r="L1529" s="1">
        <v>44287</v>
      </c>
      <c r="M1529">
        <v>0</v>
      </c>
      <c r="N1529" s="8" cm="1">
        <f t="array" ref="N1529">_xlfn.SWITCH(Sales[[#This Row],[Subscription Type]],"Basic",10,"Premium",10,"Business",25,"Enterprise",27)</f>
        <v>10</v>
      </c>
      <c r="O1529">
        <f>IF(Sales[[#This Row],[Number of Users]]-Sales[[#This Row],[Licenses Bought]]&lt;0,0,Sales[[#This Row],[Number of Users]]-Sales[[#This Row],[Licenses Bought]])</f>
        <v>4</v>
      </c>
      <c r="P1529" s="8">
        <f>IF(Sales[[#This Row],[Sales Month]]=MAX(Sales[Sales Month]),Sales[[#This Row],[Non-Paying Users]]*Sales[[#This Row],[Upsell $ per Non-Paying User]],0)</f>
        <v>0</v>
      </c>
      <c r="Q1529" t="str" cm="1">
        <f t="array" ref="Q1529">_xlfn.IFS(Sales[[#This Row],[Current Upsell $]]=0,"",Sales[[#This Row],[Current Upsell $]]&gt;=400,"High",Sales[[#This Row],[Current Upsell $]]&gt;=100,"Medium",Sales[[#This Row],[Current Upsell $]]&lt;100,"Low")</f>
        <v/>
      </c>
      <c r="R1529" t="str">
        <f>IF(Sales[[#This Row],[Current Upsell $]]&gt;0,_xlfn.CONCAT(Sales[[#This Row],[Subscription Type]]," ",Sales[[#This Row],[Upsell Priority]]," ",TEXT(Sales[[#This Row],[Current Upsell $]],"$#,#")),"")</f>
        <v/>
      </c>
    </row>
    <row r="1530" spans="1:18" x14ac:dyDescent="0.25">
      <c r="A1530">
        <v>100156</v>
      </c>
      <c r="B1530" t="s">
        <v>3</v>
      </c>
      <c r="F1530">
        <v>0</v>
      </c>
      <c r="G1530">
        <v>4</v>
      </c>
      <c r="H1530" s="1">
        <v>44105</v>
      </c>
      <c r="I1530" s="1">
        <v>44317</v>
      </c>
      <c r="J1530">
        <v>7</v>
      </c>
      <c r="K1530">
        <v>1</v>
      </c>
      <c r="L1530" s="1">
        <v>44317</v>
      </c>
      <c r="M1530">
        <v>0</v>
      </c>
      <c r="N1530" s="8" cm="1">
        <f t="array" ref="N1530">_xlfn.SWITCH(Sales[[#This Row],[Subscription Type]],"Basic",10,"Premium",10,"Business",25,"Enterprise",27)</f>
        <v>10</v>
      </c>
      <c r="O1530">
        <f>IF(Sales[[#This Row],[Number of Users]]-Sales[[#This Row],[Licenses Bought]]&lt;0,0,Sales[[#This Row],[Number of Users]]-Sales[[#This Row],[Licenses Bought]])</f>
        <v>4</v>
      </c>
      <c r="P1530" s="8">
        <f>IF(Sales[[#This Row],[Sales Month]]=MAX(Sales[Sales Month]),Sales[[#This Row],[Non-Paying Users]]*Sales[[#This Row],[Upsell $ per Non-Paying User]],0)</f>
        <v>0</v>
      </c>
      <c r="Q1530" t="str" cm="1">
        <f t="array" ref="Q1530">_xlfn.IFS(Sales[[#This Row],[Current Upsell $]]=0,"",Sales[[#This Row],[Current Upsell $]]&gt;=400,"High",Sales[[#This Row],[Current Upsell $]]&gt;=100,"Medium",Sales[[#This Row],[Current Upsell $]]&lt;100,"Low")</f>
        <v/>
      </c>
      <c r="R1530" t="str">
        <f>IF(Sales[[#This Row],[Current Upsell $]]&gt;0,_xlfn.CONCAT(Sales[[#This Row],[Subscription Type]]," ",Sales[[#This Row],[Upsell Priority]]," ",TEXT(Sales[[#This Row],[Current Upsell $]],"$#,#")),"")</f>
        <v/>
      </c>
    </row>
    <row r="1531" spans="1:18" x14ac:dyDescent="0.25">
      <c r="A1531">
        <v>100157</v>
      </c>
      <c r="B1531" t="s">
        <v>3</v>
      </c>
      <c r="F1531">
        <v>0</v>
      </c>
      <c r="G1531">
        <v>1</v>
      </c>
      <c r="H1531" s="1">
        <v>44105</v>
      </c>
      <c r="I1531" s="1">
        <v>44378</v>
      </c>
      <c r="J1531">
        <v>9</v>
      </c>
      <c r="K1531">
        <v>0</v>
      </c>
      <c r="L1531" s="1">
        <v>44105</v>
      </c>
      <c r="M1531">
        <v>0</v>
      </c>
      <c r="N1531" s="8" cm="1">
        <f t="array" ref="N1531">_xlfn.SWITCH(Sales[[#This Row],[Subscription Type]],"Basic",10,"Premium",10,"Business",25,"Enterprise",27)</f>
        <v>10</v>
      </c>
      <c r="O1531">
        <f>IF(Sales[[#This Row],[Number of Users]]-Sales[[#This Row],[Licenses Bought]]&lt;0,0,Sales[[#This Row],[Number of Users]]-Sales[[#This Row],[Licenses Bought]])</f>
        <v>1</v>
      </c>
      <c r="P1531" s="8">
        <f>IF(Sales[[#This Row],[Sales Month]]=MAX(Sales[Sales Month]),Sales[[#This Row],[Non-Paying Users]]*Sales[[#This Row],[Upsell $ per Non-Paying User]],0)</f>
        <v>0</v>
      </c>
      <c r="Q1531" t="str" cm="1">
        <f t="array" ref="Q1531">_xlfn.IFS(Sales[[#This Row],[Current Upsell $]]=0,"",Sales[[#This Row],[Current Upsell $]]&gt;=400,"High",Sales[[#This Row],[Current Upsell $]]&gt;=100,"Medium",Sales[[#This Row],[Current Upsell $]]&lt;100,"Low")</f>
        <v/>
      </c>
      <c r="R1531" t="str">
        <f>IF(Sales[[#This Row],[Current Upsell $]]&gt;0,_xlfn.CONCAT(Sales[[#This Row],[Subscription Type]]," ",Sales[[#This Row],[Upsell Priority]]," ",TEXT(Sales[[#This Row],[Current Upsell $]],"$#,#")),"")</f>
        <v/>
      </c>
    </row>
    <row r="1532" spans="1:18" x14ac:dyDescent="0.25">
      <c r="A1532">
        <v>100157</v>
      </c>
      <c r="B1532" t="s">
        <v>3</v>
      </c>
      <c r="F1532">
        <v>0</v>
      </c>
      <c r="G1532">
        <v>2</v>
      </c>
      <c r="H1532" s="1">
        <v>44105</v>
      </c>
      <c r="I1532" s="1">
        <v>44378</v>
      </c>
      <c r="J1532">
        <v>9</v>
      </c>
      <c r="K1532">
        <v>0</v>
      </c>
      <c r="L1532" s="1">
        <v>44136</v>
      </c>
      <c r="M1532">
        <v>0</v>
      </c>
      <c r="N1532" s="8" cm="1">
        <f t="array" ref="N1532">_xlfn.SWITCH(Sales[[#This Row],[Subscription Type]],"Basic",10,"Premium",10,"Business",25,"Enterprise",27)</f>
        <v>10</v>
      </c>
      <c r="O1532">
        <f>IF(Sales[[#This Row],[Number of Users]]-Sales[[#This Row],[Licenses Bought]]&lt;0,0,Sales[[#This Row],[Number of Users]]-Sales[[#This Row],[Licenses Bought]])</f>
        <v>2</v>
      </c>
      <c r="P1532" s="8">
        <f>IF(Sales[[#This Row],[Sales Month]]=MAX(Sales[Sales Month]),Sales[[#This Row],[Non-Paying Users]]*Sales[[#This Row],[Upsell $ per Non-Paying User]],0)</f>
        <v>0</v>
      </c>
      <c r="Q1532" t="str" cm="1">
        <f t="array" ref="Q1532">_xlfn.IFS(Sales[[#This Row],[Current Upsell $]]=0,"",Sales[[#This Row],[Current Upsell $]]&gt;=400,"High",Sales[[#This Row],[Current Upsell $]]&gt;=100,"Medium",Sales[[#This Row],[Current Upsell $]]&lt;100,"Low")</f>
        <v/>
      </c>
      <c r="R1532" t="str">
        <f>IF(Sales[[#This Row],[Current Upsell $]]&gt;0,_xlfn.CONCAT(Sales[[#This Row],[Subscription Type]]," ",Sales[[#This Row],[Upsell Priority]]," ",TEXT(Sales[[#This Row],[Current Upsell $]],"$#,#")),"")</f>
        <v/>
      </c>
    </row>
    <row r="1533" spans="1:18" x14ac:dyDescent="0.25">
      <c r="A1533">
        <v>100157</v>
      </c>
      <c r="B1533" t="s">
        <v>3</v>
      </c>
      <c r="F1533">
        <v>0</v>
      </c>
      <c r="G1533">
        <v>2</v>
      </c>
      <c r="H1533" s="1">
        <v>44105</v>
      </c>
      <c r="I1533" s="1">
        <v>44378</v>
      </c>
      <c r="J1533">
        <v>9</v>
      </c>
      <c r="K1533">
        <v>0</v>
      </c>
      <c r="L1533" s="1">
        <v>44166</v>
      </c>
      <c r="M1533">
        <v>0</v>
      </c>
      <c r="N1533" s="8" cm="1">
        <f t="array" ref="N1533">_xlfn.SWITCH(Sales[[#This Row],[Subscription Type]],"Basic",10,"Premium",10,"Business",25,"Enterprise",27)</f>
        <v>10</v>
      </c>
      <c r="O1533">
        <f>IF(Sales[[#This Row],[Number of Users]]-Sales[[#This Row],[Licenses Bought]]&lt;0,0,Sales[[#This Row],[Number of Users]]-Sales[[#This Row],[Licenses Bought]])</f>
        <v>2</v>
      </c>
      <c r="P1533" s="8">
        <f>IF(Sales[[#This Row],[Sales Month]]=MAX(Sales[Sales Month]),Sales[[#This Row],[Non-Paying Users]]*Sales[[#This Row],[Upsell $ per Non-Paying User]],0)</f>
        <v>0</v>
      </c>
      <c r="Q1533" t="str" cm="1">
        <f t="array" ref="Q1533">_xlfn.IFS(Sales[[#This Row],[Current Upsell $]]=0,"",Sales[[#This Row],[Current Upsell $]]&gt;=400,"High",Sales[[#This Row],[Current Upsell $]]&gt;=100,"Medium",Sales[[#This Row],[Current Upsell $]]&lt;100,"Low")</f>
        <v/>
      </c>
      <c r="R1533" t="str">
        <f>IF(Sales[[#This Row],[Current Upsell $]]&gt;0,_xlfn.CONCAT(Sales[[#This Row],[Subscription Type]]," ",Sales[[#This Row],[Upsell Priority]]," ",TEXT(Sales[[#This Row],[Current Upsell $]],"$#,#")),"")</f>
        <v/>
      </c>
    </row>
    <row r="1534" spans="1:18" x14ac:dyDescent="0.25">
      <c r="A1534">
        <v>100157</v>
      </c>
      <c r="B1534" t="s">
        <v>3</v>
      </c>
      <c r="F1534">
        <v>0</v>
      </c>
      <c r="G1534">
        <v>2</v>
      </c>
      <c r="H1534" s="1">
        <v>44105</v>
      </c>
      <c r="I1534" s="1">
        <v>44378</v>
      </c>
      <c r="J1534">
        <v>9</v>
      </c>
      <c r="K1534">
        <v>0</v>
      </c>
      <c r="L1534" s="1">
        <v>44197</v>
      </c>
      <c r="M1534">
        <v>0</v>
      </c>
      <c r="N1534" s="8" cm="1">
        <f t="array" ref="N1534">_xlfn.SWITCH(Sales[[#This Row],[Subscription Type]],"Basic",10,"Premium",10,"Business",25,"Enterprise",27)</f>
        <v>10</v>
      </c>
      <c r="O1534">
        <f>IF(Sales[[#This Row],[Number of Users]]-Sales[[#This Row],[Licenses Bought]]&lt;0,0,Sales[[#This Row],[Number of Users]]-Sales[[#This Row],[Licenses Bought]])</f>
        <v>2</v>
      </c>
      <c r="P1534" s="8">
        <f>IF(Sales[[#This Row],[Sales Month]]=MAX(Sales[Sales Month]),Sales[[#This Row],[Non-Paying Users]]*Sales[[#This Row],[Upsell $ per Non-Paying User]],0)</f>
        <v>0</v>
      </c>
      <c r="Q1534" t="str" cm="1">
        <f t="array" ref="Q1534">_xlfn.IFS(Sales[[#This Row],[Current Upsell $]]=0,"",Sales[[#This Row],[Current Upsell $]]&gt;=400,"High",Sales[[#This Row],[Current Upsell $]]&gt;=100,"Medium",Sales[[#This Row],[Current Upsell $]]&lt;100,"Low")</f>
        <v/>
      </c>
      <c r="R1534" t="str">
        <f>IF(Sales[[#This Row],[Current Upsell $]]&gt;0,_xlfn.CONCAT(Sales[[#This Row],[Subscription Type]]," ",Sales[[#This Row],[Upsell Priority]]," ",TEXT(Sales[[#This Row],[Current Upsell $]],"$#,#")),"")</f>
        <v/>
      </c>
    </row>
    <row r="1535" spans="1:18" x14ac:dyDescent="0.25">
      <c r="A1535">
        <v>100157</v>
      </c>
      <c r="B1535" t="s">
        <v>3</v>
      </c>
      <c r="F1535">
        <v>0</v>
      </c>
      <c r="G1535">
        <v>2</v>
      </c>
      <c r="H1535" s="1">
        <v>44105</v>
      </c>
      <c r="I1535" s="1">
        <v>44378</v>
      </c>
      <c r="J1535">
        <v>9</v>
      </c>
      <c r="K1535">
        <v>0</v>
      </c>
      <c r="L1535" s="1">
        <v>44228</v>
      </c>
      <c r="M1535">
        <v>0</v>
      </c>
      <c r="N1535" s="8" cm="1">
        <f t="array" ref="N1535">_xlfn.SWITCH(Sales[[#This Row],[Subscription Type]],"Basic",10,"Premium",10,"Business",25,"Enterprise",27)</f>
        <v>10</v>
      </c>
      <c r="O1535">
        <f>IF(Sales[[#This Row],[Number of Users]]-Sales[[#This Row],[Licenses Bought]]&lt;0,0,Sales[[#This Row],[Number of Users]]-Sales[[#This Row],[Licenses Bought]])</f>
        <v>2</v>
      </c>
      <c r="P1535" s="8">
        <f>IF(Sales[[#This Row],[Sales Month]]=MAX(Sales[Sales Month]),Sales[[#This Row],[Non-Paying Users]]*Sales[[#This Row],[Upsell $ per Non-Paying User]],0)</f>
        <v>0</v>
      </c>
      <c r="Q1535" t="str" cm="1">
        <f t="array" ref="Q1535">_xlfn.IFS(Sales[[#This Row],[Current Upsell $]]=0,"",Sales[[#This Row],[Current Upsell $]]&gt;=400,"High",Sales[[#This Row],[Current Upsell $]]&gt;=100,"Medium",Sales[[#This Row],[Current Upsell $]]&lt;100,"Low")</f>
        <v/>
      </c>
      <c r="R1535" t="str">
        <f>IF(Sales[[#This Row],[Current Upsell $]]&gt;0,_xlfn.CONCAT(Sales[[#This Row],[Subscription Type]]," ",Sales[[#This Row],[Upsell Priority]]," ",TEXT(Sales[[#This Row],[Current Upsell $]],"$#,#")),"")</f>
        <v/>
      </c>
    </row>
    <row r="1536" spans="1:18" x14ac:dyDescent="0.25">
      <c r="A1536">
        <v>100157</v>
      </c>
      <c r="B1536" t="s">
        <v>3</v>
      </c>
      <c r="F1536">
        <v>0</v>
      </c>
      <c r="G1536">
        <v>2</v>
      </c>
      <c r="H1536" s="1">
        <v>44105</v>
      </c>
      <c r="I1536" s="1">
        <v>44378</v>
      </c>
      <c r="J1536">
        <v>9</v>
      </c>
      <c r="K1536">
        <v>0</v>
      </c>
      <c r="L1536" s="1">
        <v>44256</v>
      </c>
      <c r="M1536">
        <v>0</v>
      </c>
      <c r="N1536" s="8" cm="1">
        <f t="array" ref="N1536">_xlfn.SWITCH(Sales[[#This Row],[Subscription Type]],"Basic",10,"Premium",10,"Business",25,"Enterprise",27)</f>
        <v>10</v>
      </c>
      <c r="O1536">
        <f>IF(Sales[[#This Row],[Number of Users]]-Sales[[#This Row],[Licenses Bought]]&lt;0,0,Sales[[#This Row],[Number of Users]]-Sales[[#This Row],[Licenses Bought]])</f>
        <v>2</v>
      </c>
      <c r="P1536" s="8">
        <f>IF(Sales[[#This Row],[Sales Month]]=MAX(Sales[Sales Month]),Sales[[#This Row],[Non-Paying Users]]*Sales[[#This Row],[Upsell $ per Non-Paying User]],0)</f>
        <v>0</v>
      </c>
      <c r="Q1536" t="str" cm="1">
        <f t="array" ref="Q1536">_xlfn.IFS(Sales[[#This Row],[Current Upsell $]]=0,"",Sales[[#This Row],[Current Upsell $]]&gt;=400,"High",Sales[[#This Row],[Current Upsell $]]&gt;=100,"Medium",Sales[[#This Row],[Current Upsell $]]&lt;100,"Low")</f>
        <v/>
      </c>
      <c r="R1536" t="str">
        <f>IF(Sales[[#This Row],[Current Upsell $]]&gt;0,_xlfn.CONCAT(Sales[[#This Row],[Subscription Type]]," ",Sales[[#This Row],[Upsell Priority]]," ",TEXT(Sales[[#This Row],[Current Upsell $]],"$#,#")),"")</f>
        <v/>
      </c>
    </row>
    <row r="1537" spans="1:18" x14ac:dyDescent="0.25">
      <c r="A1537">
        <v>100157</v>
      </c>
      <c r="B1537" t="s">
        <v>3</v>
      </c>
      <c r="F1537">
        <v>0</v>
      </c>
      <c r="G1537">
        <v>2</v>
      </c>
      <c r="H1537" s="1">
        <v>44105</v>
      </c>
      <c r="I1537" s="1">
        <v>44378</v>
      </c>
      <c r="J1537">
        <v>9</v>
      </c>
      <c r="K1537">
        <v>0</v>
      </c>
      <c r="L1537" s="1">
        <v>44287</v>
      </c>
      <c r="M1537">
        <v>0</v>
      </c>
      <c r="N1537" s="8" cm="1">
        <f t="array" ref="N1537">_xlfn.SWITCH(Sales[[#This Row],[Subscription Type]],"Basic",10,"Premium",10,"Business",25,"Enterprise",27)</f>
        <v>10</v>
      </c>
      <c r="O1537">
        <f>IF(Sales[[#This Row],[Number of Users]]-Sales[[#This Row],[Licenses Bought]]&lt;0,0,Sales[[#This Row],[Number of Users]]-Sales[[#This Row],[Licenses Bought]])</f>
        <v>2</v>
      </c>
      <c r="P1537" s="8">
        <f>IF(Sales[[#This Row],[Sales Month]]=MAX(Sales[Sales Month]),Sales[[#This Row],[Non-Paying Users]]*Sales[[#This Row],[Upsell $ per Non-Paying User]],0)</f>
        <v>0</v>
      </c>
      <c r="Q1537" t="str" cm="1">
        <f t="array" ref="Q1537">_xlfn.IFS(Sales[[#This Row],[Current Upsell $]]=0,"",Sales[[#This Row],[Current Upsell $]]&gt;=400,"High",Sales[[#This Row],[Current Upsell $]]&gt;=100,"Medium",Sales[[#This Row],[Current Upsell $]]&lt;100,"Low")</f>
        <v/>
      </c>
      <c r="R1537" t="str">
        <f>IF(Sales[[#This Row],[Current Upsell $]]&gt;0,_xlfn.CONCAT(Sales[[#This Row],[Subscription Type]]," ",Sales[[#This Row],[Upsell Priority]]," ",TEXT(Sales[[#This Row],[Current Upsell $]],"$#,#")),"")</f>
        <v/>
      </c>
    </row>
    <row r="1538" spans="1:18" x14ac:dyDescent="0.25">
      <c r="A1538">
        <v>100157</v>
      </c>
      <c r="B1538" t="s">
        <v>3</v>
      </c>
      <c r="F1538">
        <v>0</v>
      </c>
      <c r="G1538">
        <v>1</v>
      </c>
      <c r="H1538" s="1">
        <v>44105</v>
      </c>
      <c r="I1538" s="1">
        <v>44378</v>
      </c>
      <c r="J1538">
        <v>9</v>
      </c>
      <c r="K1538">
        <v>0</v>
      </c>
      <c r="L1538" s="1">
        <v>44317</v>
      </c>
      <c r="M1538">
        <v>0</v>
      </c>
      <c r="N1538" s="8" cm="1">
        <f t="array" ref="N1538">_xlfn.SWITCH(Sales[[#This Row],[Subscription Type]],"Basic",10,"Premium",10,"Business",25,"Enterprise",27)</f>
        <v>10</v>
      </c>
      <c r="O1538">
        <f>IF(Sales[[#This Row],[Number of Users]]-Sales[[#This Row],[Licenses Bought]]&lt;0,0,Sales[[#This Row],[Number of Users]]-Sales[[#This Row],[Licenses Bought]])</f>
        <v>1</v>
      </c>
      <c r="P1538" s="8">
        <f>IF(Sales[[#This Row],[Sales Month]]=MAX(Sales[Sales Month]),Sales[[#This Row],[Non-Paying Users]]*Sales[[#This Row],[Upsell $ per Non-Paying User]],0)</f>
        <v>0</v>
      </c>
      <c r="Q1538" t="str" cm="1">
        <f t="array" ref="Q1538">_xlfn.IFS(Sales[[#This Row],[Current Upsell $]]=0,"",Sales[[#This Row],[Current Upsell $]]&gt;=400,"High",Sales[[#This Row],[Current Upsell $]]&gt;=100,"Medium",Sales[[#This Row],[Current Upsell $]]&lt;100,"Low")</f>
        <v/>
      </c>
      <c r="R1538" t="str">
        <f>IF(Sales[[#This Row],[Current Upsell $]]&gt;0,_xlfn.CONCAT(Sales[[#This Row],[Subscription Type]]," ",Sales[[#This Row],[Upsell Priority]]," ",TEXT(Sales[[#This Row],[Current Upsell $]],"$#,#")),"")</f>
        <v/>
      </c>
    </row>
    <row r="1539" spans="1:18" x14ac:dyDescent="0.25">
      <c r="A1539">
        <v>100157</v>
      </c>
      <c r="B1539" t="s">
        <v>3</v>
      </c>
      <c r="F1539">
        <v>0</v>
      </c>
      <c r="G1539">
        <v>2</v>
      </c>
      <c r="H1539" s="1">
        <v>44105</v>
      </c>
      <c r="I1539" s="1">
        <v>44378</v>
      </c>
      <c r="J1539">
        <v>9</v>
      </c>
      <c r="K1539">
        <v>0</v>
      </c>
      <c r="L1539" s="1">
        <v>44348</v>
      </c>
      <c r="M1539">
        <v>0</v>
      </c>
      <c r="N1539" s="8" cm="1">
        <f t="array" ref="N1539">_xlfn.SWITCH(Sales[[#This Row],[Subscription Type]],"Basic",10,"Premium",10,"Business",25,"Enterprise",27)</f>
        <v>10</v>
      </c>
      <c r="O1539">
        <f>IF(Sales[[#This Row],[Number of Users]]-Sales[[#This Row],[Licenses Bought]]&lt;0,0,Sales[[#This Row],[Number of Users]]-Sales[[#This Row],[Licenses Bought]])</f>
        <v>2</v>
      </c>
      <c r="P1539" s="8">
        <f>IF(Sales[[#This Row],[Sales Month]]=MAX(Sales[Sales Month]),Sales[[#This Row],[Non-Paying Users]]*Sales[[#This Row],[Upsell $ per Non-Paying User]],0)</f>
        <v>20</v>
      </c>
      <c r="Q1539" t="str" cm="1">
        <f t="array" ref="Q1539">_xlfn.IFS(Sales[[#This Row],[Current Upsell $]]=0,"",Sales[[#This Row],[Current Upsell $]]&gt;=400,"High",Sales[[#This Row],[Current Upsell $]]&gt;=100,"Medium",Sales[[#This Row],[Current Upsell $]]&lt;100,"Low")</f>
        <v>Low</v>
      </c>
      <c r="R1539" t="str">
        <f>IF(Sales[[#This Row],[Current Upsell $]]&gt;0,_xlfn.CONCAT(Sales[[#This Row],[Subscription Type]]," ",Sales[[#This Row],[Upsell Priority]]," ",TEXT(Sales[[#This Row],[Current Upsell $]],"$#,#")),"")</f>
        <v>Basic Low $20</v>
      </c>
    </row>
    <row r="1540" spans="1:18" x14ac:dyDescent="0.25">
      <c r="A1540">
        <v>100158</v>
      </c>
      <c r="B1540" t="s">
        <v>3</v>
      </c>
      <c r="F1540">
        <v>0</v>
      </c>
      <c r="G1540">
        <v>2</v>
      </c>
      <c r="H1540" s="1">
        <v>44105</v>
      </c>
      <c r="I1540" s="1">
        <v>44348</v>
      </c>
      <c r="J1540">
        <v>8</v>
      </c>
      <c r="K1540">
        <v>0</v>
      </c>
      <c r="L1540" s="1">
        <v>44105</v>
      </c>
      <c r="M1540">
        <v>0</v>
      </c>
      <c r="N1540" s="8" cm="1">
        <f t="array" ref="N1540">_xlfn.SWITCH(Sales[[#This Row],[Subscription Type]],"Basic",10,"Premium",10,"Business",25,"Enterprise",27)</f>
        <v>10</v>
      </c>
      <c r="O1540">
        <f>IF(Sales[[#This Row],[Number of Users]]-Sales[[#This Row],[Licenses Bought]]&lt;0,0,Sales[[#This Row],[Number of Users]]-Sales[[#This Row],[Licenses Bought]])</f>
        <v>2</v>
      </c>
      <c r="P1540" s="8">
        <f>IF(Sales[[#This Row],[Sales Month]]=MAX(Sales[Sales Month]),Sales[[#This Row],[Non-Paying Users]]*Sales[[#This Row],[Upsell $ per Non-Paying User]],0)</f>
        <v>0</v>
      </c>
      <c r="Q1540" t="str" cm="1">
        <f t="array" ref="Q1540">_xlfn.IFS(Sales[[#This Row],[Current Upsell $]]=0,"",Sales[[#This Row],[Current Upsell $]]&gt;=400,"High",Sales[[#This Row],[Current Upsell $]]&gt;=100,"Medium",Sales[[#This Row],[Current Upsell $]]&lt;100,"Low")</f>
        <v/>
      </c>
      <c r="R1540" t="str">
        <f>IF(Sales[[#This Row],[Current Upsell $]]&gt;0,_xlfn.CONCAT(Sales[[#This Row],[Subscription Type]]," ",Sales[[#This Row],[Upsell Priority]]," ",TEXT(Sales[[#This Row],[Current Upsell $]],"$#,#")),"")</f>
        <v/>
      </c>
    </row>
    <row r="1541" spans="1:18" x14ac:dyDescent="0.25">
      <c r="A1541">
        <v>100158</v>
      </c>
      <c r="B1541" t="s">
        <v>3</v>
      </c>
      <c r="F1541">
        <v>0</v>
      </c>
      <c r="G1541">
        <v>2</v>
      </c>
      <c r="H1541" s="1">
        <v>44105</v>
      </c>
      <c r="I1541" s="1">
        <v>44348</v>
      </c>
      <c r="J1541">
        <v>8</v>
      </c>
      <c r="K1541">
        <v>0</v>
      </c>
      <c r="L1541" s="1">
        <v>44136</v>
      </c>
      <c r="M1541">
        <v>0</v>
      </c>
      <c r="N1541" s="8" cm="1">
        <f t="array" ref="N1541">_xlfn.SWITCH(Sales[[#This Row],[Subscription Type]],"Basic",10,"Premium",10,"Business",25,"Enterprise",27)</f>
        <v>10</v>
      </c>
      <c r="O1541">
        <f>IF(Sales[[#This Row],[Number of Users]]-Sales[[#This Row],[Licenses Bought]]&lt;0,0,Sales[[#This Row],[Number of Users]]-Sales[[#This Row],[Licenses Bought]])</f>
        <v>2</v>
      </c>
      <c r="P1541" s="8">
        <f>IF(Sales[[#This Row],[Sales Month]]=MAX(Sales[Sales Month]),Sales[[#This Row],[Non-Paying Users]]*Sales[[#This Row],[Upsell $ per Non-Paying User]],0)</f>
        <v>0</v>
      </c>
      <c r="Q1541" t="str" cm="1">
        <f t="array" ref="Q1541">_xlfn.IFS(Sales[[#This Row],[Current Upsell $]]=0,"",Sales[[#This Row],[Current Upsell $]]&gt;=400,"High",Sales[[#This Row],[Current Upsell $]]&gt;=100,"Medium",Sales[[#This Row],[Current Upsell $]]&lt;100,"Low")</f>
        <v/>
      </c>
      <c r="R1541" t="str">
        <f>IF(Sales[[#This Row],[Current Upsell $]]&gt;0,_xlfn.CONCAT(Sales[[#This Row],[Subscription Type]]," ",Sales[[#This Row],[Upsell Priority]]," ",TEXT(Sales[[#This Row],[Current Upsell $]],"$#,#")),"")</f>
        <v/>
      </c>
    </row>
    <row r="1542" spans="1:18" x14ac:dyDescent="0.25">
      <c r="A1542">
        <v>100158</v>
      </c>
      <c r="B1542" t="s">
        <v>3</v>
      </c>
      <c r="F1542">
        <v>0</v>
      </c>
      <c r="G1542">
        <v>1</v>
      </c>
      <c r="H1542" s="1">
        <v>44105</v>
      </c>
      <c r="I1542" s="1">
        <v>44348</v>
      </c>
      <c r="J1542">
        <v>8</v>
      </c>
      <c r="K1542">
        <v>0</v>
      </c>
      <c r="L1542" s="1">
        <v>44166</v>
      </c>
      <c r="M1542">
        <v>0</v>
      </c>
      <c r="N1542" s="8" cm="1">
        <f t="array" ref="N1542">_xlfn.SWITCH(Sales[[#This Row],[Subscription Type]],"Basic",10,"Premium",10,"Business",25,"Enterprise",27)</f>
        <v>10</v>
      </c>
      <c r="O1542">
        <f>IF(Sales[[#This Row],[Number of Users]]-Sales[[#This Row],[Licenses Bought]]&lt;0,0,Sales[[#This Row],[Number of Users]]-Sales[[#This Row],[Licenses Bought]])</f>
        <v>1</v>
      </c>
      <c r="P1542" s="8">
        <f>IF(Sales[[#This Row],[Sales Month]]=MAX(Sales[Sales Month]),Sales[[#This Row],[Non-Paying Users]]*Sales[[#This Row],[Upsell $ per Non-Paying User]],0)</f>
        <v>0</v>
      </c>
      <c r="Q1542" t="str" cm="1">
        <f t="array" ref="Q1542">_xlfn.IFS(Sales[[#This Row],[Current Upsell $]]=0,"",Sales[[#This Row],[Current Upsell $]]&gt;=400,"High",Sales[[#This Row],[Current Upsell $]]&gt;=100,"Medium",Sales[[#This Row],[Current Upsell $]]&lt;100,"Low")</f>
        <v/>
      </c>
      <c r="R1542" t="str">
        <f>IF(Sales[[#This Row],[Current Upsell $]]&gt;0,_xlfn.CONCAT(Sales[[#This Row],[Subscription Type]]," ",Sales[[#This Row],[Upsell Priority]]," ",TEXT(Sales[[#This Row],[Current Upsell $]],"$#,#")),"")</f>
        <v/>
      </c>
    </row>
    <row r="1543" spans="1:18" x14ac:dyDescent="0.25">
      <c r="A1543">
        <v>100158</v>
      </c>
      <c r="B1543" t="s">
        <v>3</v>
      </c>
      <c r="F1543">
        <v>0</v>
      </c>
      <c r="G1543">
        <v>2</v>
      </c>
      <c r="H1543" s="1">
        <v>44105</v>
      </c>
      <c r="I1543" s="1">
        <v>44348</v>
      </c>
      <c r="J1543">
        <v>8</v>
      </c>
      <c r="K1543">
        <v>0</v>
      </c>
      <c r="L1543" s="1">
        <v>44197</v>
      </c>
      <c r="M1543">
        <v>0</v>
      </c>
      <c r="N1543" s="8" cm="1">
        <f t="array" ref="N1543">_xlfn.SWITCH(Sales[[#This Row],[Subscription Type]],"Basic",10,"Premium",10,"Business",25,"Enterprise",27)</f>
        <v>10</v>
      </c>
      <c r="O1543">
        <f>IF(Sales[[#This Row],[Number of Users]]-Sales[[#This Row],[Licenses Bought]]&lt;0,0,Sales[[#This Row],[Number of Users]]-Sales[[#This Row],[Licenses Bought]])</f>
        <v>2</v>
      </c>
      <c r="P1543" s="8">
        <f>IF(Sales[[#This Row],[Sales Month]]=MAX(Sales[Sales Month]),Sales[[#This Row],[Non-Paying Users]]*Sales[[#This Row],[Upsell $ per Non-Paying User]],0)</f>
        <v>0</v>
      </c>
      <c r="Q1543" t="str" cm="1">
        <f t="array" ref="Q1543">_xlfn.IFS(Sales[[#This Row],[Current Upsell $]]=0,"",Sales[[#This Row],[Current Upsell $]]&gt;=400,"High",Sales[[#This Row],[Current Upsell $]]&gt;=100,"Medium",Sales[[#This Row],[Current Upsell $]]&lt;100,"Low")</f>
        <v/>
      </c>
      <c r="R1543" t="str">
        <f>IF(Sales[[#This Row],[Current Upsell $]]&gt;0,_xlfn.CONCAT(Sales[[#This Row],[Subscription Type]]," ",Sales[[#This Row],[Upsell Priority]]," ",TEXT(Sales[[#This Row],[Current Upsell $]],"$#,#")),"")</f>
        <v/>
      </c>
    </row>
    <row r="1544" spans="1:18" x14ac:dyDescent="0.25">
      <c r="A1544">
        <v>100158</v>
      </c>
      <c r="B1544" t="s">
        <v>3</v>
      </c>
      <c r="F1544">
        <v>0</v>
      </c>
      <c r="G1544">
        <v>2</v>
      </c>
      <c r="H1544" s="1">
        <v>44105</v>
      </c>
      <c r="I1544" s="1">
        <v>44348</v>
      </c>
      <c r="J1544">
        <v>8</v>
      </c>
      <c r="K1544">
        <v>0</v>
      </c>
      <c r="L1544" s="1">
        <v>44228</v>
      </c>
      <c r="M1544">
        <v>0</v>
      </c>
      <c r="N1544" s="8" cm="1">
        <f t="array" ref="N1544">_xlfn.SWITCH(Sales[[#This Row],[Subscription Type]],"Basic",10,"Premium",10,"Business",25,"Enterprise",27)</f>
        <v>10</v>
      </c>
      <c r="O1544">
        <f>IF(Sales[[#This Row],[Number of Users]]-Sales[[#This Row],[Licenses Bought]]&lt;0,0,Sales[[#This Row],[Number of Users]]-Sales[[#This Row],[Licenses Bought]])</f>
        <v>2</v>
      </c>
      <c r="P1544" s="8">
        <f>IF(Sales[[#This Row],[Sales Month]]=MAX(Sales[Sales Month]),Sales[[#This Row],[Non-Paying Users]]*Sales[[#This Row],[Upsell $ per Non-Paying User]],0)</f>
        <v>0</v>
      </c>
      <c r="Q1544" t="str" cm="1">
        <f t="array" ref="Q1544">_xlfn.IFS(Sales[[#This Row],[Current Upsell $]]=0,"",Sales[[#This Row],[Current Upsell $]]&gt;=400,"High",Sales[[#This Row],[Current Upsell $]]&gt;=100,"Medium",Sales[[#This Row],[Current Upsell $]]&lt;100,"Low")</f>
        <v/>
      </c>
      <c r="R1544" t="str">
        <f>IF(Sales[[#This Row],[Current Upsell $]]&gt;0,_xlfn.CONCAT(Sales[[#This Row],[Subscription Type]]," ",Sales[[#This Row],[Upsell Priority]]," ",TEXT(Sales[[#This Row],[Current Upsell $]],"$#,#")),"")</f>
        <v/>
      </c>
    </row>
    <row r="1545" spans="1:18" x14ac:dyDescent="0.25">
      <c r="A1545">
        <v>100158</v>
      </c>
      <c r="B1545" t="s">
        <v>3</v>
      </c>
      <c r="F1545">
        <v>0</v>
      </c>
      <c r="G1545">
        <v>2</v>
      </c>
      <c r="H1545" s="1">
        <v>44105</v>
      </c>
      <c r="I1545" s="1">
        <v>44348</v>
      </c>
      <c r="J1545">
        <v>8</v>
      </c>
      <c r="K1545">
        <v>0</v>
      </c>
      <c r="L1545" s="1">
        <v>44256</v>
      </c>
      <c r="M1545">
        <v>0</v>
      </c>
      <c r="N1545" s="8" cm="1">
        <f t="array" ref="N1545">_xlfn.SWITCH(Sales[[#This Row],[Subscription Type]],"Basic",10,"Premium",10,"Business",25,"Enterprise",27)</f>
        <v>10</v>
      </c>
      <c r="O1545">
        <f>IF(Sales[[#This Row],[Number of Users]]-Sales[[#This Row],[Licenses Bought]]&lt;0,0,Sales[[#This Row],[Number of Users]]-Sales[[#This Row],[Licenses Bought]])</f>
        <v>2</v>
      </c>
      <c r="P1545" s="8">
        <f>IF(Sales[[#This Row],[Sales Month]]=MAX(Sales[Sales Month]),Sales[[#This Row],[Non-Paying Users]]*Sales[[#This Row],[Upsell $ per Non-Paying User]],0)</f>
        <v>0</v>
      </c>
      <c r="Q1545" t="str" cm="1">
        <f t="array" ref="Q1545">_xlfn.IFS(Sales[[#This Row],[Current Upsell $]]=0,"",Sales[[#This Row],[Current Upsell $]]&gt;=400,"High",Sales[[#This Row],[Current Upsell $]]&gt;=100,"Medium",Sales[[#This Row],[Current Upsell $]]&lt;100,"Low")</f>
        <v/>
      </c>
      <c r="R1545" t="str">
        <f>IF(Sales[[#This Row],[Current Upsell $]]&gt;0,_xlfn.CONCAT(Sales[[#This Row],[Subscription Type]]," ",Sales[[#This Row],[Upsell Priority]]," ",TEXT(Sales[[#This Row],[Current Upsell $]],"$#,#")),"")</f>
        <v/>
      </c>
    </row>
    <row r="1546" spans="1:18" x14ac:dyDescent="0.25">
      <c r="A1546">
        <v>100158</v>
      </c>
      <c r="B1546" t="s">
        <v>3</v>
      </c>
      <c r="F1546">
        <v>0</v>
      </c>
      <c r="G1546">
        <v>2</v>
      </c>
      <c r="H1546" s="1">
        <v>44105</v>
      </c>
      <c r="I1546" s="1">
        <v>44348</v>
      </c>
      <c r="J1546">
        <v>8</v>
      </c>
      <c r="K1546">
        <v>0</v>
      </c>
      <c r="L1546" s="1">
        <v>44287</v>
      </c>
      <c r="M1546">
        <v>0</v>
      </c>
      <c r="N1546" s="8" cm="1">
        <f t="array" ref="N1546">_xlfn.SWITCH(Sales[[#This Row],[Subscription Type]],"Basic",10,"Premium",10,"Business",25,"Enterprise",27)</f>
        <v>10</v>
      </c>
      <c r="O1546">
        <f>IF(Sales[[#This Row],[Number of Users]]-Sales[[#This Row],[Licenses Bought]]&lt;0,0,Sales[[#This Row],[Number of Users]]-Sales[[#This Row],[Licenses Bought]])</f>
        <v>2</v>
      </c>
      <c r="P1546" s="8">
        <f>IF(Sales[[#This Row],[Sales Month]]=MAX(Sales[Sales Month]),Sales[[#This Row],[Non-Paying Users]]*Sales[[#This Row],[Upsell $ per Non-Paying User]],0)</f>
        <v>0</v>
      </c>
      <c r="Q1546" t="str" cm="1">
        <f t="array" ref="Q1546">_xlfn.IFS(Sales[[#This Row],[Current Upsell $]]=0,"",Sales[[#This Row],[Current Upsell $]]&gt;=400,"High",Sales[[#This Row],[Current Upsell $]]&gt;=100,"Medium",Sales[[#This Row],[Current Upsell $]]&lt;100,"Low")</f>
        <v/>
      </c>
      <c r="R1546" t="str">
        <f>IF(Sales[[#This Row],[Current Upsell $]]&gt;0,_xlfn.CONCAT(Sales[[#This Row],[Subscription Type]]," ",Sales[[#This Row],[Upsell Priority]]," ",TEXT(Sales[[#This Row],[Current Upsell $]],"$#,#")),"")</f>
        <v/>
      </c>
    </row>
    <row r="1547" spans="1:18" x14ac:dyDescent="0.25">
      <c r="A1547">
        <v>100158</v>
      </c>
      <c r="B1547" t="s">
        <v>3</v>
      </c>
      <c r="F1547">
        <v>0</v>
      </c>
      <c r="G1547">
        <v>2</v>
      </c>
      <c r="H1547" s="1">
        <v>44105</v>
      </c>
      <c r="I1547" s="1">
        <v>44348</v>
      </c>
      <c r="J1547">
        <v>8</v>
      </c>
      <c r="K1547">
        <v>0</v>
      </c>
      <c r="L1547" s="1">
        <v>44317</v>
      </c>
      <c r="M1547">
        <v>0</v>
      </c>
      <c r="N1547" s="8" cm="1">
        <f t="array" ref="N1547">_xlfn.SWITCH(Sales[[#This Row],[Subscription Type]],"Basic",10,"Premium",10,"Business",25,"Enterprise",27)</f>
        <v>10</v>
      </c>
      <c r="O1547">
        <f>IF(Sales[[#This Row],[Number of Users]]-Sales[[#This Row],[Licenses Bought]]&lt;0,0,Sales[[#This Row],[Number of Users]]-Sales[[#This Row],[Licenses Bought]])</f>
        <v>2</v>
      </c>
      <c r="P1547" s="8">
        <f>IF(Sales[[#This Row],[Sales Month]]=MAX(Sales[Sales Month]),Sales[[#This Row],[Non-Paying Users]]*Sales[[#This Row],[Upsell $ per Non-Paying User]],0)</f>
        <v>0</v>
      </c>
      <c r="Q1547" t="str" cm="1">
        <f t="array" ref="Q1547">_xlfn.IFS(Sales[[#This Row],[Current Upsell $]]=0,"",Sales[[#This Row],[Current Upsell $]]&gt;=400,"High",Sales[[#This Row],[Current Upsell $]]&gt;=100,"Medium",Sales[[#This Row],[Current Upsell $]]&lt;100,"Low")</f>
        <v/>
      </c>
      <c r="R1547" t="str">
        <f>IF(Sales[[#This Row],[Current Upsell $]]&gt;0,_xlfn.CONCAT(Sales[[#This Row],[Subscription Type]]," ",Sales[[#This Row],[Upsell Priority]]," ",TEXT(Sales[[#This Row],[Current Upsell $]],"$#,#")),"")</f>
        <v/>
      </c>
    </row>
    <row r="1548" spans="1:18" x14ac:dyDescent="0.25">
      <c r="A1548">
        <v>100158</v>
      </c>
      <c r="B1548" t="s">
        <v>3</v>
      </c>
      <c r="F1548">
        <v>0</v>
      </c>
      <c r="G1548">
        <v>2</v>
      </c>
      <c r="H1548" s="1">
        <v>44105</v>
      </c>
      <c r="I1548" s="1">
        <v>44348</v>
      </c>
      <c r="J1548">
        <v>8</v>
      </c>
      <c r="K1548">
        <v>0</v>
      </c>
      <c r="L1548" s="1">
        <v>44348</v>
      </c>
      <c r="M1548">
        <v>0</v>
      </c>
      <c r="N1548" s="8" cm="1">
        <f t="array" ref="N1548">_xlfn.SWITCH(Sales[[#This Row],[Subscription Type]],"Basic",10,"Premium",10,"Business",25,"Enterprise",27)</f>
        <v>10</v>
      </c>
      <c r="O1548">
        <f>IF(Sales[[#This Row],[Number of Users]]-Sales[[#This Row],[Licenses Bought]]&lt;0,0,Sales[[#This Row],[Number of Users]]-Sales[[#This Row],[Licenses Bought]])</f>
        <v>2</v>
      </c>
      <c r="P1548" s="8">
        <f>IF(Sales[[#This Row],[Sales Month]]=MAX(Sales[Sales Month]),Sales[[#This Row],[Non-Paying Users]]*Sales[[#This Row],[Upsell $ per Non-Paying User]],0)</f>
        <v>20</v>
      </c>
      <c r="Q1548" t="str" cm="1">
        <f t="array" ref="Q1548">_xlfn.IFS(Sales[[#This Row],[Current Upsell $]]=0,"",Sales[[#This Row],[Current Upsell $]]&gt;=400,"High",Sales[[#This Row],[Current Upsell $]]&gt;=100,"Medium",Sales[[#This Row],[Current Upsell $]]&lt;100,"Low")</f>
        <v>Low</v>
      </c>
      <c r="R1548" t="str">
        <f>IF(Sales[[#This Row],[Current Upsell $]]&gt;0,_xlfn.CONCAT(Sales[[#This Row],[Subscription Type]]," ",Sales[[#This Row],[Upsell Priority]]," ",TEXT(Sales[[#This Row],[Current Upsell $]],"$#,#")),"")</f>
        <v>Basic Low $20</v>
      </c>
    </row>
    <row r="1549" spans="1:18" x14ac:dyDescent="0.25">
      <c r="A1549">
        <v>100159</v>
      </c>
      <c r="B1549" t="s">
        <v>3</v>
      </c>
      <c r="F1549">
        <v>0</v>
      </c>
      <c r="G1549">
        <v>2</v>
      </c>
      <c r="H1549" s="1">
        <v>44105</v>
      </c>
      <c r="I1549" s="1">
        <v>44378</v>
      </c>
      <c r="J1549">
        <v>9</v>
      </c>
      <c r="K1549">
        <v>0</v>
      </c>
      <c r="L1549" s="1">
        <v>44105</v>
      </c>
      <c r="M1549">
        <v>0</v>
      </c>
      <c r="N1549" s="8" cm="1">
        <f t="array" ref="N1549">_xlfn.SWITCH(Sales[[#This Row],[Subscription Type]],"Basic",10,"Premium",10,"Business",25,"Enterprise",27)</f>
        <v>10</v>
      </c>
      <c r="O1549">
        <f>IF(Sales[[#This Row],[Number of Users]]-Sales[[#This Row],[Licenses Bought]]&lt;0,0,Sales[[#This Row],[Number of Users]]-Sales[[#This Row],[Licenses Bought]])</f>
        <v>2</v>
      </c>
      <c r="P1549" s="8">
        <f>IF(Sales[[#This Row],[Sales Month]]=MAX(Sales[Sales Month]),Sales[[#This Row],[Non-Paying Users]]*Sales[[#This Row],[Upsell $ per Non-Paying User]],0)</f>
        <v>0</v>
      </c>
      <c r="Q1549" t="str" cm="1">
        <f t="array" ref="Q1549">_xlfn.IFS(Sales[[#This Row],[Current Upsell $]]=0,"",Sales[[#This Row],[Current Upsell $]]&gt;=400,"High",Sales[[#This Row],[Current Upsell $]]&gt;=100,"Medium",Sales[[#This Row],[Current Upsell $]]&lt;100,"Low")</f>
        <v/>
      </c>
      <c r="R1549" t="str">
        <f>IF(Sales[[#This Row],[Current Upsell $]]&gt;0,_xlfn.CONCAT(Sales[[#This Row],[Subscription Type]]," ",Sales[[#This Row],[Upsell Priority]]," ",TEXT(Sales[[#This Row],[Current Upsell $]],"$#,#")),"")</f>
        <v/>
      </c>
    </row>
    <row r="1550" spans="1:18" x14ac:dyDescent="0.25">
      <c r="A1550">
        <v>100159</v>
      </c>
      <c r="B1550" t="s">
        <v>3</v>
      </c>
      <c r="F1550">
        <v>0</v>
      </c>
      <c r="G1550">
        <v>2</v>
      </c>
      <c r="H1550" s="1">
        <v>44105</v>
      </c>
      <c r="I1550" s="1">
        <v>44378</v>
      </c>
      <c r="J1550">
        <v>9</v>
      </c>
      <c r="K1550">
        <v>0</v>
      </c>
      <c r="L1550" s="1">
        <v>44136</v>
      </c>
      <c r="M1550">
        <v>0</v>
      </c>
      <c r="N1550" s="8" cm="1">
        <f t="array" ref="N1550">_xlfn.SWITCH(Sales[[#This Row],[Subscription Type]],"Basic",10,"Premium",10,"Business",25,"Enterprise",27)</f>
        <v>10</v>
      </c>
      <c r="O1550">
        <f>IF(Sales[[#This Row],[Number of Users]]-Sales[[#This Row],[Licenses Bought]]&lt;0,0,Sales[[#This Row],[Number of Users]]-Sales[[#This Row],[Licenses Bought]])</f>
        <v>2</v>
      </c>
      <c r="P1550" s="8">
        <f>IF(Sales[[#This Row],[Sales Month]]=MAX(Sales[Sales Month]),Sales[[#This Row],[Non-Paying Users]]*Sales[[#This Row],[Upsell $ per Non-Paying User]],0)</f>
        <v>0</v>
      </c>
      <c r="Q1550" t="str" cm="1">
        <f t="array" ref="Q1550">_xlfn.IFS(Sales[[#This Row],[Current Upsell $]]=0,"",Sales[[#This Row],[Current Upsell $]]&gt;=400,"High",Sales[[#This Row],[Current Upsell $]]&gt;=100,"Medium",Sales[[#This Row],[Current Upsell $]]&lt;100,"Low")</f>
        <v/>
      </c>
      <c r="R1550" t="str">
        <f>IF(Sales[[#This Row],[Current Upsell $]]&gt;0,_xlfn.CONCAT(Sales[[#This Row],[Subscription Type]]," ",Sales[[#This Row],[Upsell Priority]]," ",TEXT(Sales[[#This Row],[Current Upsell $]],"$#,#")),"")</f>
        <v/>
      </c>
    </row>
    <row r="1551" spans="1:18" x14ac:dyDescent="0.25">
      <c r="A1551">
        <v>100159</v>
      </c>
      <c r="B1551" t="s">
        <v>3</v>
      </c>
      <c r="F1551">
        <v>0</v>
      </c>
      <c r="G1551">
        <v>2</v>
      </c>
      <c r="H1551" s="1">
        <v>44105</v>
      </c>
      <c r="I1551" s="1">
        <v>44378</v>
      </c>
      <c r="J1551">
        <v>9</v>
      </c>
      <c r="K1551">
        <v>0</v>
      </c>
      <c r="L1551" s="1">
        <v>44166</v>
      </c>
      <c r="M1551">
        <v>0</v>
      </c>
      <c r="N1551" s="8" cm="1">
        <f t="array" ref="N1551">_xlfn.SWITCH(Sales[[#This Row],[Subscription Type]],"Basic",10,"Premium",10,"Business",25,"Enterprise",27)</f>
        <v>10</v>
      </c>
      <c r="O1551">
        <f>IF(Sales[[#This Row],[Number of Users]]-Sales[[#This Row],[Licenses Bought]]&lt;0,0,Sales[[#This Row],[Number of Users]]-Sales[[#This Row],[Licenses Bought]])</f>
        <v>2</v>
      </c>
      <c r="P1551" s="8">
        <f>IF(Sales[[#This Row],[Sales Month]]=MAX(Sales[Sales Month]),Sales[[#This Row],[Non-Paying Users]]*Sales[[#This Row],[Upsell $ per Non-Paying User]],0)</f>
        <v>0</v>
      </c>
      <c r="Q1551" t="str" cm="1">
        <f t="array" ref="Q1551">_xlfn.IFS(Sales[[#This Row],[Current Upsell $]]=0,"",Sales[[#This Row],[Current Upsell $]]&gt;=400,"High",Sales[[#This Row],[Current Upsell $]]&gt;=100,"Medium",Sales[[#This Row],[Current Upsell $]]&lt;100,"Low")</f>
        <v/>
      </c>
      <c r="R1551" t="str">
        <f>IF(Sales[[#This Row],[Current Upsell $]]&gt;0,_xlfn.CONCAT(Sales[[#This Row],[Subscription Type]]," ",Sales[[#This Row],[Upsell Priority]]," ",TEXT(Sales[[#This Row],[Current Upsell $]],"$#,#")),"")</f>
        <v/>
      </c>
    </row>
    <row r="1552" spans="1:18" x14ac:dyDescent="0.25">
      <c r="A1552">
        <v>100159</v>
      </c>
      <c r="B1552" t="s">
        <v>3</v>
      </c>
      <c r="F1552">
        <v>0</v>
      </c>
      <c r="G1552">
        <v>2</v>
      </c>
      <c r="H1552" s="1">
        <v>44105</v>
      </c>
      <c r="I1552" s="1">
        <v>44378</v>
      </c>
      <c r="J1552">
        <v>9</v>
      </c>
      <c r="K1552">
        <v>0</v>
      </c>
      <c r="L1552" s="1">
        <v>44197</v>
      </c>
      <c r="M1552">
        <v>0</v>
      </c>
      <c r="N1552" s="8" cm="1">
        <f t="array" ref="N1552">_xlfn.SWITCH(Sales[[#This Row],[Subscription Type]],"Basic",10,"Premium",10,"Business",25,"Enterprise",27)</f>
        <v>10</v>
      </c>
      <c r="O1552">
        <f>IF(Sales[[#This Row],[Number of Users]]-Sales[[#This Row],[Licenses Bought]]&lt;0,0,Sales[[#This Row],[Number of Users]]-Sales[[#This Row],[Licenses Bought]])</f>
        <v>2</v>
      </c>
      <c r="P1552" s="8">
        <f>IF(Sales[[#This Row],[Sales Month]]=MAX(Sales[Sales Month]),Sales[[#This Row],[Non-Paying Users]]*Sales[[#This Row],[Upsell $ per Non-Paying User]],0)</f>
        <v>0</v>
      </c>
      <c r="Q1552" t="str" cm="1">
        <f t="array" ref="Q1552">_xlfn.IFS(Sales[[#This Row],[Current Upsell $]]=0,"",Sales[[#This Row],[Current Upsell $]]&gt;=400,"High",Sales[[#This Row],[Current Upsell $]]&gt;=100,"Medium",Sales[[#This Row],[Current Upsell $]]&lt;100,"Low")</f>
        <v/>
      </c>
      <c r="R1552" t="str">
        <f>IF(Sales[[#This Row],[Current Upsell $]]&gt;0,_xlfn.CONCAT(Sales[[#This Row],[Subscription Type]]," ",Sales[[#This Row],[Upsell Priority]]," ",TEXT(Sales[[#This Row],[Current Upsell $]],"$#,#")),"")</f>
        <v/>
      </c>
    </row>
    <row r="1553" spans="1:18" x14ac:dyDescent="0.25">
      <c r="A1553">
        <v>100159</v>
      </c>
      <c r="B1553" t="s">
        <v>3</v>
      </c>
      <c r="F1553">
        <v>0</v>
      </c>
      <c r="G1553">
        <v>2</v>
      </c>
      <c r="H1553" s="1">
        <v>44105</v>
      </c>
      <c r="I1553" s="1">
        <v>44378</v>
      </c>
      <c r="J1553">
        <v>9</v>
      </c>
      <c r="K1553">
        <v>0</v>
      </c>
      <c r="L1553" s="1">
        <v>44228</v>
      </c>
      <c r="M1553">
        <v>0</v>
      </c>
      <c r="N1553" s="8" cm="1">
        <f t="array" ref="N1553">_xlfn.SWITCH(Sales[[#This Row],[Subscription Type]],"Basic",10,"Premium",10,"Business",25,"Enterprise",27)</f>
        <v>10</v>
      </c>
      <c r="O1553">
        <f>IF(Sales[[#This Row],[Number of Users]]-Sales[[#This Row],[Licenses Bought]]&lt;0,0,Sales[[#This Row],[Number of Users]]-Sales[[#This Row],[Licenses Bought]])</f>
        <v>2</v>
      </c>
      <c r="P1553" s="8">
        <f>IF(Sales[[#This Row],[Sales Month]]=MAX(Sales[Sales Month]),Sales[[#This Row],[Non-Paying Users]]*Sales[[#This Row],[Upsell $ per Non-Paying User]],0)</f>
        <v>0</v>
      </c>
      <c r="Q1553" t="str" cm="1">
        <f t="array" ref="Q1553">_xlfn.IFS(Sales[[#This Row],[Current Upsell $]]=0,"",Sales[[#This Row],[Current Upsell $]]&gt;=400,"High",Sales[[#This Row],[Current Upsell $]]&gt;=100,"Medium",Sales[[#This Row],[Current Upsell $]]&lt;100,"Low")</f>
        <v/>
      </c>
      <c r="R1553" t="str">
        <f>IF(Sales[[#This Row],[Current Upsell $]]&gt;0,_xlfn.CONCAT(Sales[[#This Row],[Subscription Type]]," ",Sales[[#This Row],[Upsell Priority]]," ",TEXT(Sales[[#This Row],[Current Upsell $]],"$#,#")),"")</f>
        <v/>
      </c>
    </row>
    <row r="1554" spans="1:18" x14ac:dyDescent="0.25">
      <c r="A1554">
        <v>100159</v>
      </c>
      <c r="B1554" t="s">
        <v>3</v>
      </c>
      <c r="F1554">
        <v>0</v>
      </c>
      <c r="G1554">
        <v>2</v>
      </c>
      <c r="H1554" s="1">
        <v>44105</v>
      </c>
      <c r="I1554" s="1">
        <v>44378</v>
      </c>
      <c r="J1554">
        <v>9</v>
      </c>
      <c r="K1554">
        <v>0</v>
      </c>
      <c r="L1554" s="1">
        <v>44256</v>
      </c>
      <c r="M1554">
        <v>0</v>
      </c>
      <c r="N1554" s="8" cm="1">
        <f t="array" ref="N1554">_xlfn.SWITCH(Sales[[#This Row],[Subscription Type]],"Basic",10,"Premium",10,"Business",25,"Enterprise",27)</f>
        <v>10</v>
      </c>
      <c r="O1554">
        <f>IF(Sales[[#This Row],[Number of Users]]-Sales[[#This Row],[Licenses Bought]]&lt;0,0,Sales[[#This Row],[Number of Users]]-Sales[[#This Row],[Licenses Bought]])</f>
        <v>2</v>
      </c>
      <c r="P1554" s="8">
        <f>IF(Sales[[#This Row],[Sales Month]]=MAX(Sales[Sales Month]),Sales[[#This Row],[Non-Paying Users]]*Sales[[#This Row],[Upsell $ per Non-Paying User]],0)</f>
        <v>0</v>
      </c>
      <c r="Q1554" t="str" cm="1">
        <f t="array" ref="Q1554">_xlfn.IFS(Sales[[#This Row],[Current Upsell $]]=0,"",Sales[[#This Row],[Current Upsell $]]&gt;=400,"High",Sales[[#This Row],[Current Upsell $]]&gt;=100,"Medium",Sales[[#This Row],[Current Upsell $]]&lt;100,"Low")</f>
        <v/>
      </c>
      <c r="R1554" t="str">
        <f>IF(Sales[[#This Row],[Current Upsell $]]&gt;0,_xlfn.CONCAT(Sales[[#This Row],[Subscription Type]]," ",Sales[[#This Row],[Upsell Priority]]," ",TEXT(Sales[[#This Row],[Current Upsell $]],"$#,#")),"")</f>
        <v/>
      </c>
    </row>
    <row r="1555" spans="1:18" x14ac:dyDescent="0.25">
      <c r="A1555">
        <v>100159</v>
      </c>
      <c r="B1555" t="s">
        <v>3</v>
      </c>
      <c r="F1555">
        <v>0</v>
      </c>
      <c r="G1555">
        <v>2</v>
      </c>
      <c r="H1555" s="1">
        <v>44105</v>
      </c>
      <c r="I1555" s="1">
        <v>44378</v>
      </c>
      <c r="J1555">
        <v>9</v>
      </c>
      <c r="K1555">
        <v>0</v>
      </c>
      <c r="L1555" s="1">
        <v>44287</v>
      </c>
      <c r="M1555">
        <v>0</v>
      </c>
      <c r="N1555" s="8" cm="1">
        <f t="array" ref="N1555">_xlfn.SWITCH(Sales[[#This Row],[Subscription Type]],"Basic",10,"Premium",10,"Business",25,"Enterprise",27)</f>
        <v>10</v>
      </c>
      <c r="O1555">
        <f>IF(Sales[[#This Row],[Number of Users]]-Sales[[#This Row],[Licenses Bought]]&lt;0,0,Sales[[#This Row],[Number of Users]]-Sales[[#This Row],[Licenses Bought]])</f>
        <v>2</v>
      </c>
      <c r="P1555" s="8">
        <f>IF(Sales[[#This Row],[Sales Month]]=MAX(Sales[Sales Month]),Sales[[#This Row],[Non-Paying Users]]*Sales[[#This Row],[Upsell $ per Non-Paying User]],0)</f>
        <v>0</v>
      </c>
      <c r="Q1555" t="str" cm="1">
        <f t="array" ref="Q1555">_xlfn.IFS(Sales[[#This Row],[Current Upsell $]]=0,"",Sales[[#This Row],[Current Upsell $]]&gt;=400,"High",Sales[[#This Row],[Current Upsell $]]&gt;=100,"Medium",Sales[[#This Row],[Current Upsell $]]&lt;100,"Low")</f>
        <v/>
      </c>
      <c r="R1555" t="str">
        <f>IF(Sales[[#This Row],[Current Upsell $]]&gt;0,_xlfn.CONCAT(Sales[[#This Row],[Subscription Type]]," ",Sales[[#This Row],[Upsell Priority]]," ",TEXT(Sales[[#This Row],[Current Upsell $]],"$#,#")),"")</f>
        <v/>
      </c>
    </row>
    <row r="1556" spans="1:18" x14ac:dyDescent="0.25">
      <c r="A1556">
        <v>100159</v>
      </c>
      <c r="B1556" t="s">
        <v>3</v>
      </c>
      <c r="F1556">
        <v>0</v>
      </c>
      <c r="G1556">
        <v>2</v>
      </c>
      <c r="H1556" s="1">
        <v>44105</v>
      </c>
      <c r="I1556" s="1">
        <v>44378</v>
      </c>
      <c r="J1556">
        <v>9</v>
      </c>
      <c r="K1556">
        <v>0</v>
      </c>
      <c r="L1556" s="1">
        <v>44317</v>
      </c>
      <c r="M1556">
        <v>0</v>
      </c>
      <c r="N1556" s="8" cm="1">
        <f t="array" ref="N1556">_xlfn.SWITCH(Sales[[#This Row],[Subscription Type]],"Basic",10,"Premium",10,"Business",25,"Enterprise",27)</f>
        <v>10</v>
      </c>
      <c r="O1556">
        <f>IF(Sales[[#This Row],[Number of Users]]-Sales[[#This Row],[Licenses Bought]]&lt;0,0,Sales[[#This Row],[Number of Users]]-Sales[[#This Row],[Licenses Bought]])</f>
        <v>2</v>
      </c>
      <c r="P1556" s="8">
        <f>IF(Sales[[#This Row],[Sales Month]]=MAX(Sales[Sales Month]),Sales[[#This Row],[Non-Paying Users]]*Sales[[#This Row],[Upsell $ per Non-Paying User]],0)</f>
        <v>0</v>
      </c>
      <c r="Q1556" t="str" cm="1">
        <f t="array" ref="Q1556">_xlfn.IFS(Sales[[#This Row],[Current Upsell $]]=0,"",Sales[[#This Row],[Current Upsell $]]&gt;=400,"High",Sales[[#This Row],[Current Upsell $]]&gt;=100,"Medium",Sales[[#This Row],[Current Upsell $]]&lt;100,"Low")</f>
        <v/>
      </c>
      <c r="R1556" t="str">
        <f>IF(Sales[[#This Row],[Current Upsell $]]&gt;0,_xlfn.CONCAT(Sales[[#This Row],[Subscription Type]]," ",Sales[[#This Row],[Upsell Priority]]," ",TEXT(Sales[[#This Row],[Current Upsell $]],"$#,#")),"")</f>
        <v/>
      </c>
    </row>
    <row r="1557" spans="1:18" x14ac:dyDescent="0.25">
      <c r="A1557">
        <v>100159</v>
      </c>
      <c r="B1557" t="s">
        <v>3</v>
      </c>
      <c r="F1557">
        <v>0</v>
      </c>
      <c r="G1557">
        <v>2</v>
      </c>
      <c r="H1557" s="1">
        <v>44105</v>
      </c>
      <c r="I1557" s="1">
        <v>44378</v>
      </c>
      <c r="J1557">
        <v>9</v>
      </c>
      <c r="K1557">
        <v>0</v>
      </c>
      <c r="L1557" s="1">
        <v>44348</v>
      </c>
      <c r="M1557">
        <v>0</v>
      </c>
      <c r="N1557" s="8" cm="1">
        <f t="array" ref="N1557">_xlfn.SWITCH(Sales[[#This Row],[Subscription Type]],"Basic",10,"Premium",10,"Business",25,"Enterprise",27)</f>
        <v>10</v>
      </c>
      <c r="O1557">
        <f>IF(Sales[[#This Row],[Number of Users]]-Sales[[#This Row],[Licenses Bought]]&lt;0,0,Sales[[#This Row],[Number of Users]]-Sales[[#This Row],[Licenses Bought]])</f>
        <v>2</v>
      </c>
      <c r="P1557" s="8">
        <f>IF(Sales[[#This Row],[Sales Month]]=MAX(Sales[Sales Month]),Sales[[#This Row],[Non-Paying Users]]*Sales[[#This Row],[Upsell $ per Non-Paying User]],0)</f>
        <v>20</v>
      </c>
      <c r="Q1557" t="str" cm="1">
        <f t="array" ref="Q1557">_xlfn.IFS(Sales[[#This Row],[Current Upsell $]]=0,"",Sales[[#This Row],[Current Upsell $]]&gt;=400,"High",Sales[[#This Row],[Current Upsell $]]&gt;=100,"Medium",Sales[[#This Row],[Current Upsell $]]&lt;100,"Low")</f>
        <v>Low</v>
      </c>
      <c r="R1557" t="str">
        <f>IF(Sales[[#This Row],[Current Upsell $]]&gt;0,_xlfn.CONCAT(Sales[[#This Row],[Subscription Type]]," ",Sales[[#This Row],[Upsell Priority]]," ",TEXT(Sales[[#This Row],[Current Upsell $]],"$#,#")),"")</f>
        <v>Basic Low $20</v>
      </c>
    </row>
    <row r="1558" spans="1:18" x14ac:dyDescent="0.25">
      <c r="A1558">
        <v>100160</v>
      </c>
      <c r="B1558" t="s">
        <v>3</v>
      </c>
      <c r="F1558">
        <v>0</v>
      </c>
      <c r="G1558">
        <v>2</v>
      </c>
      <c r="H1558" s="1">
        <v>44105</v>
      </c>
      <c r="I1558" s="1">
        <v>44378</v>
      </c>
      <c r="J1558">
        <v>9</v>
      </c>
      <c r="K1558">
        <v>0</v>
      </c>
      <c r="L1558" s="1">
        <v>44105</v>
      </c>
      <c r="M1558">
        <v>0</v>
      </c>
      <c r="N1558" s="8" cm="1">
        <f t="array" ref="N1558">_xlfn.SWITCH(Sales[[#This Row],[Subscription Type]],"Basic",10,"Premium",10,"Business",25,"Enterprise",27)</f>
        <v>10</v>
      </c>
      <c r="O1558">
        <f>IF(Sales[[#This Row],[Number of Users]]-Sales[[#This Row],[Licenses Bought]]&lt;0,0,Sales[[#This Row],[Number of Users]]-Sales[[#This Row],[Licenses Bought]])</f>
        <v>2</v>
      </c>
      <c r="P1558" s="8">
        <f>IF(Sales[[#This Row],[Sales Month]]=MAX(Sales[Sales Month]),Sales[[#This Row],[Non-Paying Users]]*Sales[[#This Row],[Upsell $ per Non-Paying User]],0)</f>
        <v>0</v>
      </c>
      <c r="Q1558" t="str" cm="1">
        <f t="array" ref="Q1558">_xlfn.IFS(Sales[[#This Row],[Current Upsell $]]=0,"",Sales[[#This Row],[Current Upsell $]]&gt;=400,"High",Sales[[#This Row],[Current Upsell $]]&gt;=100,"Medium",Sales[[#This Row],[Current Upsell $]]&lt;100,"Low")</f>
        <v/>
      </c>
      <c r="R1558" t="str">
        <f>IF(Sales[[#This Row],[Current Upsell $]]&gt;0,_xlfn.CONCAT(Sales[[#This Row],[Subscription Type]]," ",Sales[[#This Row],[Upsell Priority]]," ",TEXT(Sales[[#This Row],[Current Upsell $]],"$#,#")),"")</f>
        <v/>
      </c>
    </row>
    <row r="1559" spans="1:18" x14ac:dyDescent="0.25">
      <c r="A1559">
        <v>100160</v>
      </c>
      <c r="B1559" t="s">
        <v>3</v>
      </c>
      <c r="F1559">
        <v>0</v>
      </c>
      <c r="G1559">
        <v>2</v>
      </c>
      <c r="H1559" s="1">
        <v>44105</v>
      </c>
      <c r="I1559" s="1">
        <v>44378</v>
      </c>
      <c r="J1559">
        <v>9</v>
      </c>
      <c r="K1559">
        <v>0</v>
      </c>
      <c r="L1559" s="1">
        <v>44136</v>
      </c>
      <c r="M1559">
        <v>0</v>
      </c>
      <c r="N1559" s="8" cm="1">
        <f t="array" ref="N1559">_xlfn.SWITCH(Sales[[#This Row],[Subscription Type]],"Basic",10,"Premium",10,"Business",25,"Enterprise",27)</f>
        <v>10</v>
      </c>
      <c r="O1559">
        <f>IF(Sales[[#This Row],[Number of Users]]-Sales[[#This Row],[Licenses Bought]]&lt;0,0,Sales[[#This Row],[Number of Users]]-Sales[[#This Row],[Licenses Bought]])</f>
        <v>2</v>
      </c>
      <c r="P1559" s="8">
        <f>IF(Sales[[#This Row],[Sales Month]]=MAX(Sales[Sales Month]),Sales[[#This Row],[Non-Paying Users]]*Sales[[#This Row],[Upsell $ per Non-Paying User]],0)</f>
        <v>0</v>
      </c>
      <c r="Q1559" t="str" cm="1">
        <f t="array" ref="Q1559">_xlfn.IFS(Sales[[#This Row],[Current Upsell $]]=0,"",Sales[[#This Row],[Current Upsell $]]&gt;=400,"High",Sales[[#This Row],[Current Upsell $]]&gt;=100,"Medium",Sales[[#This Row],[Current Upsell $]]&lt;100,"Low")</f>
        <v/>
      </c>
      <c r="R1559" t="str">
        <f>IF(Sales[[#This Row],[Current Upsell $]]&gt;0,_xlfn.CONCAT(Sales[[#This Row],[Subscription Type]]," ",Sales[[#This Row],[Upsell Priority]]," ",TEXT(Sales[[#This Row],[Current Upsell $]],"$#,#")),"")</f>
        <v/>
      </c>
    </row>
    <row r="1560" spans="1:18" x14ac:dyDescent="0.25">
      <c r="A1560">
        <v>100160</v>
      </c>
      <c r="B1560" t="s">
        <v>3</v>
      </c>
      <c r="F1560">
        <v>0</v>
      </c>
      <c r="G1560">
        <v>2</v>
      </c>
      <c r="H1560" s="1">
        <v>44105</v>
      </c>
      <c r="I1560" s="1">
        <v>44378</v>
      </c>
      <c r="J1560">
        <v>9</v>
      </c>
      <c r="K1560">
        <v>0</v>
      </c>
      <c r="L1560" s="1">
        <v>44166</v>
      </c>
      <c r="M1560">
        <v>0</v>
      </c>
      <c r="N1560" s="8" cm="1">
        <f t="array" ref="N1560">_xlfn.SWITCH(Sales[[#This Row],[Subscription Type]],"Basic",10,"Premium",10,"Business",25,"Enterprise",27)</f>
        <v>10</v>
      </c>
      <c r="O1560">
        <f>IF(Sales[[#This Row],[Number of Users]]-Sales[[#This Row],[Licenses Bought]]&lt;0,0,Sales[[#This Row],[Number of Users]]-Sales[[#This Row],[Licenses Bought]])</f>
        <v>2</v>
      </c>
      <c r="P1560" s="8">
        <f>IF(Sales[[#This Row],[Sales Month]]=MAX(Sales[Sales Month]),Sales[[#This Row],[Non-Paying Users]]*Sales[[#This Row],[Upsell $ per Non-Paying User]],0)</f>
        <v>0</v>
      </c>
      <c r="Q1560" t="str" cm="1">
        <f t="array" ref="Q1560">_xlfn.IFS(Sales[[#This Row],[Current Upsell $]]=0,"",Sales[[#This Row],[Current Upsell $]]&gt;=400,"High",Sales[[#This Row],[Current Upsell $]]&gt;=100,"Medium",Sales[[#This Row],[Current Upsell $]]&lt;100,"Low")</f>
        <v/>
      </c>
      <c r="R1560" t="str">
        <f>IF(Sales[[#This Row],[Current Upsell $]]&gt;0,_xlfn.CONCAT(Sales[[#This Row],[Subscription Type]]," ",Sales[[#This Row],[Upsell Priority]]," ",TEXT(Sales[[#This Row],[Current Upsell $]],"$#,#")),"")</f>
        <v/>
      </c>
    </row>
    <row r="1561" spans="1:18" x14ac:dyDescent="0.25">
      <c r="A1561">
        <v>100160</v>
      </c>
      <c r="B1561" t="s">
        <v>3</v>
      </c>
      <c r="F1561">
        <v>0</v>
      </c>
      <c r="G1561">
        <v>2</v>
      </c>
      <c r="H1561" s="1">
        <v>44105</v>
      </c>
      <c r="I1561" s="1">
        <v>44378</v>
      </c>
      <c r="J1561">
        <v>9</v>
      </c>
      <c r="K1561">
        <v>0</v>
      </c>
      <c r="L1561" s="1">
        <v>44197</v>
      </c>
      <c r="M1561">
        <v>0</v>
      </c>
      <c r="N1561" s="8" cm="1">
        <f t="array" ref="N1561">_xlfn.SWITCH(Sales[[#This Row],[Subscription Type]],"Basic",10,"Premium",10,"Business",25,"Enterprise",27)</f>
        <v>10</v>
      </c>
      <c r="O1561">
        <f>IF(Sales[[#This Row],[Number of Users]]-Sales[[#This Row],[Licenses Bought]]&lt;0,0,Sales[[#This Row],[Number of Users]]-Sales[[#This Row],[Licenses Bought]])</f>
        <v>2</v>
      </c>
      <c r="P1561" s="8">
        <f>IF(Sales[[#This Row],[Sales Month]]=MAX(Sales[Sales Month]),Sales[[#This Row],[Non-Paying Users]]*Sales[[#This Row],[Upsell $ per Non-Paying User]],0)</f>
        <v>0</v>
      </c>
      <c r="Q1561" t="str" cm="1">
        <f t="array" ref="Q1561">_xlfn.IFS(Sales[[#This Row],[Current Upsell $]]=0,"",Sales[[#This Row],[Current Upsell $]]&gt;=400,"High",Sales[[#This Row],[Current Upsell $]]&gt;=100,"Medium",Sales[[#This Row],[Current Upsell $]]&lt;100,"Low")</f>
        <v/>
      </c>
      <c r="R1561" t="str">
        <f>IF(Sales[[#This Row],[Current Upsell $]]&gt;0,_xlfn.CONCAT(Sales[[#This Row],[Subscription Type]]," ",Sales[[#This Row],[Upsell Priority]]," ",TEXT(Sales[[#This Row],[Current Upsell $]],"$#,#")),"")</f>
        <v/>
      </c>
    </row>
    <row r="1562" spans="1:18" x14ac:dyDescent="0.25">
      <c r="A1562">
        <v>100160</v>
      </c>
      <c r="B1562" t="s">
        <v>3</v>
      </c>
      <c r="F1562">
        <v>0</v>
      </c>
      <c r="G1562">
        <v>1</v>
      </c>
      <c r="H1562" s="1">
        <v>44105</v>
      </c>
      <c r="I1562" s="1">
        <v>44378</v>
      </c>
      <c r="J1562">
        <v>9</v>
      </c>
      <c r="K1562">
        <v>0</v>
      </c>
      <c r="L1562" s="1">
        <v>44228</v>
      </c>
      <c r="M1562">
        <v>0</v>
      </c>
      <c r="N1562" s="8" cm="1">
        <f t="array" ref="N1562">_xlfn.SWITCH(Sales[[#This Row],[Subscription Type]],"Basic",10,"Premium",10,"Business",25,"Enterprise",27)</f>
        <v>10</v>
      </c>
      <c r="O1562">
        <f>IF(Sales[[#This Row],[Number of Users]]-Sales[[#This Row],[Licenses Bought]]&lt;0,0,Sales[[#This Row],[Number of Users]]-Sales[[#This Row],[Licenses Bought]])</f>
        <v>1</v>
      </c>
      <c r="P1562" s="8">
        <f>IF(Sales[[#This Row],[Sales Month]]=MAX(Sales[Sales Month]),Sales[[#This Row],[Non-Paying Users]]*Sales[[#This Row],[Upsell $ per Non-Paying User]],0)</f>
        <v>0</v>
      </c>
      <c r="Q1562" t="str" cm="1">
        <f t="array" ref="Q1562">_xlfn.IFS(Sales[[#This Row],[Current Upsell $]]=0,"",Sales[[#This Row],[Current Upsell $]]&gt;=400,"High",Sales[[#This Row],[Current Upsell $]]&gt;=100,"Medium",Sales[[#This Row],[Current Upsell $]]&lt;100,"Low")</f>
        <v/>
      </c>
      <c r="R1562" t="str">
        <f>IF(Sales[[#This Row],[Current Upsell $]]&gt;0,_xlfn.CONCAT(Sales[[#This Row],[Subscription Type]]," ",Sales[[#This Row],[Upsell Priority]]," ",TEXT(Sales[[#This Row],[Current Upsell $]],"$#,#")),"")</f>
        <v/>
      </c>
    </row>
    <row r="1563" spans="1:18" x14ac:dyDescent="0.25">
      <c r="A1563">
        <v>100160</v>
      </c>
      <c r="B1563" t="s">
        <v>3</v>
      </c>
      <c r="F1563">
        <v>0</v>
      </c>
      <c r="G1563">
        <v>2</v>
      </c>
      <c r="H1563" s="1">
        <v>44105</v>
      </c>
      <c r="I1563" s="1">
        <v>44378</v>
      </c>
      <c r="J1563">
        <v>9</v>
      </c>
      <c r="K1563">
        <v>0</v>
      </c>
      <c r="L1563" s="1">
        <v>44256</v>
      </c>
      <c r="M1563">
        <v>0</v>
      </c>
      <c r="N1563" s="8" cm="1">
        <f t="array" ref="N1563">_xlfn.SWITCH(Sales[[#This Row],[Subscription Type]],"Basic",10,"Premium",10,"Business",25,"Enterprise",27)</f>
        <v>10</v>
      </c>
      <c r="O1563">
        <f>IF(Sales[[#This Row],[Number of Users]]-Sales[[#This Row],[Licenses Bought]]&lt;0,0,Sales[[#This Row],[Number of Users]]-Sales[[#This Row],[Licenses Bought]])</f>
        <v>2</v>
      </c>
      <c r="P1563" s="8">
        <f>IF(Sales[[#This Row],[Sales Month]]=MAX(Sales[Sales Month]),Sales[[#This Row],[Non-Paying Users]]*Sales[[#This Row],[Upsell $ per Non-Paying User]],0)</f>
        <v>0</v>
      </c>
      <c r="Q1563" t="str" cm="1">
        <f t="array" ref="Q1563">_xlfn.IFS(Sales[[#This Row],[Current Upsell $]]=0,"",Sales[[#This Row],[Current Upsell $]]&gt;=400,"High",Sales[[#This Row],[Current Upsell $]]&gt;=100,"Medium",Sales[[#This Row],[Current Upsell $]]&lt;100,"Low")</f>
        <v/>
      </c>
      <c r="R1563" t="str">
        <f>IF(Sales[[#This Row],[Current Upsell $]]&gt;0,_xlfn.CONCAT(Sales[[#This Row],[Subscription Type]]," ",Sales[[#This Row],[Upsell Priority]]," ",TEXT(Sales[[#This Row],[Current Upsell $]],"$#,#")),"")</f>
        <v/>
      </c>
    </row>
    <row r="1564" spans="1:18" x14ac:dyDescent="0.25">
      <c r="A1564">
        <v>100160</v>
      </c>
      <c r="B1564" t="s">
        <v>3</v>
      </c>
      <c r="F1564">
        <v>0</v>
      </c>
      <c r="G1564">
        <v>2</v>
      </c>
      <c r="H1564" s="1">
        <v>44105</v>
      </c>
      <c r="I1564" s="1">
        <v>44378</v>
      </c>
      <c r="J1564">
        <v>9</v>
      </c>
      <c r="K1564">
        <v>0</v>
      </c>
      <c r="L1564" s="1">
        <v>44287</v>
      </c>
      <c r="M1564">
        <v>0</v>
      </c>
      <c r="N1564" s="8" cm="1">
        <f t="array" ref="N1564">_xlfn.SWITCH(Sales[[#This Row],[Subscription Type]],"Basic",10,"Premium",10,"Business",25,"Enterprise",27)</f>
        <v>10</v>
      </c>
      <c r="O1564">
        <f>IF(Sales[[#This Row],[Number of Users]]-Sales[[#This Row],[Licenses Bought]]&lt;0,0,Sales[[#This Row],[Number of Users]]-Sales[[#This Row],[Licenses Bought]])</f>
        <v>2</v>
      </c>
      <c r="P1564" s="8">
        <f>IF(Sales[[#This Row],[Sales Month]]=MAX(Sales[Sales Month]),Sales[[#This Row],[Non-Paying Users]]*Sales[[#This Row],[Upsell $ per Non-Paying User]],0)</f>
        <v>0</v>
      </c>
      <c r="Q1564" t="str" cm="1">
        <f t="array" ref="Q1564">_xlfn.IFS(Sales[[#This Row],[Current Upsell $]]=0,"",Sales[[#This Row],[Current Upsell $]]&gt;=400,"High",Sales[[#This Row],[Current Upsell $]]&gt;=100,"Medium",Sales[[#This Row],[Current Upsell $]]&lt;100,"Low")</f>
        <v/>
      </c>
      <c r="R1564" t="str">
        <f>IF(Sales[[#This Row],[Current Upsell $]]&gt;0,_xlfn.CONCAT(Sales[[#This Row],[Subscription Type]]," ",Sales[[#This Row],[Upsell Priority]]," ",TEXT(Sales[[#This Row],[Current Upsell $]],"$#,#")),"")</f>
        <v/>
      </c>
    </row>
    <row r="1565" spans="1:18" x14ac:dyDescent="0.25">
      <c r="A1565">
        <v>100160</v>
      </c>
      <c r="B1565" t="s">
        <v>3</v>
      </c>
      <c r="F1565">
        <v>0</v>
      </c>
      <c r="G1565">
        <v>1</v>
      </c>
      <c r="H1565" s="1">
        <v>44105</v>
      </c>
      <c r="I1565" s="1">
        <v>44378</v>
      </c>
      <c r="J1565">
        <v>9</v>
      </c>
      <c r="K1565">
        <v>0</v>
      </c>
      <c r="L1565" s="1">
        <v>44317</v>
      </c>
      <c r="M1565">
        <v>0</v>
      </c>
      <c r="N1565" s="8" cm="1">
        <f t="array" ref="N1565">_xlfn.SWITCH(Sales[[#This Row],[Subscription Type]],"Basic",10,"Premium",10,"Business",25,"Enterprise",27)</f>
        <v>10</v>
      </c>
      <c r="O1565">
        <f>IF(Sales[[#This Row],[Number of Users]]-Sales[[#This Row],[Licenses Bought]]&lt;0,0,Sales[[#This Row],[Number of Users]]-Sales[[#This Row],[Licenses Bought]])</f>
        <v>1</v>
      </c>
      <c r="P1565" s="8">
        <f>IF(Sales[[#This Row],[Sales Month]]=MAX(Sales[Sales Month]),Sales[[#This Row],[Non-Paying Users]]*Sales[[#This Row],[Upsell $ per Non-Paying User]],0)</f>
        <v>0</v>
      </c>
      <c r="Q1565" t="str" cm="1">
        <f t="array" ref="Q1565">_xlfn.IFS(Sales[[#This Row],[Current Upsell $]]=0,"",Sales[[#This Row],[Current Upsell $]]&gt;=400,"High",Sales[[#This Row],[Current Upsell $]]&gt;=100,"Medium",Sales[[#This Row],[Current Upsell $]]&lt;100,"Low")</f>
        <v/>
      </c>
      <c r="R1565" t="str">
        <f>IF(Sales[[#This Row],[Current Upsell $]]&gt;0,_xlfn.CONCAT(Sales[[#This Row],[Subscription Type]]," ",Sales[[#This Row],[Upsell Priority]]," ",TEXT(Sales[[#This Row],[Current Upsell $]],"$#,#")),"")</f>
        <v/>
      </c>
    </row>
    <row r="1566" spans="1:18" x14ac:dyDescent="0.25">
      <c r="A1566">
        <v>100160</v>
      </c>
      <c r="B1566" t="s">
        <v>3</v>
      </c>
      <c r="F1566">
        <v>0</v>
      </c>
      <c r="G1566">
        <v>2</v>
      </c>
      <c r="H1566" s="1">
        <v>44105</v>
      </c>
      <c r="I1566" s="1">
        <v>44378</v>
      </c>
      <c r="J1566">
        <v>9</v>
      </c>
      <c r="K1566">
        <v>0</v>
      </c>
      <c r="L1566" s="1">
        <v>44348</v>
      </c>
      <c r="M1566">
        <v>0</v>
      </c>
      <c r="N1566" s="8" cm="1">
        <f t="array" ref="N1566">_xlfn.SWITCH(Sales[[#This Row],[Subscription Type]],"Basic",10,"Premium",10,"Business",25,"Enterprise",27)</f>
        <v>10</v>
      </c>
      <c r="O1566">
        <f>IF(Sales[[#This Row],[Number of Users]]-Sales[[#This Row],[Licenses Bought]]&lt;0,0,Sales[[#This Row],[Number of Users]]-Sales[[#This Row],[Licenses Bought]])</f>
        <v>2</v>
      </c>
      <c r="P1566" s="8">
        <f>IF(Sales[[#This Row],[Sales Month]]=MAX(Sales[Sales Month]),Sales[[#This Row],[Non-Paying Users]]*Sales[[#This Row],[Upsell $ per Non-Paying User]],0)</f>
        <v>20</v>
      </c>
      <c r="Q1566" t="str" cm="1">
        <f t="array" ref="Q1566">_xlfn.IFS(Sales[[#This Row],[Current Upsell $]]=0,"",Sales[[#This Row],[Current Upsell $]]&gt;=400,"High",Sales[[#This Row],[Current Upsell $]]&gt;=100,"Medium",Sales[[#This Row],[Current Upsell $]]&lt;100,"Low")</f>
        <v>Low</v>
      </c>
      <c r="R1566" t="str">
        <f>IF(Sales[[#This Row],[Current Upsell $]]&gt;0,_xlfn.CONCAT(Sales[[#This Row],[Subscription Type]]," ",Sales[[#This Row],[Upsell Priority]]," ",TEXT(Sales[[#This Row],[Current Upsell $]],"$#,#")),"")</f>
        <v>Basic Low $20</v>
      </c>
    </row>
    <row r="1567" spans="1:18" x14ac:dyDescent="0.25">
      <c r="A1567">
        <v>100161</v>
      </c>
      <c r="B1567" t="s">
        <v>3</v>
      </c>
      <c r="F1567">
        <v>0</v>
      </c>
      <c r="G1567">
        <v>2</v>
      </c>
      <c r="H1567" s="1">
        <v>44105</v>
      </c>
      <c r="I1567" s="1">
        <v>44348</v>
      </c>
      <c r="J1567">
        <v>8</v>
      </c>
      <c r="K1567">
        <v>0</v>
      </c>
      <c r="L1567" s="1">
        <v>44105</v>
      </c>
      <c r="M1567">
        <v>0</v>
      </c>
      <c r="N1567" s="8" cm="1">
        <f t="array" ref="N1567">_xlfn.SWITCH(Sales[[#This Row],[Subscription Type]],"Basic",10,"Premium",10,"Business",25,"Enterprise",27)</f>
        <v>10</v>
      </c>
      <c r="O1567">
        <f>IF(Sales[[#This Row],[Number of Users]]-Sales[[#This Row],[Licenses Bought]]&lt;0,0,Sales[[#This Row],[Number of Users]]-Sales[[#This Row],[Licenses Bought]])</f>
        <v>2</v>
      </c>
      <c r="P1567" s="8">
        <f>IF(Sales[[#This Row],[Sales Month]]=MAX(Sales[Sales Month]),Sales[[#This Row],[Non-Paying Users]]*Sales[[#This Row],[Upsell $ per Non-Paying User]],0)</f>
        <v>0</v>
      </c>
      <c r="Q1567" t="str" cm="1">
        <f t="array" ref="Q1567">_xlfn.IFS(Sales[[#This Row],[Current Upsell $]]=0,"",Sales[[#This Row],[Current Upsell $]]&gt;=400,"High",Sales[[#This Row],[Current Upsell $]]&gt;=100,"Medium",Sales[[#This Row],[Current Upsell $]]&lt;100,"Low")</f>
        <v/>
      </c>
      <c r="R1567" t="str">
        <f>IF(Sales[[#This Row],[Current Upsell $]]&gt;0,_xlfn.CONCAT(Sales[[#This Row],[Subscription Type]]," ",Sales[[#This Row],[Upsell Priority]]," ",TEXT(Sales[[#This Row],[Current Upsell $]],"$#,#")),"")</f>
        <v/>
      </c>
    </row>
    <row r="1568" spans="1:18" x14ac:dyDescent="0.25">
      <c r="A1568">
        <v>100161</v>
      </c>
      <c r="B1568" t="s">
        <v>3</v>
      </c>
      <c r="F1568">
        <v>0</v>
      </c>
      <c r="G1568">
        <v>2</v>
      </c>
      <c r="H1568" s="1">
        <v>44105</v>
      </c>
      <c r="I1568" s="1">
        <v>44348</v>
      </c>
      <c r="J1568">
        <v>8</v>
      </c>
      <c r="K1568">
        <v>0</v>
      </c>
      <c r="L1568" s="1">
        <v>44136</v>
      </c>
      <c r="M1568">
        <v>0</v>
      </c>
      <c r="N1568" s="8" cm="1">
        <f t="array" ref="N1568">_xlfn.SWITCH(Sales[[#This Row],[Subscription Type]],"Basic",10,"Premium",10,"Business",25,"Enterprise",27)</f>
        <v>10</v>
      </c>
      <c r="O1568">
        <f>IF(Sales[[#This Row],[Number of Users]]-Sales[[#This Row],[Licenses Bought]]&lt;0,0,Sales[[#This Row],[Number of Users]]-Sales[[#This Row],[Licenses Bought]])</f>
        <v>2</v>
      </c>
      <c r="P1568" s="8">
        <f>IF(Sales[[#This Row],[Sales Month]]=MAX(Sales[Sales Month]),Sales[[#This Row],[Non-Paying Users]]*Sales[[#This Row],[Upsell $ per Non-Paying User]],0)</f>
        <v>0</v>
      </c>
      <c r="Q1568" t="str" cm="1">
        <f t="array" ref="Q1568">_xlfn.IFS(Sales[[#This Row],[Current Upsell $]]=0,"",Sales[[#This Row],[Current Upsell $]]&gt;=400,"High",Sales[[#This Row],[Current Upsell $]]&gt;=100,"Medium",Sales[[#This Row],[Current Upsell $]]&lt;100,"Low")</f>
        <v/>
      </c>
      <c r="R1568" t="str">
        <f>IF(Sales[[#This Row],[Current Upsell $]]&gt;0,_xlfn.CONCAT(Sales[[#This Row],[Subscription Type]]," ",Sales[[#This Row],[Upsell Priority]]," ",TEXT(Sales[[#This Row],[Current Upsell $]],"$#,#")),"")</f>
        <v/>
      </c>
    </row>
    <row r="1569" spans="1:18" x14ac:dyDescent="0.25">
      <c r="A1569">
        <v>100161</v>
      </c>
      <c r="B1569" t="s">
        <v>3</v>
      </c>
      <c r="F1569">
        <v>0</v>
      </c>
      <c r="G1569">
        <v>2</v>
      </c>
      <c r="H1569" s="1">
        <v>44105</v>
      </c>
      <c r="I1569" s="1">
        <v>44348</v>
      </c>
      <c r="J1569">
        <v>8</v>
      </c>
      <c r="K1569">
        <v>0</v>
      </c>
      <c r="L1569" s="1">
        <v>44166</v>
      </c>
      <c r="M1569">
        <v>0</v>
      </c>
      <c r="N1569" s="8" cm="1">
        <f t="array" ref="N1569">_xlfn.SWITCH(Sales[[#This Row],[Subscription Type]],"Basic",10,"Premium",10,"Business",25,"Enterprise",27)</f>
        <v>10</v>
      </c>
      <c r="O1569">
        <f>IF(Sales[[#This Row],[Number of Users]]-Sales[[#This Row],[Licenses Bought]]&lt;0,0,Sales[[#This Row],[Number of Users]]-Sales[[#This Row],[Licenses Bought]])</f>
        <v>2</v>
      </c>
      <c r="P1569" s="8">
        <f>IF(Sales[[#This Row],[Sales Month]]=MAX(Sales[Sales Month]),Sales[[#This Row],[Non-Paying Users]]*Sales[[#This Row],[Upsell $ per Non-Paying User]],0)</f>
        <v>0</v>
      </c>
      <c r="Q1569" t="str" cm="1">
        <f t="array" ref="Q1569">_xlfn.IFS(Sales[[#This Row],[Current Upsell $]]=0,"",Sales[[#This Row],[Current Upsell $]]&gt;=400,"High",Sales[[#This Row],[Current Upsell $]]&gt;=100,"Medium",Sales[[#This Row],[Current Upsell $]]&lt;100,"Low")</f>
        <v/>
      </c>
      <c r="R1569" t="str">
        <f>IF(Sales[[#This Row],[Current Upsell $]]&gt;0,_xlfn.CONCAT(Sales[[#This Row],[Subscription Type]]," ",Sales[[#This Row],[Upsell Priority]]," ",TEXT(Sales[[#This Row],[Current Upsell $]],"$#,#")),"")</f>
        <v/>
      </c>
    </row>
    <row r="1570" spans="1:18" x14ac:dyDescent="0.25">
      <c r="A1570">
        <v>100161</v>
      </c>
      <c r="B1570" t="s">
        <v>3</v>
      </c>
      <c r="F1570">
        <v>0</v>
      </c>
      <c r="G1570">
        <v>2</v>
      </c>
      <c r="H1570" s="1">
        <v>44105</v>
      </c>
      <c r="I1570" s="1">
        <v>44348</v>
      </c>
      <c r="J1570">
        <v>8</v>
      </c>
      <c r="K1570">
        <v>0</v>
      </c>
      <c r="L1570" s="1">
        <v>44197</v>
      </c>
      <c r="M1570">
        <v>0</v>
      </c>
      <c r="N1570" s="8" cm="1">
        <f t="array" ref="N1570">_xlfn.SWITCH(Sales[[#This Row],[Subscription Type]],"Basic",10,"Premium",10,"Business",25,"Enterprise",27)</f>
        <v>10</v>
      </c>
      <c r="O1570">
        <f>IF(Sales[[#This Row],[Number of Users]]-Sales[[#This Row],[Licenses Bought]]&lt;0,0,Sales[[#This Row],[Number of Users]]-Sales[[#This Row],[Licenses Bought]])</f>
        <v>2</v>
      </c>
      <c r="P1570" s="8">
        <f>IF(Sales[[#This Row],[Sales Month]]=MAX(Sales[Sales Month]),Sales[[#This Row],[Non-Paying Users]]*Sales[[#This Row],[Upsell $ per Non-Paying User]],0)</f>
        <v>0</v>
      </c>
      <c r="Q1570" t="str" cm="1">
        <f t="array" ref="Q1570">_xlfn.IFS(Sales[[#This Row],[Current Upsell $]]=0,"",Sales[[#This Row],[Current Upsell $]]&gt;=400,"High",Sales[[#This Row],[Current Upsell $]]&gt;=100,"Medium",Sales[[#This Row],[Current Upsell $]]&lt;100,"Low")</f>
        <v/>
      </c>
      <c r="R1570" t="str">
        <f>IF(Sales[[#This Row],[Current Upsell $]]&gt;0,_xlfn.CONCAT(Sales[[#This Row],[Subscription Type]]," ",Sales[[#This Row],[Upsell Priority]]," ",TEXT(Sales[[#This Row],[Current Upsell $]],"$#,#")),"")</f>
        <v/>
      </c>
    </row>
    <row r="1571" spans="1:18" x14ac:dyDescent="0.25">
      <c r="A1571">
        <v>100161</v>
      </c>
      <c r="B1571" t="s">
        <v>3</v>
      </c>
      <c r="F1571">
        <v>0</v>
      </c>
      <c r="G1571">
        <v>2</v>
      </c>
      <c r="H1571" s="1">
        <v>44105</v>
      </c>
      <c r="I1571" s="1">
        <v>44348</v>
      </c>
      <c r="J1571">
        <v>8</v>
      </c>
      <c r="K1571">
        <v>0</v>
      </c>
      <c r="L1571" s="1">
        <v>44228</v>
      </c>
      <c r="M1571">
        <v>0</v>
      </c>
      <c r="N1571" s="8" cm="1">
        <f t="array" ref="N1571">_xlfn.SWITCH(Sales[[#This Row],[Subscription Type]],"Basic",10,"Premium",10,"Business",25,"Enterprise",27)</f>
        <v>10</v>
      </c>
      <c r="O1571">
        <f>IF(Sales[[#This Row],[Number of Users]]-Sales[[#This Row],[Licenses Bought]]&lt;0,0,Sales[[#This Row],[Number of Users]]-Sales[[#This Row],[Licenses Bought]])</f>
        <v>2</v>
      </c>
      <c r="P1571" s="8">
        <f>IF(Sales[[#This Row],[Sales Month]]=MAX(Sales[Sales Month]),Sales[[#This Row],[Non-Paying Users]]*Sales[[#This Row],[Upsell $ per Non-Paying User]],0)</f>
        <v>0</v>
      </c>
      <c r="Q1571" t="str" cm="1">
        <f t="array" ref="Q1571">_xlfn.IFS(Sales[[#This Row],[Current Upsell $]]=0,"",Sales[[#This Row],[Current Upsell $]]&gt;=400,"High",Sales[[#This Row],[Current Upsell $]]&gt;=100,"Medium",Sales[[#This Row],[Current Upsell $]]&lt;100,"Low")</f>
        <v/>
      </c>
      <c r="R1571" t="str">
        <f>IF(Sales[[#This Row],[Current Upsell $]]&gt;0,_xlfn.CONCAT(Sales[[#This Row],[Subscription Type]]," ",Sales[[#This Row],[Upsell Priority]]," ",TEXT(Sales[[#This Row],[Current Upsell $]],"$#,#")),"")</f>
        <v/>
      </c>
    </row>
    <row r="1572" spans="1:18" x14ac:dyDescent="0.25">
      <c r="A1572">
        <v>100161</v>
      </c>
      <c r="B1572" t="s">
        <v>3</v>
      </c>
      <c r="F1572">
        <v>0</v>
      </c>
      <c r="G1572">
        <v>2</v>
      </c>
      <c r="H1572" s="1">
        <v>44105</v>
      </c>
      <c r="I1572" s="1">
        <v>44348</v>
      </c>
      <c r="J1572">
        <v>8</v>
      </c>
      <c r="K1572">
        <v>0</v>
      </c>
      <c r="L1572" s="1">
        <v>44256</v>
      </c>
      <c r="M1572">
        <v>0</v>
      </c>
      <c r="N1572" s="8" cm="1">
        <f t="array" ref="N1572">_xlfn.SWITCH(Sales[[#This Row],[Subscription Type]],"Basic",10,"Premium",10,"Business",25,"Enterprise",27)</f>
        <v>10</v>
      </c>
      <c r="O1572">
        <f>IF(Sales[[#This Row],[Number of Users]]-Sales[[#This Row],[Licenses Bought]]&lt;0,0,Sales[[#This Row],[Number of Users]]-Sales[[#This Row],[Licenses Bought]])</f>
        <v>2</v>
      </c>
      <c r="P1572" s="8">
        <f>IF(Sales[[#This Row],[Sales Month]]=MAX(Sales[Sales Month]),Sales[[#This Row],[Non-Paying Users]]*Sales[[#This Row],[Upsell $ per Non-Paying User]],0)</f>
        <v>0</v>
      </c>
      <c r="Q1572" t="str" cm="1">
        <f t="array" ref="Q1572">_xlfn.IFS(Sales[[#This Row],[Current Upsell $]]=0,"",Sales[[#This Row],[Current Upsell $]]&gt;=400,"High",Sales[[#This Row],[Current Upsell $]]&gt;=100,"Medium",Sales[[#This Row],[Current Upsell $]]&lt;100,"Low")</f>
        <v/>
      </c>
      <c r="R1572" t="str">
        <f>IF(Sales[[#This Row],[Current Upsell $]]&gt;0,_xlfn.CONCAT(Sales[[#This Row],[Subscription Type]]," ",Sales[[#This Row],[Upsell Priority]]," ",TEXT(Sales[[#This Row],[Current Upsell $]],"$#,#")),"")</f>
        <v/>
      </c>
    </row>
    <row r="1573" spans="1:18" x14ac:dyDescent="0.25">
      <c r="A1573">
        <v>100161</v>
      </c>
      <c r="B1573" t="s">
        <v>3</v>
      </c>
      <c r="F1573">
        <v>0</v>
      </c>
      <c r="G1573">
        <v>2</v>
      </c>
      <c r="H1573" s="1">
        <v>44105</v>
      </c>
      <c r="I1573" s="1">
        <v>44348</v>
      </c>
      <c r="J1573">
        <v>8</v>
      </c>
      <c r="K1573">
        <v>0</v>
      </c>
      <c r="L1573" s="1">
        <v>44287</v>
      </c>
      <c r="M1573">
        <v>0</v>
      </c>
      <c r="N1573" s="8" cm="1">
        <f t="array" ref="N1573">_xlfn.SWITCH(Sales[[#This Row],[Subscription Type]],"Basic",10,"Premium",10,"Business",25,"Enterprise",27)</f>
        <v>10</v>
      </c>
      <c r="O1573">
        <f>IF(Sales[[#This Row],[Number of Users]]-Sales[[#This Row],[Licenses Bought]]&lt;0,0,Sales[[#This Row],[Number of Users]]-Sales[[#This Row],[Licenses Bought]])</f>
        <v>2</v>
      </c>
      <c r="P1573" s="8">
        <f>IF(Sales[[#This Row],[Sales Month]]=MAX(Sales[Sales Month]),Sales[[#This Row],[Non-Paying Users]]*Sales[[#This Row],[Upsell $ per Non-Paying User]],0)</f>
        <v>0</v>
      </c>
      <c r="Q1573" t="str" cm="1">
        <f t="array" ref="Q1573">_xlfn.IFS(Sales[[#This Row],[Current Upsell $]]=0,"",Sales[[#This Row],[Current Upsell $]]&gt;=400,"High",Sales[[#This Row],[Current Upsell $]]&gt;=100,"Medium",Sales[[#This Row],[Current Upsell $]]&lt;100,"Low")</f>
        <v/>
      </c>
      <c r="R1573" t="str">
        <f>IF(Sales[[#This Row],[Current Upsell $]]&gt;0,_xlfn.CONCAT(Sales[[#This Row],[Subscription Type]]," ",Sales[[#This Row],[Upsell Priority]]," ",TEXT(Sales[[#This Row],[Current Upsell $]],"$#,#")),"")</f>
        <v/>
      </c>
    </row>
    <row r="1574" spans="1:18" x14ac:dyDescent="0.25">
      <c r="A1574">
        <v>100161</v>
      </c>
      <c r="B1574" t="s">
        <v>3</v>
      </c>
      <c r="F1574">
        <v>0</v>
      </c>
      <c r="G1574">
        <v>2</v>
      </c>
      <c r="H1574" s="1">
        <v>44105</v>
      </c>
      <c r="I1574" s="1">
        <v>44348</v>
      </c>
      <c r="J1574">
        <v>8</v>
      </c>
      <c r="K1574">
        <v>0</v>
      </c>
      <c r="L1574" s="1">
        <v>44317</v>
      </c>
      <c r="M1574">
        <v>0</v>
      </c>
      <c r="N1574" s="8" cm="1">
        <f t="array" ref="N1574">_xlfn.SWITCH(Sales[[#This Row],[Subscription Type]],"Basic",10,"Premium",10,"Business",25,"Enterprise",27)</f>
        <v>10</v>
      </c>
      <c r="O1574">
        <f>IF(Sales[[#This Row],[Number of Users]]-Sales[[#This Row],[Licenses Bought]]&lt;0,0,Sales[[#This Row],[Number of Users]]-Sales[[#This Row],[Licenses Bought]])</f>
        <v>2</v>
      </c>
      <c r="P1574" s="8">
        <f>IF(Sales[[#This Row],[Sales Month]]=MAX(Sales[Sales Month]),Sales[[#This Row],[Non-Paying Users]]*Sales[[#This Row],[Upsell $ per Non-Paying User]],0)</f>
        <v>0</v>
      </c>
      <c r="Q1574" t="str" cm="1">
        <f t="array" ref="Q1574">_xlfn.IFS(Sales[[#This Row],[Current Upsell $]]=0,"",Sales[[#This Row],[Current Upsell $]]&gt;=400,"High",Sales[[#This Row],[Current Upsell $]]&gt;=100,"Medium",Sales[[#This Row],[Current Upsell $]]&lt;100,"Low")</f>
        <v/>
      </c>
      <c r="R1574" t="str">
        <f>IF(Sales[[#This Row],[Current Upsell $]]&gt;0,_xlfn.CONCAT(Sales[[#This Row],[Subscription Type]]," ",Sales[[#This Row],[Upsell Priority]]," ",TEXT(Sales[[#This Row],[Current Upsell $]],"$#,#")),"")</f>
        <v/>
      </c>
    </row>
    <row r="1575" spans="1:18" x14ac:dyDescent="0.25">
      <c r="A1575">
        <v>100161</v>
      </c>
      <c r="B1575" t="s">
        <v>3</v>
      </c>
      <c r="F1575">
        <v>0</v>
      </c>
      <c r="G1575">
        <v>2</v>
      </c>
      <c r="H1575" s="1">
        <v>44105</v>
      </c>
      <c r="I1575" s="1">
        <v>44348</v>
      </c>
      <c r="J1575">
        <v>8</v>
      </c>
      <c r="K1575">
        <v>0</v>
      </c>
      <c r="L1575" s="1">
        <v>44348</v>
      </c>
      <c r="M1575">
        <v>0</v>
      </c>
      <c r="N1575" s="8" cm="1">
        <f t="array" ref="N1575">_xlfn.SWITCH(Sales[[#This Row],[Subscription Type]],"Basic",10,"Premium",10,"Business",25,"Enterprise",27)</f>
        <v>10</v>
      </c>
      <c r="O1575">
        <f>IF(Sales[[#This Row],[Number of Users]]-Sales[[#This Row],[Licenses Bought]]&lt;0,0,Sales[[#This Row],[Number of Users]]-Sales[[#This Row],[Licenses Bought]])</f>
        <v>2</v>
      </c>
      <c r="P1575" s="8">
        <f>IF(Sales[[#This Row],[Sales Month]]=MAX(Sales[Sales Month]),Sales[[#This Row],[Non-Paying Users]]*Sales[[#This Row],[Upsell $ per Non-Paying User]],0)</f>
        <v>20</v>
      </c>
      <c r="Q1575" t="str" cm="1">
        <f t="array" ref="Q1575">_xlfn.IFS(Sales[[#This Row],[Current Upsell $]]=0,"",Sales[[#This Row],[Current Upsell $]]&gt;=400,"High",Sales[[#This Row],[Current Upsell $]]&gt;=100,"Medium",Sales[[#This Row],[Current Upsell $]]&lt;100,"Low")</f>
        <v>Low</v>
      </c>
      <c r="R1575" t="str">
        <f>IF(Sales[[#This Row],[Current Upsell $]]&gt;0,_xlfn.CONCAT(Sales[[#This Row],[Subscription Type]]," ",Sales[[#This Row],[Upsell Priority]]," ",TEXT(Sales[[#This Row],[Current Upsell $]],"$#,#")),"")</f>
        <v>Basic Low $20</v>
      </c>
    </row>
    <row r="1576" spans="1:18" x14ac:dyDescent="0.25">
      <c r="A1576">
        <v>100162</v>
      </c>
      <c r="B1576" t="s">
        <v>3</v>
      </c>
      <c r="F1576">
        <v>0</v>
      </c>
      <c r="G1576">
        <v>2</v>
      </c>
      <c r="H1576" s="1">
        <v>44105</v>
      </c>
      <c r="I1576" s="1">
        <v>44378</v>
      </c>
      <c r="J1576">
        <v>9</v>
      </c>
      <c r="K1576">
        <v>0</v>
      </c>
      <c r="L1576" s="1">
        <v>44105</v>
      </c>
      <c r="M1576">
        <v>0</v>
      </c>
      <c r="N1576" s="8" cm="1">
        <f t="array" ref="N1576">_xlfn.SWITCH(Sales[[#This Row],[Subscription Type]],"Basic",10,"Premium",10,"Business",25,"Enterprise",27)</f>
        <v>10</v>
      </c>
      <c r="O1576">
        <f>IF(Sales[[#This Row],[Number of Users]]-Sales[[#This Row],[Licenses Bought]]&lt;0,0,Sales[[#This Row],[Number of Users]]-Sales[[#This Row],[Licenses Bought]])</f>
        <v>2</v>
      </c>
      <c r="P1576" s="8">
        <f>IF(Sales[[#This Row],[Sales Month]]=MAX(Sales[Sales Month]),Sales[[#This Row],[Non-Paying Users]]*Sales[[#This Row],[Upsell $ per Non-Paying User]],0)</f>
        <v>0</v>
      </c>
      <c r="Q1576" t="str" cm="1">
        <f t="array" ref="Q1576">_xlfn.IFS(Sales[[#This Row],[Current Upsell $]]=0,"",Sales[[#This Row],[Current Upsell $]]&gt;=400,"High",Sales[[#This Row],[Current Upsell $]]&gt;=100,"Medium",Sales[[#This Row],[Current Upsell $]]&lt;100,"Low")</f>
        <v/>
      </c>
      <c r="R1576" t="str">
        <f>IF(Sales[[#This Row],[Current Upsell $]]&gt;0,_xlfn.CONCAT(Sales[[#This Row],[Subscription Type]]," ",Sales[[#This Row],[Upsell Priority]]," ",TEXT(Sales[[#This Row],[Current Upsell $]],"$#,#")),"")</f>
        <v/>
      </c>
    </row>
    <row r="1577" spans="1:18" x14ac:dyDescent="0.25">
      <c r="A1577">
        <v>100162</v>
      </c>
      <c r="B1577" t="s">
        <v>3</v>
      </c>
      <c r="F1577">
        <v>0</v>
      </c>
      <c r="G1577">
        <v>2</v>
      </c>
      <c r="H1577" s="1">
        <v>44105</v>
      </c>
      <c r="I1577" s="1">
        <v>44378</v>
      </c>
      <c r="J1577">
        <v>9</v>
      </c>
      <c r="K1577">
        <v>0</v>
      </c>
      <c r="L1577" s="1">
        <v>44136</v>
      </c>
      <c r="M1577">
        <v>0</v>
      </c>
      <c r="N1577" s="8" cm="1">
        <f t="array" ref="N1577">_xlfn.SWITCH(Sales[[#This Row],[Subscription Type]],"Basic",10,"Premium",10,"Business",25,"Enterprise",27)</f>
        <v>10</v>
      </c>
      <c r="O1577">
        <f>IF(Sales[[#This Row],[Number of Users]]-Sales[[#This Row],[Licenses Bought]]&lt;0,0,Sales[[#This Row],[Number of Users]]-Sales[[#This Row],[Licenses Bought]])</f>
        <v>2</v>
      </c>
      <c r="P1577" s="8">
        <f>IF(Sales[[#This Row],[Sales Month]]=MAX(Sales[Sales Month]),Sales[[#This Row],[Non-Paying Users]]*Sales[[#This Row],[Upsell $ per Non-Paying User]],0)</f>
        <v>0</v>
      </c>
      <c r="Q1577" t="str" cm="1">
        <f t="array" ref="Q1577">_xlfn.IFS(Sales[[#This Row],[Current Upsell $]]=0,"",Sales[[#This Row],[Current Upsell $]]&gt;=400,"High",Sales[[#This Row],[Current Upsell $]]&gt;=100,"Medium",Sales[[#This Row],[Current Upsell $]]&lt;100,"Low")</f>
        <v/>
      </c>
      <c r="R1577" t="str">
        <f>IF(Sales[[#This Row],[Current Upsell $]]&gt;0,_xlfn.CONCAT(Sales[[#This Row],[Subscription Type]]," ",Sales[[#This Row],[Upsell Priority]]," ",TEXT(Sales[[#This Row],[Current Upsell $]],"$#,#")),"")</f>
        <v/>
      </c>
    </row>
    <row r="1578" spans="1:18" x14ac:dyDescent="0.25">
      <c r="A1578">
        <v>100162</v>
      </c>
      <c r="B1578" t="s">
        <v>3</v>
      </c>
      <c r="F1578">
        <v>0</v>
      </c>
      <c r="G1578">
        <v>2</v>
      </c>
      <c r="H1578" s="1">
        <v>44105</v>
      </c>
      <c r="I1578" s="1">
        <v>44378</v>
      </c>
      <c r="J1578">
        <v>9</v>
      </c>
      <c r="K1578">
        <v>0</v>
      </c>
      <c r="L1578" s="1">
        <v>44166</v>
      </c>
      <c r="M1578">
        <v>0</v>
      </c>
      <c r="N1578" s="8" cm="1">
        <f t="array" ref="N1578">_xlfn.SWITCH(Sales[[#This Row],[Subscription Type]],"Basic",10,"Premium",10,"Business",25,"Enterprise",27)</f>
        <v>10</v>
      </c>
      <c r="O1578">
        <f>IF(Sales[[#This Row],[Number of Users]]-Sales[[#This Row],[Licenses Bought]]&lt;0,0,Sales[[#This Row],[Number of Users]]-Sales[[#This Row],[Licenses Bought]])</f>
        <v>2</v>
      </c>
      <c r="P1578" s="8">
        <f>IF(Sales[[#This Row],[Sales Month]]=MAX(Sales[Sales Month]),Sales[[#This Row],[Non-Paying Users]]*Sales[[#This Row],[Upsell $ per Non-Paying User]],0)</f>
        <v>0</v>
      </c>
      <c r="Q1578" t="str" cm="1">
        <f t="array" ref="Q1578">_xlfn.IFS(Sales[[#This Row],[Current Upsell $]]=0,"",Sales[[#This Row],[Current Upsell $]]&gt;=400,"High",Sales[[#This Row],[Current Upsell $]]&gt;=100,"Medium",Sales[[#This Row],[Current Upsell $]]&lt;100,"Low")</f>
        <v/>
      </c>
      <c r="R1578" t="str">
        <f>IF(Sales[[#This Row],[Current Upsell $]]&gt;0,_xlfn.CONCAT(Sales[[#This Row],[Subscription Type]]," ",Sales[[#This Row],[Upsell Priority]]," ",TEXT(Sales[[#This Row],[Current Upsell $]],"$#,#")),"")</f>
        <v/>
      </c>
    </row>
    <row r="1579" spans="1:18" x14ac:dyDescent="0.25">
      <c r="A1579">
        <v>100162</v>
      </c>
      <c r="B1579" t="s">
        <v>3</v>
      </c>
      <c r="F1579">
        <v>0</v>
      </c>
      <c r="G1579">
        <v>2</v>
      </c>
      <c r="H1579" s="1">
        <v>44105</v>
      </c>
      <c r="I1579" s="1">
        <v>44378</v>
      </c>
      <c r="J1579">
        <v>9</v>
      </c>
      <c r="K1579">
        <v>0</v>
      </c>
      <c r="L1579" s="1">
        <v>44197</v>
      </c>
      <c r="M1579">
        <v>0</v>
      </c>
      <c r="N1579" s="8" cm="1">
        <f t="array" ref="N1579">_xlfn.SWITCH(Sales[[#This Row],[Subscription Type]],"Basic",10,"Premium",10,"Business",25,"Enterprise",27)</f>
        <v>10</v>
      </c>
      <c r="O1579">
        <f>IF(Sales[[#This Row],[Number of Users]]-Sales[[#This Row],[Licenses Bought]]&lt;0,0,Sales[[#This Row],[Number of Users]]-Sales[[#This Row],[Licenses Bought]])</f>
        <v>2</v>
      </c>
      <c r="P1579" s="8">
        <f>IF(Sales[[#This Row],[Sales Month]]=MAX(Sales[Sales Month]),Sales[[#This Row],[Non-Paying Users]]*Sales[[#This Row],[Upsell $ per Non-Paying User]],0)</f>
        <v>0</v>
      </c>
      <c r="Q1579" t="str" cm="1">
        <f t="array" ref="Q1579">_xlfn.IFS(Sales[[#This Row],[Current Upsell $]]=0,"",Sales[[#This Row],[Current Upsell $]]&gt;=400,"High",Sales[[#This Row],[Current Upsell $]]&gt;=100,"Medium",Sales[[#This Row],[Current Upsell $]]&lt;100,"Low")</f>
        <v/>
      </c>
      <c r="R1579" t="str">
        <f>IF(Sales[[#This Row],[Current Upsell $]]&gt;0,_xlfn.CONCAT(Sales[[#This Row],[Subscription Type]]," ",Sales[[#This Row],[Upsell Priority]]," ",TEXT(Sales[[#This Row],[Current Upsell $]],"$#,#")),"")</f>
        <v/>
      </c>
    </row>
    <row r="1580" spans="1:18" x14ac:dyDescent="0.25">
      <c r="A1580">
        <v>100162</v>
      </c>
      <c r="B1580" t="s">
        <v>3</v>
      </c>
      <c r="F1580">
        <v>0</v>
      </c>
      <c r="G1580">
        <v>2</v>
      </c>
      <c r="H1580" s="1">
        <v>44105</v>
      </c>
      <c r="I1580" s="1">
        <v>44378</v>
      </c>
      <c r="J1580">
        <v>9</v>
      </c>
      <c r="K1580">
        <v>0</v>
      </c>
      <c r="L1580" s="1">
        <v>44228</v>
      </c>
      <c r="M1580">
        <v>0</v>
      </c>
      <c r="N1580" s="8" cm="1">
        <f t="array" ref="N1580">_xlfn.SWITCH(Sales[[#This Row],[Subscription Type]],"Basic",10,"Premium",10,"Business",25,"Enterprise",27)</f>
        <v>10</v>
      </c>
      <c r="O1580">
        <f>IF(Sales[[#This Row],[Number of Users]]-Sales[[#This Row],[Licenses Bought]]&lt;0,0,Sales[[#This Row],[Number of Users]]-Sales[[#This Row],[Licenses Bought]])</f>
        <v>2</v>
      </c>
      <c r="P1580" s="8">
        <f>IF(Sales[[#This Row],[Sales Month]]=MAX(Sales[Sales Month]),Sales[[#This Row],[Non-Paying Users]]*Sales[[#This Row],[Upsell $ per Non-Paying User]],0)</f>
        <v>0</v>
      </c>
      <c r="Q1580" t="str" cm="1">
        <f t="array" ref="Q1580">_xlfn.IFS(Sales[[#This Row],[Current Upsell $]]=0,"",Sales[[#This Row],[Current Upsell $]]&gt;=400,"High",Sales[[#This Row],[Current Upsell $]]&gt;=100,"Medium",Sales[[#This Row],[Current Upsell $]]&lt;100,"Low")</f>
        <v/>
      </c>
      <c r="R1580" t="str">
        <f>IF(Sales[[#This Row],[Current Upsell $]]&gt;0,_xlfn.CONCAT(Sales[[#This Row],[Subscription Type]]," ",Sales[[#This Row],[Upsell Priority]]," ",TEXT(Sales[[#This Row],[Current Upsell $]],"$#,#")),"")</f>
        <v/>
      </c>
    </row>
    <row r="1581" spans="1:18" x14ac:dyDescent="0.25">
      <c r="A1581">
        <v>100162</v>
      </c>
      <c r="B1581" t="s">
        <v>3</v>
      </c>
      <c r="F1581">
        <v>0</v>
      </c>
      <c r="G1581">
        <v>2</v>
      </c>
      <c r="H1581" s="1">
        <v>44105</v>
      </c>
      <c r="I1581" s="1">
        <v>44378</v>
      </c>
      <c r="J1581">
        <v>9</v>
      </c>
      <c r="K1581">
        <v>0</v>
      </c>
      <c r="L1581" s="1">
        <v>44256</v>
      </c>
      <c r="M1581">
        <v>0</v>
      </c>
      <c r="N1581" s="8" cm="1">
        <f t="array" ref="N1581">_xlfn.SWITCH(Sales[[#This Row],[Subscription Type]],"Basic",10,"Premium",10,"Business",25,"Enterprise",27)</f>
        <v>10</v>
      </c>
      <c r="O1581">
        <f>IF(Sales[[#This Row],[Number of Users]]-Sales[[#This Row],[Licenses Bought]]&lt;0,0,Sales[[#This Row],[Number of Users]]-Sales[[#This Row],[Licenses Bought]])</f>
        <v>2</v>
      </c>
      <c r="P1581" s="8">
        <f>IF(Sales[[#This Row],[Sales Month]]=MAX(Sales[Sales Month]),Sales[[#This Row],[Non-Paying Users]]*Sales[[#This Row],[Upsell $ per Non-Paying User]],0)</f>
        <v>0</v>
      </c>
      <c r="Q1581" t="str" cm="1">
        <f t="array" ref="Q1581">_xlfn.IFS(Sales[[#This Row],[Current Upsell $]]=0,"",Sales[[#This Row],[Current Upsell $]]&gt;=400,"High",Sales[[#This Row],[Current Upsell $]]&gt;=100,"Medium",Sales[[#This Row],[Current Upsell $]]&lt;100,"Low")</f>
        <v/>
      </c>
      <c r="R1581" t="str">
        <f>IF(Sales[[#This Row],[Current Upsell $]]&gt;0,_xlfn.CONCAT(Sales[[#This Row],[Subscription Type]]," ",Sales[[#This Row],[Upsell Priority]]," ",TEXT(Sales[[#This Row],[Current Upsell $]],"$#,#")),"")</f>
        <v/>
      </c>
    </row>
    <row r="1582" spans="1:18" x14ac:dyDescent="0.25">
      <c r="A1582">
        <v>100162</v>
      </c>
      <c r="B1582" t="s">
        <v>3</v>
      </c>
      <c r="F1582">
        <v>0</v>
      </c>
      <c r="G1582">
        <v>2</v>
      </c>
      <c r="H1582" s="1">
        <v>44105</v>
      </c>
      <c r="I1582" s="1">
        <v>44378</v>
      </c>
      <c r="J1582">
        <v>9</v>
      </c>
      <c r="K1582">
        <v>0</v>
      </c>
      <c r="L1582" s="1">
        <v>44287</v>
      </c>
      <c r="M1582">
        <v>0</v>
      </c>
      <c r="N1582" s="8" cm="1">
        <f t="array" ref="N1582">_xlfn.SWITCH(Sales[[#This Row],[Subscription Type]],"Basic",10,"Premium",10,"Business",25,"Enterprise",27)</f>
        <v>10</v>
      </c>
      <c r="O1582">
        <f>IF(Sales[[#This Row],[Number of Users]]-Sales[[#This Row],[Licenses Bought]]&lt;0,0,Sales[[#This Row],[Number of Users]]-Sales[[#This Row],[Licenses Bought]])</f>
        <v>2</v>
      </c>
      <c r="P1582" s="8">
        <f>IF(Sales[[#This Row],[Sales Month]]=MAX(Sales[Sales Month]),Sales[[#This Row],[Non-Paying Users]]*Sales[[#This Row],[Upsell $ per Non-Paying User]],0)</f>
        <v>0</v>
      </c>
      <c r="Q1582" t="str" cm="1">
        <f t="array" ref="Q1582">_xlfn.IFS(Sales[[#This Row],[Current Upsell $]]=0,"",Sales[[#This Row],[Current Upsell $]]&gt;=400,"High",Sales[[#This Row],[Current Upsell $]]&gt;=100,"Medium",Sales[[#This Row],[Current Upsell $]]&lt;100,"Low")</f>
        <v/>
      </c>
      <c r="R1582" t="str">
        <f>IF(Sales[[#This Row],[Current Upsell $]]&gt;0,_xlfn.CONCAT(Sales[[#This Row],[Subscription Type]]," ",Sales[[#This Row],[Upsell Priority]]," ",TEXT(Sales[[#This Row],[Current Upsell $]],"$#,#")),"")</f>
        <v/>
      </c>
    </row>
    <row r="1583" spans="1:18" x14ac:dyDescent="0.25">
      <c r="A1583">
        <v>100162</v>
      </c>
      <c r="B1583" t="s">
        <v>3</v>
      </c>
      <c r="F1583">
        <v>0</v>
      </c>
      <c r="G1583">
        <v>2</v>
      </c>
      <c r="H1583" s="1">
        <v>44105</v>
      </c>
      <c r="I1583" s="1">
        <v>44378</v>
      </c>
      <c r="J1583">
        <v>9</v>
      </c>
      <c r="K1583">
        <v>0</v>
      </c>
      <c r="L1583" s="1">
        <v>44317</v>
      </c>
      <c r="M1583">
        <v>0</v>
      </c>
      <c r="N1583" s="8" cm="1">
        <f t="array" ref="N1583">_xlfn.SWITCH(Sales[[#This Row],[Subscription Type]],"Basic",10,"Premium",10,"Business",25,"Enterprise",27)</f>
        <v>10</v>
      </c>
      <c r="O1583">
        <f>IF(Sales[[#This Row],[Number of Users]]-Sales[[#This Row],[Licenses Bought]]&lt;0,0,Sales[[#This Row],[Number of Users]]-Sales[[#This Row],[Licenses Bought]])</f>
        <v>2</v>
      </c>
      <c r="P1583" s="8">
        <f>IF(Sales[[#This Row],[Sales Month]]=MAX(Sales[Sales Month]),Sales[[#This Row],[Non-Paying Users]]*Sales[[#This Row],[Upsell $ per Non-Paying User]],0)</f>
        <v>0</v>
      </c>
      <c r="Q1583" t="str" cm="1">
        <f t="array" ref="Q1583">_xlfn.IFS(Sales[[#This Row],[Current Upsell $]]=0,"",Sales[[#This Row],[Current Upsell $]]&gt;=400,"High",Sales[[#This Row],[Current Upsell $]]&gt;=100,"Medium",Sales[[#This Row],[Current Upsell $]]&lt;100,"Low")</f>
        <v/>
      </c>
      <c r="R1583" t="str">
        <f>IF(Sales[[#This Row],[Current Upsell $]]&gt;0,_xlfn.CONCAT(Sales[[#This Row],[Subscription Type]]," ",Sales[[#This Row],[Upsell Priority]]," ",TEXT(Sales[[#This Row],[Current Upsell $]],"$#,#")),"")</f>
        <v/>
      </c>
    </row>
    <row r="1584" spans="1:18" x14ac:dyDescent="0.25">
      <c r="A1584">
        <v>100162</v>
      </c>
      <c r="B1584" t="s">
        <v>3</v>
      </c>
      <c r="F1584">
        <v>0</v>
      </c>
      <c r="G1584">
        <v>2</v>
      </c>
      <c r="H1584" s="1">
        <v>44105</v>
      </c>
      <c r="I1584" s="1">
        <v>44378</v>
      </c>
      <c r="J1584">
        <v>9</v>
      </c>
      <c r="K1584">
        <v>0</v>
      </c>
      <c r="L1584" s="1">
        <v>44348</v>
      </c>
      <c r="M1584">
        <v>0</v>
      </c>
      <c r="N1584" s="8" cm="1">
        <f t="array" ref="N1584">_xlfn.SWITCH(Sales[[#This Row],[Subscription Type]],"Basic",10,"Premium",10,"Business",25,"Enterprise",27)</f>
        <v>10</v>
      </c>
      <c r="O1584">
        <f>IF(Sales[[#This Row],[Number of Users]]-Sales[[#This Row],[Licenses Bought]]&lt;0,0,Sales[[#This Row],[Number of Users]]-Sales[[#This Row],[Licenses Bought]])</f>
        <v>2</v>
      </c>
      <c r="P1584" s="8">
        <f>IF(Sales[[#This Row],[Sales Month]]=MAX(Sales[Sales Month]),Sales[[#This Row],[Non-Paying Users]]*Sales[[#This Row],[Upsell $ per Non-Paying User]],0)</f>
        <v>20</v>
      </c>
      <c r="Q1584" t="str" cm="1">
        <f t="array" ref="Q1584">_xlfn.IFS(Sales[[#This Row],[Current Upsell $]]=0,"",Sales[[#This Row],[Current Upsell $]]&gt;=400,"High",Sales[[#This Row],[Current Upsell $]]&gt;=100,"Medium",Sales[[#This Row],[Current Upsell $]]&lt;100,"Low")</f>
        <v>Low</v>
      </c>
      <c r="R1584" t="str">
        <f>IF(Sales[[#This Row],[Current Upsell $]]&gt;0,_xlfn.CONCAT(Sales[[#This Row],[Subscription Type]]," ",Sales[[#This Row],[Upsell Priority]]," ",TEXT(Sales[[#This Row],[Current Upsell $]],"$#,#")),"")</f>
        <v>Basic Low $20</v>
      </c>
    </row>
    <row r="1585" spans="1:18" x14ac:dyDescent="0.25">
      <c r="A1585">
        <v>100163</v>
      </c>
      <c r="B1585" t="s">
        <v>3</v>
      </c>
      <c r="F1585">
        <v>0</v>
      </c>
      <c r="G1585">
        <v>2</v>
      </c>
      <c r="H1585" s="1">
        <v>44105</v>
      </c>
      <c r="I1585" s="1">
        <v>44136</v>
      </c>
      <c r="J1585">
        <v>1</v>
      </c>
      <c r="K1585">
        <v>7</v>
      </c>
      <c r="L1585" s="1">
        <v>44105</v>
      </c>
      <c r="M1585">
        <v>0</v>
      </c>
      <c r="N1585" s="8" cm="1">
        <f t="array" ref="N1585">_xlfn.SWITCH(Sales[[#This Row],[Subscription Type]],"Basic",10,"Premium",10,"Business",25,"Enterprise",27)</f>
        <v>10</v>
      </c>
      <c r="O1585">
        <f>IF(Sales[[#This Row],[Number of Users]]-Sales[[#This Row],[Licenses Bought]]&lt;0,0,Sales[[#This Row],[Number of Users]]-Sales[[#This Row],[Licenses Bought]])</f>
        <v>2</v>
      </c>
      <c r="P1585" s="8">
        <f>IF(Sales[[#This Row],[Sales Month]]=MAX(Sales[Sales Month]),Sales[[#This Row],[Non-Paying Users]]*Sales[[#This Row],[Upsell $ per Non-Paying User]],0)</f>
        <v>0</v>
      </c>
      <c r="Q1585" t="str" cm="1">
        <f t="array" ref="Q1585">_xlfn.IFS(Sales[[#This Row],[Current Upsell $]]=0,"",Sales[[#This Row],[Current Upsell $]]&gt;=400,"High",Sales[[#This Row],[Current Upsell $]]&gt;=100,"Medium",Sales[[#This Row],[Current Upsell $]]&lt;100,"Low")</f>
        <v/>
      </c>
      <c r="R1585" t="str">
        <f>IF(Sales[[#This Row],[Current Upsell $]]&gt;0,_xlfn.CONCAT(Sales[[#This Row],[Subscription Type]]," ",Sales[[#This Row],[Upsell Priority]]," ",TEXT(Sales[[#This Row],[Current Upsell $]],"$#,#")),"")</f>
        <v/>
      </c>
    </row>
    <row r="1586" spans="1:18" x14ac:dyDescent="0.25">
      <c r="A1586">
        <v>100163</v>
      </c>
      <c r="B1586" t="s">
        <v>3</v>
      </c>
      <c r="F1586">
        <v>0</v>
      </c>
      <c r="G1586">
        <v>2</v>
      </c>
      <c r="H1586" s="1">
        <v>44105</v>
      </c>
      <c r="I1586" s="1">
        <v>44136</v>
      </c>
      <c r="J1586">
        <v>1</v>
      </c>
      <c r="K1586">
        <v>7</v>
      </c>
      <c r="L1586" s="1">
        <v>44136</v>
      </c>
      <c r="M1586">
        <v>0</v>
      </c>
      <c r="N1586" s="8" cm="1">
        <f t="array" ref="N1586">_xlfn.SWITCH(Sales[[#This Row],[Subscription Type]],"Basic",10,"Premium",10,"Business",25,"Enterprise",27)</f>
        <v>10</v>
      </c>
      <c r="O1586">
        <f>IF(Sales[[#This Row],[Number of Users]]-Sales[[#This Row],[Licenses Bought]]&lt;0,0,Sales[[#This Row],[Number of Users]]-Sales[[#This Row],[Licenses Bought]])</f>
        <v>2</v>
      </c>
      <c r="P1586" s="8">
        <f>IF(Sales[[#This Row],[Sales Month]]=MAX(Sales[Sales Month]),Sales[[#This Row],[Non-Paying Users]]*Sales[[#This Row],[Upsell $ per Non-Paying User]],0)</f>
        <v>0</v>
      </c>
      <c r="Q1586" t="str" cm="1">
        <f t="array" ref="Q1586">_xlfn.IFS(Sales[[#This Row],[Current Upsell $]]=0,"",Sales[[#This Row],[Current Upsell $]]&gt;=400,"High",Sales[[#This Row],[Current Upsell $]]&gt;=100,"Medium",Sales[[#This Row],[Current Upsell $]]&lt;100,"Low")</f>
        <v/>
      </c>
      <c r="R1586" t="str">
        <f>IF(Sales[[#This Row],[Current Upsell $]]&gt;0,_xlfn.CONCAT(Sales[[#This Row],[Subscription Type]]," ",Sales[[#This Row],[Upsell Priority]]," ",TEXT(Sales[[#This Row],[Current Upsell $]],"$#,#")),"")</f>
        <v/>
      </c>
    </row>
    <row r="1587" spans="1:18" x14ac:dyDescent="0.25">
      <c r="A1587">
        <v>100164</v>
      </c>
      <c r="B1587" t="s">
        <v>3</v>
      </c>
      <c r="D1587" s="1"/>
      <c r="E1587" s="1"/>
      <c r="F1587">
        <v>0</v>
      </c>
      <c r="G1587">
        <v>34</v>
      </c>
      <c r="H1587" s="1">
        <v>44136</v>
      </c>
      <c r="I1587" s="1">
        <v>44378</v>
      </c>
      <c r="J1587">
        <v>8</v>
      </c>
      <c r="K1587">
        <v>0</v>
      </c>
      <c r="L1587" s="1">
        <v>44136</v>
      </c>
      <c r="M1587">
        <v>0</v>
      </c>
      <c r="N1587" s="8" cm="1">
        <f t="array" ref="N1587">_xlfn.SWITCH(Sales[[#This Row],[Subscription Type]],"Basic",10,"Premium",10,"Business",25,"Enterprise",27)</f>
        <v>10</v>
      </c>
      <c r="O1587">
        <f>IF(Sales[[#This Row],[Number of Users]]-Sales[[#This Row],[Licenses Bought]]&lt;0,0,Sales[[#This Row],[Number of Users]]-Sales[[#This Row],[Licenses Bought]])</f>
        <v>34</v>
      </c>
      <c r="P1587" s="8">
        <f>IF(Sales[[#This Row],[Sales Month]]=MAX(Sales[Sales Month]),Sales[[#This Row],[Non-Paying Users]]*Sales[[#This Row],[Upsell $ per Non-Paying User]],0)</f>
        <v>0</v>
      </c>
      <c r="Q1587" t="str" cm="1">
        <f t="array" ref="Q1587">_xlfn.IFS(Sales[[#This Row],[Current Upsell $]]=0,"",Sales[[#This Row],[Current Upsell $]]&gt;=400,"High",Sales[[#This Row],[Current Upsell $]]&gt;=100,"Medium",Sales[[#This Row],[Current Upsell $]]&lt;100,"Low")</f>
        <v/>
      </c>
      <c r="R1587" t="str">
        <f>IF(Sales[[#This Row],[Current Upsell $]]&gt;0,_xlfn.CONCAT(Sales[[#This Row],[Subscription Type]]," ",Sales[[#This Row],[Upsell Priority]]," ",TEXT(Sales[[#This Row],[Current Upsell $]],"$#,#")),"")</f>
        <v/>
      </c>
    </row>
    <row r="1588" spans="1:18" x14ac:dyDescent="0.25">
      <c r="A1588">
        <v>100164</v>
      </c>
      <c r="B1588" t="s">
        <v>0</v>
      </c>
      <c r="D1588" s="1"/>
      <c r="E1588" s="1"/>
      <c r="F1588">
        <v>10</v>
      </c>
      <c r="G1588">
        <v>30</v>
      </c>
      <c r="H1588" s="1">
        <v>44136</v>
      </c>
      <c r="I1588" s="1">
        <v>44378</v>
      </c>
      <c r="J1588">
        <v>8</v>
      </c>
      <c r="K1588">
        <v>0</v>
      </c>
      <c r="L1588" s="1">
        <v>44166</v>
      </c>
      <c r="M1588">
        <v>100</v>
      </c>
      <c r="N1588" s="8" cm="1">
        <f t="array" ref="N1588">_xlfn.SWITCH(Sales[[#This Row],[Subscription Type]],"Basic",10,"Premium",10,"Business",25,"Enterprise",27)</f>
        <v>10</v>
      </c>
      <c r="O1588">
        <f>IF(Sales[[#This Row],[Number of Users]]-Sales[[#This Row],[Licenses Bought]]&lt;0,0,Sales[[#This Row],[Number of Users]]-Sales[[#This Row],[Licenses Bought]])</f>
        <v>20</v>
      </c>
      <c r="P1588" s="8">
        <f>IF(Sales[[#This Row],[Sales Month]]=MAX(Sales[Sales Month]),Sales[[#This Row],[Non-Paying Users]]*Sales[[#This Row],[Upsell $ per Non-Paying User]],0)</f>
        <v>0</v>
      </c>
      <c r="Q1588" t="str" cm="1">
        <f t="array" ref="Q1588">_xlfn.IFS(Sales[[#This Row],[Current Upsell $]]=0,"",Sales[[#This Row],[Current Upsell $]]&gt;=400,"High",Sales[[#This Row],[Current Upsell $]]&gt;=100,"Medium",Sales[[#This Row],[Current Upsell $]]&lt;100,"Low")</f>
        <v/>
      </c>
      <c r="R1588" t="str">
        <f>IF(Sales[[#This Row],[Current Upsell $]]&gt;0,_xlfn.CONCAT(Sales[[#This Row],[Subscription Type]]," ",Sales[[#This Row],[Upsell Priority]]," ",TEXT(Sales[[#This Row],[Current Upsell $]],"$#,#")),"")</f>
        <v/>
      </c>
    </row>
    <row r="1589" spans="1:18" x14ac:dyDescent="0.25">
      <c r="A1589">
        <v>100164</v>
      </c>
      <c r="B1589" t="s">
        <v>0</v>
      </c>
      <c r="D1589" s="1"/>
      <c r="E1589" s="1"/>
      <c r="F1589">
        <v>28</v>
      </c>
      <c r="G1589">
        <v>26</v>
      </c>
      <c r="H1589" s="1">
        <v>44136</v>
      </c>
      <c r="I1589" s="1">
        <v>44378</v>
      </c>
      <c r="J1589">
        <v>8</v>
      </c>
      <c r="K1589">
        <v>0</v>
      </c>
      <c r="L1589" s="1">
        <v>44197</v>
      </c>
      <c r="M1589">
        <v>280</v>
      </c>
      <c r="N1589" s="8" cm="1">
        <f t="array" ref="N1589">_xlfn.SWITCH(Sales[[#This Row],[Subscription Type]],"Basic",10,"Premium",10,"Business",25,"Enterprise",27)</f>
        <v>10</v>
      </c>
      <c r="O1589">
        <f>IF(Sales[[#This Row],[Number of Users]]-Sales[[#This Row],[Licenses Bought]]&lt;0,0,Sales[[#This Row],[Number of Users]]-Sales[[#This Row],[Licenses Bought]])</f>
        <v>0</v>
      </c>
      <c r="P1589" s="8">
        <f>IF(Sales[[#This Row],[Sales Month]]=MAX(Sales[Sales Month]),Sales[[#This Row],[Non-Paying Users]]*Sales[[#This Row],[Upsell $ per Non-Paying User]],0)</f>
        <v>0</v>
      </c>
      <c r="Q1589" t="str" cm="1">
        <f t="array" ref="Q1589">_xlfn.IFS(Sales[[#This Row],[Current Upsell $]]=0,"",Sales[[#This Row],[Current Upsell $]]&gt;=400,"High",Sales[[#This Row],[Current Upsell $]]&gt;=100,"Medium",Sales[[#This Row],[Current Upsell $]]&lt;100,"Low")</f>
        <v/>
      </c>
      <c r="R1589" t="str">
        <f>IF(Sales[[#This Row],[Current Upsell $]]&gt;0,_xlfn.CONCAT(Sales[[#This Row],[Subscription Type]]," ",Sales[[#This Row],[Upsell Priority]]," ",TEXT(Sales[[#This Row],[Current Upsell $]],"$#,#")),"")</f>
        <v/>
      </c>
    </row>
    <row r="1590" spans="1:18" x14ac:dyDescent="0.25">
      <c r="A1590">
        <v>100164</v>
      </c>
      <c r="B1590" t="s">
        <v>0</v>
      </c>
      <c r="D1590" s="1"/>
      <c r="E1590" s="1"/>
      <c r="F1590">
        <v>29</v>
      </c>
      <c r="G1590">
        <v>29</v>
      </c>
      <c r="H1590" s="1">
        <v>44136</v>
      </c>
      <c r="I1590" s="1">
        <v>44378</v>
      </c>
      <c r="J1590">
        <v>8</v>
      </c>
      <c r="K1590">
        <v>0</v>
      </c>
      <c r="L1590" s="1">
        <v>44228</v>
      </c>
      <c r="M1590">
        <v>290</v>
      </c>
      <c r="N1590" s="8" cm="1">
        <f t="array" ref="N1590">_xlfn.SWITCH(Sales[[#This Row],[Subscription Type]],"Basic",10,"Premium",10,"Business",25,"Enterprise",27)</f>
        <v>10</v>
      </c>
      <c r="O1590">
        <f>IF(Sales[[#This Row],[Number of Users]]-Sales[[#This Row],[Licenses Bought]]&lt;0,0,Sales[[#This Row],[Number of Users]]-Sales[[#This Row],[Licenses Bought]])</f>
        <v>0</v>
      </c>
      <c r="P1590" s="8">
        <f>IF(Sales[[#This Row],[Sales Month]]=MAX(Sales[Sales Month]),Sales[[#This Row],[Non-Paying Users]]*Sales[[#This Row],[Upsell $ per Non-Paying User]],0)</f>
        <v>0</v>
      </c>
      <c r="Q1590" t="str" cm="1">
        <f t="array" ref="Q1590">_xlfn.IFS(Sales[[#This Row],[Current Upsell $]]=0,"",Sales[[#This Row],[Current Upsell $]]&gt;=400,"High",Sales[[#This Row],[Current Upsell $]]&gt;=100,"Medium",Sales[[#This Row],[Current Upsell $]]&lt;100,"Low")</f>
        <v/>
      </c>
      <c r="R1590" t="str">
        <f>IF(Sales[[#This Row],[Current Upsell $]]&gt;0,_xlfn.CONCAT(Sales[[#This Row],[Subscription Type]]," ",Sales[[#This Row],[Upsell Priority]]," ",TEXT(Sales[[#This Row],[Current Upsell $]],"$#,#")),"")</f>
        <v/>
      </c>
    </row>
    <row r="1591" spans="1:18" x14ac:dyDescent="0.25">
      <c r="A1591">
        <v>100164</v>
      </c>
      <c r="B1591" t="s">
        <v>0</v>
      </c>
      <c r="D1591" s="1"/>
      <c r="E1591" s="1"/>
      <c r="F1591">
        <v>31</v>
      </c>
      <c r="G1591">
        <v>33</v>
      </c>
      <c r="H1591" s="1">
        <v>44136</v>
      </c>
      <c r="I1591" s="1">
        <v>44378</v>
      </c>
      <c r="J1591">
        <v>8</v>
      </c>
      <c r="K1591">
        <v>0</v>
      </c>
      <c r="L1591" s="1">
        <v>44256</v>
      </c>
      <c r="M1591">
        <v>310</v>
      </c>
      <c r="N1591" s="8" cm="1">
        <f t="array" ref="N1591">_xlfn.SWITCH(Sales[[#This Row],[Subscription Type]],"Basic",10,"Premium",10,"Business",25,"Enterprise",27)</f>
        <v>10</v>
      </c>
      <c r="O1591">
        <f>IF(Sales[[#This Row],[Number of Users]]-Sales[[#This Row],[Licenses Bought]]&lt;0,0,Sales[[#This Row],[Number of Users]]-Sales[[#This Row],[Licenses Bought]])</f>
        <v>2</v>
      </c>
      <c r="P1591" s="8">
        <f>IF(Sales[[#This Row],[Sales Month]]=MAX(Sales[Sales Month]),Sales[[#This Row],[Non-Paying Users]]*Sales[[#This Row],[Upsell $ per Non-Paying User]],0)</f>
        <v>0</v>
      </c>
      <c r="Q1591" t="str" cm="1">
        <f t="array" ref="Q1591">_xlfn.IFS(Sales[[#This Row],[Current Upsell $]]=0,"",Sales[[#This Row],[Current Upsell $]]&gt;=400,"High",Sales[[#This Row],[Current Upsell $]]&gt;=100,"Medium",Sales[[#This Row],[Current Upsell $]]&lt;100,"Low")</f>
        <v/>
      </c>
      <c r="R1591" t="str">
        <f>IF(Sales[[#This Row],[Current Upsell $]]&gt;0,_xlfn.CONCAT(Sales[[#This Row],[Subscription Type]]," ",Sales[[#This Row],[Upsell Priority]]," ",TEXT(Sales[[#This Row],[Current Upsell $]],"$#,#")),"")</f>
        <v/>
      </c>
    </row>
    <row r="1592" spans="1:18" x14ac:dyDescent="0.25">
      <c r="A1592">
        <v>100164</v>
      </c>
      <c r="B1592" t="s">
        <v>0</v>
      </c>
      <c r="D1592" s="1"/>
      <c r="E1592" s="1"/>
      <c r="F1592">
        <v>31</v>
      </c>
      <c r="G1592">
        <v>31</v>
      </c>
      <c r="H1592" s="1">
        <v>44136</v>
      </c>
      <c r="I1592" s="1">
        <v>44378</v>
      </c>
      <c r="J1592">
        <v>8</v>
      </c>
      <c r="K1592">
        <v>0</v>
      </c>
      <c r="L1592" s="1">
        <v>44287</v>
      </c>
      <c r="M1592">
        <v>310</v>
      </c>
      <c r="N1592" s="8" cm="1">
        <f t="array" ref="N1592">_xlfn.SWITCH(Sales[[#This Row],[Subscription Type]],"Basic",10,"Premium",10,"Business",25,"Enterprise",27)</f>
        <v>10</v>
      </c>
      <c r="O1592">
        <f>IF(Sales[[#This Row],[Number of Users]]-Sales[[#This Row],[Licenses Bought]]&lt;0,0,Sales[[#This Row],[Number of Users]]-Sales[[#This Row],[Licenses Bought]])</f>
        <v>0</v>
      </c>
      <c r="P1592" s="8">
        <f>IF(Sales[[#This Row],[Sales Month]]=MAX(Sales[Sales Month]),Sales[[#This Row],[Non-Paying Users]]*Sales[[#This Row],[Upsell $ per Non-Paying User]],0)</f>
        <v>0</v>
      </c>
      <c r="Q1592" t="str" cm="1">
        <f t="array" ref="Q1592">_xlfn.IFS(Sales[[#This Row],[Current Upsell $]]=0,"",Sales[[#This Row],[Current Upsell $]]&gt;=400,"High",Sales[[#This Row],[Current Upsell $]]&gt;=100,"Medium",Sales[[#This Row],[Current Upsell $]]&lt;100,"Low")</f>
        <v/>
      </c>
      <c r="R1592" t="str">
        <f>IF(Sales[[#This Row],[Current Upsell $]]&gt;0,_xlfn.CONCAT(Sales[[#This Row],[Subscription Type]]," ",Sales[[#This Row],[Upsell Priority]]," ",TEXT(Sales[[#This Row],[Current Upsell $]],"$#,#")),"")</f>
        <v/>
      </c>
    </row>
    <row r="1593" spans="1:18" x14ac:dyDescent="0.25">
      <c r="A1593">
        <v>100164</v>
      </c>
      <c r="B1593" t="s">
        <v>0</v>
      </c>
      <c r="D1593" s="1"/>
      <c r="E1593" s="1"/>
      <c r="F1593">
        <v>31</v>
      </c>
      <c r="G1593">
        <v>54</v>
      </c>
      <c r="H1593" s="1">
        <v>44136</v>
      </c>
      <c r="I1593" s="1">
        <v>44378</v>
      </c>
      <c r="J1593">
        <v>8</v>
      </c>
      <c r="K1593">
        <v>0</v>
      </c>
      <c r="L1593" s="1">
        <v>44317</v>
      </c>
      <c r="M1593">
        <v>310</v>
      </c>
      <c r="N1593" s="8" cm="1">
        <f t="array" ref="N1593">_xlfn.SWITCH(Sales[[#This Row],[Subscription Type]],"Basic",10,"Premium",10,"Business",25,"Enterprise",27)</f>
        <v>10</v>
      </c>
      <c r="O1593">
        <f>IF(Sales[[#This Row],[Number of Users]]-Sales[[#This Row],[Licenses Bought]]&lt;0,0,Sales[[#This Row],[Number of Users]]-Sales[[#This Row],[Licenses Bought]])</f>
        <v>23</v>
      </c>
      <c r="P1593" s="8">
        <f>IF(Sales[[#This Row],[Sales Month]]=MAX(Sales[Sales Month]),Sales[[#This Row],[Non-Paying Users]]*Sales[[#This Row],[Upsell $ per Non-Paying User]],0)</f>
        <v>0</v>
      </c>
      <c r="Q1593" t="str" cm="1">
        <f t="array" ref="Q1593">_xlfn.IFS(Sales[[#This Row],[Current Upsell $]]=0,"",Sales[[#This Row],[Current Upsell $]]&gt;=400,"High",Sales[[#This Row],[Current Upsell $]]&gt;=100,"Medium",Sales[[#This Row],[Current Upsell $]]&lt;100,"Low")</f>
        <v/>
      </c>
      <c r="R1593" t="str">
        <f>IF(Sales[[#This Row],[Current Upsell $]]&gt;0,_xlfn.CONCAT(Sales[[#This Row],[Subscription Type]]," ",Sales[[#This Row],[Upsell Priority]]," ",TEXT(Sales[[#This Row],[Current Upsell $]],"$#,#")),"")</f>
        <v/>
      </c>
    </row>
    <row r="1594" spans="1:18" x14ac:dyDescent="0.25">
      <c r="A1594">
        <v>100164</v>
      </c>
      <c r="B1594" t="s">
        <v>0</v>
      </c>
      <c r="D1594" s="1"/>
      <c r="E1594" s="1"/>
      <c r="F1594">
        <v>31</v>
      </c>
      <c r="G1594">
        <v>38</v>
      </c>
      <c r="H1594" s="1">
        <v>44136</v>
      </c>
      <c r="I1594" s="1">
        <v>44378</v>
      </c>
      <c r="J1594">
        <v>8</v>
      </c>
      <c r="K1594">
        <v>0</v>
      </c>
      <c r="L1594" s="1">
        <v>44348</v>
      </c>
      <c r="M1594">
        <v>310</v>
      </c>
      <c r="N1594" s="8" cm="1">
        <f t="array" ref="N1594">_xlfn.SWITCH(Sales[[#This Row],[Subscription Type]],"Basic",10,"Premium",10,"Business",25,"Enterprise",27)</f>
        <v>10</v>
      </c>
      <c r="O1594">
        <f>IF(Sales[[#This Row],[Number of Users]]-Sales[[#This Row],[Licenses Bought]]&lt;0,0,Sales[[#This Row],[Number of Users]]-Sales[[#This Row],[Licenses Bought]])</f>
        <v>7</v>
      </c>
      <c r="P1594" s="8">
        <f>IF(Sales[[#This Row],[Sales Month]]=MAX(Sales[Sales Month]),Sales[[#This Row],[Non-Paying Users]]*Sales[[#This Row],[Upsell $ per Non-Paying User]],0)</f>
        <v>70</v>
      </c>
      <c r="Q1594" t="str" cm="1">
        <f t="array" ref="Q1594">_xlfn.IFS(Sales[[#This Row],[Current Upsell $]]=0,"",Sales[[#This Row],[Current Upsell $]]&gt;=400,"High",Sales[[#This Row],[Current Upsell $]]&gt;=100,"Medium",Sales[[#This Row],[Current Upsell $]]&lt;100,"Low")</f>
        <v>Low</v>
      </c>
      <c r="R1594" t="str">
        <f>IF(Sales[[#This Row],[Current Upsell $]]&gt;0,_xlfn.CONCAT(Sales[[#This Row],[Subscription Type]]," ",Sales[[#This Row],[Upsell Priority]]," ",TEXT(Sales[[#This Row],[Current Upsell $]],"$#,#")),"")</f>
        <v>Premium Low $70</v>
      </c>
    </row>
    <row r="1595" spans="1:18" x14ac:dyDescent="0.25">
      <c r="A1595">
        <v>100165</v>
      </c>
      <c r="B1595" t="s">
        <v>3</v>
      </c>
      <c r="D1595" s="1"/>
      <c r="E1595" s="1"/>
      <c r="F1595">
        <v>0</v>
      </c>
      <c r="G1595">
        <v>42</v>
      </c>
      <c r="H1595" s="1">
        <v>44136</v>
      </c>
      <c r="I1595" s="1">
        <v>44378</v>
      </c>
      <c r="J1595">
        <v>8</v>
      </c>
      <c r="K1595">
        <v>0</v>
      </c>
      <c r="L1595" s="1">
        <v>44136</v>
      </c>
      <c r="M1595">
        <v>0</v>
      </c>
      <c r="N1595" s="8" cm="1">
        <f t="array" ref="N1595">_xlfn.SWITCH(Sales[[#This Row],[Subscription Type]],"Basic",10,"Premium",10,"Business",25,"Enterprise",27)</f>
        <v>10</v>
      </c>
      <c r="O1595">
        <f>IF(Sales[[#This Row],[Number of Users]]-Sales[[#This Row],[Licenses Bought]]&lt;0,0,Sales[[#This Row],[Number of Users]]-Sales[[#This Row],[Licenses Bought]])</f>
        <v>42</v>
      </c>
      <c r="P1595" s="8">
        <f>IF(Sales[[#This Row],[Sales Month]]=MAX(Sales[Sales Month]),Sales[[#This Row],[Non-Paying Users]]*Sales[[#This Row],[Upsell $ per Non-Paying User]],0)</f>
        <v>0</v>
      </c>
      <c r="Q1595" t="str" cm="1">
        <f t="array" ref="Q1595">_xlfn.IFS(Sales[[#This Row],[Current Upsell $]]=0,"",Sales[[#This Row],[Current Upsell $]]&gt;=400,"High",Sales[[#This Row],[Current Upsell $]]&gt;=100,"Medium",Sales[[#This Row],[Current Upsell $]]&lt;100,"Low")</f>
        <v/>
      </c>
      <c r="R1595" t="str">
        <f>IF(Sales[[#This Row],[Current Upsell $]]&gt;0,_xlfn.CONCAT(Sales[[#This Row],[Subscription Type]]," ",Sales[[#This Row],[Upsell Priority]]," ",TEXT(Sales[[#This Row],[Current Upsell $]],"$#,#")),"")</f>
        <v/>
      </c>
    </row>
    <row r="1596" spans="1:18" x14ac:dyDescent="0.25">
      <c r="A1596">
        <v>100165</v>
      </c>
      <c r="B1596" t="s">
        <v>0</v>
      </c>
      <c r="D1596" s="1"/>
      <c r="E1596" s="1"/>
      <c r="F1596">
        <v>16</v>
      </c>
      <c r="G1596">
        <v>43</v>
      </c>
      <c r="H1596" s="1">
        <v>44136</v>
      </c>
      <c r="I1596" s="1">
        <v>44378</v>
      </c>
      <c r="J1596">
        <v>8</v>
      </c>
      <c r="K1596">
        <v>0</v>
      </c>
      <c r="L1596" s="1">
        <v>44166</v>
      </c>
      <c r="M1596">
        <v>160</v>
      </c>
      <c r="N1596" s="8" cm="1">
        <f t="array" ref="N1596">_xlfn.SWITCH(Sales[[#This Row],[Subscription Type]],"Basic",10,"Premium",10,"Business",25,"Enterprise",27)</f>
        <v>10</v>
      </c>
      <c r="O1596">
        <f>IF(Sales[[#This Row],[Number of Users]]-Sales[[#This Row],[Licenses Bought]]&lt;0,0,Sales[[#This Row],[Number of Users]]-Sales[[#This Row],[Licenses Bought]])</f>
        <v>27</v>
      </c>
      <c r="P1596" s="8">
        <f>IF(Sales[[#This Row],[Sales Month]]=MAX(Sales[Sales Month]),Sales[[#This Row],[Non-Paying Users]]*Sales[[#This Row],[Upsell $ per Non-Paying User]],0)</f>
        <v>0</v>
      </c>
      <c r="Q1596" t="str" cm="1">
        <f t="array" ref="Q1596">_xlfn.IFS(Sales[[#This Row],[Current Upsell $]]=0,"",Sales[[#This Row],[Current Upsell $]]&gt;=400,"High",Sales[[#This Row],[Current Upsell $]]&gt;=100,"Medium",Sales[[#This Row],[Current Upsell $]]&lt;100,"Low")</f>
        <v/>
      </c>
      <c r="R1596" t="str">
        <f>IF(Sales[[#This Row],[Current Upsell $]]&gt;0,_xlfn.CONCAT(Sales[[#This Row],[Subscription Type]]," ",Sales[[#This Row],[Upsell Priority]]," ",TEXT(Sales[[#This Row],[Current Upsell $]],"$#,#")),"")</f>
        <v/>
      </c>
    </row>
    <row r="1597" spans="1:18" x14ac:dyDescent="0.25">
      <c r="A1597">
        <v>100165</v>
      </c>
      <c r="B1597" t="s">
        <v>0</v>
      </c>
      <c r="D1597" s="1"/>
      <c r="E1597" s="1"/>
      <c r="F1597">
        <v>16</v>
      </c>
      <c r="G1597">
        <v>39</v>
      </c>
      <c r="H1597" s="1">
        <v>44136</v>
      </c>
      <c r="I1597" s="1">
        <v>44378</v>
      </c>
      <c r="J1597">
        <v>8</v>
      </c>
      <c r="K1597">
        <v>0</v>
      </c>
      <c r="L1597" s="1">
        <v>44197</v>
      </c>
      <c r="M1597">
        <v>160</v>
      </c>
      <c r="N1597" s="8" cm="1">
        <f t="array" ref="N1597">_xlfn.SWITCH(Sales[[#This Row],[Subscription Type]],"Basic",10,"Premium",10,"Business",25,"Enterprise",27)</f>
        <v>10</v>
      </c>
      <c r="O1597">
        <f>IF(Sales[[#This Row],[Number of Users]]-Sales[[#This Row],[Licenses Bought]]&lt;0,0,Sales[[#This Row],[Number of Users]]-Sales[[#This Row],[Licenses Bought]])</f>
        <v>23</v>
      </c>
      <c r="P1597" s="8">
        <f>IF(Sales[[#This Row],[Sales Month]]=MAX(Sales[Sales Month]),Sales[[#This Row],[Non-Paying Users]]*Sales[[#This Row],[Upsell $ per Non-Paying User]],0)</f>
        <v>0</v>
      </c>
      <c r="Q1597" t="str" cm="1">
        <f t="array" ref="Q1597">_xlfn.IFS(Sales[[#This Row],[Current Upsell $]]=0,"",Sales[[#This Row],[Current Upsell $]]&gt;=400,"High",Sales[[#This Row],[Current Upsell $]]&gt;=100,"Medium",Sales[[#This Row],[Current Upsell $]]&lt;100,"Low")</f>
        <v/>
      </c>
      <c r="R1597" t="str">
        <f>IF(Sales[[#This Row],[Current Upsell $]]&gt;0,_xlfn.CONCAT(Sales[[#This Row],[Subscription Type]]," ",Sales[[#This Row],[Upsell Priority]]," ",TEXT(Sales[[#This Row],[Current Upsell $]],"$#,#")),"")</f>
        <v/>
      </c>
    </row>
    <row r="1598" spans="1:18" x14ac:dyDescent="0.25">
      <c r="A1598">
        <v>100165</v>
      </c>
      <c r="B1598" t="s">
        <v>0</v>
      </c>
      <c r="D1598" s="1"/>
      <c r="E1598" s="1"/>
      <c r="F1598">
        <v>25</v>
      </c>
      <c r="G1598">
        <v>34</v>
      </c>
      <c r="H1598" s="1">
        <v>44136</v>
      </c>
      <c r="I1598" s="1">
        <v>44378</v>
      </c>
      <c r="J1598">
        <v>8</v>
      </c>
      <c r="K1598">
        <v>0</v>
      </c>
      <c r="L1598" s="1">
        <v>44228</v>
      </c>
      <c r="M1598">
        <v>250</v>
      </c>
      <c r="N1598" s="8" cm="1">
        <f t="array" ref="N1598">_xlfn.SWITCH(Sales[[#This Row],[Subscription Type]],"Basic",10,"Premium",10,"Business",25,"Enterprise",27)</f>
        <v>10</v>
      </c>
      <c r="O1598">
        <f>IF(Sales[[#This Row],[Number of Users]]-Sales[[#This Row],[Licenses Bought]]&lt;0,0,Sales[[#This Row],[Number of Users]]-Sales[[#This Row],[Licenses Bought]])</f>
        <v>9</v>
      </c>
      <c r="P1598" s="8">
        <f>IF(Sales[[#This Row],[Sales Month]]=MAX(Sales[Sales Month]),Sales[[#This Row],[Non-Paying Users]]*Sales[[#This Row],[Upsell $ per Non-Paying User]],0)</f>
        <v>0</v>
      </c>
      <c r="Q1598" t="str" cm="1">
        <f t="array" ref="Q1598">_xlfn.IFS(Sales[[#This Row],[Current Upsell $]]=0,"",Sales[[#This Row],[Current Upsell $]]&gt;=400,"High",Sales[[#This Row],[Current Upsell $]]&gt;=100,"Medium",Sales[[#This Row],[Current Upsell $]]&lt;100,"Low")</f>
        <v/>
      </c>
      <c r="R1598" t="str">
        <f>IF(Sales[[#This Row],[Current Upsell $]]&gt;0,_xlfn.CONCAT(Sales[[#This Row],[Subscription Type]]," ",Sales[[#This Row],[Upsell Priority]]," ",TEXT(Sales[[#This Row],[Current Upsell $]],"$#,#")),"")</f>
        <v/>
      </c>
    </row>
    <row r="1599" spans="1:18" x14ac:dyDescent="0.25">
      <c r="A1599">
        <v>100165</v>
      </c>
      <c r="B1599" t="s">
        <v>0</v>
      </c>
      <c r="D1599" s="1"/>
      <c r="E1599" s="1"/>
      <c r="F1599">
        <v>29</v>
      </c>
      <c r="G1599">
        <v>35</v>
      </c>
      <c r="H1599" s="1">
        <v>44136</v>
      </c>
      <c r="I1599" s="1">
        <v>44378</v>
      </c>
      <c r="J1599">
        <v>8</v>
      </c>
      <c r="K1599">
        <v>0</v>
      </c>
      <c r="L1599" s="1">
        <v>44256</v>
      </c>
      <c r="M1599">
        <v>290</v>
      </c>
      <c r="N1599" s="8" cm="1">
        <f t="array" ref="N1599">_xlfn.SWITCH(Sales[[#This Row],[Subscription Type]],"Basic",10,"Premium",10,"Business",25,"Enterprise",27)</f>
        <v>10</v>
      </c>
      <c r="O1599">
        <f>IF(Sales[[#This Row],[Number of Users]]-Sales[[#This Row],[Licenses Bought]]&lt;0,0,Sales[[#This Row],[Number of Users]]-Sales[[#This Row],[Licenses Bought]])</f>
        <v>6</v>
      </c>
      <c r="P1599" s="8">
        <f>IF(Sales[[#This Row],[Sales Month]]=MAX(Sales[Sales Month]),Sales[[#This Row],[Non-Paying Users]]*Sales[[#This Row],[Upsell $ per Non-Paying User]],0)</f>
        <v>0</v>
      </c>
      <c r="Q1599" t="str" cm="1">
        <f t="array" ref="Q1599">_xlfn.IFS(Sales[[#This Row],[Current Upsell $]]=0,"",Sales[[#This Row],[Current Upsell $]]&gt;=400,"High",Sales[[#This Row],[Current Upsell $]]&gt;=100,"Medium",Sales[[#This Row],[Current Upsell $]]&lt;100,"Low")</f>
        <v/>
      </c>
      <c r="R1599" t="str">
        <f>IF(Sales[[#This Row],[Current Upsell $]]&gt;0,_xlfn.CONCAT(Sales[[#This Row],[Subscription Type]]," ",Sales[[#This Row],[Upsell Priority]]," ",TEXT(Sales[[#This Row],[Current Upsell $]],"$#,#")),"")</f>
        <v/>
      </c>
    </row>
    <row r="1600" spans="1:18" x14ac:dyDescent="0.25">
      <c r="A1600">
        <v>100165</v>
      </c>
      <c r="B1600" t="s">
        <v>0</v>
      </c>
      <c r="D1600" s="1"/>
      <c r="E1600" s="1"/>
      <c r="F1600">
        <v>29</v>
      </c>
      <c r="G1600">
        <v>31</v>
      </c>
      <c r="H1600" s="1">
        <v>44136</v>
      </c>
      <c r="I1600" s="1">
        <v>44378</v>
      </c>
      <c r="J1600">
        <v>8</v>
      </c>
      <c r="K1600">
        <v>0</v>
      </c>
      <c r="L1600" s="1">
        <v>44287</v>
      </c>
      <c r="M1600">
        <v>290</v>
      </c>
      <c r="N1600" s="8" cm="1">
        <f t="array" ref="N1600">_xlfn.SWITCH(Sales[[#This Row],[Subscription Type]],"Basic",10,"Premium",10,"Business",25,"Enterprise",27)</f>
        <v>10</v>
      </c>
      <c r="O1600">
        <f>IF(Sales[[#This Row],[Number of Users]]-Sales[[#This Row],[Licenses Bought]]&lt;0,0,Sales[[#This Row],[Number of Users]]-Sales[[#This Row],[Licenses Bought]])</f>
        <v>2</v>
      </c>
      <c r="P1600" s="8">
        <f>IF(Sales[[#This Row],[Sales Month]]=MAX(Sales[Sales Month]),Sales[[#This Row],[Non-Paying Users]]*Sales[[#This Row],[Upsell $ per Non-Paying User]],0)</f>
        <v>0</v>
      </c>
      <c r="Q1600" t="str" cm="1">
        <f t="array" ref="Q1600">_xlfn.IFS(Sales[[#This Row],[Current Upsell $]]=0,"",Sales[[#This Row],[Current Upsell $]]&gt;=400,"High",Sales[[#This Row],[Current Upsell $]]&gt;=100,"Medium",Sales[[#This Row],[Current Upsell $]]&lt;100,"Low")</f>
        <v/>
      </c>
      <c r="R1600" t="str">
        <f>IF(Sales[[#This Row],[Current Upsell $]]&gt;0,_xlfn.CONCAT(Sales[[#This Row],[Subscription Type]]," ",Sales[[#This Row],[Upsell Priority]]," ",TEXT(Sales[[#This Row],[Current Upsell $]],"$#,#")),"")</f>
        <v/>
      </c>
    </row>
    <row r="1601" spans="1:18" x14ac:dyDescent="0.25">
      <c r="A1601">
        <v>100165</v>
      </c>
      <c r="B1601" t="s">
        <v>0</v>
      </c>
      <c r="D1601" s="1"/>
      <c r="E1601" s="1"/>
      <c r="F1601">
        <v>29</v>
      </c>
      <c r="G1601">
        <v>32</v>
      </c>
      <c r="H1601" s="1">
        <v>44136</v>
      </c>
      <c r="I1601" s="1">
        <v>44378</v>
      </c>
      <c r="J1601">
        <v>8</v>
      </c>
      <c r="K1601">
        <v>0</v>
      </c>
      <c r="L1601" s="1">
        <v>44317</v>
      </c>
      <c r="M1601">
        <v>290</v>
      </c>
      <c r="N1601" s="8" cm="1">
        <f t="array" ref="N1601">_xlfn.SWITCH(Sales[[#This Row],[Subscription Type]],"Basic",10,"Premium",10,"Business",25,"Enterprise",27)</f>
        <v>10</v>
      </c>
      <c r="O1601">
        <f>IF(Sales[[#This Row],[Number of Users]]-Sales[[#This Row],[Licenses Bought]]&lt;0,0,Sales[[#This Row],[Number of Users]]-Sales[[#This Row],[Licenses Bought]])</f>
        <v>3</v>
      </c>
      <c r="P1601" s="8">
        <f>IF(Sales[[#This Row],[Sales Month]]=MAX(Sales[Sales Month]),Sales[[#This Row],[Non-Paying Users]]*Sales[[#This Row],[Upsell $ per Non-Paying User]],0)</f>
        <v>0</v>
      </c>
      <c r="Q1601" t="str" cm="1">
        <f t="array" ref="Q1601">_xlfn.IFS(Sales[[#This Row],[Current Upsell $]]=0,"",Sales[[#This Row],[Current Upsell $]]&gt;=400,"High",Sales[[#This Row],[Current Upsell $]]&gt;=100,"Medium",Sales[[#This Row],[Current Upsell $]]&lt;100,"Low")</f>
        <v/>
      </c>
      <c r="R1601" t="str">
        <f>IF(Sales[[#This Row],[Current Upsell $]]&gt;0,_xlfn.CONCAT(Sales[[#This Row],[Subscription Type]]," ",Sales[[#This Row],[Upsell Priority]]," ",TEXT(Sales[[#This Row],[Current Upsell $]],"$#,#")),"")</f>
        <v/>
      </c>
    </row>
    <row r="1602" spans="1:18" x14ac:dyDescent="0.25">
      <c r="A1602">
        <v>100165</v>
      </c>
      <c r="B1602" t="s">
        <v>0</v>
      </c>
      <c r="D1602" s="1"/>
      <c r="E1602" s="1"/>
      <c r="F1602">
        <v>29</v>
      </c>
      <c r="G1602">
        <v>35</v>
      </c>
      <c r="H1602" s="1">
        <v>44136</v>
      </c>
      <c r="I1602" s="1">
        <v>44378</v>
      </c>
      <c r="J1602">
        <v>8</v>
      </c>
      <c r="K1602">
        <v>0</v>
      </c>
      <c r="L1602" s="1">
        <v>44348</v>
      </c>
      <c r="M1602">
        <v>290</v>
      </c>
      <c r="N1602" s="8" cm="1">
        <f t="array" ref="N1602">_xlfn.SWITCH(Sales[[#This Row],[Subscription Type]],"Basic",10,"Premium",10,"Business",25,"Enterprise",27)</f>
        <v>10</v>
      </c>
      <c r="O1602">
        <f>IF(Sales[[#This Row],[Number of Users]]-Sales[[#This Row],[Licenses Bought]]&lt;0,0,Sales[[#This Row],[Number of Users]]-Sales[[#This Row],[Licenses Bought]])</f>
        <v>6</v>
      </c>
      <c r="P1602" s="8">
        <f>IF(Sales[[#This Row],[Sales Month]]=MAX(Sales[Sales Month]),Sales[[#This Row],[Non-Paying Users]]*Sales[[#This Row],[Upsell $ per Non-Paying User]],0)</f>
        <v>60</v>
      </c>
      <c r="Q1602" t="str" cm="1">
        <f t="array" ref="Q1602">_xlfn.IFS(Sales[[#This Row],[Current Upsell $]]=0,"",Sales[[#This Row],[Current Upsell $]]&gt;=400,"High",Sales[[#This Row],[Current Upsell $]]&gt;=100,"Medium",Sales[[#This Row],[Current Upsell $]]&lt;100,"Low")</f>
        <v>Low</v>
      </c>
      <c r="R1602" t="str">
        <f>IF(Sales[[#This Row],[Current Upsell $]]&gt;0,_xlfn.CONCAT(Sales[[#This Row],[Subscription Type]]," ",Sales[[#This Row],[Upsell Priority]]," ",TEXT(Sales[[#This Row],[Current Upsell $]],"$#,#")),"")</f>
        <v>Premium Low $60</v>
      </c>
    </row>
    <row r="1603" spans="1:18" x14ac:dyDescent="0.25">
      <c r="A1603">
        <v>100166</v>
      </c>
      <c r="B1603" t="s">
        <v>3</v>
      </c>
      <c r="D1603" s="1"/>
      <c r="E1603" s="1"/>
      <c r="F1603">
        <v>0</v>
      </c>
      <c r="G1603">
        <v>21</v>
      </c>
      <c r="H1603" s="1">
        <v>44136</v>
      </c>
      <c r="I1603" s="1">
        <v>44378</v>
      </c>
      <c r="J1603">
        <v>8</v>
      </c>
      <c r="K1603">
        <v>0</v>
      </c>
      <c r="L1603" s="1">
        <v>44136</v>
      </c>
      <c r="M1603">
        <v>0</v>
      </c>
      <c r="N1603" s="8" cm="1">
        <f t="array" ref="N1603">_xlfn.SWITCH(Sales[[#This Row],[Subscription Type]],"Basic",10,"Premium",10,"Business",25,"Enterprise",27)</f>
        <v>10</v>
      </c>
      <c r="O1603">
        <f>IF(Sales[[#This Row],[Number of Users]]-Sales[[#This Row],[Licenses Bought]]&lt;0,0,Sales[[#This Row],[Number of Users]]-Sales[[#This Row],[Licenses Bought]])</f>
        <v>21</v>
      </c>
      <c r="P1603" s="8">
        <f>IF(Sales[[#This Row],[Sales Month]]=MAX(Sales[Sales Month]),Sales[[#This Row],[Non-Paying Users]]*Sales[[#This Row],[Upsell $ per Non-Paying User]],0)</f>
        <v>0</v>
      </c>
      <c r="Q1603" t="str" cm="1">
        <f t="array" ref="Q1603">_xlfn.IFS(Sales[[#This Row],[Current Upsell $]]=0,"",Sales[[#This Row],[Current Upsell $]]&gt;=400,"High",Sales[[#This Row],[Current Upsell $]]&gt;=100,"Medium",Sales[[#This Row],[Current Upsell $]]&lt;100,"Low")</f>
        <v/>
      </c>
      <c r="R1603" t="str">
        <f>IF(Sales[[#This Row],[Current Upsell $]]&gt;0,_xlfn.CONCAT(Sales[[#This Row],[Subscription Type]]," ",Sales[[#This Row],[Upsell Priority]]," ",TEXT(Sales[[#This Row],[Current Upsell $]],"$#,#")),"")</f>
        <v/>
      </c>
    </row>
    <row r="1604" spans="1:18" x14ac:dyDescent="0.25">
      <c r="A1604">
        <v>100166</v>
      </c>
      <c r="B1604" t="s">
        <v>0</v>
      </c>
      <c r="D1604" s="1"/>
      <c r="E1604" s="1"/>
      <c r="F1604">
        <v>6</v>
      </c>
      <c r="G1604">
        <v>17</v>
      </c>
      <c r="H1604" s="1">
        <v>44136</v>
      </c>
      <c r="I1604" s="1">
        <v>44378</v>
      </c>
      <c r="J1604">
        <v>8</v>
      </c>
      <c r="K1604">
        <v>0</v>
      </c>
      <c r="L1604" s="1">
        <v>44166</v>
      </c>
      <c r="M1604">
        <v>60</v>
      </c>
      <c r="N1604" s="8" cm="1">
        <f t="array" ref="N1604">_xlfn.SWITCH(Sales[[#This Row],[Subscription Type]],"Basic",10,"Premium",10,"Business",25,"Enterprise",27)</f>
        <v>10</v>
      </c>
      <c r="O1604">
        <f>IF(Sales[[#This Row],[Number of Users]]-Sales[[#This Row],[Licenses Bought]]&lt;0,0,Sales[[#This Row],[Number of Users]]-Sales[[#This Row],[Licenses Bought]])</f>
        <v>11</v>
      </c>
      <c r="P1604" s="8">
        <f>IF(Sales[[#This Row],[Sales Month]]=MAX(Sales[Sales Month]),Sales[[#This Row],[Non-Paying Users]]*Sales[[#This Row],[Upsell $ per Non-Paying User]],0)</f>
        <v>0</v>
      </c>
      <c r="Q1604" t="str" cm="1">
        <f t="array" ref="Q1604">_xlfn.IFS(Sales[[#This Row],[Current Upsell $]]=0,"",Sales[[#This Row],[Current Upsell $]]&gt;=400,"High",Sales[[#This Row],[Current Upsell $]]&gt;=100,"Medium",Sales[[#This Row],[Current Upsell $]]&lt;100,"Low")</f>
        <v/>
      </c>
      <c r="R1604" t="str">
        <f>IF(Sales[[#This Row],[Current Upsell $]]&gt;0,_xlfn.CONCAT(Sales[[#This Row],[Subscription Type]]," ",Sales[[#This Row],[Upsell Priority]]," ",TEXT(Sales[[#This Row],[Current Upsell $]],"$#,#")),"")</f>
        <v/>
      </c>
    </row>
    <row r="1605" spans="1:18" x14ac:dyDescent="0.25">
      <c r="A1605">
        <v>100166</v>
      </c>
      <c r="B1605" t="s">
        <v>0</v>
      </c>
      <c r="D1605" s="1"/>
      <c r="E1605" s="1"/>
      <c r="F1605">
        <v>10</v>
      </c>
      <c r="G1605">
        <v>20</v>
      </c>
      <c r="H1605" s="1">
        <v>44136</v>
      </c>
      <c r="I1605" s="1">
        <v>44378</v>
      </c>
      <c r="J1605">
        <v>8</v>
      </c>
      <c r="K1605">
        <v>0</v>
      </c>
      <c r="L1605" s="1">
        <v>44197</v>
      </c>
      <c r="M1605">
        <v>100</v>
      </c>
      <c r="N1605" s="8" cm="1">
        <f t="array" ref="N1605">_xlfn.SWITCH(Sales[[#This Row],[Subscription Type]],"Basic",10,"Premium",10,"Business",25,"Enterprise",27)</f>
        <v>10</v>
      </c>
      <c r="O1605">
        <f>IF(Sales[[#This Row],[Number of Users]]-Sales[[#This Row],[Licenses Bought]]&lt;0,0,Sales[[#This Row],[Number of Users]]-Sales[[#This Row],[Licenses Bought]])</f>
        <v>10</v>
      </c>
      <c r="P1605" s="8">
        <f>IF(Sales[[#This Row],[Sales Month]]=MAX(Sales[Sales Month]),Sales[[#This Row],[Non-Paying Users]]*Sales[[#This Row],[Upsell $ per Non-Paying User]],0)</f>
        <v>0</v>
      </c>
      <c r="Q1605" t="str" cm="1">
        <f t="array" ref="Q1605">_xlfn.IFS(Sales[[#This Row],[Current Upsell $]]=0,"",Sales[[#This Row],[Current Upsell $]]&gt;=400,"High",Sales[[#This Row],[Current Upsell $]]&gt;=100,"Medium",Sales[[#This Row],[Current Upsell $]]&lt;100,"Low")</f>
        <v/>
      </c>
      <c r="R1605" t="str">
        <f>IF(Sales[[#This Row],[Current Upsell $]]&gt;0,_xlfn.CONCAT(Sales[[#This Row],[Subscription Type]]," ",Sales[[#This Row],[Upsell Priority]]," ",TEXT(Sales[[#This Row],[Current Upsell $]],"$#,#")),"")</f>
        <v/>
      </c>
    </row>
    <row r="1606" spans="1:18" x14ac:dyDescent="0.25">
      <c r="A1606">
        <v>100166</v>
      </c>
      <c r="B1606" t="s">
        <v>0</v>
      </c>
      <c r="D1606" s="1"/>
      <c r="E1606" s="1"/>
      <c r="F1606">
        <v>16</v>
      </c>
      <c r="G1606">
        <v>27</v>
      </c>
      <c r="H1606" s="1">
        <v>44136</v>
      </c>
      <c r="I1606" s="1">
        <v>44378</v>
      </c>
      <c r="J1606">
        <v>8</v>
      </c>
      <c r="K1606">
        <v>0</v>
      </c>
      <c r="L1606" s="1">
        <v>44228</v>
      </c>
      <c r="M1606">
        <v>160</v>
      </c>
      <c r="N1606" s="8" cm="1">
        <f t="array" ref="N1606">_xlfn.SWITCH(Sales[[#This Row],[Subscription Type]],"Basic",10,"Premium",10,"Business",25,"Enterprise",27)</f>
        <v>10</v>
      </c>
      <c r="O1606">
        <f>IF(Sales[[#This Row],[Number of Users]]-Sales[[#This Row],[Licenses Bought]]&lt;0,0,Sales[[#This Row],[Number of Users]]-Sales[[#This Row],[Licenses Bought]])</f>
        <v>11</v>
      </c>
      <c r="P1606" s="8">
        <f>IF(Sales[[#This Row],[Sales Month]]=MAX(Sales[Sales Month]),Sales[[#This Row],[Non-Paying Users]]*Sales[[#This Row],[Upsell $ per Non-Paying User]],0)</f>
        <v>0</v>
      </c>
      <c r="Q1606" t="str" cm="1">
        <f t="array" ref="Q1606">_xlfn.IFS(Sales[[#This Row],[Current Upsell $]]=0,"",Sales[[#This Row],[Current Upsell $]]&gt;=400,"High",Sales[[#This Row],[Current Upsell $]]&gt;=100,"Medium",Sales[[#This Row],[Current Upsell $]]&lt;100,"Low")</f>
        <v/>
      </c>
      <c r="R1606" t="str">
        <f>IF(Sales[[#This Row],[Current Upsell $]]&gt;0,_xlfn.CONCAT(Sales[[#This Row],[Subscription Type]]," ",Sales[[#This Row],[Upsell Priority]]," ",TEXT(Sales[[#This Row],[Current Upsell $]],"$#,#")),"")</f>
        <v/>
      </c>
    </row>
    <row r="1607" spans="1:18" x14ac:dyDescent="0.25">
      <c r="A1607">
        <v>100166</v>
      </c>
      <c r="B1607" t="s">
        <v>0</v>
      </c>
      <c r="D1607" s="1"/>
      <c r="E1607" s="1"/>
      <c r="F1607">
        <v>17</v>
      </c>
      <c r="G1607">
        <v>15</v>
      </c>
      <c r="H1607" s="1">
        <v>44136</v>
      </c>
      <c r="I1607" s="1">
        <v>44378</v>
      </c>
      <c r="J1607">
        <v>8</v>
      </c>
      <c r="K1607">
        <v>0</v>
      </c>
      <c r="L1607" s="1">
        <v>44256</v>
      </c>
      <c r="M1607">
        <v>170</v>
      </c>
      <c r="N1607" s="8" cm="1">
        <f t="array" ref="N1607">_xlfn.SWITCH(Sales[[#This Row],[Subscription Type]],"Basic",10,"Premium",10,"Business",25,"Enterprise",27)</f>
        <v>10</v>
      </c>
      <c r="O1607">
        <f>IF(Sales[[#This Row],[Number of Users]]-Sales[[#This Row],[Licenses Bought]]&lt;0,0,Sales[[#This Row],[Number of Users]]-Sales[[#This Row],[Licenses Bought]])</f>
        <v>0</v>
      </c>
      <c r="P1607" s="8">
        <f>IF(Sales[[#This Row],[Sales Month]]=MAX(Sales[Sales Month]),Sales[[#This Row],[Non-Paying Users]]*Sales[[#This Row],[Upsell $ per Non-Paying User]],0)</f>
        <v>0</v>
      </c>
      <c r="Q1607" t="str" cm="1">
        <f t="array" ref="Q1607">_xlfn.IFS(Sales[[#This Row],[Current Upsell $]]=0,"",Sales[[#This Row],[Current Upsell $]]&gt;=400,"High",Sales[[#This Row],[Current Upsell $]]&gt;=100,"Medium",Sales[[#This Row],[Current Upsell $]]&lt;100,"Low")</f>
        <v/>
      </c>
      <c r="R1607" t="str">
        <f>IF(Sales[[#This Row],[Current Upsell $]]&gt;0,_xlfn.CONCAT(Sales[[#This Row],[Subscription Type]]," ",Sales[[#This Row],[Upsell Priority]]," ",TEXT(Sales[[#This Row],[Current Upsell $]],"$#,#")),"")</f>
        <v/>
      </c>
    </row>
    <row r="1608" spans="1:18" x14ac:dyDescent="0.25">
      <c r="A1608">
        <v>100166</v>
      </c>
      <c r="B1608" t="s">
        <v>0</v>
      </c>
      <c r="D1608" s="1"/>
      <c r="E1608" s="1"/>
      <c r="F1608">
        <v>17</v>
      </c>
      <c r="G1608">
        <v>23</v>
      </c>
      <c r="H1608" s="1">
        <v>44136</v>
      </c>
      <c r="I1608" s="1">
        <v>44378</v>
      </c>
      <c r="J1608">
        <v>8</v>
      </c>
      <c r="K1608">
        <v>0</v>
      </c>
      <c r="L1608" s="1">
        <v>44287</v>
      </c>
      <c r="M1608">
        <v>170</v>
      </c>
      <c r="N1608" s="8" cm="1">
        <f t="array" ref="N1608">_xlfn.SWITCH(Sales[[#This Row],[Subscription Type]],"Basic",10,"Premium",10,"Business",25,"Enterprise",27)</f>
        <v>10</v>
      </c>
      <c r="O1608">
        <f>IF(Sales[[#This Row],[Number of Users]]-Sales[[#This Row],[Licenses Bought]]&lt;0,0,Sales[[#This Row],[Number of Users]]-Sales[[#This Row],[Licenses Bought]])</f>
        <v>6</v>
      </c>
      <c r="P1608" s="8">
        <f>IF(Sales[[#This Row],[Sales Month]]=MAX(Sales[Sales Month]),Sales[[#This Row],[Non-Paying Users]]*Sales[[#This Row],[Upsell $ per Non-Paying User]],0)</f>
        <v>0</v>
      </c>
      <c r="Q1608" t="str" cm="1">
        <f t="array" ref="Q1608">_xlfn.IFS(Sales[[#This Row],[Current Upsell $]]=0,"",Sales[[#This Row],[Current Upsell $]]&gt;=400,"High",Sales[[#This Row],[Current Upsell $]]&gt;=100,"Medium",Sales[[#This Row],[Current Upsell $]]&lt;100,"Low")</f>
        <v/>
      </c>
      <c r="R1608" t="str">
        <f>IF(Sales[[#This Row],[Current Upsell $]]&gt;0,_xlfn.CONCAT(Sales[[#This Row],[Subscription Type]]," ",Sales[[#This Row],[Upsell Priority]]," ",TEXT(Sales[[#This Row],[Current Upsell $]],"$#,#")),"")</f>
        <v/>
      </c>
    </row>
    <row r="1609" spans="1:18" x14ac:dyDescent="0.25">
      <c r="A1609">
        <v>100166</v>
      </c>
      <c r="B1609" t="s">
        <v>0</v>
      </c>
      <c r="D1609" s="1"/>
      <c r="E1609" s="1"/>
      <c r="F1609">
        <v>17</v>
      </c>
      <c r="G1609">
        <v>21</v>
      </c>
      <c r="H1609" s="1">
        <v>44136</v>
      </c>
      <c r="I1609" s="1">
        <v>44378</v>
      </c>
      <c r="J1609">
        <v>8</v>
      </c>
      <c r="K1609">
        <v>0</v>
      </c>
      <c r="L1609" s="1">
        <v>44317</v>
      </c>
      <c r="M1609">
        <v>170</v>
      </c>
      <c r="N1609" s="8" cm="1">
        <f t="array" ref="N1609">_xlfn.SWITCH(Sales[[#This Row],[Subscription Type]],"Basic",10,"Premium",10,"Business",25,"Enterprise",27)</f>
        <v>10</v>
      </c>
      <c r="O1609">
        <f>IF(Sales[[#This Row],[Number of Users]]-Sales[[#This Row],[Licenses Bought]]&lt;0,0,Sales[[#This Row],[Number of Users]]-Sales[[#This Row],[Licenses Bought]])</f>
        <v>4</v>
      </c>
      <c r="P1609" s="8">
        <f>IF(Sales[[#This Row],[Sales Month]]=MAX(Sales[Sales Month]),Sales[[#This Row],[Non-Paying Users]]*Sales[[#This Row],[Upsell $ per Non-Paying User]],0)</f>
        <v>0</v>
      </c>
      <c r="Q1609" t="str" cm="1">
        <f t="array" ref="Q1609">_xlfn.IFS(Sales[[#This Row],[Current Upsell $]]=0,"",Sales[[#This Row],[Current Upsell $]]&gt;=400,"High",Sales[[#This Row],[Current Upsell $]]&gt;=100,"Medium",Sales[[#This Row],[Current Upsell $]]&lt;100,"Low")</f>
        <v/>
      </c>
      <c r="R1609" t="str">
        <f>IF(Sales[[#This Row],[Current Upsell $]]&gt;0,_xlfn.CONCAT(Sales[[#This Row],[Subscription Type]]," ",Sales[[#This Row],[Upsell Priority]]," ",TEXT(Sales[[#This Row],[Current Upsell $]],"$#,#")),"")</f>
        <v/>
      </c>
    </row>
    <row r="1610" spans="1:18" x14ac:dyDescent="0.25">
      <c r="A1610">
        <v>100166</v>
      </c>
      <c r="B1610" t="s">
        <v>0</v>
      </c>
      <c r="D1610" s="1"/>
      <c r="E1610" s="1"/>
      <c r="F1610">
        <v>17</v>
      </c>
      <c r="G1610">
        <v>21</v>
      </c>
      <c r="H1610" s="1">
        <v>44136</v>
      </c>
      <c r="I1610" s="1">
        <v>44378</v>
      </c>
      <c r="J1610">
        <v>8</v>
      </c>
      <c r="K1610">
        <v>0</v>
      </c>
      <c r="L1610" s="1">
        <v>44348</v>
      </c>
      <c r="M1610">
        <v>170</v>
      </c>
      <c r="N1610" s="8" cm="1">
        <f t="array" ref="N1610">_xlfn.SWITCH(Sales[[#This Row],[Subscription Type]],"Basic",10,"Premium",10,"Business",25,"Enterprise",27)</f>
        <v>10</v>
      </c>
      <c r="O1610">
        <f>IF(Sales[[#This Row],[Number of Users]]-Sales[[#This Row],[Licenses Bought]]&lt;0,0,Sales[[#This Row],[Number of Users]]-Sales[[#This Row],[Licenses Bought]])</f>
        <v>4</v>
      </c>
      <c r="P1610" s="8">
        <f>IF(Sales[[#This Row],[Sales Month]]=MAX(Sales[Sales Month]),Sales[[#This Row],[Non-Paying Users]]*Sales[[#This Row],[Upsell $ per Non-Paying User]],0)</f>
        <v>40</v>
      </c>
      <c r="Q1610" t="str" cm="1">
        <f t="array" ref="Q1610">_xlfn.IFS(Sales[[#This Row],[Current Upsell $]]=0,"",Sales[[#This Row],[Current Upsell $]]&gt;=400,"High",Sales[[#This Row],[Current Upsell $]]&gt;=100,"Medium",Sales[[#This Row],[Current Upsell $]]&lt;100,"Low")</f>
        <v>Low</v>
      </c>
      <c r="R1610" t="str">
        <f>IF(Sales[[#This Row],[Current Upsell $]]&gt;0,_xlfn.CONCAT(Sales[[#This Row],[Subscription Type]]," ",Sales[[#This Row],[Upsell Priority]]," ",TEXT(Sales[[#This Row],[Current Upsell $]],"$#,#")),"")</f>
        <v>Premium Low $40</v>
      </c>
    </row>
    <row r="1611" spans="1:18" x14ac:dyDescent="0.25">
      <c r="A1611">
        <v>100167</v>
      </c>
      <c r="B1611" t="s">
        <v>3</v>
      </c>
      <c r="D1611" s="1"/>
      <c r="E1611" s="1"/>
      <c r="F1611">
        <v>0</v>
      </c>
      <c r="G1611">
        <v>77</v>
      </c>
      <c r="H1611" s="1">
        <v>44136</v>
      </c>
      <c r="I1611" s="1">
        <v>44378</v>
      </c>
      <c r="J1611">
        <v>8</v>
      </c>
      <c r="K1611">
        <v>0</v>
      </c>
      <c r="L1611" s="1">
        <v>44136</v>
      </c>
      <c r="M1611">
        <v>0</v>
      </c>
      <c r="N1611" s="8" cm="1">
        <f t="array" ref="N1611">_xlfn.SWITCH(Sales[[#This Row],[Subscription Type]],"Basic",10,"Premium",10,"Business",25,"Enterprise",27)</f>
        <v>10</v>
      </c>
      <c r="O1611">
        <f>IF(Sales[[#This Row],[Number of Users]]-Sales[[#This Row],[Licenses Bought]]&lt;0,0,Sales[[#This Row],[Number of Users]]-Sales[[#This Row],[Licenses Bought]])</f>
        <v>77</v>
      </c>
      <c r="P1611" s="8">
        <f>IF(Sales[[#This Row],[Sales Month]]=MAX(Sales[Sales Month]),Sales[[#This Row],[Non-Paying Users]]*Sales[[#This Row],[Upsell $ per Non-Paying User]],0)</f>
        <v>0</v>
      </c>
      <c r="Q1611" t="str" cm="1">
        <f t="array" ref="Q1611">_xlfn.IFS(Sales[[#This Row],[Current Upsell $]]=0,"",Sales[[#This Row],[Current Upsell $]]&gt;=400,"High",Sales[[#This Row],[Current Upsell $]]&gt;=100,"Medium",Sales[[#This Row],[Current Upsell $]]&lt;100,"Low")</f>
        <v/>
      </c>
      <c r="R1611" t="str">
        <f>IF(Sales[[#This Row],[Current Upsell $]]&gt;0,_xlfn.CONCAT(Sales[[#This Row],[Subscription Type]]," ",Sales[[#This Row],[Upsell Priority]]," ",TEXT(Sales[[#This Row],[Current Upsell $]],"$#,#")),"")</f>
        <v/>
      </c>
    </row>
    <row r="1612" spans="1:18" x14ac:dyDescent="0.25">
      <c r="A1612">
        <v>100167</v>
      </c>
      <c r="B1612" t="s">
        <v>2</v>
      </c>
      <c r="C1612">
        <v>12</v>
      </c>
      <c r="D1612" s="1">
        <v>44409</v>
      </c>
      <c r="E1612" s="1">
        <v>44773</v>
      </c>
      <c r="F1612">
        <v>80</v>
      </c>
      <c r="G1612">
        <v>74</v>
      </c>
      <c r="H1612" s="1">
        <v>44136</v>
      </c>
      <c r="I1612" s="1">
        <v>44378</v>
      </c>
      <c r="J1612">
        <v>8</v>
      </c>
      <c r="K1612">
        <v>0</v>
      </c>
      <c r="L1612" s="1">
        <v>44166</v>
      </c>
      <c r="M1612">
        <v>630</v>
      </c>
      <c r="N1612" s="8" cm="1">
        <f t="array" ref="N1612">_xlfn.SWITCH(Sales[[#This Row],[Subscription Type]],"Basic",10,"Premium",10,"Business",25,"Enterprise",27)</f>
        <v>27</v>
      </c>
      <c r="O1612">
        <f>IF(Sales[[#This Row],[Number of Users]]-Sales[[#This Row],[Licenses Bought]]&lt;0,0,Sales[[#This Row],[Number of Users]]-Sales[[#This Row],[Licenses Bought]])</f>
        <v>0</v>
      </c>
      <c r="P1612" s="8">
        <f>IF(Sales[[#This Row],[Sales Month]]=MAX(Sales[Sales Month]),Sales[[#This Row],[Non-Paying Users]]*Sales[[#This Row],[Upsell $ per Non-Paying User]],0)</f>
        <v>0</v>
      </c>
      <c r="Q1612" t="str" cm="1">
        <f t="array" ref="Q1612">_xlfn.IFS(Sales[[#This Row],[Current Upsell $]]=0,"",Sales[[#This Row],[Current Upsell $]]&gt;=400,"High",Sales[[#This Row],[Current Upsell $]]&gt;=100,"Medium",Sales[[#This Row],[Current Upsell $]]&lt;100,"Low")</f>
        <v/>
      </c>
      <c r="R1612" t="str">
        <f>IF(Sales[[#This Row],[Current Upsell $]]&gt;0,_xlfn.CONCAT(Sales[[#This Row],[Subscription Type]]," ",Sales[[#This Row],[Upsell Priority]]," ",TEXT(Sales[[#This Row],[Current Upsell $]],"$#,#")),"")</f>
        <v/>
      </c>
    </row>
    <row r="1613" spans="1:18" x14ac:dyDescent="0.25">
      <c r="A1613">
        <v>100167</v>
      </c>
      <c r="B1613" t="s">
        <v>2</v>
      </c>
      <c r="C1613">
        <v>12</v>
      </c>
      <c r="D1613" s="1">
        <v>44409</v>
      </c>
      <c r="E1613" s="1">
        <v>44773</v>
      </c>
      <c r="F1613">
        <v>80</v>
      </c>
      <c r="G1613">
        <v>95</v>
      </c>
      <c r="H1613" s="1">
        <v>44136</v>
      </c>
      <c r="I1613" s="1">
        <v>44378</v>
      </c>
      <c r="J1613">
        <v>8</v>
      </c>
      <c r="K1613">
        <v>0</v>
      </c>
      <c r="L1613" s="1">
        <v>44197</v>
      </c>
      <c r="M1613">
        <v>1230</v>
      </c>
      <c r="N1613" s="8" cm="1">
        <f t="array" ref="N1613">_xlfn.SWITCH(Sales[[#This Row],[Subscription Type]],"Basic",10,"Premium",10,"Business",25,"Enterprise",27)</f>
        <v>27</v>
      </c>
      <c r="O1613">
        <f>IF(Sales[[#This Row],[Number of Users]]-Sales[[#This Row],[Licenses Bought]]&lt;0,0,Sales[[#This Row],[Number of Users]]-Sales[[#This Row],[Licenses Bought]])</f>
        <v>15</v>
      </c>
      <c r="P1613" s="8">
        <f>IF(Sales[[#This Row],[Sales Month]]=MAX(Sales[Sales Month]),Sales[[#This Row],[Non-Paying Users]]*Sales[[#This Row],[Upsell $ per Non-Paying User]],0)</f>
        <v>0</v>
      </c>
      <c r="Q1613" t="str" cm="1">
        <f t="array" ref="Q1613">_xlfn.IFS(Sales[[#This Row],[Current Upsell $]]=0,"",Sales[[#This Row],[Current Upsell $]]&gt;=400,"High",Sales[[#This Row],[Current Upsell $]]&gt;=100,"Medium",Sales[[#This Row],[Current Upsell $]]&lt;100,"Low")</f>
        <v/>
      </c>
      <c r="R1613" t="str">
        <f>IF(Sales[[#This Row],[Current Upsell $]]&gt;0,_xlfn.CONCAT(Sales[[#This Row],[Subscription Type]]," ",Sales[[#This Row],[Upsell Priority]]," ",TEXT(Sales[[#This Row],[Current Upsell $]],"$#,#")),"")</f>
        <v/>
      </c>
    </row>
    <row r="1614" spans="1:18" x14ac:dyDescent="0.25">
      <c r="A1614">
        <v>100167</v>
      </c>
      <c r="B1614" t="s">
        <v>2</v>
      </c>
      <c r="C1614">
        <v>12</v>
      </c>
      <c r="D1614" s="1">
        <v>44409</v>
      </c>
      <c r="E1614" s="1">
        <v>44773</v>
      </c>
      <c r="F1614">
        <v>80</v>
      </c>
      <c r="G1614">
        <v>98</v>
      </c>
      <c r="H1614" s="1">
        <v>44136</v>
      </c>
      <c r="I1614" s="1">
        <v>44378</v>
      </c>
      <c r="J1614">
        <v>8</v>
      </c>
      <c r="K1614">
        <v>0</v>
      </c>
      <c r="L1614" s="1">
        <v>44228</v>
      </c>
      <c r="M1614">
        <v>2400</v>
      </c>
      <c r="N1614" s="8" cm="1">
        <f t="array" ref="N1614">_xlfn.SWITCH(Sales[[#This Row],[Subscription Type]],"Basic",10,"Premium",10,"Business",25,"Enterprise",27)</f>
        <v>27</v>
      </c>
      <c r="O1614">
        <f>IF(Sales[[#This Row],[Number of Users]]-Sales[[#This Row],[Licenses Bought]]&lt;0,0,Sales[[#This Row],[Number of Users]]-Sales[[#This Row],[Licenses Bought]])</f>
        <v>18</v>
      </c>
      <c r="P1614" s="8">
        <f>IF(Sales[[#This Row],[Sales Month]]=MAX(Sales[Sales Month]),Sales[[#This Row],[Non-Paying Users]]*Sales[[#This Row],[Upsell $ per Non-Paying User]],0)</f>
        <v>0</v>
      </c>
      <c r="Q1614" t="str" cm="1">
        <f t="array" ref="Q1614">_xlfn.IFS(Sales[[#This Row],[Current Upsell $]]=0,"",Sales[[#This Row],[Current Upsell $]]&gt;=400,"High",Sales[[#This Row],[Current Upsell $]]&gt;=100,"Medium",Sales[[#This Row],[Current Upsell $]]&lt;100,"Low")</f>
        <v/>
      </c>
      <c r="R1614" t="str">
        <f>IF(Sales[[#This Row],[Current Upsell $]]&gt;0,_xlfn.CONCAT(Sales[[#This Row],[Subscription Type]]," ",Sales[[#This Row],[Upsell Priority]]," ",TEXT(Sales[[#This Row],[Current Upsell $]],"$#,#")),"")</f>
        <v/>
      </c>
    </row>
    <row r="1615" spans="1:18" x14ac:dyDescent="0.25">
      <c r="A1615">
        <v>100167</v>
      </c>
      <c r="B1615" t="s">
        <v>2</v>
      </c>
      <c r="C1615">
        <v>12</v>
      </c>
      <c r="D1615" s="1">
        <v>44409</v>
      </c>
      <c r="E1615" s="1">
        <v>44773</v>
      </c>
      <c r="F1615">
        <v>80</v>
      </c>
      <c r="G1615">
        <v>84</v>
      </c>
      <c r="H1615" s="1">
        <v>44136</v>
      </c>
      <c r="I1615" s="1">
        <v>44378</v>
      </c>
      <c r="J1615">
        <v>8</v>
      </c>
      <c r="K1615">
        <v>0</v>
      </c>
      <c r="L1615" s="1">
        <v>44256</v>
      </c>
      <c r="M1615">
        <v>2400</v>
      </c>
      <c r="N1615" s="8" cm="1">
        <f t="array" ref="N1615">_xlfn.SWITCH(Sales[[#This Row],[Subscription Type]],"Basic",10,"Premium",10,"Business",25,"Enterprise",27)</f>
        <v>27</v>
      </c>
      <c r="O1615">
        <f>IF(Sales[[#This Row],[Number of Users]]-Sales[[#This Row],[Licenses Bought]]&lt;0,0,Sales[[#This Row],[Number of Users]]-Sales[[#This Row],[Licenses Bought]])</f>
        <v>4</v>
      </c>
      <c r="P1615" s="8">
        <f>IF(Sales[[#This Row],[Sales Month]]=MAX(Sales[Sales Month]),Sales[[#This Row],[Non-Paying Users]]*Sales[[#This Row],[Upsell $ per Non-Paying User]],0)</f>
        <v>0</v>
      </c>
      <c r="Q1615" t="str" cm="1">
        <f t="array" ref="Q1615">_xlfn.IFS(Sales[[#This Row],[Current Upsell $]]=0,"",Sales[[#This Row],[Current Upsell $]]&gt;=400,"High",Sales[[#This Row],[Current Upsell $]]&gt;=100,"Medium",Sales[[#This Row],[Current Upsell $]]&lt;100,"Low")</f>
        <v/>
      </c>
      <c r="R1615" t="str">
        <f>IF(Sales[[#This Row],[Current Upsell $]]&gt;0,_xlfn.CONCAT(Sales[[#This Row],[Subscription Type]]," ",Sales[[#This Row],[Upsell Priority]]," ",TEXT(Sales[[#This Row],[Current Upsell $]],"$#,#")),"")</f>
        <v/>
      </c>
    </row>
    <row r="1616" spans="1:18" x14ac:dyDescent="0.25">
      <c r="A1616">
        <v>100167</v>
      </c>
      <c r="B1616" t="s">
        <v>2</v>
      </c>
      <c r="C1616">
        <v>12</v>
      </c>
      <c r="D1616" s="1">
        <v>44409</v>
      </c>
      <c r="E1616" s="1">
        <v>44773</v>
      </c>
      <c r="F1616">
        <v>80</v>
      </c>
      <c r="G1616">
        <v>86</v>
      </c>
      <c r="H1616" s="1">
        <v>44136</v>
      </c>
      <c r="I1616" s="1">
        <v>44378</v>
      </c>
      <c r="J1616">
        <v>8</v>
      </c>
      <c r="K1616">
        <v>0</v>
      </c>
      <c r="L1616" s="1">
        <v>44287</v>
      </c>
      <c r="M1616">
        <v>2400</v>
      </c>
      <c r="N1616" s="8" cm="1">
        <f t="array" ref="N1616">_xlfn.SWITCH(Sales[[#This Row],[Subscription Type]],"Basic",10,"Premium",10,"Business",25,"Enterprise",27)</f>
        <v>27</v>
      </c>
      <c r="O1616">
        <f>IF(Sales[[#This Row],[Number of Users]]-Sales[[#This Row],[Licenses Bought]]&lt;0,0,Sales[[#This Row],[Number of Users]]-Sales[[#This Row],[Licenses Bought]])</f>
        <v>6</v>
      </c>
      <c r="P1616" s="8">
        <f>IF(Sales[[#This Row],[Sales Month]]=MAX(Sales[Sales Month]),Sales[[#This Row],[Non-Paying Users]]*Sales[[#This Row],[Upsell $ per Non-Paying User]],0)</f>
        <v>0</v>
      </c>
      <c r="Q1616" t="str" cm="1">
        <f t="array" ref="Q1616">_xlfn.IFS(Sales[[#This Row],[Current Upsell $]]=0,"",Sales[[#This Row],[Current Upsell $]]&gt;=400,"High",Sales[[#This Row],[Current Upsell $]]&gt;=100,"Medium",Sales[[#This Row],[Current Upsell $]]&lt;100,"Low")</f>
        <v/>
      </c>
      <c r="R1616" t="str">
        <f>IF(Sales[[#This Row],[Current Upsell $]]&gt;0,_xlfn.CONCAT(Sales[[#This Row],[Subscription Type]]," ",Sales[[#This Row],[Upsell Priority]]," ",TEXT(Sales[[#This Row],[Current Upsell $]],"$#,#")),"")</f>
        <v/>
      </c>
    </row>
    <row r="1617" spans="1:18" x14ac:dyDescent="0.25">
      <c r="A1617">
        <v>100167</v>
      </c>
      <c r="B1617" t="s">
        <v>2</v>
      </c>
      <c r="C1617">
        <v>12</v>
      </c>
      <c r="D1617" s="1">
        <v>44409</v>
      </c>
      <c r="E1617" s="1">
        <v>44773</v>
      </c>
      <c r="F1617">
        <v>80</v>
      </c>
      <c r="G1617">
        <v>89</v>
      </c>
      <c r="H1617" s="1">
        <v>44136</v>
      </c>
      <c r="I1617" s="1">
        <v>44378</v>
      </c>
      <c r="J1617">
        <v>8</v>
      </c>
      <c r="K1617">
        <v>0</v>
      </c>
      <c r="L1617" s="1">
        <v>44317</v>
      </c>
      <c r="M1617">
        <v>2400</v>
      </c>
      <c r="N1617" s="8" cm="1">
        <f t="array" ref="N1617">_xlfn.SWITCH(Sales[[#This Row],[Subscription Type]],"Basic",10,"Premium",10,"Business",25,"Enterprise",27)</f>
        <v>27</v>
      </c>
      <c r="O1617">
        <f>IF(Sales[[#This Row],[Number of Users]]-Sales[[#This Row],[Licenses Bought]]&lt;0,0,Sales[[#This Row],[Number of Users]]-Sales[[#This Row],[Licenses Bought]])</f>
        <v>9</v>
      </c>
      <c r="P1617" s="8">
        <f>IF(Sales[[#This Row],[Sales Month]]=MAX(Sales[Sales Month]),Sales[[#This Row],[Non-Paying Users]]*Sales[[#This Row],[Upsell $ per Non-Paying User]],0)</f>
        <v>0</v>
      </c>
      <c r="Q1617" t="str" cm="1">
        <f t="array" ref="Q1617">_xlfn.IFS(Sales[[#This Row],[Current Upsell $]]=0,"",Sales[[#This Row],[Current Upsell $]]&gt;=400,"High",Sales[[#This Row],[Current Upsell $]]&gt;=100,"Medium",Sales[[#This Row],[Current Upsell $]]&lt;100,"Low")</f>
        <v/>
      </c>
      <c r="R1617" t="str">
        <f>IF(Sales[[#This Row],[Current Upsell $]]&gt;0,_xlfn.CONCAT(Sales[[#This Row],[Subscription Type]]," ",Sales[[#This Row],[Upsell Priority]]," ",TEXT(Sales[[#This Row],[Current Upsell $]],"$#,#")),"")</f>
        <v/>
      </c>
    </row>
    <row r="1618" spans="1:18" x14ac:dyDescent="0.25">
      <c r="A1618">
        <v>100167</v>
      </c>
      <c r="B1618" t="s">
        <v>2</v>
      </c>
      <c r="C1618">
        <v>12</v>
      </c>
      <c r="D1618" s="1">
        <v>44409</v>
      </c>
      <c r="E1618" s="1">
        <v>44773</v>
      </c>
      <c r="F1618">
        <v>80</v>
      </c>
      <c r="G1618">
        <v>88</v>
      </c>
      <c r="H1618" s="1">
        <v>44136</v>
      </c>
      <c r="I1618" s="1">
        <v>44378</v>
      </c>
      <c r="J1618">
        <v>8</v>
      </c>
      <c r="K1618">
        <v>0</v>
      </c>
      <c r="L1618" s="1">
        <v>44348</v>
      </c>
      <c r="M1618">
        <v>2400</v>
      </c>
      <c r="N1618" s="8" cm="1">
        <f t="array" ref="N1618">_xlfn.SWITCH(Sales[[#This Row],[Subscription Type]],"Basic",10,"Premium",10,"Business",25,"Enterprise",27)</f>
        <v>27</v>
      </c>
      <c r="O1618">
        <f>IF(Sales[[#This Row],[Number of Users]]-Sales[[#This Row],[Licenses Bought]]&lt;0,0,Sales[[#This Row],[Number of Users]]-Sales[[#This Row],[Licenses Bought]])</f>
        <v>8</v>
      </c>
      <c r="P1618" s="8">
        <f>IF(Sales[[#This Row],[Sales Month]]=MAX(Sales[Sales Month]),Sales[[#This Row],[Non-Paying Users]]*Sales[[#This Row],[Upsell $ per Non-Paying User]],0)</f>
        <v>216</v>
      </c>
      <c r="Q1618" t="str" cm="1">
        <f t="array" ref="Q1618">_xlfn.IFS(Sales[[#This Row],[Current Upsell $]]=0,"",Sales[[#This Row],[Current Upsell $]]&gt;=400,"High",Sales[[#This Row],[Current Upsell $]]&gt;=100,"Medium",Sales[[#This Row],[Current Upsell $]]&lt;100,"Low")</f>
        <v>Medium</v>
      </c>
      <c r="R1618" t="str">
        <f>IF(Sales[[#This Row],[Current Upsell $]]&gt;0,_xlfn.CONCAT(Sales[[#This Row],[Subscription Type]]," ",Sales[[#This Row],[Upsell Priority]]," ",TEXT(Sales[[#This Row],[Current Upsell $]],"$#,#")),"")</f>
        <v>Enterprise Medium $216</v>
      </c>
    </row>
    <row r="1619" spans="1:18" x14ac:dyDescent="0.25">
      <c r="A1619">
        <v>100168</v>
      </c>
      <c r="B1619" t="s">
        <v>3</v>
      </c>
      <c r="F1619">
        <v>0</v>
      </c>
      <c r="G1619">
        <v>2</v>
      </c>
      <c r="H1619" s="1">
        <v>44136</v>
      </c>
      <c r="I1619" s="1">
        <v>44166</v>
      </c>
      <c r="J1619">
        <v>1</v>
      </c>
      <c r="K1619">
        <v>6</v>
      </c>
      <c r="L1619" s="1">
        <v>44136</v>
      </c>
      <c r="M1619">
        <v>0</v>
      </c>
      <c r="N1619" s="8" cm="1">
        <f t="array" ref="N1619">_xlfn.SWITCH(Sales[[#This Row],[Subscription Type]],"Basic",10,"Premium",10,"Business",25,"Enterprise",27)</f>
        <v>10</v>
      </c>
      <c r="O1619">
        <f>IF(Sales[[#This Row],[Number of Users]]-Sales[[#This Row],[Licenses Bought]]&lt;0,0,Sales[[#This Row],[Number of Users]]-Sales[[#This Row],[Licenses Bought]])</f>
        <v>2</v>
      </c>
      <c r="P1619" s="8">
        <f>IF(Sales[[#This Row],[Sales Month]]=MAX(Sales[Sales Month]),Sales[[#This Row],[Non-Paying Users]]*Sales[[#This Row],[Upsell $ per Non-Paying User]],0)</f>
        <v>0</v>
      </c>
      <c r="Q1619" t="str" cm="1">
        <f t="array" ref="Q1619">_xlfn.IFS(Sales[[#This Row],[Current Upsell $]]=0,"",Sales[[#This Row],[Current Upsell $]]&gt;=400,"High",Sales[[#This Row],[Current Upsell $]]&gt;=100,"Medium",Sales[[#This Row],[Current Upsell $]]&lt;100,"Low")</f>
        <v/>
      </c>
      <c r="R1619" t="str">
        <f>IF(Sales[[#This Row],[Current Upsell $]]&gt;0,_xlfn.CONCAT(Sales[[#This Row],[Subscription Type]]," ",Sales[[#This Row],[Upsell Priority]]," ",TEXT(Sales[[#This Row],[Current Upsell $]],"$#,#")),"")</f>
        <v/>
      </c>
    </row>
    <row r="1620" spans="1:18" x14ac:dyDescent="0.25">
      <c r="A1620">
        <v>100168</v>
      </c>
      <c r="B1620" t="s">
        <v>3</v>
      </c>
      <c r="F1620">
        <v>0</v>
      </c>
      <c r="G1620">
        <v>1</v>
      </c>
      <c r="H1620" s="1">
        <v>44136</v>
      </c>
      <c r="I1620" s="1">
        <v>44166</v>
      </c>
      <c r="J1620">
        <v>1</v>
      </c>
      <c r="K1620">
        <v>6</v>
      </c>
      <c r="L1620" s="1">
        <v>44166</v>
      </c>
      <c r="M1620">
        <v>0</v>
      </c>
      <c r="N1620" s="8" cm="1">
        <f t="array" ref="N1620">_xlfn.SWITCH(Sales[[#This Row],[Subscription Type]],"Basic",10,"Premium",10,"Business",25,"Enterprise",27)</f>
        <v>10</v>
      </c>
      <c r="O1620">
        <f>IF(Sales[[#This Row],[Number of Users]]-Sales[[#This Row],[Licenses Bought]]&lt;0,0,Sales[[#This Row],[Number of Users]]-Sales[[#This Row],[Licenses Bought]])</f>
        <v>1</v>
      </c>
      <c r="P1620" s="8">
        <f>IF(Sales[[#This Row],[Sales Month]]=MAX(Sales[Sales Month]),Sales[[#This Row],[Non-Paying Users]]*Sales[[#This Row],[Upsell $ per Non-Paying User]],0)</f>
        <v>0</v>
      </c>
      <c r="Q1620" t="str" cm="1">
        <f t="array" ref="Q1620">_xlfn.IFS(Sales[[#This Row],[Current Upsell $]]=0,"",Sales[[#This Row],[Current Upsell $]]&gt;=400,"High",Sales[[#This Row],[Current Upsell $]]&gt;=100,"Medium",Sales[[#This Row],[Current Upsell $]]&lt;100,"Low")</f>
        <v/>
      </c>
      <c r="R1620" t="str">
        <f>IF(Sales[[#This Row],[Current Upsell $]]&gt;0,_xlfn.CONCAT(Sales[[#This Row],[Subscription Type]]," ",Sales[[#This Row],[Upsell Priority]]," ",TEXT(Sales[[#This Row],[Current Upsell $]],"$#,#")),"")</f>
        <v/>
      </c>
    </row>
    <row r="1621" spans="1:18" x14ac:dyDescent="0.25">
      <c r="A1621">
        <v>100169</v>
      </c>
      <c r="B1621" t="s">
        <v>3</v>
      </c>
      <c r="F1621">
        <v>0</v>
      </c>
      <c r="G1621">
        <v>2</v>
      </c>
      <c r="H1621" s="1">
        <v>44136</v>
      </c>
      <c r="I1621" s="1">
        <v>44317</v>
      </c>
      <c r="J1621">
        <v>6</v>
      </c>
      <c r="K1621">
        <v>1</v>
      </c>
      <c r="L1621" s="1">
        <v>44136</v>
      </c>
      <c r="M1621">
        <v>0</v>
      </c>
      <c r="N1621" s="8" cm="1">
        <f t="array" ref="N1621">_xlfn.SWITCH(Sales[[#This Row],[Subscription Type]],"Basic",10,"Premium",10,"Business",25,"Enterprise",27)</f>
        <v>10</v>
      </c>
      <c r="O1621">
        <f>IF(Sales[[#This Row],[Number of Users]]-Sales[[#This Row],[Licenses Bought]]&lt;0,0,Sales[[#This Row],[Number of Users]]-Sales[[#This Row],[Licenses Bought]])</f>
        <v>2</v>
      </c>
      <c r="P1621" s="8">
        <f>IF(Sales[[#This Row],[Sales Month]]=MAX(Sales[Sales Month]),Sales[[#This Row],[Non-Paying Users]]*Sales[[#This Row],[Upsell $ per Non-Paying User]],0)</f>
        <v>0</v>
      </c>
      <c r="Q1621" t="str" cm="1">
        <f t="array" ref="Q1621">_xlfn.IFS(Sales[[#This Row],[Current Upsell $]]=0,"",Sales[[#This Row],[Current Upsell $]]&gt;=400,"High",Sales[[#This Row],[Current Upsell $]]&gt;=100,"Medium",Sales[[#This Row],[Current Upsell $]]&lt;100,"Low")</f>
        <v/>
      </c>
      <c r="R1621" t="str">
        <f>IF(Sales[[#This Row],[Current Upsell $]]&gt;0,_xlfn.CONCAT(Sales[[#This Row],[Subscription Type]]," ",Sales[[#This Row],[Upsell Priority]]," ",TEXT(Sales[[#This Row],[Current Upsell $]],"$#,#")),"")</f>
        <v/>
      </c>
    </row>
    <row r="1622" spans="1:18" x14ac:dyDescent="0.25">
      <c r="A1622">
        <v>100169</v>
      </c>
      <c r="B1622" t="s">
        <v>0</v>
      </c>
      <c r="F1622">
        <v>1</v>
      </c>
      <c r="G1622">
        <v>2</v>
      </c>
      <c r="H1622" s="1">
        <v>44136</v>
      </c>
      <c r="I1622" s="1">
        <v>44317</v>
      </c>
      <c r="J1622">
        <v>6</v>
      </c>
      <c r="K1622">
        <v>1</v>
      </c>
      <c r="L1622" s="1">
        <v>44166</v>
      </c>
      <c r="M1622">
        <v>10</v>
      </c>
      <c r="N1622" s="8" cm="1">
        <f t="array" ref="N1622">_xlfn.SWITCH(Sales[[#This Row],[Subscription Type]],"Basic",10,"Premium",10,"Business",25,"Enterprise",27)</f>
        <v>10</v>
      </c>
      <c r="O1622">
        <f>IF(Sales[[#This Row],[Number of Users]]-Sales[[#This Row],[Licenses Bought]]&lt;0,0,Sales[[#This Row],[Number of Users]]-Sales[[#This Row],[Licenses Bought]])</f>
        <v>1</v>
      </c>
      <c r="P1622" s="8">
        <f>IF(Sales[[#This Row],[Sales Month]]=MAX(Sales[Sales Month]),Sales[[#This Row],[Non-Paying Users]]*Sales[[#This Row],[Upsell $ per Non-Paying User]],0)</f>
        <v>0</v>
      </c>
      <c r="Q1622" t="str" cm="1">
        <f t="array" ref="Q1622">_xlfn.IFS(Sales[[#This Row],[Current Upsell $]]=0,"",Sales[[#This Row],[Current Upsell $]]&gt;=400,"High",Sales[[#This Row],[Current Upsell $]]&gt;=100,"Medium",Sales[[#This Row],[Current Upsell $]]&lt;100,"Low")</f>
        <v/>
      </c>
      <c r="R1622" t="str">
        <f>IF(Sales[[#This Row],[Current Upsell $]]&gt;0,_xlfn.CONCAT(Sales[[#This Row],[Subscription Type]]," ",Sales[[#This Row],[Upsell Priority]]," ",TEXT(Sales[[#This Row],[Current Upsell $]],"$#,#")),"")</f>
        <v/>
      </c>
    </row>
    <row r="1623" spans="1:18" x14ac:dyDescent="0.25">
      <c r="A1623">
        <v>100169</v>
      </c>
      <c r="B1623" t="s">
        <v>0</v>
      </c>
      <c r="F1623">
        <v>1</v>
      </c>
      <c r="G1623">
        <v>1</v>
      </c>
      <c r="H1623" s="1">
        <v>44136</v>
      </c>
      <c r="I1623" s="1">
        <v>44317</v>
      </c>
      <c r="J1623">
        <v>6</v>
      </c>
      <c r="K1623">
        <v>1</v>
      </c>
      <c r="L1623" s="1">
        <v>44197</v>
      </c>
      <c r="M1623">
        <v>10</v>
      </c>
      <c r="N1623" s="8" cm="1">
        <f t="array" ref="N1623">_xlfn.SWITCH(Sales[[#This Row],[Subscription Type]],"Basic",10,"Premium",10,"Business",25,"Enterprise",27)</f>
        <v>10</v>
      </c>
      <c r="O1623">
        <f>IF(Sales[[#This Row],[Number of Users]]-Sales[[#This Row],[Licenses Bought]]&lt;0,0,Sales[[#This Row],[Number of Users]]-Sales[[#This Row],[Licenses Bought]])</f>
        <v>0</v>
      </c>
      <c r="P1623" s="8">
        <f>IF(Sales[[#This Row],[Sales Month]]=MAX(Sales[Sales Month]),Sales[[#This Row],[Non-Paying Users]]*Sales[[#This Row],[Upsell $ per Non-Paying User]],0)</f>
        <v>0</v>
      </c>
      <c r="Q1623" t="str" cm="1">
        <f t="array" ref="Q1623">_xlfn.IFS(Sales[[#This Row],[Current Upsell $]]=0,"",Sales[[#This Row],[Current Upsell $]]&gt;=400,"High",Sales[[#This Row],[Current Upsell $]]&gt;=100,"Medium",Sales[[#This Row],[Current Upsell $]]&lt;100,"Low")</f>
        <v/>
      </c>
      <c r="R1623" t="str">
        <f>IF(Sales[[#This Row],[Current Upsell $]]&gt;0,_xlfn.CONCAT(Sales[[#This Row],[Subscription Type]]," ",Sales[[#This Row],[Upsell Priority]]," ",TEXT(Sales[[#This Row],[Current Upsell $]],"$#,#")),"")</f>
        <v/>
      </c>
    </row>
    <row r="1624" spans="1:18" x14ac:dyDescent="0.25">
      <c r="A1624">
        <v>100169</v>
      </c>
      <c r="B1624" t="s">
        <v>0</v>
      </c>
      <c r="F1624">
        <v>1</v>
      </c>
      <c r="G1624">
        <v>2</v>
      </c>
      <c r="H1624" s="1">
        <v>44136</v>
      </c>
      <c r="I1624" s="1">
        <v>44317</v>
      </c>
      <c r="J1624">
        <v>6</v>
      </c>
      <c r="K1624">
        <v>1</v>
      </c>
      <c r="L1624" s="1">
        <v>44228</v>
      </c>
      <c r="M1624">
        <v>10</v>
      </c>
      <c r="N1624" s="8" cm="1">
        <f t="array" ref="N1624">_xlfn.SWITCH(Sales[[#This Row],[Subscription Type]],"Basic",10,"Premium",10,"Business",25,"Enterprise",27)</f>
        <v>10</v>
      </c>
      <c r="O1624">
        <f>IF(Sales[[#This Row],[Number of Users]]-Sales[[#This Row],[Licenses Bought]]&lt;0,0,Sales[[#This Row],[Number of Users]]-Sales[[#This Row],[Licenses Bought]])</f>
        <v>1</v>
      </c>
      <c r="P1624" s="8">
        <f>IF(Sales[[#This Row],[Sales Month]]=MAX(Sales[Sales Month]),Sales[[#This Row],[Non-Paying Users]]*Sales[[#This Row],[Upsell $ per Non-Paying User]],0)</f>
        <v>0</v>
      </c>
      <c r="Q1624" t="str" cm="1">
        <f t="array" ref="Q1624">_xlfn.IFS(Sales[[#This Row],[Current Upsell $]]=0,"",Sales[[#This Row],[Current Upsell $]]&gt;=400,"High",Sales[[#This Row],[Current Upsell $]]&gt;=100,"Medium",Sales[[#This Row],[Current Upsell $]]&lt;100,"Low")</f>
        <v/>
      </c>
      <c r="R1624" t="str">
        <f>IF(Sales[[#This Row],[Current Upsell $]]&gt;0,_xlfn.CONCAT(Sales[[#This Row],[Subscription Type]]," ",Sales[[#This Row],[Upsell Priority]]," ",TEXT(Sales[[#This Row],[Current Upsell $]],"$#,#")),"")</f>
        <v/>
      </c>
    </row>
    <row r="1625" spans="1:18" x14ac:dyDescent="0.25">
      <c r="A1625">
        <v>100169</v>
      </c>
      <c r="B1625" t="s">
        <v>0</v>
      </c>
      <c r="F1625">
        <v>1</v>
      </c>
      <c r="G1625">
        <v>1</v>
      </c>
      <c r="H1625" s="1">
        <v>44136</v>
      </c>
      <c r="I1625" s="1">
        <v>44317</v>
      </c>
      <c r="J1625">
        <v>6</v>
      </c>
      <c r="K1625">
        <v>1</v>
      </c>
      <c r="L1625" s="1">
        <v>44256</v>
      </c>
      <c r="M1625">
        <v>10</v>
      </c>
      <c r="N1625" s="8" cm="1">
        <f t="array" ref="N1625">_xlfn.SWITCH(Sales[[#This Row],[Subscription Type]],"Basic",10,"Premium",10,"Business",25,"Enterprise",27)</f>
        <v>10</v>
      </c>
      <c r="O1625">
        <f>IF(Sales[[#This Row],[Number of Users]]-Sales[[#This Row],[Licenses Bought]]&lt;0,0,Sales[[#This Row],[Number of Users]]-Sales[[#This Row],[Licenses Bought]])</f>
        <v>0</v>
      </c>
      <c r="P1625" s="8">
        <f>IF(Sales[[#This Row],[Sales Month]]=MAX(Sales[Sales Month]),Sales[[#This Row],[Non-Paying Users]]*Sales[[#This Row],[Upsell $ per Non-Paying User]],0)</f>
        <v>0</v>
      </c>
      <c r="Q1625" t="str" cm="1">
        <f t="array" ref="Q1625">_xlfn.IFS(Sales[[#This Row],[Current Upsell $]]=0,"",Sales[[#This Row],[Current Upsell $]]&gt;=400,"High",Sales[[#This Row],[Current Upsell $]]&gt;=100,"Medium",Sales[[#This Row],[Current Upsell $]]&lt;100,"Low")</f>
        <v/>
      </c>
      <c r="R1625" t="str">
        <f>IF(Sales[[#This Row],[Current Upsell $]]&gt;0,_xlfn.CONCAT(Sales[[#This Row],[Subscription Type]]," ",Sales[[#This Row],[Upsell Priority]]," ",TEXT(Sales[[#This Row],[Current Upsell $]],"$#,#")),"")</f>
        <v/>
      </c>
    </row>
    <row r="1626" spans="1:18" x14ac:dyDescent="0.25">
      <c r="A1626">
        <v>100169</v>
      </c>
      <c r="B1626" t="s">
        <v>0</v>
      </c>
      <c r="F1626">
        <v>1</v>
      </c>
      <c r="G1626">
        <v>2</v>
      </c>
      <c r="H1626" s="1">
        <v>44136</v>
      </c>
      <c r="I1626" s="1">
        <v>44317</v>
      </c>
      <c r="J1626">
        <v>6</v>
      </c>
      <c r="K1626">
        <v>1</v>
      </c>
      <c r="L1626" s="1">
        <v>44287</v>
      </c>
      <c r="M1626">
        <v>10</v>
      </c>
      <c r="N1626" s="8" cm="1">
        <f t="array" ref="N1626">_xlfn.SWITCH(Sales[[#This Row],[Subscription Type]],"Basic",10,"Premium",10,"Business",25,"Enterprise",27)</f>
        <v>10</v>
      </c>
      <c r="O1626">
        <f>IF(Sales[[#This Row],[Number of Users]]-Sales[[#This Row],[Licenses Bought]]&lt;0,0,Sales[[#This Row],[Number of Users]]-Sales[[#This Row],[Licenses Bought]])</f>
        <v>1</v>
      </c>
      <c r="P1626" s="8">
        <f>IF(Sales[[#This Row],[Sales Month]]=MAX(Sales[Sales Month]),Sales[[#This Row],[Non-Paying Users]]*Sales[[#This Row],[Upsell $ per Non-Paying User]],0)</f>
        <v>0</v>
      </c>
      <c r="Q1626" t="str" cm="1">
        <f t="array" ref="Q1626">_xlfn.IFS(Sales[[#This Row],[Current Upsell $]]=0,"",Sales[[#This Row],[Current Upsell $]]&gt;=400,"High",Sales[[#This Row],[Current Upsell $]]&gt;=100,"Medium",Sales[[#This Row],[Current Upsell $]]&lt;100,"Low")</f>
        <v/>
      </c>
      <c r="R1626" t="str">
        <f>IF(Sales[[#This Row],[Current Upsell $]]&gt;0,_xlfn.CONCAT(Sales[[#This Row],[Subscription Type]]," ",Sales[[#This Row],[Upsell Priority]]," ",TEXT(Sales[[#This Row],[Current Upsell $]],"$#,#")),"")</f>
        <v/>
      </c>
    </row>
    <row r="1627" spans="1:18" x14ac:dyDescent="0.25">
      <c r="A1627">
        <v>100169</v>
      </c>
      <c r="B1627" t="s">
        <v>0</v>
      </c>
      <c r="F1627">
        <v>1</v>
      </c>
      <c r="G1627">
        <v>2</v>
      </c>
      <c r="H1627" s="1">
        <v>44136</v>
      </c>
      <c r="I1627" s="1">
        <v>44317</v>
      </c>
      <c r="J1627">
        <v>6</v>
      </c>
      <c r="K1627">
        <v>1</v>
      </c>
      <c r="L1627" s="1">
        <v>44317</v>
      </c>
      <c r="M1627">
        <v>10</v>
      </c>
      <c r="N1627" s="8" cm="1">
        <f t="array" ref="N1627">_xlfn.SWITCH(Sales[[#This Row],[Subscription Type]],"Basic",10,"Premium",10,"Business",25,"Enterprise",27)</f>
        <v>10</v>
      </c>
      <c r="O1627">
        <f>IF(Sales[[#This Row],[Number of Users]]-Sales[[#This Row],[Licenses Bought]]&lt;0,0,Sales[[#This Row],[Number of Users]]-Sales[[#This Row],[Licenses Bought]])</f>
        <v>1</v>
      </c>
      <c r="P1627" s="8">
        <f>IF(Sales[[#This Row],[Sales Month]]=MAX(Sales[Sales Month]),Sales[[#This Row],[Non-Paying Users]]*Sales[[#This Row],[Upsell $ per Non-Paying User]],0)</f>
        <v>0</v>
      </c>
      <c r="Q1627" t="str" cm="1">
        <f t="array" ref="Q1627">_xlfn.IFS(Sales[[#This Row],[Current Upsell $]]=0,"",Sales[[#This Row],[Current Upsell $]]&gt;=400,"High",Sales[[#This Row],[Current Upsell $]]&gt;=100,"Medium",Sales[[#This Row],[Current Upsell $]]&lt;100,"Low")</f>
        <v/>
      </c>
      <c r="R1627" t="str">
        <f>IF(Sales[[#This Row],[Current Upsell $]]&gt;0,_xlfn.CONCAT(Sales[[#This Row],[Subscription Type]]," ",Sales[[#This Row],[Upsell Priority]]," ",TEXT(Sales[[#This Row],[Current Upsell $]],"$#,#")),"")</f>
        <v/>
      </c>
    </row>
    <row r="1628" spans="1:18" x14ac:dyDescent="0.25">
      <c r="A1628">
        <v>100170</v>
      </c>
      <c r="B1628" t="s">
        <v>3</v>
      </c>
      <c r="D1628" s="1"/>
      <c r="E1628" s="1"/>
      <c r="F1628">
        <v>0</v>
      </c>
      <c r="G1628">
        <v>2</v>
      </c>
      <c r="H1628" s="1">
        <v>44136</v>
      </c>
      <c r="I1628" s="1">
        <v>44378</v>
      </c>
      <c r="J1628">
        <v>8</v>
      </c>
      <c r="K1628">
        <v>0</v>
      </c>
      <c r="L1628" s="1">
        <v>44136</v>
      </c>
      <c r="M1628">
        <v>0</v>
      </c>
      <c r="N1628" s="8" cm="1">
        <f t="array" ref="N1628">_xlfn.SWITCH(Sales[[#This Row],[Subscription Type]],"Basic",10,"Premium",10,"Business",25,"Enterprise",27)</f>
        <v>10</v>
      </c>
      <c r="O1628">
        <f>IF(Sales[[#This Row],[Number of Users]]-Sales[[#This Row],[Licenses Bought]]&lt;0,0,Sales[[#This Row],[Number of Users]]-Sales[[#This Row],[Licenses Bought]])</f>
        <v>2</v>
      </c>
      <c r="P1628" s="8">
        <f>IF(Sales[[#This Row],[Sales Month]]=MAX(Sales[Sales Month]),Sales[[#This Row],[Non-Paying Users]]*Sales[[#This Row],[Upsell $ per Non-Paying User]],0)</f>
        <v>0</v>
      </c>
      <c r="Q1628" t="str" cm="1">
        <f t="array" ref="Q1628">_xlfn.IFS(Sales[[#This Row],[Current Upsell $]]=0,"",Sales[[#This Row],[Current Upsell $]]&gt;=400,"High",Sales[[#This Row],[Current Upsell $]]&gt;=100,"Medium",Sales[[#This Row],[Current Upsell $]]&lt;100,"Low")</f>
        <v/>
      </c>
      <c r="R1628" t="str">
        <f>IF(Sales[[#This Row],[Current Upsell $]]&gt;0,_xlfn.CONCAT(Sales[[#This Row],[Subscription Type]]," ",Sales[[#This Row],[Upsell Priority]]," ",TEXT(Sales[[#This Row],[Current Upsell $]],"$#,#")),"")</f>
        <v/>
      </c>
    </row>
    <row r="1629" spans="1:18" x14ac:dyDescent="0.25">
      <c r="A1629">
        <v>100170</v>
      </c>
      <c r="B1629" t="s">
        <v>0</v>
      </c>
      <c r="D1629" s="1"/>
      <c r="E1629" s="1"/>
      <c r="F1629">
        <v>1</v>
      </c>
      <c r="G1629">
        <v>2</v>
      </c>
      <c r="H1629" s="1">
        <v>44136</v>
      </c>
      <c r="I1629" s="1">
        <v>44378</v>
      </c>
      <c r="J1629">
        <v>8</v>
      </c>
      <c r="K1629">
        <v>0</v>
      </c>
      <c r="L1629" s="1">
        <v>44166</v>
      </c>
      <c r="M1629">
        <v>10</v>
      </c>
      <c r="N1629" s="8" cm="1">
        <f t="array" ref="N1629">_xlfn.SWITCH(Sales[[#This Row],[Subscription Type]],"Basic",10,"Premium",10,"Business",25,"Enterprise",27)</f>
        <v>10</v>
      </c>
      <c r="O1629">
        <f>IF(Sales[[#This Row],[Number of Users]]-Sales[[#This Row],[Licenses Bought]]&lt;0,0,Sales[[#This Row],[Number of Users]]-Sales[[#This Row],[Licenses Bought]])</f>
        <v>1</v>
      </c>
      <c r="P1629" s="8">
        <f>IF(Sales[[#This Row],[Sales Month]]=MAX(Sales[Sales Month]),Sales[[#This Row],[Non-Paying Users]]*Sales[[#This Row],[Upsell $ per Non-Paying User]],0)</f>
        <v>0</v>
      </c>
      <c r="Q1629" t="str" cm="1">
        <f t="array" ref="Q1629">_xlfn.IFS(Sales[[#This Row],[Current Upsell $]]=0,"",Sales[[#This Row],[Current Upsell $]]&gt;=400,"High",Sales[[#This Row],[Current Upsell $]]&gt;=100,"Medium",Sales[[#This Row],[Current Upsell $]]&lt;100,"Low")</f>
        <v/>
      </c>
      <c r="R1629" t="str">
        <f>IF(Sales[[#This Row],[Current Upsell $]]&gt;0,_xlfn.CONCAT(Sales[[#This Row],[Subscription Type]]," ",Sales[[#This Row],[Upsell Priority]]," ",TEXT(Sales[[#This Row],[Current Upsell $]],"$#,#")),"")</f>
        <v/>
      </c>
    </row>
    <row r="1630" spans="1:18" x14ac:dyDescent="0.25">
      <c r="A1630">
        <v>100170</v>
      </c>
      <c r="B1630" t="s">
        <v>0</v>
      </c>
      <c r="D1630" s="1"/>
      <c r="E1630" s="1"/>
      <c r="F1630">
        <v>1</v>
      </c>
      <c r="G1630">
        <v>2</v>
      </c>
      <c r="H1630" s="1">
        <v>44136</v>
      </c>
      <c r="I1630" s="1">
        <v>44378</v>
      </c>
      <c r="J1630">
        <v>8</v>
      </c>
      <c r="K1630">
        <v>0</v>
      </c>
      <c r="L1630" s="1">
        <v>44197</v>
      </c>
      <c r="M1630">
        <v>10</v>
      </c>
      <c r="N1630" s="8" cm="1">
        <f t="array" ref="N1630">_xlfn.SWITCH(Sales[[#This Row],[Subscription Type]],"Basic",10,"Premium",10,"Business",25,"Enterprise",27)</f>
        <v>10</v>
      </c>
      <c r="O1630">
        <f>IF(Sales[[#This Row],[Number of Users]]-Sales[[#This Row],[Licenses Bought]]&lt;0,0,Sales[[#This Row],[Number of Users]]-Sales[[#This Row],[Licenses Bought]])</f>
        <v>1</v>
      </c>
      <c r="P1630" s="8">
        <f>IF(Sales[[#This Row],[Sales Month]]=MAX(Sales[Sales Month]),Sales[[#This Row],[Non-Paying Users]]*Sales[[#This Row],[Upsell $ per Non-Paying User]],0)</f>
        <v>0</v>
      </c>
      <c r="Q1630" t="str" cm="1">
        <f t="array" ref="Q1630">_xlfn.IFS(Sales[[#This Row],[Current Upsell $]]=0,"",Sales[[#This Row],[Current Upsell $]]&gt;=400,"High",Sales[[#This Row],[Current Upsell $]]&gt;=100,"Medium",Sales[[#This Row],[Current Upsell $]]&lt;100,"Low")</f>
        <v/>
      </c>
      <c r="R1630" t="str">
        <f>IF(Sales[[#This Row],[Current Upsell $]]&gt;0,_xlfn.CONCAT(Sales[[#This Row],[Subscription Type]]," ",Sales[[#This Row],[Upsell Priority]]," ",TEXT(Sales[[#This Row],[Current Upsell $]],"$#,#")),"")</f>
        <v/>
      </c>
    </row>
    <row r="1631" spans="1:18" x14ac:dyDescent="0.25">
      <c r="A1631">
        <v>100170</v>
      </c>
      <c r="B1631" t="s">
        <v>0</v>
      </c>
      <c r="D1631" s="1"/>
      <c r="E1631" s="1"/>
      <c r="F1631">
        <v>1</v>
      </c>
      <c r="G1631">
        <v>2</v>
      </c>
      <c r="H1631" s="1">
        <v>44136</v>
      </c>
      <c r="I1631" s="1">
        <v>44378</v>
      </c>
      <c r="J1631">
        <v>8</v>
      </c>
      <c r="K1631">
        <v>0</v>
      </c>
      <c r="L1631" s="1">
        <v>44228</v>
      </c>
      <c r="M1631">
        <v>10</v>
      </c>
      <c r="N1631" s="8" cm="1">
        <f t="array" ref="N1631">_xlfn.SWITCH(Sales[[#This Row],[Subscription Type]],"Basic",10,"Premium",10,"Business",25,"Enterprise",27)</f>
        <v>10</v>
      </c>
      <c r="O1631">
        <f>IF(Sales[[#This Row],[Number of Users]]-Sales[[#This Row],[Licenses Bought]]&lt;0,0,Sales[[#This Row],[Number of Users]]-Sales[[#This Row],[Licenses Bought]])</f>
        <v>1</v>
      </c>
      <c r="P1631" s="8">
        <f>IF(Sales[[#This Row],[Sales Month]]=MAX(Sales[Sales Month]),Sales[[#This Row],[Non-Paying Users]]*Sales[[#This Row],[Upsell $ per Non-Paying User]],0)</f>
        <v>0</v>
      </c>
      <c r="Q1631" t="str" cm="1">
        <f t="array" ref="Q1631">_xlfn.IFS(Sales[[#This Row],[Current Upsell $]]=0,"",Sales[[#This Row],[Current Upsell $]]&gt;=400,"High",Sales[[#This Row],[Current Upsell $]]&gt;=100,"Medium",Sales[[#This Row],[Current Upsell $]]&lt;100,"Low")</f>
        <v/>
      </c>
      <c r="R1631" t="str">
        <f>IF(Sales[[#This Row],[Current Upsell $]]&gt;0,_xlfn.CONCAT(Sales[[#This Row],[Subscription Type]]," ",Sales[[#This Row],[Upsell Priority]]," ",TEXT(Sales[[#This Row],[Current Upsell $]],"$#,#")),"")</f>
        <v/>
      </c>
    </row>
    <row r="1632" spans="1:18" x14ac:dyDescent="0.25">
      <c r="A1632">
        <v>100170</v>
      </c>
      <c r="B1632" t="s">
        <v>0</v>
      </c>
      <c r="D1632" s="1"/>
      <c r="E1632" s="1"/>
      <c r="F1632">
        <v>1</v>
      </c>
      <c r="G1632">
        <v>2</v>
      </c>
      <c r="H1632" s="1">
        <v>44136</v>
      </c>
      <c r="I1632" s="1">
        <v>44378</v>
      </c>
      <c r="J1632">
        <v>8</v>
      </c>
      <c r="K1632">
        <v>0</v>
      </c>
      <c r="L1632" s="1">
        <v>44256</v>
      </c>
      <c r="M1632">
        <v>10</v>
      </c>
      <c r="N1632" s="8" cm="1">
        <f t="array" ref="N1632">_xlfn.SWITCH(Sales[[#This Row],[Subscription Type]],"Basic",10,"Premium",10,"Business",25,"Enterprise",27)</f>
        <v>10</v>
      </c>
      <c r="O1632">
        <f>IF(Sales[[#This Row],[Number of Users]]-Sales[[#This Row],[Licenses Bought]]&lt;0,0,Sales[[#This Row],[Number of Users]]-Sales[[#This Row],[Licenses Bought]])</f>
        <v>1</v>
      </c>
      <c r="P1632" s="8">
        <f>IF(Sales[[#This Row],[Sales Month]]=MAX(Sales[Sales Month]),Sales[[#This Row],[Non-Paying Users]]*Sales[[#This Row],[Upsell $ per Non-Paying User]],0)</f>
        <v>0</v>
      </c>
      <c r="Q1632" t="str" cm="1">
        <f t="array" ref="Q1632">_xlfn.IFS(Sales[[#This Row],[Current Upsell $]]=0,"",Sales[[#This Row],[Current Upsell $]]&gt;=400,"High",Sales[[#This Row],[Current Upsell $]]&gt;=100,"Medium",Sales[[#This Row],[Current Upsell $]]&lt;100,"Low")</f>
        <v/>
      </c>
      <c r="R1632" t="str">
        <f>IF(Sales[[#This Row],[Current Upsell $]]&gt;0,_xlfn.CONCAT(Sales[[#This Row],[Subscription Type]]," ",Sales[[#This Row],[Upsell Priority]]," ",TEXT(Sales[[#This Row],[Current Upsell $]],"$#,#")),"")</f>
        <v/>
      </c>
    </row>
    <row r="1633" spans="1:18" x14ac:dyDescent="0.25">
      <c r="A1633">
        <v>100170</v>
      </c>
      <c r="B1633" t="s">
        <v>0</v>
      </c>
      <c r="D1633" s="1"/>
      <c r="E1633" s="1"/>
      <c r="F1633">
        <v>1</v>
      </c>
      <c r="G1633">
        <v>2</v>
      </c>
      <c r="H1633" s="1">
        <v>44136</v>
      </c>
      <c r="I1633" s="1">
        <v>44378</v>
      </c>
      <c r="J1633">
        <v>8</v>
      </c>
      <c r="K1633">
        <v>0</v>
      </c>
      <c r="L1633" s="1">
        <v>44287</v>
      </c>
      <c r="M1633">
        <v>10</v>
      </c>
      <c r="N1633" s="8" cm="1">
        <f t="array" ref="N1633">_xlfn.SWITCH(Sales[[#This Row],[Subscription Type]],"Basic",10,"Premium",10,"Business",25,"Enterprise",27)</f>
        <v>10</v>
      </c>
      <c r="O1633">
        <f>IF(Sales[[#This Row],[Number of Users]]-Sales[[#This Row],[Licenses Bought]]&lt;0,0,Sales[[#This Row],[Number of Users]]-Sales[[#This Row],[Licenses Bought]])</f>
        <v>1</v>
      </c>
      <c r="P1633" s="8">
        <f>IF(Sales[[#This Row],[Sales Month]]=MAX(Sales[Sales Month]),Sales[[#This Row],[Non-Paying Users]]*Sales[[#This Row],[Upsell $ per Non-Paying User]],0)</f>
        <v>0</v>
      </c>
      <c r="Q1633" t="str" cm="1">
        <f t="array" ref="Q1633">_xlfn.IFS(Sales[[#This Row],[Current Upsell $]]=0,"",Sales[[#This Row],[Current Upsell $]]&gt;=400,"High",Sales[[#This Row],[Current Upsell $]]&gt;=100,"Medium",Sales[[#This Row],[Current Upsell $]]&lt;100,"Low")</f>
        <v/>
      </c>
      <c r="R1633" t="str">
        <f>IF(Sales[[#This Row],[Current Upsell $]]&gt;0,_xlfn.CONCAT(Sales[[#This Row],[Subscription Type]]," ",Sales[[#This Row],[Upsell Priority]]," ",TEXT(Sales[[#This Row],[Current Upsell $]],"$#,#")),"")</f>
        <v/>
      </c>
    </row>
    <row r="1634" spans="1:18" x14ac:dyDescent="0.25">
      <c r="A1634">
        <v>100170</v>
      </c>
      <c r="B1634" t="s">
        <v>0</v>
      </c>
      <c r="D1634" s="1"/>
      <c r="E1634" s="1"/>
      <c r="F1634">
        <v>1</v>
      </c>
      <c r="G1634">
        <v>2</v>
      </c>
      <c r="H1634" s="1">
        <v>44136</v>
      </c>
      <c r="I1634" s="1">
        <v>44378</v>
      </c>
      <c r="J1634">
        <v>8</v>
      </c>
      <c r="K1634">
        <v>0</v>
      </c>
      <c r="L1634" s="1">
        <v>44317</v>
      </c>
      <c r="M1634">
        <v>10</v>
      </c>
      <c r="N1634" s="8" cm="1">
        <f t="array" ref="N1634">_xlfn.SWITCH(Sales[[#This Row],[Subscription Type]],"Basic",10,"Premium",10,"Business",25,"Enterprise",27)</f>
        <v>10</v>
      </c>
      <c r="O1634">
        <f>IF(Sales[[#This Row],[Number of Users]]-Sales[[#This Row],[Licenses Bought]]&lt;0,0,Sales[[#This Row],[Number of Users]]-Sales[[#This Row],[Licenses Bought]])</f>
        <v>1</v>
      </c>
      <c r="P1634" s="8">
        <f>IF(Sales[[#This Row],[Sales Month]]=MAX(Sales[Sales Month]),Sales[[#This Row],[Non-Paying Users]]*Sales[[#This Row],[Upsell $ per Non-Paying User]],0)</f>
        <v>0</v>
      </c>
      <c r="Q1634" t="str" cm="1">
        <f t="array" ref="Q1634">_xlfn.IFS(Sales[[#This Row],[Current Upsell $]]=0,"",Sales[[#This Row],[Current Upsell $]]&gt;=400,"High",Sales[[#This Row],[Current Upsell $]]&gt;=100,"Medium",Sales[[#This Row],[Current Upsell $]]&lt;100,"Low")</f>
        <v/>
      </c>
      <c r="R1634" t="str">
        <f>IF(Sales[[#This Row],[Current Upsell $]]&gt;0,_xlfn.CONCAT(Sales[[#This Row],[Subscription Type]]," ",Sales[[#This Row],[Upsell Priority]]," ",TEXT(Sales[[#This Row],[Current Upsell $]],"$#,#")),"")</f>
        <v/>
      </c>
    </row>
    <row r="1635" spans="1:18" x14ac:dyDescent="0.25">
      <c r="A1635">
        <v>100170</v>
      </c>
      <c r="B1635" t="s">
        <v>0</v>
      </c>
      <c r="D1635" s="1"/>
      <c r="E1635" s="1"/>
      <c r="F1635">
        <v>1</v>
      </c>
      <c r="G1635">
        <v>2</v>
      </c>
      <c r="H1635" s="1">
        <v>44136</v>
      </c>
      <c r="I1635" s="1">
        <v>44378</v>
      </c>
      <c r="J1635">
        <v>8</v>
      </c>
      <c r="K1635">
        <v>0</v>
      </c>
      <c r="L1635" s="1">
        <v>44348</v>
      </c>
      <c r="M1635">
        <v>10</v>
      </c>
      <c r="N1635" s="8" cm="1">
        <f t="array" ref="N1635">_xlfn.SWITCH(Sales[[#This Row],[Subscription Type]],"Basic",10,"Premium",10,"Business",25,"Enterprise",27)</f>
        <v>10</v>
      </c>
      <c r="O1635">
        <f>IF(Sales[[#This Row],[Number of Users]]-Sales[[#This Row],[Licenses Bought]]&lt;0,0,Sales[[#This Row],[Number of Users]]-Sales[[#This Row],[Licenses Bought]])</f>
        <v>1</v>
      </c>
      <c r="P1635" s="8">
        <f>IF(Sales[[#This Row],[Sales Month]]=MAX(Sales[Sales Month]),Sales[[#This Row],[Non-Paying Users]]*Sales[[#This Row],[Upsell $ per Non-Paying User]],0)</f>
        <v>10</v>
      </c>
      <c r="Q1635" t="str" cm="1">
        <f t="array" ref="Q1635">_xlfn.IFS(Sales[[#This Row],[Current Upsell $]]=0,"",Sales[[#This Row],[Current Upsell $]]&gt;=400,"High",Sales[[#This Row],[Current Upsell $]]&gt;=100,"Medium",Sales[[#This Row],[Current Upsell $]]&lt;100,"Low")</f>
        <v>Low</v>
      </c>
      <c r="R1635" t="str">
        <f>IF(Sales[[#This Row],[Current Upsell $]]&gt;0,_xlfn.CONCAT(Sales[[#This Row],[Subscription Type]]," ",Sales[[#This Row],[Upsell Priority]]," ",TEXT(Sales[[#This Row],[Current Upsell $]],"$#,#")),"")</f>
        <v>Premium Low $10</v>
      </c>
    </row>
    <row r="1636" spans="1:18" x14ac:dyDescent="0.25">
      <c r="A1636">
        <v>100171</v>
      </c>
      <c r="B1636" t="s">
        <v>3</v>
      </c>
      <c r="D1636" s="1"/>
      <c r="E1636" s="1"/>
      <c r="F1636">
        <v>0</v>
      </c>
      <c r="G1636">
        <v>51</v>
      </c>
      <c r="H1636" s="1">
        <v>44166</v>
      </c>
      <c r="I1636" s="1">
        <v>44378</v>
      </c>
      <c r="J1636">
        <v>7</v>
      </c>
      <c r="K1636">
        <v>0</v>
      </c>
      <c r="L1636" s="1">
        <v>44166</v>
      </c>
      <c r="M1636">
        <v>0</v>
      </c>
      <c r="N1636" s="8" cm="1">
        <f t="array" ref="N1636">_xlfn.SWITCH(Sales[[#This Row],[Subscription Type]],"Basic",10,"Premium",10,"Business",25,"Enterprise",27)</f>
        <v>10</v>
      </c>
      <c r="O1636">
        <f>IF(Sales[[#This Row],[Number of Users]]-Sales[[#This Row],[Licenses Bought]]&lt;0,0,Sales[[#This Row],[Number of Users]]-Sales[[#This Row],[Licenses Bought]])</f>
        <v>51</v>
      </c>
      <c r="P1636" s="8">
        <f>IF(Sales[[#This Row],[Sales Month]]=MAX(Sales[Sales Month]),Sales[[#This Row],[Non-Paying Users]]*Sales[[#This Row],[Upsell $ per Non-Paying User]],0)</f>
        <v>0</v>
      </c>
      <c r="Q1636" t="str" cm="1">
        <f t="array" ref="Q1636">_xlfn.IFS(Sales[[#This Row],[Current Upsell $]]=0,"",Sales[[#This Row],[Current Upsell $]]&gt;=400,"High",Sales[[#This Row],[Current Upsell $]]&gt;=100,"Medium",Sales[[#This Row],[Current Upsell $]]&lt;100,"Low")</f>
        <v/>
      </c>
      <c r="R1636" t="str">
        <f>IF(Sales[[#This Row],[Current Upsell $]]&gt;0,_xlfn.CONCAT(Sales[[#This Row],[Subscription Type]]," ",Sales[[#This Row],[Upsell Priority]]," ",TEXT(Sales[[#This Row],[Current Upsell $]],"$#,#")),"")</f>
        <v/>
      </c>
    </row>
    <row r="1637" spans="1:18" x14ac:dyDescent="0.25">
      <c r="A1637">
        <v>100171</v>
      </c>
      <c r="B1637" t="s">
        <v>0</v>
      </c>
      <c r="D1637" s="1"/>
      <c r="E1637" s="1"/>
      <c r="F1637">
        <v>15</v>
      </c>
      <c r="G1637">
        <v>61</v>
      </c>
      <c r="H1637" s="1">
        <v>44166</v>
      </c>
      <c r="I1637" s="1">
        <v>44378</v>
      </c>
      <c r="J1637">
        <v>7</v>
      </c>
      <c r="K1637">
        <v>0</v>
      </c>
      <c r="L1637" s="1">
        <v>44197</v>
      </c>
      <c r="M1637">
        <v>150</v>
      </c>
      <c r="N1637" s="8" cm="1">
        <f t="array" ref="N1637">_xlfn.SWITCH(Sales[[#This Row],[Subscription Type]],"Basic",10,"Premium",10,"Business",25,"Enterprise",27)</f>
        <v>10</v>
      </c>
      <c r="O1637">
        <f>IF(Sales[[#This Row],[Number of Users]]-Sales[[#This Row],[Licenses Bought]]&lt;0,0,Sales[[#This Row],[Number of Users]]-Sales[[#This Row],[Licenses Bought]])</f>
        <v>46</v>
      </c>
      <c r="P1637" s="8">
        <f>IF(Sales[[#This Row],[Sales Month]]=MAX(Sales[Sales Month]),Sales[[#This Row],[Non-Paying Users]]*Sales[[#This Row],[Upsell $ per Non-Paying User]],0)</f>
        <v>0</v>
      </c>
      <c r="Q1637" t="str" cm="1">
        <f t="array" ref="Q1637">_xlfn.IFS(Sales[[#This Row],[Current Upsell $]]=0,"",Sales[[#This Row],[Current Upsell $]]&gt;=400,"High",Sales[[#This Row],[Current Upsell $]]&gt;=100,"Medium",Sales[[#This Row],[Current Upsell $]]&lt;100,"Low")</f>
        <v/>
      </c>
      <c r="R1637" t="str">
        <f>IF(Sales[[#This Row],[Current Upsell $]]&gt;0,_xlfn.CONCAT(Sales[[#This Row],[Subscription Type]]," ",Sales[[#This Row],[Upsell Priority]]," ",TEXT(Sales[[#This Row],[Current Upsell $]],"$#,#")),"")</f>
        <v/>
      </c>
    </row>
    <row r="1638" spans="1:18" x14ac:dyDescent="0.25">
      <c r="A1638">
        <v>100171</v>
      </c>
      <c r="B1638" t="s">
        <v>0</v>
      </c>
      <c r="D1638" s="1"/>
      <c r="E1638" s="1"/>
      <c r="F1638">
        <v>35</v>
      </c>
      <c r="G1638">
        <v>45</v>
      </c>
      <c r="H1638" s="1">
        <v>44166</v>
      </c>
      <c r="I1638" s="1">
        <v>44378</v>
      </c>
      <c r="J1638">
        <v>7</v>
      </c>
      <c r="K1638">
        <v>0</v>
      </c>
      <c r="L1638" s="1">
        <v>44228</v>
      </c>
      <c r="M1638">
        <v>350</v>
      </c>
      <c r="N1638" s="8" cm="1">
        <f t="array" ref="N1638">_xlfn.SWITCH(Sales[[#This Row],[Subscription Type]],"Basic",10,"Premium",10,"Business",25,"Enterprise",27)</f>
        <v>10</v>
      </c>
      <c r="O1638">
        <f>IF(Sales[[#This Row],[Number of Users]]-Sales[[#This Row],[Licenses Bought]]&lt;0,0,Sales[[#This Row],[Number of Users]]-Sales[[#This Row],[Licenses Bought]])</f>
        <v>10</v>
      </c>
      <c r="P1638" s="8">
        <f>IF(Sales[[#This Row],[Sales Month]]=MAX(Sales[Sales Month]),Sales[[#This Row],[Non-Paying Users]]*Sales[[#This Row],[Upsell $ per Non-Paying User]],0)</f>
        <v>0</v>
      </c>
      <c r="Q1638" t="str" cm="1">
        <f t="array" ref="Q1638">_xlfn.IFS(Sales[[#This Row],[Current Upsell $]]=0,"",Sales[[#This Row],[Current Upsell $]]&gt;=400,"High",Sales[[#This Row],[Current Upsell $]]&gt;=100,"Medium",Sales[[#This Row],[Current Upsell $]]&lt;100,"Low")</f>
        <v/>
      </c>
      <c r="R1638" t="str">
        <f>IF(Sales[[#This Row],[Current Upsell $]]&gt;0,_xlfn.CONCAT(Sales[[#This Row],[Subscription Type]]," ",Sales[[#This Row],[Upsell Priority]]," ",TEXT(Sales[[#This Row],[Current Upsell $]],"$#,#")),"")</f>
        <v/>
      </c>
    </row>
    <row r="1639" spans="1:18" x14ac:dyDescent="0.25">
      <c r="A1639">
        <v>100171</v>
      </c>
      <c r="B1639" t="s">
        <v>0</v>
      </c>
      <c r="D1639" s="1"/>
      <c r="E1639" s="1"/>
      <c r="F1639">
        <v>34</v>
      </c>
      <c r="G1639">
        <v>56</v>
      </c>
      <c r="H1639" s="1">
        <v>44166</v>
      </c>
      <c r="I1639" s="1">
        <v>44378</v>
      </c>
      <c r="J1639">
        <v>7</v>
      </c>
      <c r="K1639">
        <v>0</v>
      </c>
      <c r="L1639" s="1">
        <v>44256</v>
      </c>
      <c r="M1639">
        <v>340</v>
      </c>
      <c r="N1639" s="8" cm="1">
        <f t="array" ref="N1639">_xlfn.SWITCH(Sales[[#This Row],[Subscription Type]],"Basic",10,"Premium",10,"Business",25,"Enterprise",27)</f>
        <v>10</v>
      </c>
      <c r="O1639">
        <f>IF(Sales[[#This Row],[Number of Users]]-Sales[[#This Row],[Licenses Bought]]&lt;0,0,Sales[[#This Row],[Number of Users]]-Sales[[#This Row],[Licenses Bought]])</f>
        <v>22</v>
      </c>
      <c r="P1639" s="8">
        <f>IF(Sales[[#This Row],[Sales Month]]=MAX(Sales[Sales Month]),Sales[[#This Row],[Non-Paying Users]]*Sales[[#This Row],[Upsell $ per Non-Paying User]],0)</f>
        <v>0</v>
      </c>
      <c r="Q1639" t="str" cm="1">
        <f t="array" ref="Q1639">_xlfn.IFS(Sales[[#This Row],[Current Upsell $]]=0,"",Sales[[#This Row],[Current Upsell $]]&gt;=400,"High",Sales[[#This Row],[Current Upsell $]]&gt;=100,"Medium",Sales[[#This Row],[Current Upsell $]]&lt;100,"Low")</f>
        <v/>
      </c>
      <c r="R1639" t="str">
        <f>IF(Sales[[#This Row],[Current Upsell $]]&gt;0,_xlfn.CONCAT(Sales[[#This Row],[Subscription Type]]," ",Sales[[#This Row],[Upsell Priority]]," ",TEXT(Sales[[#This Row],[Current Upsell $]],"$#,#")),"")</f>
        <v/>
      </c>
    </row>
    <row r="1640" spans="1:18" x14ac:dyDescent="0.25">
      <c r="A1640">
        <v>100171</v>
      </c>
      <c r="B1640" t="s">
        <v>0</v>
      </c>
      <c r="D1640" s="1"/>
      <c r="E1640" s="1"/>
      <c r="F1640">
        <v>43</v>
      </c>
      <c r="G1640">
        <v>53</v>
      </c>
      <c r="H1640" s="1">
        <v>44166</v>
      </c>
      <c r="I1640" s="1">
        <v>44378</v>
      </c>
      <c r="J1640">
        <v>7</v>
      </c>
      <c r="K1640">
        <v>0</v>
      </c>
      <c r="L1640" s="1">
        <v>44287</v>
      </c>
      <c r="M1640">
        <v>430</v>
      </c>
      <c r="N1640" s="8" cm="1">
        <f t="array" ref="N1640">_xlfn.SWITCH(Sales[[#This Row],[Subscription Type]],"Basic",10,"Premium",10,"Business",25,"Enterprise",27)</f>
        <v>10</v>
      </c>
      <c r="O1640">
        <f>IF(Sales[[#This Row],[Number of Users]]-Sales[[#This Row],[Licenses Bought]]&lt;0,0,Sales[[#This Row],[Number of Users]]-Sales[[#This Row],[Licenses Bought]])</f>
        <v>10</v>
      </c>
      <c r="P1640" s="8">
        <f>IF(Sales[[#This Row],[Sales Month]]=MAX(Sales[Sales Month]),Sales[[#This Row],[Non-Paying Users]]*Sales[[#This Row],[Upsell $ per Non-Paying User]],0)</f>
        <v>0</v>
      </c>
      <c r="Q1640" t="str" cm="1">
        <f t="array" ref="Q1640">_xlfn.IFS(Sales[[#This Row],[Current Upsell $]]=0,"",Sales[[#This Row],[Current Upsell $]]&gt;=400,"High",Sales[[#This Row],[Current Upsell $]]&gt;=100,"Medium",Sales[[#This Row],[Current Upsell $]]&lt;100,"Low")</f>
        <v/>
      </c>
      <c r="R1640" t="str">
        <f>IF(Sales[[#This Row],[Current Upsell $]]&gt;0,_xlfn.CONCAT(Sales[[#This Row],[Subscription Type]]," ",Sales[[#This Row],[Upsell Priority]]," ",TEXT(Sales[[#This Row],[Current Upsell $]],"$#,#")),"")</f>
        <v/>
      </c>
    </row>
    <row r="1641" spans="1:18" x14ac:dyDescent="0.25">
      <c r="A1641">
        <v>100171</v>
      </c>
      <c r="B1641" t="s">
        <v>0</v>
      </c>
      <c r="D1641" s="1"/>
      <c r="E1641" s="1"/>
      <c r="F1641">
        <v>43</v>
      </c>
      <c r="G1641">
        <v>50</v>
      </c>
      <c r="H1641" s="1">
        <v>44166</v>
      </c>
      <c r="I1641" s="1">
        <v>44378</v>
      </c>
      <c r="J1641">
        <v>7</v>
      </c>
      <c r="K1641">
        <v>0</v>
      </c>
      <c r="L1641" s="1">
        <v>44317</v>
      </c>
      <c r="M1641">
        <v>430</v>
      </c>
      <c r="N1641" s="8" cm="1">
        <f t="array" ref="N1641">_xlfn.SWITCH(Sales[[#This Row],[Subscription Type]],"Basic",10,"Premium",10,"Business",25,"Enterprise",27)</f>
        <v>10</v>
      </c>
      <c r="O1641">
        <f>IF(Sales[[#This Row],[Number of Users]]-Sales[[#This Row],[Licenses Bought]]&lt;0,0,Sales[[#This Row],[Number of Users]]-Sales[[#This Row],[Licenses Bought]])</f>
        <v>7</v>
      </c>
      <c r="P1641" s="8">
        <f>IF(Sales[[#This Row],[Sales Month]]=MAX(Sales[Sales Month]),Sales[[#This Row],[Non-Paying Users]]*Sales[[#This Row],[Upsell $ per Non-Paying User]],0)</f>
        <v>0</v>
      </c>
      <c r="Q1641" t="str" cm="1">
        <f t="array" ref="Q1641">_xlfn.IFS(Sales[[#This Row],[Current Upsell $]]=0,"",Sales[[#This Row],[Current Upsell $]]&gt;=400,"High",Sales[[#This Row],[Current Upsell $]]&gt;=100,"Medium",Sales[[#This Row],[Current Upsell $]]&lt;100,"Low")</f>
        <v/>
      </c>
      <c r="R1641" t="str">
        <f>IF(Sales[[#This Row],[Current Upsell $]]&gt;0,_xlfn.CONCAT(Sales[[#This Row],[Subscription Type]]," ",Sales[[#This Row],[Upsell Priority]]," ",TEXT(Sales[[#This Row],[Current Upsell $]],"$#,#")),"")</f>
        <v/>
      </c>
    </row>
    <row r="1642" spans="1:18" x14ac:dyDescent="0.25">
      <c r="A1642">
        <v>100171</v>
      </c>
      <c r="B1642" t="s">
        <v>0</v>
      </c>
      <c r="D1642" s="1"/>
      <c r="E1642" s="1"/>
      <c r="F1642">
        <v>43</v>
      </c>
      <c r="G1642">
        <v>41</v>
      </c>
      <c r="H1642" s="1">
        <v>44166</v>
      </c>
      <c r="I1642" s="1">
        <v>44378</v>
      </c>
      <c r="J1642">
        <v>7</v>
      </c>
      <c r="K1642">
        <v>0</v>
      </c>
      <c r="L1642" s="1">
        <v>44348</v>
      </c>
      <c r="M1642">
        <v>430</v>
      </c>
      <c r="N1642" s="8" cm="1">
        <f t="array" ref="N1642">_xlfn.SWITCH(Sales[[#This Row],[Subscription Type]],"Basic",10,"Premium",10,"Business",25,"Enterprise",27)</f>
        <v>10</v>
      </c>
      <c r="O1642">
        <f>IF(Sales[[#This Row],[Number of Users]]-Sales[[#This Row],[Licenses Bought]]&lt;0,0,Sales[[#This Row],[Number of Users]]-Sales[[#This Row],[Licenses Bought]])</f>
        <v>0</v>
      </c>
      <c r="P1642" s="8">
        <f>IF(Sales[[#This Row],[Sales Month]]=MAX(Sales[Sales Month]),Sales[[#This Row],[Non-Paying Users]]*Sales[[#This Row],[Upsell $ per Non-Paying User]],0)</f>
        <v>0</v>
      </c>
      <c r="Q1642" t="str" cm="1">
        <f t="array" ref="Q1642">_xlfn.IFS(Sales[[#This Row],[Current Upsell $]]=0,"",Sales[[#This Row],[Current Upsell $]]&gt;=400,"High",Sales[[#This Row],[Current Upsell $]]&gt;=100,"Medium",Sales[[#This Row],[Current Upsell $]]&lt;100,"Low")</f>
        <v/>
      </c>
      <c r="R1642" t="str">
        <f>IF(Sales[[#This Row],[Current Upsell $]]&gt;0,_xlfn.CONCAT(Sales[[#This Row],[Subscription Type]]," ",Sales[[#This Row],[Upsell Priority]]," ",TEXT(Sales[[#This Row],[Current Upsell $]],"$#,#")),"")</f>
        <v/>
      </c>
    </row>
    <row r="1643" spans="1:18" x14ac:dyDescent="0.25">
      <c r="A1643">
        <v>100172</v>
      </c>
      <c r="B1643" t="s">
        <v>3</v>
      </c>
      <c r="D1643" s="1"/>
      <c r="E1643" s="1"/>
      <c r="F1643">
        <v>0</v>
      </c>
      <c r="G1643">
        <v>14</v>
      </c>
      <c r="H1643" s="1">
        <v>44166</v>
      </c>
      <c r="I1643" s="1">
        <v>44378</v>
      </c>
      <c r="J1643">
        <v>7</v>
      </c>
      <c r="K1643">
        <v>0</v>
      </c>
      <c r="L1643" s="1">
        <v>44166</v>
      </c>
      <c r="M1643">
        <v>0</v>
      </c>
      <c r="N1643" s="8" cm="1">
        <f t="array" ref="N1643">_xlfn.SWITCH(Sales[[#This Row],[Subscription Type]],"Basic",10,"Premium",10,"Business",25,"Enterprise",27)</f>
        <v>10</v>
      </c>
      <c r="O1643">
        <f>IF(Sales[[#This Row],[Number of Users]]-Sales[[#This Row],[Licenses Bought]]&lt;0,0,Sales[[#This Row],[Number of Users]]-Sales[[#This Row],[Licenses Bought]])</f>
        <v>14</v>
      </c>
      <c r="P1643" s="8">
        <f>IF(Sales[[#This Row],[Sales Month]]=MAX(Sales[Sales Month]),Sales[[#This Row],[Non-Paying Users]]*Sales[[#This Row],[Upsell $ per Non-Paying User]],0)</f>
        <v>0</v>
      </c>
      <c r="Q1643" t="str" cm="1">
        <f t="array" ref="Q1643">_xlfn.IFS(Sales[[#This Row],[Current Upsell $]]=0,"",Sales[[#This Row],[Current Upsell $]]&gt;=400,"High",Sales[[#This Row],[Current Upsell $]]&gt;=100,"Medium",Sales[[#This Row],[Current Upsell $]]&lt;100,"Low")</f>
        <v/>
      </c>
      <c r="R1643" t="str">
        <f>IF(Sales[[#This Row],[Current Upsell $]]&gt;0,_xlfn.CONCAT(Sales[[#This Row],[Subscription Type]]," ",Sales[[#This Row],[Upsell Priority]]," ",TEXT(Sales[[#This Row],[Current Upsell $]],"$#,#")),"")</f>
        <v/>
      </c>
    </row>
    <row r="1644" spans="1:18" x14ac:dyDescent="0.25">
      <c r="A1644">
        <v>100172</v>
      </c>
      <c r="B1644" t="s">
        <v>1</v>
      </c>
      <c r="D1644" s="1"/>
      <c r="E1644" s="1"/>
      <c r="F1644">
        <v>4</v>
      </c>
      <c r="G1644">
        <v>11</v>
      </c>
      <c r="H1644" s="1">
        <v>44166</v>
      </c>
      <c r="I1644" s="1">
        <v>44378</v>
      </c>
      <c r="J1644">
        <v>7</v>
      </c>
      <c r="K1644">
        <v>0</v>
      </c>
      <c r="L1644" s="1">
        <v>44197</v>
      </c>
      <c r="M1644">
        <v>100</v>
      </c>
      <c r="N1644" s="8" cm="1">
        <f t="array" ref="N1644">_xlfn.SWITCH(Sales[[#This Row],[Subscription Type]],"Basic",10,"Premium",10,"Business",25,"Enterprise",27)</f>
        <v>25</v>
      </c>
      <c r="O1644">
        <f>IF(Sales[[#This Row],[Number of Users]]-Sales[[#This Row],[Licenses Bought]]&lt;0,0,Sales[[#This Row],[Number of Users]]-Sales[[#This Row],[Licenses Bought]])</f>
        <v>7</v>
      </c>
      <c r="P1644" s="8">
        <f>IF(Sales[[#This Row],[Sales Month]]=MAX(Sales[Sales Month]),Sales[[#This Row],[Non-Paying Users]]*Sales[[#This Row],[Upsell $ per Non-Paying User]],0)</f>
        <v>0</v>
      </c>
      <c r="Q1644" t="str" cm="1">
        <f t="array" ref="Q1644">_xlfn.IFS(Sales[[#This Row],[Current Upsell $]]=0,"",Sales[[#This Row],[Current Upsell $]]&gt;=400,"High",Sales[[#This Row],[Current Upsell $]]&gt;=100,"Medium",Sales[[#This Row],[Current Upsell $]]&lt;100,"Low")</f>
        <v/>
      </c>
      <c r="R1644" t="str">
        <f>IF(Sales[[#This Row],[Current Upsell $]]&gt;0,_xlfn.CONCAT(Sales[[#This Row],[Subscription Type]]," ",Sales[[#This Row],[Upsell Priority]]," ",TEXT(Sales[[#This Row],[Current Upsell $]],"$#,#")),"")</f>
        <v/>
      </c>
    </row>
    <row r="1645" spans="1:18" x14ac:dyDescent="0.25">
      <c r="A1645">
        <v>100172</v>
      </c>
      <c r="B1645" t="s">
        <v>1</v>
      </c>
      <c r="D1645" s="1"/>
      <c r="E1645" s="1"/>
      <c r="F1645">
        <v>9</v>
      </c>
      <c r="G1645">
        <v>12</v>
      </c>
      <c r="H1645" s="1">
        <v>44166</v>
      </c>
      <c r="I1645" s="1">
        <v>44378</v>
      </c>
      <c r="J1645">
        <v>7</v>
      </c>
      <c r="K1645">
        <v>0</v>
      </c>
      <c r="L1645" s="1">
        <v>44228</v>
      </c>
      <c r="M1645">
        <v>225</v>
      </c>
      <c r="N1645" s="8" cm="1">
        <f t="array" ref="N1645">_xlfn.SWITCH(Sales[[#This Row],[Subscription Type]],"Basic",10,"Premium",10,"Business",25,"Enterprise",27)</f>
        <v>25</v>
      </c>
      <c r="O1645">
        <f>IF(Sales[[#This Row],[Number of Users]]-Sales[[#This Row],[Licenses Bought]]&lt;0,0,Sales[[#This Row],[Number of Users]]-Sales[[#This Row],[Licenses Bought]])</f>
        <v>3</v>
      </c>
      <c r="P1645" s="8">
        <f>IF(Sales[[#This Row],[Sales Month]]=MAX(Sales[Sales Month]),Sales[[#This Row],[Non-Paying Users]]*Sales[[#This Row],[Upsell $ per Non-Paying User]],0)</f>
        <v>0</v>
      </c>
      <c r="Q1645" t="str" cm="1">
        <f t="array" ref="Q1645">_xlfn.IFS(Sales[[#This Row],[Current Upsell $]]=0,"",Sales[[#This Row],[Current Upsell $]]&gt;=400,"High",Sales[[#This Row],[Current Upsell $]]&gt;=100,"Medium",Sales[[#This Row],[Current Upsell $]]&lt;100,"Low")</f>
        <v/>
      </c>
      <c r="R1645" t="str">
        <f>IF(Sales[[#This Row],[Current Upsell $]]&gt;0,_xlfn.CONCAT(Sales[[#This Row],[Subscription Type]]," ",Sales[[#This Row],[Upsell Priority]]," ",TEXT(Sales[[#This Row],[Current Upsell $]],"$#,#")),"")</f>
        <v/>
      </c>
    </row>
    <row r="1646" spans="1:18" x14ac:dyDescent="0.25">
      <c r="A1646">
        <v>100172</v>
      </c>
      <c r="B1646" t="s">
        <v>1</v>
      </c>
      <c r="D1646" s="1"/>
      <c r="E1646" s="1"/>
      <c r="F1646">
        <v>9</v>
      </c>
      <c r="G1646">
        <v>11</v>
      </c>
      <c r="H1646" s="1">
        <v>44166</v>
      </c>
      <c r="I1646" s="1">
        <v>44378</v>
      </c>
      <c r="J1646">
        <v>7</v>
      </c>
      <c r="K1646">
        <v>0</v>
      </c>
      <c r="L1646" s="1">
        <v>44256</v>
      </c>
      <c r="M1646">
        <v>225</v>
      </c>
      <c r="N1646" s="8" cm="1">
        <f t="array" ref="N1646">_xlfn.SWITCH(Sales[[#This Row],[Subscription Type]],"Basic",10,"Premium",10,"Business",25,"Enterprise",27)</f>
        <v>25</v>
      </c>
      <c r="O1646">
        <f>IF(Sales[[#This Row],[Number of Users]]-Sales[[#This Row],[Licenses Bought]]&lt;0,0,Sales[[#This Row],[Number of Users]]-Sales[[#This Row],[Licenses Bought]])</f>
        <v>2</v>
      </c>
      <c r="P1646" s="8">
        <f>IF(Sales[[#This Row],[Sales Month]]=MAX(Sales[Sales Month]),Sales[[#This Row],[Non-Paying Users]]*Sales[[#This Row],[Upsell $ per Non-Paying User]],0)</f>
        <v>0</v>
      </c>
      <c r="Q1646" t="str" cm="1">
        <f t="array" ref="Q1646">_xlfn.IFS(Sales[[#This Row],[Current Upsell $]]=0,"",Sales[[#This Row],[Current Upsell $]]&gt;=400,"High",Sales[[#This Row],[Current Upsell $]]&gt;=100,"Medium",Sales[[#This Row],[Current Upsell $]]&lt;100,"Low")</f>
        <v/>
      </c>
      <c r="R1646" t="str">
        <f>IF(Sales[[#This Row],[Current Upsell $]]&gt;0,_xlfn.CONCAT(Sales[[#This Row],[Subscription Type]]," ",Sales[[#This Row],[Upsell Priority]]," ",TEXT(Sales[[#This Row],[Current Upsell $]],"$#,#")),"")</f>
        <v/>
      </c>
    </row>
    <row r="1647" spans="1:18" x14ac:dyDescent="0.25">
      <c r="A1647">
        <v>100172</v>
      </c>
      <c r="B1647" t="s">
        <v>1</v>
      </c>
      <c r="D1647" s="1"/>
      <c r="E1647" s="1"/>
      <c r="F1647">
        <v>9</v>
      </c>
      <c r="G1647">
        <v>12</v>
      </c>
      <c r="H1647" s="1">
        <v>44166</v>
      </c>
      <c r="I1647" s="1">
        <v>44378</v>
      </c>
      <c r="J1647">
        <v>7</v>
      </c>
      <c r="K1647">
        <v>0</v>
      </c>
      <c r="L1647" s="1">
        <v>44287</v>
      </c>
      <c r="M1647">
        <v>225</v>
      </c>
      <c r="N1647" s="8" cm="1">
        <f t="array" ref="N1647">_xlfn.SWITCH(Sales[[#This Row],[Subscription Type]],"Basic",10,"Premium",10,"Business",25,"Enterprise",27)</f>
        <v>25</v>
      </c>
      <c r="O1647">
        <f>IF(Sales[[#This Row],[Number of Users]]-Sales[[#This Row],[Licenses Bought]]&lt;0,0,Sales[[#This Row],[Number of Users]]-Sales[[#This Row],[Licenses Bought]])</f>
        <v>3</v>
      </c>
      <c r="P1647" s="8">
        <f>IF(Sales[[#This Row],[Sales Month]]=MAX(Sales[Sales Month]),Sales[[#This Row],[Non-Paying Users]]*Sales[[#This Row],[Upsell $ per Non-Paying User]],0)</f>
        <v>0</v>
      </c>
      <c r="Q1647" t="str" cm="1">
        <f t="array" ref="Q1647">_xlfn.IFS(Sales[[#This Row],[Current Upsell $]]=0,"",Sales[[#This Row],[Current Upsell $]]&gt;=400,"High",Sales[[#This Row],[Current Upsell $]]&gt;=100,"Medium",Sales[[#This Row],[Current Upsell $]]&lt;100,"Low")</f>
        <v/>
      </c>
      <c r="R1647" t="str">
        <f>IF(Sales[[#This Row],[Current Upsell $]]&gt;0,_xlfn.CONCAT(Sales[[#This Row],[Subscription Type]]," ",Sales[[#This Row],[Upsell Priority]]," ",TEXT(Sales[[#This Row],[Current Upsell $]],"$#,#")),"")</f>
        <v/>
      </c>
    </row>
    <row r="1648" spans="1:18" x14ac:dyDescent="0.25">
      <c r="A1648">
        <v>100172</v>
      </c>
      <c r="B1648" t="s">
        <v>1</v>
      </c>
      <c r="D1648" s="1"/>
      <c r="E1648" s="1"/>
      <c r="F1648">
        <v>9</v>
      </c>
      <c r="G1648">
        <v>12</v>
      </c>
      <c r="H1648" s="1">
        <v>44166</v>
      </c>
      <c r="I1648" s="1">
        <v>44378</v>
      </c>
      <c r="J1648">
        <v>7</v>
      </c>
      <c r="K1648">
        <v>0</v>
      </c>
      <c r="L1648" s="1">
        <v>44317</v>
      </c>
      <c r="M1648">
        <v>225</v>
      </c>
      <c r="N1648" s="8" cm="1">
        <f t="array" ref="N1648">_xlfn.SWITCH(Sales[[#This Row],[Subscription Type]],"Basic",10,"Premium",10,"Business",25,"Enterprise",27)</f>
        <v>25</v>
      </c>
      <c r="O1648">
        <f>IF(Sales[[#This Row],[Number of Users]]-Sales[[#This Row],[Licenses Bought]]&lt;0,0,Sales[[#This Row],[Number of Users]]-Sales[[#This Row],[Licenses Bought]])</f>
        <v>3</v>
      </c>
      <c r="P1648" s="8">
        <f>IF(Sales[[#This Row],[Sales Month]]=MAX(Sales[Sales Month]),Sales[[#This Row],[Non-Paying Users]]*Sales[[#This Row],[Upsell $ per Non-Paying User]],0)</f>
        <v>0</v>
      </c>
      <c r="Q1648" t="str" cm="1">
        <f t="array" ref="Q1648">_xlfn.IFS(Sales[[#This Row],[Current Upsell $]]=0,"",Sales[[#This Row],[Current Upsell $]]&gt;=400,"High",Sales[[#This Row],[Current Upsell $]]&gt;=100,"Medium",Sales[[#This Row],[Current Upsell $]]&lt;100,"Low")</f>
        <v/>
      </c>
      <c r="R1648" t="str">
        <f>IF(Sales[[#This Row],[Current Upsell $]]&gt;0,_xlfn.CONCAT(Sales[[#This Row],[Subscription Type]]," ",Sales[[#This Row],[Upsell Priority]]," ",TEXT(Sales[[#This Row],[Current Upsell $]],"$#,#")),"")</f>
        <v/>
      </c>
    </row>
    <row r="1649" spans="1:18" x14ac:dyDescent="0.25">
      <c r="A1649">
        <v>100172</v>
      </c>
      <c r="B1649" t="s">
        <v>1</v>
      </c>
      <c r="D1649" s="1"/>
      <c r="E1649" s="1"/>
      <c r="F1649">
        <v>9</v>
      </c>
      <c r="G1649">
        <v>13</v>
      </c>
      <c r="H1649" s="1">
        <v>44166</v>
      </c>
      <c r="I1649" s="1">
        <v>44378</v>
      </c>
      <c r="J1649">
        <v>7</v>
      </c>
      <c r="K1649">
        <v>0</v>
      </c>
      <c r="L1649" s="1">
        <v>44348</v>
      </c>
      <c r="M1649">
        <v>225</v>
      </c>
      <c r="N1649" s="8" cm="1">
        <f t="array" ref="N1649">_xlfn.SWITCH(Sales[[#This Row],[Subscription Type]],"Basic",10,"Premium",10,"Business",25,"Enterprise",27)</f>
        <v>25</v>
      </c>
      <c r="O1649">
        <f>IF(Sales[[#This Row],[Number of Users]]-Sales[[#This Row],[Licenses Bought]]&lt;0,0,Sales[[#This Row],[Number of Users]]-Sales[[#This Row],[Licenses Bought]])</f>
        <v>4</v>
      </c>
      <c r="P1649" s="8">
        <f>IF(Sales[[#This Row],[Sales Month]]=MAX(Sales[Sales Month]),Sales[[#This Row],[Non-Paying Users]]*Sales[[#This Row],[Upsell $ per Non-Paying User]],0)</f>
        <v>100</v>
      </c>
      <c r="Q1649" t="str" cm="1">
        <f t="array" ref="Q1649">_xlfn.IFS(Sales[[#This Row],[Current Upsell $]]=0,"",Sales[[#This Row],[Current Upsell $]]&gt;=400,"High",Sales[[#This Row],[Current Upsell $]]&gt;=100,"Medium",Sales[[#This Row],[Current Upsell $]]&lt;100,"Low")</f>
        <v>Medium</v>
      </c>
      <c r="R1649" t="str">
        <f>IF(Sales[[#This Row],[Current Upsell $]]&gt;0,_xlfn.CONCAT(Sales[[#This Row],[Subscription Type]]," ",Sales[[#This Row],[Upsell Priority]]," ",TEXT(Sales[[#This Row],[Current Upsell $]],"$#,#")),"")</f>
        <v>Business Medium $100</v>
      </c>
    </row>
    <row r="1650" spans="1:18" x14ac:dyDescent="0.25">
      <c r="A1650">
        <v>100173</v>
      </c>
      <c r="B1650" t="s">
        <v>3</v>
      </c>
      <c r="F1650">
        <v>0</v>
      </c>
      <c r="G1650">
        <v>8</v>
      </c>
      <c r="H1650" s="1">
        <v>44166</v>
      </c>
      <c r="I1650" s="1">
        <v>44228</v>
      </c>
      <c r="J1650">
        <v>2</v>
      </c>
      <c r="K1650">
        <v>4</v>
      </c>
      <c r="L1650" s="1">
        <v>44166</v>
      </c>
      <c r="M1650">
        <v>0</v>
      </c>
      <c r="N1650" s="8" cm="1">
        <f t="array" ref="N1650">_xlfn.SWITCH(Sales[[#This Row],[Subscription Type]],"Basic",10,"Premium",10,"Business",25,"Enterprise",27)</f>
        <v>10</v>
      </c>
      <c r="O1650">
        <f>IF(Sales[[#This Row],[Number of Users]]-Sales[[#This Row],[Licenses Bought]]&lt;0,0,Sales[[#This Row],[Number of Users]]-Sales[[#This Row],[Licenses Bought]])</f>
        <v>8</v>
      </c>
      <c r="P1650" s="8">
        <f>IF(Sales[[#This Row],[Sales Month]]=MAX(Sales[Sales Month]),Sales[[#This Row],[Non-Paying Users]]*Sales[[#This Row],[Upsell $ per Non-Paying User]],0)</f>
        <v>0</v>
      </c>
      <c r="Q1650" t="str" cm="1">
        <f t="array" ref="Q1650">_xlfn.IFS(Sales[[#This Row],[Current Upsell $]]=0,"",Sales[[#This Row],[Current Upsell $]]&gt;=400,"High",Sales[[#This Row],[Current Upsell $]]&gt;=100,"Medium",Sales[[#This Row],[Current Upsell $]]&lt;100,"Low")</f>
        <v/>
      </c>
      <c r="R1650" t="str">
        <f>IF(Sales[[#This Row],[Current Upsell $]]&gt;0,_xlfn.CONCAT(Sales[[#This Row],[Subscription Type]]," ",Sales[[#This Row],[Upsell Priority]]," ",TEXT(Sales[[#This Row],[Current Upsell $]],"$#,#")),"")</f>
        <v/>
      </c>
    </row>
    <row r="1651" spans="1:18" x14ac:dyDescent="0.25">
      <c r="A1651">
        <v>100173</v>
      </c>
      <c r="B1651" t="s">
        <v>3</v>
      </c>
      <c r="F1651">
        <v>0</v>
      </c>
      <c r="G1651">
        <v>6</v>
      </c>
      <c r="H1651" s="1">
        <v>44166</v>
      </c>
      <c r="I1651" s="1">
        <v>44228</v>
      </c>
      <c r="J1651">
        <v>2</v>
      </c>
      <c r="K1651">
        <v>4</v>
      </c>
      <c r="L1651" s="1">
        <v>44197</v>
      </c>
      <c r="M1651">
        <v>0</v>
      </c>
      <c r="N1651" s="8" cm="1">
        <f t="array" ref="N1651">_xlfn.SWITCH(Sales[[#This Row],[Subscription Type]],"Basic",10,"Premium",10,"Business",25,"Enterprise",27)</f>
        <v>10</v>
      </c>
      <c r="O1651">
        <f>IF(Sales[[#This Row],[Number of Users]]-Sales[[#This Row],[Licenses Bought]]&lt;0,0,Sales[[#This Row],[Number of Users]]-Sales[[#This Row],[Licenses Bought]])</f>
        <v>6</v>
      </c>
      <c r="P1651" s="8">
        <f>IF(Sales[[#This Row],[Sales Month]]=MAX(Sales[Sales Month]),Sales[[#This Row],[Non-Paying Users]]*Sales[[#This Row],[Upsell $ per Non-Paying User]],0)</f>
        <v>0</v>
      </c>
      <c r="Q1651" t="str" cm="1">
        <f t="array" ref="Q1651">_xlfn.IFS(Sales[[#This Row],[Current Upsell $]]=0,"",Sales[[#This Row],[Current Upsell $]]&gt;=400,"High",Sales[[#This Row],[Current Upsell $]]&gt;=100,"Medium",Sales[[#This Row],[Current Upsell $]]&lt;100,"Low")</f>
        <v/>
      </c>
      <c r="R1651" t="str">
        <f>IF(Sales[[#This Row],[Current Upsell $]]&gt;0,_xlfn.CONCAT(Sales[[#This Row],[Subscription Type]]," ",Sales[[#This Row],[Upsell Priority]]," ",TEXT(Sales[[#This Row],[Current Upsell $]],"$#,#")),"")</f>
        <v/>
      </c>
    </row>
    <row r="1652" spans="1:18" x14ac:dyDescent="0.25">
      <c r="A1652">
        <v>100173</v>
      </c>
      <c r="B1652" t="s">
        <v>3</v>
      </c>
      <c r="F1652">
        <v>0</v>
      </c>
      <c r="G1652">
        <v>6</v>
      </c>
      <c r="H1652" s="1">
        <v>44166</v>
      </c>
      <c r="I1652" s="1">
        <v>44228</v>
      </c>
      <c r="J1652">
        <v>2</v>
      </c>
      <c r="K1652">
        <v>4</v>
      </c>
      <c r="L1652" s="1">
        <v>44228</v>
      </c>
      <c r="M1652">
        <v>0</v>
      </c>
      <c r="N1652" s="8" cm="1">
        <f t="array" ref="N1652">_xlfn.SWITCH(Sales[[#This Row],[Subscription Type]],"Basic",10,"Premium",10,"Business",25,"Enterprise",27)</f>
        <v>10</v>
      </c>
      <c r="O1652">
        <f>IF(Sales[[#This Row],[Number of Users]]-Sales[[#This Row],[Licenses Bought]]&lt;0,0,Sales[[#This Row],[Number of Users]]-Sales[[#This Row],[Licenses Bought]])</f>
        <v>6</v>
      </c>
      <c r="P1652" s="8">
        <f>IF(Sales[[#This Row],[Sales Month]]=MAX(Sales[Sales Month]),Sales[[#This Row],[Non-Paying Users]]*Sales[[#This Row],[Upsell $ per Non-Paying User]],0)</f>
        <v>0</v>
      </c>
      <c r="Q1652" t="str" cm="1">
        <f t="array" ref="Q1652">_xlfn.IFS(Sales[[#This Row],[Current Upsell $]]=0,"",Sales[[#This Row],[Current Upsell $]]&gt;=400,"High",Sales[[#This Row],[Current Upsell $]]&gt;=100,"Medium",Sales[[#This Row],[Current Upsell $]]&lt;100,"Low")</f>
        <v/>
      </c>
      <c r="R1652" t="str">
        <f>IF(Sales[[#This Row],[Current Upsell $]]&gt;0,_xlfn.CONCAT(Sales[[#This Row],[Subscription Type]]," ",Sales[[#This Row],[Upsell Priority]]," ",TEXT(Sales[[#This Row],[Current Upsell $]],"$#,#")),"")</f>
        <v/>
      </c>
    </row>
    <row r="1653" spans="1:18" x14ac:dyDescent="0.25">
      <c r="A1653">
        <v>100174</v>
      </c>
      <c r="B1653" t="s">
        <v>3</v>
      </c>
      <c r="F1653">
        <v>0</v>
      </c>
      <c r="G1653">
        <v>6</v>
      </c>
      <c r="H1653" s="1">
        <v>44166</v>
      </c>
      <c r="I1653" s="1">
        <v>44287</v>
      </c>
      <c r="J1653">
        <v>4</v>
      </c>
      <c r="K1653">
        <v>2</v>
      </c>
      <c r="L1653" s="1">
        <v>44166</v>
      </c>
      <c r="M1653">
        <v>0</v>
      </c>
      <c r="N1653" s="8" cm="1">
        <f t="array" ref="N1653">_xlfn.SWITCH(Sales[[#This Row],[Subscription Type]],"Basic",10,"Premium",10,"Business",25,"Enterprise",27)</f>
        <v>10</v>
      </c>
      <c r="O1653">
        <f>IF(Sales[[#This Row],[Number of Users]]-Sales[[#This Row],[Licenses Bought]]&lt;0,0,Sales[[#This Row],[Number of Users]]-Sales[[#This Row],[Licenses Bought]])</f>
        <v>6</v>
      </c>
      <c r="P1653" s="8">
        <f>IF(Sales[[#This Row],[Sales Month]]=MAX(Sales[Sales Month]),Sales[[#This Row],[Non-Paying Users]]*Sales[[#This Row],[Upsell $ per Non-Paying User]],0)</f>
        <v>0</v>
      </c>
      <c r="Q1653" t="str" cm="1">
        <f t="array" ref="Q1653">_xlfn.IFS(Sales[[#This Row],[Current Upsell $]]=0,"",Sales[[#This Row],[Current Upsell $]]&gt;=400,"High",Sales[[#This Row],[Current Upsell $]]&gt;=100,"Medium",Sales[[#This Row],[Current Upsell $]]&lt;100,"Low")</f>
        <v/>
      </c>
      <c r="R1653" t="str">
        <f>IF(Sales[[#This Row],[Current Upsell $]]&gt;0,_xlfn.CONCAT(Sales[[#This Row],[Subscription Type]]," ",Sales[[#This Row],[Upsell Priority]]," ",TEXT(Sales[[#This Row],[Current Upsell $]],"$#,#")),"")</f>
        <v/>
      </c>
    </row>
    <row r="1654" spans="1:18" x14ac:dyDescent="0.25">
      <c r="A1654">
        <v>100174</v>
      </c>
      <c r="B1654" t="s">
        <v>3</v>
      </c>
      <c r="F1654">
        <v>0</v>
      </c>
      <c r="G1654">
        <v>6</v>
      </c>
      <c r="H1654" s="1">
        <v>44166</v>
      </c>
      <c r="I1654" s="1">
        <v>44287</v>
      </c>
      <c r="J1654">
        <v>4</v>
      </c>
      <c r="K1654">
        <v>2</v>
      </c>
      <c r="L1654" s="1">
        <v>44197</v>
      </c>
      <c r="M1654">
        <v>0</v>
      </c>
      <c r="N1654" s="8" cm="1">
        <f t="array" ref="N1654">_xlfn.SWITCH(Sales[[#This Row],[Subscription Type]],"Basic",10,"Premium",10,"Business",25,"Enterprise",27)</f>
        <v>10</v>
      </c>
      <c r="O1654">
        <f>IF(Sales[[#This Row],[Number of Users]]-Sales[[#This Row],[Licenses Bought]]&lt;0,0,Sales[[#This Row],[Number of Users]]-Sales[[#This Row],[Licenses Bought]])</f>
        <v>6</v>
      </c>
      <c r="P1654" s="8">
        <f>IF(Sales[[#This Row],[Sales Month]]=MAX(Sales[Sales Month]),Sales[[#This Row],[Non-Paying Users]]*Sales[[#This Row],[Upsell $ per Non-Paying User]],0)</f>
        <v>0</v>
      </c>
      <c r="Q1654" t="str" cm="1">
        <f t="array" ref="Q1654">_xlfn.IFS(Sales[[#This Row],[Current Upsell $]]=0,"",Sales[[#This Row],[Current Upsell $]]&gt;=400,"High",Sales[[#This Row],[Current Upsell $]]&gt;=100,"Medium",Sales[[#This Row],[Current Upsell $]]&lt;100,"Low")</f>
        <v/>
      </c>
      <c r="R1654" t="str">
        <f>IF(Sales[[#This Row],[Current Upsell $]]&gt;0,_xlfn.CONCAT(Sales[[#This Row],[Subscription Type]]," ",Sales[[#This Row],[Upsell Priority]]," ",TEXT(Sales[[#This Row],[Current Upsell $]],"$#,#")),"")</f>
        <v/>
      </c>
    </row>
    <row r="1655" spans="1:18" x14ac:dyDescent="0.25">
      <c r="A1655">
        <v>100174</v>
      </c>
      <c r="B1655" t="s">
        <v>3</v>
      </c>
      <c r="F1655">
        <v>0</v>
      </c>
      <c r="G1655">
        <v>7</v>
      </c>
      <c r="H1655" s="1">
        <v>44166</v>
      </c>
      <c r="I1655" s="1">
        <v>44287</v>
      </c>
      <c r="J1655">
        <v>4</v>
      </c>
      <c r="K1655">
        <v>2</v>
      </c>
      <c r="L1655" s="1">
        <v>44228</v>
      </c>
      <c r="M1655">
        <v>0</v>
      </c>
      <c r="N1655" s="8" cm="1">
        <f t="array" ref="N1655">_xlfn.SWITCH(Sales[[#This Row],[Subscription Type]],"Basic",10,"Premium",10,"Business",25,"Enterprise",27)</f>
        <v>10</v>
      </c>
      <c r="O1655">
        <f>IF(Sales[[#This Row],[Number of Users]]-Sales[[#This Row],[Licenses Bought]]&lt;0,0,Sales[[#This Row],[Number of Users]]-Sales[[#This Row],[Licenses Bought]])</f>
        <v>7</v>
      </c>
      <c r="P1655" s="8">
        <f>IF(Sales[[#This Row],[Sales Month]]=MAX(Sales[Sales Month]),Sales[[#This Row],[Non-Paying Users]]*Sales[[#This Row],[Upsell $ per Non-Paying User]],0)</f>
        <v>0</v>
      </c>
      <c r="Q1655" t="str" cm="1">
        <f t="array" ref="Q1655">_xlfn.IFS(Sales[[#This Row],[Current Upsell $]]=0,"",Sales[[#This Row],[Current Upsell $]]&gt;=400,"High",Sales[[#This Row],[Current Upsell $]]&gt;=100,"Medium",Sales[[#This Row],[Current Upsell $]]&lt;100,"Low")</f>
        <v/>
      </c>
      <c r="R1655" t="str">
        <f>IF(Sales[[#This Row],[Current Upsell $]]&gt;0,_xlfn.CONCAT(Sales[[#This Row],[Subscription Type]]," ",Sales[[#This Row],[Upsell Priority]]," ",TEXT(Sales[[#This Row],[Current Upsell $]],"$#,#")),"")</f>
        <v/>
      </c>
    </row>
    <row r="1656" spans="1:18" x14ac:dyDescent="0.25">
      <c r="A1656">
        <v>100174</v>
      </c>
      <c r="B1656" t="s">
        <v>3</v>
      </c>
      <c r="F1656">
        <v>0</v>
      </c>
      <c r="G1656">
        <v>8</v>
      </c>
      <c r="H1656" s="1">
        <v>44166</v>
      </c>
      <c r="I1656" s="1">
        <v>44287</v>
      </c>
      <c r="J1656">
        <v>4</v>
      </c>
      <c r="K1656">
        <v>2</v>
      </c>
      <c r="L1656" s="1">
        <v>44256</v>
      </c>
      <c r="M1656">
        <v>0</v>
      </c>
      <c r="N1656" s="8" cm="1">
        <f t="array" ref="N1656">_xlfn.SWITCH(Sales[[#This Row],[Subscription Type]],"Basic",10,"Premium",10,"Business",25,"Enterprise",27)</f>
        <v>10</v>
      </c>
      <c r="O1656">
        <f>IF(Sales[[#This Row],[Number of Users]]-Sales[[#This Row],[Licenses Bought]]&lt;0,0,Sales[[#This Row],[Number of Users]]-Sales[[#This Row],[Licenses Bought]])</f>
        <v>8</v>
      </c>
      <c r="P1656" s="8">
        <f>IF(Sales[[#This Row],[Sales Month]]=MAX(Sales[Sales Month]),Sales[[#This Row],[Non-Paying Users]]*Sales[[#This Row],[Upsell $ per Non-Paying User]],0)</f>
        <v>0</v>
      </c>
      <c r="Q1656" t="str" cm="1">
        <f t="array" ref="Q1656">_xlfn.IFS(Sales[[#This Row],[Current Upsell $]]=0,"",Sales[[#This Row],[Current Upsell $]]&gt;=400,"High",Sales[[#This Row],[Current Upsell $]]&gt;=100,"Medium",Sales[[#This Row],[Current Upsell $]]&lt;100,"Low")</f>
        <v/>
      </c>
      <c r="R1656" t="str">
        <f>IF(Sales[[#This Row],[Current Upsell $]]&gt;0,_xlfn.CONCAT(Sales[[#This Row],[Subscription Type]]," ",Sales[[#This Row],[Upsell Priority]]," ",TEXT(Sales[[#This Row],[Current Upsell $]],"$#,#")),"")</f>
        <v/>
      </c>
    </row>
    <row r="1657" spans="1:18" x14ac:dyDescent="0.25">
      <c r="A1657">
        <v>100174</v>
      </c>
      <c r="B1657" t="s">
        <v>3</v>
      </c>
      <c r="F1657">
        <v>0</v>
      </c>
      <c r="G1657">
        <v>7</v>
      </c>
      <c r="H1657" s="1">
        <v>44166</v>
      </c>
      <c r="I1657" s="1">
        <v>44287</v>
      </c>
      <c r="J1657">
        <v>4</v>
      </c>
      <c r="K1657">
        <v>2</v>
      </c>
      <c r="L1657" s="1">
        <v>44287</v>
      </c>
      <c r="M1657">
        <v>0</v>
      </c>
      <c r="N1657" s="8" cm="1">
        <f t="array" ref="N1657">_xlfn.SWITCH(Sales[[#This Row],[Subscription Type]],"Basic",10,"Premium",10,"Business",25,"Enterprise",27)</f>
        <v>10</v>
      </c>
      <c r="O1657">
        <f>IF(Sales[[#This Row],[Number of Users]]-Sales[[#This Row],[Licenses Bought]]&lt;0,0,Sales[[#This Row],[Number of Users]]-Sales[[#This Row],[Licenses Bought]])</f>
        <v>7</v>
      </c>
      <c r="P1657" s="8">
        <f>IF(Sales[[#This Row],[Sales Month]]=MAX(Sales[Sales Month]),Sales[[#This Row],[Non-Paying Users]]*Sales[[#This Row],[Upsell $ per Non-Paying User]],0)</f>
        <v>0</v>
      </c>
      <c r="Q1657" t="str" cm="1">
        <f t="array" ref="Q1657">_xlfn.IFS(Sales[[#This Row],[Current Upsell $]]=0,"",Sales[[#This Row],[Current Upsell $]]&gt;=400,"High",Sales[[#This Row],[Current Upsell $]]&gt;=100,"Medium",Sales[[#This Row],[Current Upsell $]]&lt;100,"Low")</f>
        <v/>
      </c>
      <c r="R1657" t="str">
        <f>IF(Sales[[#This Row],[Current Upsell $]]&gt;0,_xlfn.CONCAT(Sales[[#This Row],[Subscription Type]]," ",Sales[[#This Row],[Upsell Priority]]," ",TEXT(Sales[[#This Row],[Current Upsell $]],"$#,#")),"")</f>
        <v/>
      </c>
    </row>
    <row r="1658" spans="1:18" x14ac:dyDescent="0.25">
      <c r="A1658">
        <v>100175</v>
      </c>
      <c r="B1658" t="s">
        <v>3</v>
      </c>
      <c r="F1658">
        <v>0</v>
      </c>
      <c r="G1658">
        <v>7</v>
      </c>
      <c r="H1658" s="1">
        <v>44166</v>
      </c>
      <c r="I1658" s="1">
        <v>44378</v>
      </c>
      <c r="J1658">
        <v>7</v>
      </c>
      <c r="K1658">
        <v>0</v>
      </c>
      <c r="L1658" s="1">
        <v>44166</v>
      </c>
      <c r="M1658">
        <v>0</v>
      </c>
      <c r="N1658" s="8" cm="1">
        <f t="array" ref="N1658">_xlfn.SWITCH(Sales[[#This Row],[Subscription Type]],"Basic",10,"Premium",10,"Business",25,"Enterprise",27)</f>
        <v>10</v>
      </c>
      <c r="O1658">
        <f>IF(Sales[[#This Row],[Number of Users]]-Sales[[#This Row],[Licenses Bought]]&lt;0,0,Sales[[#This Row],[Number of Users]]-Sales[[#This Row],[Licenses Bought]])</f>
        <v>7</v>
      </c>
      <c r="P1658" s="8">
        <f>IF(Sales[[#This Row],[Sales Month]]=MAX(Sales[Sales Month]),Sales[[#This Row],[Non-Paying Users]]*Sales[[#This Row],[Upsell $ per Non-Paying User]],0)</f>
        <v>0</v>
      </c>
      <c r="Q1658" t="str" cm="1">
        <f t="array" ref="Q1658">_xlfn.IFS(Sales[[#This Row],[Current Upsell $]]=0,"",Sales[[#This Row],[Current Upsell $]]&gt;=400,"High",Sales[[#This Row],[Current Upsell $]]&gt;=100,"Medium",Sales[[#This Row],[Current Upsell $]]&lt;100,"Low")</f>
        <v/>
      </c>
      <c r="R1658" t="str">
        <f>IF(Sales[[#This Row],[Current Upsell $]]&gt;0,_xlfn.CONCAT(Sales[[#This Row],[Subscription Type]]," ",Sales[[#This Row],[Upsell Priority]]," ",TEXT(Sales[[#This Row],[Current Upsell $]],"$#,#")),"")</f>
        <v/>
      </c>
    </row>
    <row r="1659" spans="1:18" x14ac:dyDescent="0.25">
      <c r="A1659">
        <v>100175</v>
      </c>
      <c r="B1659" t="s">
        <v>0</v>
      </c>
      <c r="F1659">
        <v>5</v>
      </c>
      <c r="G1659">
        <v>6</v>
      </c>
      <c r="H1659" s="1">
        <v>44166</v>
      </c>
      <c r="I1659" s="1">
        <v>44378</v>
      </c>
      <c r="J1659">
        <v>7</v>
      </c>
      <c r="K1659">
        <v>0</v>
      </c>
      <c r="L1659" s="1">
        <v>44197</v>
      </c>
      <c r="M1659">
        <v>50</v>
      </c>
      <c r="N1659" s="8" cm="1">
        <f t="array" ref="N1659">_xlfn.SWITCH(Sales[[#This Row],[Subscription Type]],"Basic",10,"Premium",10,"Business",25,"Enterprise",27)</f>
        <v>10</v>
      </c>
      <c r="O1659">
        <f>IF(Sales[[#This Row],[Number of Users]]-Sales[[#This Row],[Licenses Bought]]&lt;0,0,Sales[[#This Row],[Number of Users]]-Sales[[#This Row],[Licenses Bought]])</f>
        <v>1</v>
      </c>
      <c r="P1659" s="8">
        <f>IF(Sales[[#This Row],[Sales Month]]=MAX(Sales[Sales Month]),Sales[[#This Row],[Non-Paying Users]]*Sales[[#This Row],[Upsell $ per Non-Paying User]],0)</f>
        <v>0</v>
      </c>
      <c r="Q1659" t="str" cm="1">
        <f t="array" ref="Q1659">_xlfn.IFS(Sales[[#This Row],[Current Upsell $]]=0,"",Sales[[#This Row],[Current Upsell $]]&gt;=400,"High",Sales[[#This Row],[Current Upsell $]]&gt;=100,"Medium",Sales[[#This Row],[Current Upsell $]]&lt;100,"Low")</f>
        <v/>
      </c>
      <c r="R1659" t="str">
        <f>IF(Sales[[#This Row],[Current Upsell $]]&gt;0,_xlfn.CONCAT(Sales[[#This Row],[Subscription Type]]," ",Sales[[#This Row],[Upsell Priority]]," ",TEXT(Sales[[#This Row],[Current Upsell $]],"$#,#")),"")</f>
        <v/>
      </c>
    </row>
    <row r="1660" spans="1:18" x14ac:dyDescent="0.25">
      <c r="A1660">
        <v>100175</v>
      </c>
      <c r="B1660" t="s">
        <v>0</v>
      </c>
      <c r="F1660">
        <v>5</v>
      </c>
      <c r="G1660">
        <v>6</v>
      </c>
      <c r="H1660" s="1">
        <v>44166</v>
      </c>
      <c r="I1660" s="1">
        <v>44378</v>
      </c>
      <c r="J1660">
        <v>7</v>
      </c>
      <c r="K1660">
        <v>0</v>
      </c>
      <c r="L1660" s="1">
        <v>44228</v>
      </c>
      <c r="M1660">
        <v>50</v>
      </c>
      <c r="N1660" s="8" cm="1">
        <f t="array" ref="N1660">_xlfn.SWITCH(Sales[[#This Row],[Subscription Type]],"Basic",10,"Premium",10,"Business",25,"Enterprise",27)</f>
        <v>10</v>
      </c>
      <c r="O1660">
        <f>IF(Sales[[#This Row],[Number of Users]]-Sales[[#This Row],[Licenses Bought]]&lt;0,0,Sales[[#This Row],[Number of Users]]-Sales[[#This Row],[Licenses Bought]])</f>
        <v>1</v>
      </c>
      <c r="P1660" s="8">
        <f>IF(Sales[[#This Row],[Sales Month]]=MAX(Sales[Sales Month]),Sales[[#This Row],[Non-Paying Users]]*Sales[[#This Row],[Upsell $ per Non-Paying User]],0)</f>
        <v>0</v>
      </c>
      <c r="Q1660" t="str" cm="1">
        <f t="array" ref="Q1660">_xlfn.IFS(Sales[[#This Row],[Current Upsell $]]=0,"",Sales[[#This Row],[Current Upsell $]]&gt;=400,"High",Sales[[#This Row],[Current Upsell $]]&gt;=100,"Medium",Sales[[#This Row],[Current Upsell $]]&lt;100,"Low")</f>
        <v/>
      </c>
      <c r="R1660" t="str">
        <f>IF(Sales[[#This Row],[Current Upsell $]]&gt;0,_xlfn.CONCAT(Sales[[#This Row],[Subscription Type]]," ",Sales[[#This Row],[Upsell Priority]]," ",TEXT(Sales[[#This Row],[Current Upsell $]],"$#,#")),"")</f>
        <v/>
      </c>
    </row>
    <row r="1661" spans="1:18" x14ac:dyDescent="0.25">
      <c r="A1661">
        <v>100175</v>
      </c>
      <c r="B1661" t="s">
        <v>0</v>
      </c>
      <c r="F1661">
        <v>5</v>
      </c>
      <c r="G1661">
        <v>7</v>
      </c>
      <c r="H1661" s="1">
        <v>44166</v>
      </c>
      <c r="I1661" s="1">
        <v>44378</v>
      </c>
      <c r="J1661">
        <v>7</v>
      </c>
      <c r="K1661">
        <v>0</v>
      </c>
      <c r="L1661" s="1">
        <v>44256</v>
      </c>
      <c r="M1661">
        <v>50</v>
      </c>
      <c r="N1661" s="8" cm="1">
        <f t="array" ref="N1661">_xlfn.SWITCH(Sales[[#This Row],[Subscription Type]],"Basic",10,"Premium",10,"Business",25,"Enterprise",27)</f>
        <v>10</v>
      </c>
      <c r="O1661">
        <f>IF(Sales[[#This Row],[Number of Users]]-Sales[[#This Row],[Licenses Bought]]&lt;0,0,Sales[[#This Row],[Number of Users]]-Sales[[#This Row],[Licenses Bought]])</f>
        <v>2</v>
      </c>
      <c r="P1661" s="8">
        <f>IF(Sales[[#This Row],[Sales Month]]=MAX(Sales[Sales Month]),Sales[[#This Row],[Non-Paying Users]]*Sales[[#This Row],[Upsell $ per Non-Paying User]],0)</f>
        <v>0</v>
      </c>
      <c r="Q1661" t="str" cm="1">
        <f t="array" ref="Q1661">_xlfn.IFS(Sales[[#This Row],[Current Upsell $]]=0,"",Sales[[#This Row],[Current Upsell $]]&gt;=400,"High",Sales[[#This Row],[Current Upsell $]]&gt;=100,"Medium",Sales[[#This Row],[Current Upsell $]]&lt;100,"Low")</f>
        <v/>
      </c>
      <c r="R1661" t="str">
        <f>IF(Sales[[#This Row],[Current Upsell $]]&gt;0,_xlfn.CONCAT(Sales[[#This Row],[Subscription Type]]," ",Sales[[#This Row],[Upsell Priority]]," ",TEXT(Sales[[#This Row],[Current Upsell $]],"$#,#")),"")</f>
        <v/>
      </c>
    </row>
    <row r="1662" spans="1:18" x14ac:dyDescent="0.25">
      <c r="A1662">
        <v>100175</v>
      </c>
      <c r="B1662" t="s">
        <v>0</v>
      </c>
      <c r="F1662">
        <v>5</v>
      </c>
      <c r="G1662">
        <v>7</v>
      </c>
      <c r="H1662" s="1">
        <v>44166</v>
      </c>
      <c r="I1662" s="1">
        <v>44378</v>
      </c>
      <c r="J1662">
        <v>7</v>
      </c>
      <c r="K1662">
        <v>0</v>
      </c>
      <c r="L1662" s="1">
        <v>44287</v>
      </c>
      <c r="M1662">
        <v>50</v>
      </c>
      <c r="N1662" s="8" cm="1">
        <f t="array" ref="N1662">_xlfn.SWITCH(Sales[[#This Row],[Subscription Type]],"Basic",10,"Premium",10,"Business",25,"Enterprise",27)</f>
        <v>10</v>
      </c>
      <c r="O1662">
        <f>IF(Sales[[#This Row],[Number of Users]]-Sales[[#This Row],[Licenses Bought]]&lt;0,0,Sales[[#This Row],[Number of Users]]-Sales[[#This Row],[Licenses Bought]])</f>
        <v>2</v>
      </c>
      <c r="P1662" s="8">
        <f>IF(Sales[[#This Row],[Sales Month]]=MAX(Sales[Sales Month]),Sales[[#This Row],[Non-Paying Users]]*Sales[[#This Row],[Upsell $ per Non-Paying User]],0)</f>
        <v>0</v>
      </c>
      <c r="Q1662" t="str" cm="1">
        <f t="array" ref="Q1662">_xlfn.IFS(Sales[[#This Row],[Current Upsell $]]=0,"",Sales[[#This Row],[Current Upsell $]]&gt;=400,"High",Sales[[#This Row],[Current Upsell $]]&gt;=100,"Medium",Sales[[#This Row],[Current Upsell $]]&lt;100,"Low")</f>
        <v/>
      </c>
      <c r="R1662" t="str">
        <f>IF(Sales[[#This Row],[Current Upsell $]]&gt;0,_xlfn.CONCAT(Sales[[#This Row],[Subscription Type]]," ",Sales[[#This Row],[Upsell Priority]]," ",TEXT(Sales[[#This Row],[Current Upsell $]],"$#,#")),"")</f>
        <v/>
      </c>
    </row>
    <row r="1663" spans="1:18" x14ac:dyDescent="0.25">
      <c r="A1663">
        <v>100175</v>
      </c>
      <c r="B1663" t="s">
        <v>0</v>
      </c>
      <c r="F1663">
        <v>5</v>
      </c>
      <c r="G1663">
        <v>8</v>
      </c>
      <c r="H1663" s="1">
        <v>44166</v>
      </c>
      <c r="I1663" s="1">
        <v>44378</v>
      </c>
      <c r="J1663">
        <v>7</v>
      </c>
      <c r="K1663">
        <v>0</v>
      </c>
      <c r="L1663" s="1">
        <v>44317</v>
      </c>
      <c r="M1663">
        <v>50</v>
      </c>
      <c r="N1663" s="8" cm="1">
        <f t="array" ref="N1663">_xlfn.SWITCH(Sales[[#This Row],[Subscription Type]],"Basic",10,"Premium",10,"Business",25,"Enterprise",27)</f>
        <v>10</v>
      </c>
      <c r="O1663">
        <f>IF(Sales[[#This Row],[Number of Users]]-Sales[[#This Row],[Licenses Bought]]&lt;0,0,Sales[[#This Row],[Number of Users]]-Sales[[#This Row],[Licenses Bought]])</f>
        <v>3</v>
      </c>
      <c r="P1663" s="8">
        <f>IF(Sales[[#This Row],[Sales Month]]=MAX(Sales[Sales Month]),Sales[[#This Row],[Non-Paying Users]]*Sales[[#This Row],[Upsell $ per Non-Paying User]],0)</f>
        <v>0</v>
      </c>
      <c r="Q1663" t="str" cm="1">
        <f t="array" ref="Q1663">_xlfn.IFS(Sales[[#This Row],[Current Upsell $]]=0,"",Sales[[#This Row],[Current Upsell $]]&gt;=400,"High",Sales[[#This Row],[Current Upsell $]]&gt;=100,"Medium",Sales[[#This Row],[Current Upsell $]]&lt;100,"Low")</f>
        <v/>
      </c>
      <c r="R1663" t="str">
        <f>IF(Sales[[#This Row],[Current Upsell $]]&gt;0,_xlfn.CONCAT(Sales[[#This Row],[Subscription Type]]," ",Sales[[#This Row],[Upsell Priority]]," ",TEXT(Sales[[#This Row],[Current Upsell $]],"$#,#")),"")</f>
        <v/>
      </c>
    </row>
    <row r="1664" spans="1:18" x14ac:dyDescent="0.25">
      <c r="A1664">
        <v>100175</v>
      </c>
      <c r="B1664" t="s">
        <v>0</v>
      </c>
      <c r="F1664">
        <v>5</v>
      </c>
      <c r="G1664">
        <v>6</v>
      </c>
      <c r="H1664" s="1">
        <v>44166</v>
      </c>
      <c r="I1664" s="1">
        <v>44378</v>
      </c>
      <c r="J1664">
        <v>7</v>
      </c>
      <c r="K1664">
        <v>0</v>
      </c>
      <c r="L1664" s="1">
        <v>44348</v>
      </c>
      <c r="M1664">
        <v>50</v>
      </c>
      <c r="N1664" s="8" cm="1">
        <f t="array" ref="N1664">_xlfn.SWITCH(Sales[[#This Row],[Subscription Type]],"Basic",10,"Premium",10,"Business",25,"Enterprise",27)</f>
        <v>10</v>
      </c>
      <c r="O1664">
        <f>IF(Sales[[#This Row],[Number of Users]]-Sales[[#This Row],[Licenses Bought]]&lt;0,0,Sales[[#This Row],[Number of Users]]-Sales[[#This Row],[Licenses Bought]])</f>
        <v>1</v>
      </c>
      <c r="P1664" s="8">
        <f>IF(Sales[[#This Row],[Sales Month]]=MAX(Sales[Sales Month]),Sales[[#This Row],[Non-Paying Users]]*Sales[[#This Row],[Upsell $ per Non-Paying User]],0)</f>
        <v>10</v>
      </c>
      <c r="Q1664" t="str" cm="1">
        <f t="array" ref="Q1664">_xlfn.IFS(Sales[[#This Row],[Current Upsell $]]=0,"",Sales[[#This Row],[Current Upsell $]]&gt;=400,"High",Sales[[#This Row],[Current Upsell $]]&gt;=100,"Medium",Sales[[#This Row],[Current Upsell $]]&lt;100,"Low")</f>
        <v>Low</v>
      </c>
      <c r="R1664" t="str">
        <f>IF(Sales[[#This Row],[Current Upsell $]]&gt;0,_xlfn.CONCAT(Sales[[#This Row],[Subscription Type]]," ",Sales[[#This Row],[Upsell Priority]]," ",TEXT(Sales[[#This Row],[Current Upsell $]],"$#,#")),"")</f>
        <v>Premium Low $10</v>
      </c>
    </row>
    <row r="1665" spans="1:18" x14ac:dyDescent="0.25">
      <c r="A1665">
        <v>100176</v>
      </c>
      <c r="B1665" t="s">
        <v>3</v>
      </c>
      <c r="F1665">
        <v>0</v>
      </c>
      <c r="G1665">
        <v>7</v>
      </c>
      <c r="H1665" s="1">
        <v>44166</v>
      </c>
      <c r="I1665" s="1">
        <v>44317</v>
      </c>
      <c r="J1665">
        <v>5</v>
      </c>
      <c r="K1665">
        <v>1</v>
      </c>
      <c r="L1665" s="1">
        <v>44166</v>
      </c>
      <c r="M1665">
        <v>0</v>
      </c>
      <c r="N1665" s="8" cm="1">
        <f t="array" ref="N1665">_xlfn.SWITCH(Sales[[#This Row],[Subscription Type]],"Basic",10,"Premium",10,"Business",25,"Enterprise",27)</f>
        <v>10</v>
      </c>
      <c r="O1665">
        <f>IF(Sales[[#This Row],[Number of Users]]-Sales[[#This Row],[Licenses Bought]]&lt;0,0,Sales[[#This Row],[Number of Users]]-Sales[[#This Row],[Licenses Bought]])</f>
        <v>7</v>
      </c>
      <c r="P1665" s="8">
        <f>IF(Sales[[#This Row],[Sales Month]]=MAX(Sales[Sales Month]),Sales[[#This Row],[Non-Paying Users]]*Sales[[#This Row],[Upsell $ per Non-Paying User]],0)</f>
        <v>0</v>
      </c>
      <c r="Q1665" t="str" cm="1">
        <f t="array" ref="Q1665">_xlfn.IFS(Sales[[#This Row],[Current Upsell $]]=0,"",Sales[[#This Row],[Current Upsell $]]&gt;=400,"High",Sales[[#This Row],[Current Upsell $]]&gt;=100,"Medium",Sales[[#This Row],[Current Upsell $]]&lt;100,"Low")</f>
        <v/>
      </c>
      <c r="R1665" t="str">
        <f>IF(Sales[[#This Row],[Current Upsell $]]&gt;0,_xlfn.CONCAT(Sales[[#This Row],[Subscription Type]]," ",Sales[[#This Row],[Upsell Priority]]," ",TEXT(Sales[[#This Row],[Current Upsell $]],"$#,#")),"")</f>
        <v/>
      </c>
    </row>
    <row r="1666" spans="1:18" x14ac:dyDescent="0.25">
      <c r="A1666">
        <v>100176</v>
      </c>
      <c r="B1666" t="s">
        <v>3</v>
      </c>
      <c r="F1666">
        <v>0</v>
      </c>
      <c r="G1666">
        <v>7</v>
      </c>
      <c r="H1666" s="1">
        <v>44166</v>
      </c>
      <c r="I1666" s="1">
        <v>44317</v>
      </c>
      <c r="J1666">
        <v>5</v>
      </c>
      <c r="K1666">
        <v>1</v>
      </c>
      <c r="L1666" s="1">
        <v>44197</v>
      </c>
      <c r="M1666">
        <v>0</v>
      </c>
      <c r="N1666" s="8" cm="1">
        <f t="array" ref="N1666">_xlfn.SWITCH(Sales[[#This Row],[Subscription Type]],"Basic",10,"Premium",10,"Business",25,"Enterprise",27)</f>
        <v>10</v>
      </c>
      <c r="O1666">
        <f>IF(Sales[[#This Row],[Number of Users]]-Sales[[#This Row],[Licenses Bought]]&lt;0,0,Sales[[#This Row],[Number of Users]]-Sales[[#This Row],[Licenses Bought]])</f>
        <v>7</v>
      </c>
      <c r="P1666" s="8">
        <f>IF(Sales[[#This Row],[Sales Month]]=MAX(Sales[Sales Month]),Sales[[#This Row],[Non-Paying Users]]*Sales[[#This Row],[Upsell $ per Non-Paying User]],0)</f>
        <v>0</v>
      </c>
      <c r="Q1666" t="str" cm="1">
        <f t="array" ref="Q1666">_xlfn.IFS(Sales[[#This Row],[Current Upsell $]]=0,"",Sales[[#This Row],[Current Upsell $]]&gt;=400,"High",Sales[[#This Row],[Current Upsell $]]&gt;=100,"Medium",Sales[[#This Row],[Current Upsell $]]&lt;100,"Low")</f>
        <v/>
      </c>
      <c r="R1666" t="str">
        <f>IF(Sales[[#This Row],[Current Upsell $]]&gt;0,_xlfn.CONCAT(Sales[[#This Row],[Subscription Type]]," ",Sales[[#This Row],[Upsell Priority]]," ",TEXT(Sales[[#This Row],[Current Upsell $]],"$#,#")),"")</f>
        <v/>
      </c>
    </row>
    <row r="1667" spans="1:18" x14ac:dyDescent="0.25">
      <c r="A1667">
        <v>100176</v>
      </c>
      <c r="B1667" t="s">
        <v>3</v>
      </c>
      <c r="F1667">
        <v>0</v>
      </c>
      <c r="G1667">
        <v>6</v>
      </c>
      <c r="H1667" s="1">
        <v>44166</v>
      </c>
      <c r="I1667" s="1">
        <v>44317</v>
      </c>
      <c r="J1667">
        <v>5</v>
      </c>
      <c r="K1667">
        <v>1</v>
      </c>
      <c r="L1667" s="1">
        <v>44228</v>
      </c>
      <c r="M1667">
        <v>0</v>
      </c>
      <c r="N1667" s="8" cm="1">
        <f t="array" ref="N1667">_xlfn.SWITCH(Sales[[#This Row],[Subscription Type]],"Basic",10,"Premium",10,"Business",25,"Enterprise",27)</f>
        <v>10</v>
      </c>
      <c r="O1667">
        <f>IF(Sales[[#This Row],[Number of Users]]-Sales[[#This Row],[Licenses Bought]]&lt;0,0,Sales[[#This Row],[Number of Users]]-Sales[[#This Row],[Licenses Bought]])</f>
        <v>6</v>
      </c>
      <c r="P1667" s="8">
        <f>IF(Sales[[#This Row],[Sales Month]]=MAX(Sales[Sales Month]),Sales[[#This Row],[Non-Paying Users]]*Sales[[#This Row],[Upsell $ per Non-Paying User]],0)</f>
        <v>0</v>
      </c>
      <c r="Q1667" t="str" cm="1">
        <f t="array" ref="Q1667">_xlfn.IFS(Sales[[#This Row],[Current Upsell $]]=0,"",Sales[[#This Row],[Current Upsell $]]&gt;=400,"High",Sales[[#This Row],[Current Upsell $]]&gt;=100,"Medium",Sales[[#This Row],[Current Upsell $]]&lt;100,"Low")</f>
        <v/>
      </c>
      <c r="R1667" t="str">
        <f>IF(Sales[[#This Row],[Current Upsell $]]&gt;0,_xlfn.CONCAT(Sales[[#This Row],[Subscription Type]]," ",Sales[[#This Row],[Upsell Priority]]," ",TEXT(Sales[[#This Row],[Current Upsell $]],"$#,#")),"")</f>
        <v/>
      </c>
    </row>
    <row r="1668" spans="1:18" x14ac:dyDescent="0.25">
      <c r="A1668">
        <v>100176</v>
      </c>
      <c r="B1668" t="s">
        <v>3</v>
      </c>
      <c r="F1668">
        <v>0</v>
      </c>
      <c r="G1668">
        <v>8</v>
      </c>
      <c r="H1668" s="1">
        <v>44166</v>
      </c>
      <c r="I1668" s="1">
        <v>44317</v>
      </c>
      <c r="J1668">
        <v>5</v>
      </c>
      <c r="K1668">
        <v>1</v>
      </c>
      <c r="L1668" s="1">
        <v>44256</v>
      </c>
      <c r="M1668">
        <v>0</v>
      </c>
      <c r="N1668" s="8" cm="1">
        <f t="array" ref="N1668">_xlfn.SWITCH(Sales[[#This Row],[Subscription Type]],"Basic",10,"Premium",10,"Business",25,"Enterprise",27)</f>
        <v>10</v>
      </c>
      <c r="O1668">
        <f>IF(Sales[[#This Row],[Number of Users]]-Sales[[#This Row],[Licenses Bought]]&lt;0,0,Sales[[#This Row],[Number of Users]]-Sales[[#This Row],[Licenses Bought]])</f>
        <v>8</v>
      </c>
      <c r="P1668" s="8">
        <f>IF(Sales[[#This Row],[Sales Month]]=MAX(Sales[Sales Month]),Sales[[#This Row],[Non-Paying Users]]*Sales[[#This Row],[Upsell $ per Non-Paying User]],0)</f>
        <v>0</v>
      </c>
      <c r="Q1668" t="str" cm="1">
        <f t="array" ref="Q1668">_xlfn.IFS(Sales[[#This Row],[Current Upsell $]]=0,"",Sales[[#This Row],[Current Upsell $]]&gt;=400,"High",Sales[[#This Row],[Current Upsell $]]&gt;=100,"Medium",Sales[[#This Row],[Current Upsell $]]&lt;100,"Low")</f>
        <v/>
      </c>
      <c r="R1668" t="str">
        <f>IF(Sales[[#This Row],[Current Upsell $]]&gt;0,_xlfn.CONCAT(Sales[[#This Row],[Subscription Type]]," ",Sales[[#This Row],[Upsell Priority]]," ",TEXT(Sales[[#This Row],[Current Upsell $]],"$#,#")),"")</f>
        <v/>
      </c>
    </row>
    <row r="1669" spans="1:18" x14ac:dyDescent="0.25">
      <c r="A1669">
        <v>100176</v>
      </c>
      <c r="B1669" t="s">
        <v>3</v>
      </c>
      <c r="F1669">
        <v>0</v>
      </c>
      <c r="G1669">
        <v>7</v>
      </c>
      <c r="H1669" s="1">
        <v>44166</v>
      </c>
      <c r="I1669" s="1">
        <v>44317</v>
      </c>
      <c r="J1669">
        <v>5</v>
      </c>
      <c r="K1669">
        <v>1</v>
      </c>
      <c r="L1669" s="1">
        <v>44287</v>
      </c>
      <c r="M1669">
        <v>0</v>
      </c>
      <c r="N1669" s="8" cm="1">
        <f t="array" ref="N1669">_xlfn.SWITCH(Sales[[#This Row],[Subscription Type]],"Basic",10,"Premium",10,"Business",25,"Enterprise",27)</f>
        <v>10</v>
      </c>
      <c r="O1669">
        <f>IF(Sales[[#This Row],[Number of Users]]-Sales[[#This Row],[Licenses Bought]]&lt;0,0,Sales[[#This Row],[Number of Users]]-Sales[[#This Row],[Licenses Bought]])</f>
        <v>7</v>
      </c>
      <c r="P1669" s="8">
        <f>IF(Sales[[#This Row],[Sales Month]]=MAX(Sales[Sales Month]),Sales[[#This Row],[Non-Paying Users]]*Sales[[#This Row],[Upsell $ per Non-Paying User]],0)</f>
        <v>0</v>
      </c>
      <c r="Q1669" t="str" cm="1">
        <f t="array" ref="Q1669">_xlfn.IFS(Sales[[#This Row],[Current Upsell $]]=0,"",Sales[[#This Row],[Current Upsell $]]&gt;=400,"High",Sales[[#This Row],[Current Upsell $]]&gt;=100,"Medium",Sales[[#This Row],[Current Upsell $]]&lt;100,"Low")</f>
        <v/>
      </c>
      <c r="R1669" t="str">
        <f>IF(Sales[[#This Row],[Current Upsell $]]&gt;0,_xlfn.CONCAT(Sales[[#This Row],[Subscription Type]]," ",Sales[[#This Row],[Upsell Priority]]," ",TEXT(Sales[[#This Row],[Current Upsell $]],"$#,#")),"")</f>
        <v/>
      </c>
    </row>
    <row r="1670" spans="1:18" x14ac:dyDescent="0.25">
      <c r="A1670">
        <v>100176</v>
      </c>
      <c r="B1670" t="s">
        <v>3</v>
      </c>
      <c r="F1670">
        <v>0</v>
      </c>
      <c r="G1670">
        <v>6</v>
      </c>
      <c r="H1670" s="1">
        <v>44166</v>
      </c>
      <c r="I1670" s="1">
        <v>44317</v>
      </c>
      <c r="J1670">
        <v>5</v>
      </c>
      <c r="K1670">
        <v>1</v>
      </c>
      <c r="L1670" s="1">
        <v>44317</v>
      </c>
      <c r="M1670">
        <v>0</v>
      </c>
      <c r="N1670" s="8" cm="1">
        <f t="array" ref="N1670">_xlfn.SWITCH(Sales[[#This Row],[Subscription Type]],"Basic",10,"Premium",10,"Business",25,"Enterprise",27)</f>
        <v>10</v>
      </c>
      <c r="O1670">
        <f>IF(Sales[[#This Row],[Number of Users]]-Sales[[#This Row],[Licenses Bought]]&lt;0,0,Sales[[#This Row],[Number of Users]]-Sales[[#This Row],[Licenses Bought]])</f>
        <v>6</v>
      </c>
      <c r="P1670" s="8">
        <f>IF(Sales[[#This Row],[Sales Month]]=MAX(Sales[Sales Month]),Sales[[#This Row],[Non-Paying Users]]*Sales[[#This Row],[Upsell $ per Non-Paying User]],0)</f>
        <v>0</v>
      </c>
      <c r="Q1670" t="str" cm="1">
        <f t="array" ref="Q1670">_xlfn.IFS(Sales[[#This Row],[Current Upsell $]]=0,"",Sales[[#This Row],[Current Upsell $]]&gt;=400,"High",Sales[[#This Row],[Current Upsell $]]&gt;=100,"Medium",Sales[[#This Row],[Current Upsell $]]&lt;100,"Low")</f>
        <v/>
      </c>
      <c r="R1670" t="str">
        <f>IF(Sales[[#This Row],[Current Upsell $]]&gt;0,_xlfn.CONCAT(Sales[[#This Row],[Subscription Type]]," ",Sales[[#This Row],[Upsell Priority]]," ",TEXT(Sales[[#This Row],[Current Upsell $]],"$#,#")),"")</f>
        <v/>
      </c>
    </row>
    <row r="1671" spans="1:18" x14ac:dyDescent="0.25">
      <c r="A1671">
        <v>100177</v>
      </c>
      <c r="B1671" t="s">
        <v>3</v>
      </c>
      <c r="F1671">
        <v>0</v>
      </c>
      <c r="G1671">
        <v>5</v>
      </c>
      <c r="H1671" s="1">
        <v>44166</v>
      </c>
      <c r="I1671" s="1">
        <v>44228</v>
      </c>
      <c r="J1671">
        <v>2</v>
      </c>
      <c r="K1671">
        <v>4</v>
      </c>
      <c r="L1671" s="1">
        <v>44166</v>
      </c>
      <c r="M1671">
        <v>0</v>
      </c>
      <c r="N1671" s="8" cm="1">
        <f t="array" ref="N1671">_xlfn.SWITCH(Sales[[#This Row],[Subscription Type]],"Basic",10,"Premium",10,"Business",25,"Enterprise",27)</f>
        <v>10</v>
      </c>
      <c r="O1671">
        <f>IF(Sales[[#This Row],[Number of Users]]-Sales[[#This Row],[Licenses Bought]]&lt;0,0,Sales[[#This Row],[Number of Users]]-Sales[[#This Row],[Licenses Bought]])</f>
        <v>5</v>
      </c>
      <c r="P1671" s="8">
        <f>IF(Sales[[#This Row],[Sales Month]]=MAX(Sales[Sales Month]),Sales[[#This Row],[Non-Paying Users]]*Sales[[#This Row],[Upsell $ per Non-Paying User]],0)</f>
        <v>0</v>
      </c>
      <c r="Q1671" t="str" cm="1">
        <f t="array" ref="Q1671">_xlfn.IFS(Sales[[#This Row],[Current Upsell $]]=0,"",Sales[[#This Row],[Current Upsell $]]&gt;=400,"High",Sales[[#This Row],[Current Upsell $]]&gt;=100,"Medium",Sales[[#This Row],[Current Upsell $]]&lt;100,"Low")</f>
        <v/>
      </c>
      <c r="R1671" t="str">
        <f>IF(Sales[[#This Row],[Current Upsell $]]&gt;0,_xlfn.CONCAT(Sales[[#This Row],[Subscription Type]]," ",Sales[[#This Row],[Upsell Priority]]," ",TEXT(Sales[[#This Row],[Current Upsell $]],"$#,#")),"")</f>
        <v/>
      </c>
    </row>
    <row r="1672" spans="1:18" x14ac:dyDescent="0.25">
      <c r="A1672">
        <v>100177</v>
      </c>
      <c r="B1672" t="s">
        <v>0</v>
      </c>
      <c r="F1672">
        <v>3</v>
      </c>
      <c r="G1672">
        <v>6</v>
      </c>
      <c r="H1672" s="1">
        <v>44166</v>
      </c>
      <c r="I1672" s="1">
        <v>44228</v>
      </c>
      <c r="J1672">
        <v>2</v>
      </c>
      <c r="K1672">
        <v>4</v>
      </c>
      <c r="L1672" s="1">
        <v>44197</v>
      </c>
      <c r="M1672">
        <v>30</v>
      </c>
      <c r="N1672" s="8" cm="1">
        <f t="array" ref="N1672">_xlfn.SWITCH(Sales[[#This Row],[Subscription Type]],"Basic",10,"Premium",10,"Business",25,"Enterprise",27)</f>
        <v>10</v>
      </c>
      <c r="O1672">
        <f>IF(Sales[[#This Row],[Number of Users]]-Sales[[#This Row],[Licenses Bought]]&lt;0,0,Sales[[#This Row],[Number of Users]]-Sales[[#This Row],[Licenses Bought]])</f>
        <v>3</v>
      </c>
      <c r="P1672" s="8">
        <f>IF(Sales[[#This Row],[Sales Month]]=MAX(Sales[Sales Month]),Sales[[#This Row],[Non-Paying Users]]*Sales[[#This Row],[Upsell $ per Non-Paying User]],0)</f>
        <v>0</v>
      </c>
      <c r="Q1672" t="str" cm="1">
        <f t="array" ref="Q1672">_xlfn.IFS(Sales[[#This Row],[Current Upsell $]]=0,"",Sales[[#This Row],[Current Upsell $]]&gt;=400,"High",Sales[[#This Row],[Current Upsell $]]&gt;=100,"Medium",Sales[[#This Row],[Current Upsell $]]&lt;100,"Low")</f>
        <v/>
      </c>
      <c r="R1672" t="str">
        <f>IF(Sales[[#This Row],[Current Upsell $]]&gt;0,_xlfn.CONCAT(Sales[[#This Row],[Subscription Type]]," ",Sales[[#This Row],[Upsell Priority]]," ",TEXT(Sales[[#This Row],[Current Upsell $]],"$#,#")),"")</f>
        <v/>
      </c>
    </row>
    <row r="1673" spans="1:18" x14ac:dyDescent="0.25">
      <c r="A1673">
        <v>100177</v>
      </c>
      <c r="B1673" t="s">
        <v>0</v>
      </c>
      <c r="F1673">
        <v>4</v>
      </c>
      <c r="G1673">
        <v>6</v>
      </c>
      <c r="H1673" s="1">
        <v>44166</v>
      </c>
      <c r="I1673" s="1">
        <v>44228</v>
      </c>
      <c r="J1673">
        <v>2</v>
      </c>
      <c r="K1673">
        <v>4</v>
      </c>
      <c r="L1673" s="1">
        <v>44228</v>
      </c>
      <c r="M1673">
        <v>40</v>
      </c>
      <c r="N1673" s="8" cm="1">
        <f t="array" ref="N1673">_xlfn.SWITCH(Sales[[#This Row],[Subscription Type]],"Basic",10,"Premium",10,"Business",25,"Enterprise",27)</f>
        <v>10</v>
      </c>
      <c r="O1673">
        <f>IF(Sales[[#This Row],[Number of Users]]-Sales[[#This Row],[Licenses Bought]]&lt;0,0,Sales[[#This Row],[Number of Users]]-Sales[[#This Row],[Licenses Bought]])</f>
        <v>2</v>
      </c>
      <c r="P1673" s="8">
        <f>IF(Sales[[#This Row],[Sales Month]]=MAX(Sales[Sales Month]),Sales[[#This Row],[Non-Paying Users]]*Sales[[#This Row],[Upsell $ per Non-Paying User]],0)</f>
        <v>0</v>
      </c>
      <c r="Q1673" t="str" cm="1">
        <f t="array" ref="Q1673">_xlfn.IFS(Sales[[#This Row],[Current Upsell $]]=0,"",Sales[[#This Row],[Current Upsell $]]&gt;=400,"High",Sales[[#This Row],[Current Upsell $]]&gt;=100,"Medium",Sales[[#This Row],[Current Upsell $]]&lt;100,"Low")</f>
        <v/>
      </c>
      <c r="R1673" t="str">
        <f>IF(Sales[[#This Row],[Current Upsell $]]&gt;0,_xlfn.CONCAT(Sales[[#This Row],[Subscription Type]]," ",Sales[[#This Row],[Upsell Priority]]," ",TEXT(Sales[[#This Row],[Current Upsell $]],"$#,#")),"")</f>
        <v/>
      </c>
    </row>
    <row r="1674" spans="1:18" x14ac:dyDescent="0.25">
      <c r="A1674">
        <v>100178</v>
      </c>
      <c r="B1674" t="s">
        <v>3</v>
      </c>
      <c r="D1674" s="1"/>
      <c r="E1674" s="1"/>
      <c r="F1674">
        <v>0</v>
      </c>
      <c r="G1674">
        <v>5</v>
      </c>
      <c r="H1674" s="1">
        <v>44166</v>
      </c>
      <c r="I1674" s="1">
        <v>44378</v>
      </c>
      <c r="J1674">
        <v>7</v>
      </c>
      <c r="K1674">
        <v>0</v>
      </c>
      <c r="L1674" s="1">
        <v>44166</v>
      </c>
      <c r="M1674">
        <v>0</v>
      </c>
      <c r="N1674" s="8" cm="1">
        <f t="array" ref="N1674">_xlfn.SWITCH(Sales[[#This Row],[Subscription Type]],"Basic",10,"Premium",10,"Business",25,"Enterprise",27)</f>
        <v>10</v>
      </c>
      <c r="O1674">
        <f>IF(Sales[[#This Row],[Number of Users]]-Sales[[#This Row],[Licenses Bought]]&lt;0,0,Sales[[#This Row],[Number of Users]]-Sales[[#This Row],[Licenses Bought]])</f>
        <v>5</v>
      </c>
      <c r="P1674" s="8">
        <f>IF(Sales[[#This Row],[Sales Month]]=MAX(Sales[Sales Month]),Sales[[#This Row],[Non-Paying Users]]*Sales[[#This Row],[Upsell $ per Non-Paying User]],0)</f>
        <v>0</v>
      </c>
      <c r="Q1674" t="str" cm="1">
        <f t="array" ref="Q1674">_xlfn.IFS(Sales[[#This Row],[Current Upsell $]]=0,"",Sales[[#This Row],[Current Upsell $]]&gt;=400,"High",Sales[[#This Row],[Current Upsell $]]&gt;=100,"Medium",Sales[[#This Row],[Current Upsell $]]&lt;100,"Low")</f>
        <v/>
      </c>
      <c r="R1674" t="str">
        <f>IF(Sales[[#This Row],[Current Upsell $]]&gt;0,_xlfn.CONCAT(Sales[[#This Row],[Subscription Type]]," ",Sales[[#This Row],[Upsell Priority]]," ",TEXT(Sales[[#This Row],[Current Upsell $]],"$#,#")),"")</f>
        <v/>
      </c>
    </row>
    <row r="1675" spans="1:18" x14ac:dyDescent="0.25">
      <c r="A1675">
        <v>100178</v>
      </c>
      <c r="B1675" t="s">
        <v>0</v>
      </c>
      <c r="D1675" s="1"/>
      <c r="E1675" s="1"/>
      <c r="F1675">
        <v>2</v>
      </c>
      <c r="G1675">
        <v>5</v>
      </c>
      <c r="H1675" s="1">
        <v>44166</v>
      </c>
      <c r="I1675" s="1">
        <v>44378</v>
      </c>
      <c r="J1675">
        <v>7</v>
      </c>
      <c r="K1675">
        <v>0</v>
      </c>
      <c r="L1675" s="1">
        <v>44197</v>
      </c>
      <c r="M1675">
        <v>20</v>
      </c>
      <c r="N1675" s="8" cm="1">
        <f t="array" ref="N1675">_xlfn.SWITCH(Sales[[#This Row],[Subscription Type]],"Basic",10,"Premium",10,"Business",25,"Enterprise",27)</f>
        <v>10</v>
      </c>
      <c r="O1675">
        <f>IF(Sales[[#This Row],[Number of Users]]-Sales[[#This Row],[Licenses Bought]]&lt;0,0,Sales[[#This Row],[Number of Users]]-Sales[[#This Row],[Licenses Bought]])</f>
        <v>3</v>
      </c>
      <c r="P1675" s="8">
        <f>IF(Sales[[#This Row],[Sales Month]]=MAX(Sales[Sales Month]),Sales[[#This Row],[Non-Paying Users]]*Sales[[#This Row],[Upsell $ per Non-Paying User]],0)</f>
        <v>0</v>
      </c>
      <c r="Q1675" t="str" cm="1">
        <f t="array" ref="Q1675">_xlfn.IFS(Sales[[#This Row],[Current Upsell $]]=0,"",Sales[[#This Row],[Current Upsell $]]&gt;=400,"High",Sales[[#This Row],[Current Upsell $]]&gt;=100,"Medium",Sales[[#This Row],[Current Upsell $]]&lt;100,"Low")</f>
        <v/>
      </c>
      <c r="R1675" t="str">
        <f>IF(Sales[[#This Row],[Current Upsell $]]&gt;0,_xlfn.CONCAT(Sales[[#This Row],[Subscription Type]]," ",Sales[[#This Row],[Upsell Priority]]," ",TEXT(Sales[[#This Row],[Current Upsell $]],"$#,#")),"")</f>
        <v/>
      </c>
    </row>
    <row r="1676" spans="1:18" x14ac:dyDescent="0.25">
      <c r="A1676">
        <v>100178</v>
      </c>
      <c r="B1676" t="s">
        <v>0</v>
      </c>
      <c r="D1676" s="1"/>
      <c r="E1676" s="1"/>
      <c r="F1676">
        <v>3</v>
      </c>
      <c r="G1676">
        <v>5</v>
      </c>
      <c r="H1676" s="1">
        <v>44166</v>
      </c>
      <c r="I1676" s="1">
        <v>44378</v>
      </c>
      <c r="J1676">
        <v>7</v>
      </c>
      <c r="K1676">
        <v>0</v>
      </c>
      <c r="L1676" s="1">
        <v>44228</v>
      </c>
      <c r="M1676">
        <v>30</v>
      </c>
      <c r="N1676" s="8" cm="1">
        <f t="array" ref="N1676">_xlfn.SWITCH(Sales[[#This Row],[Subscription Type]],"Basic",10,"Premium",10,"Business",25,"Enterprise",27)</f>
        <v>10</v>
      </c>
      <c r="O1676">
        <f>IF(Sales[[#This Row],[Number of Users]]-Sales[[#This Row],[Licenses Bought]]&lt;0,0,Sales[[#This Row],[Number of Users]]-Sales[[#This Row],[Licenses Bought]])</f>
        <v>2</v>
      </c>
      <c r="P1676" s="8">
        <f>IF(Sales[[#This Row],[Sales Month]]=MAX(Sales[Sales Month]),Sales[[#This Row],[Non-Paying Users]]*Sales[[#This Row],[Upsell $ per Non-Paying User]],0)</f>
        <v>0</v>
      </c>
      <c r="Q1676" t="str" cm="1">
        <f t="array" ref="Q1676">_xlfn.IFS(Sales[[#This Row],[Current Upsell $]]=0,"",Sales[[#This Row],[Current Upsell $]]&gt;=400,"High",Sales[[#This Row],[Current Upsell $]]&gt;=100,"Medium",Sales[[#This Row],[Current Upsell $]]&lt;100,"Low")</f>
        <v/>
      </c>
      <c r="R1676" t="str">
        <f>IF(Sales[[#This Row],[Current Upsell $]]&gt;0,_xlfn.CONCAT(Sales[[#This Row],[Subscription Type]]," ",Sales[[#This Row],[Upsell Priority]]," ",TEXT(Sales[[#This Row],[Current Upsell $]],"$#,#")),"")</f>
        <v/>
      </c>
    </row>
    <row r="1677" spans="1:18" x14ac:dyDescent="0.25">
      <c r="A1677">
        <v>100178</v>
      </c>
      <c r="B1677" t="s">
        <v>0</v>
      </c>
      <c r="D1677" s="1"/>
      <c r="E1677" s="1"/>
      <c r="F1677">
        <v>4</v>
      </c>
      <c r="G1677">
        <v>5</v>
      </c>
      <c r="H1677" s="1">
        <v>44166</v>
      </c>
      <c r="I1677" s="1">
        <v>44378</v>
      </c>
      <c r="J1677">
        <v>7</v>
      </c>
      <c r="K1677">
        <v>0</v>
      </c>
      <c r="L1677" s="1">
        <v>44256</v>
      </c>
      <c r="M1677">
        <v>40</v>
      </c>
      <c r="N1677" s="8" cm="1">
        <f t="array" ref="N1677">_xlfn.SWITCH(Sales[[#This Row],[Subscription Type]],"Basic",10,"Premium",10,"Business",25,"Enterprise",27)</f>
        <v>10</v>
      </c>
      <c r="O1677">
        <f>IF(Sales[[#This Row],[Number of Users]]-Sales[[#This Row],[Licenses Bought]]&lt;0,0,Sales[[#This Row],[Number of Users]]-Sales[[#This Row],[Licenses Bought]])</f>
        <v>1</v>
      </c>
      <c r="P1677" s="8">
        <f>IF(Sales[[#This Row],[Sales Month]]=MAX(Sales[Sales Month]),Sales[[#This Row],[Non-Paying Users]]*Sales[[#This Row],[Upsell $ per Non-Paying User]],0)</f>
        <v>0</v>
      </c>
      <c r="Q1677" t="str" cm="1">
        <f t="array" ref="Q1677">_xlfn.IFS(Sales[[#This Row],[Current Upsell $]]=0,"",Sales[[#This Row],[Current Upsell $]]&gt;=400,"High",Sales[[#This Row],[Current Upsell $]]&gt;=100,"Medium",Sales[[#This Row],[Current Upsell $]]&lt;100,"Low")</f>
        <v/>
      </c>
      <c r="R1677" t="str">
        <f>IF(Sales[[#This Row],[Current Upsell $]]&gt;0,_xlfn.CONCAT(Sales[[#This Row],[Subscription Type]]," ",Sales[[#This Row],[Upsell Priority]]," ",TEXT(Sales[[#This Row],[Current Upsell $]],"$#,#")),"")</f>
        <v/>
      </c>
    </row>
    <row r="1678" spans="1:18" x14ac:dyDescent="0.25">
      <c r="A1678">
        <v>100178</v>
      </c>
      <c r="B1678" t="s">
        <v>0</v>
      </c>
      <c r="D1678" s="1"/>
      <c r="E1678" s="1"/>
      <c r="F1678">
        <v>4</v>
      </c>
      <c r="G1678">
        <v>5</v>
      </c>
      <c r="H1678" s="1">
        <v>44166</v>
      </c>
      <c r="I1678" s="1">
        <v>44378</v>
      </c>
      <c r="J1678">
        <v>7</v>
      </c>
      <c r="K1678">
        <v>0</v>
      </c>
      <c r="L1678" s="1">
        <v>44287</v>
      </c>
      <c r="M1678">
        <v>40</v>
      </c>
      <c r="N1678" s="8" cm="1">
        <f t="array" ref="N1678">_xlfn.SWITCH(Sales[[#This Row],[Subscription Type]],"Basic",10,"Premium",10,"Business",25,"Enterprise",27)</f>
        <v>10</v>
      </c>
      <c r="O1678">
        <f>IF(Sales[[#This Row],[Number of Users]]-Sales[[#This Row],[Licenses Bought]]&lt;0,0,Sales[[#This Row],[Number of Users]]-Sales[[#This Row],[Licenses Bought]])</f>
        <v>1</v>
      </c>
      <c r="P1678" s="8">
        <f>IF(Sales[[#This Row],[Sales Month]]=MAX(Sales[Sales Month]),Sales[[#This Row],[Non-Paying Users]]*Sales[[#This Row],[Upsell $ per Non-Paying User]],0)</f>
        <v>0</v>
      </c>
      <c r="Q1678" t="str" cm="1">
        <f t="array" ref="Q1678">_xlfn.IFS(Sales[[#This Row],[Current Upsell $]]=0,"",Sales[[#This Row],[Current Upsell $]]&gt;=400,"High",Sales[[#This Row],[Current Upsell $]]&gt;=100,"Medium",Sales[[#This Row],[Current Upsell $]]&lt;100,"Low")</f>
        <v/>
      </c>
      <c r="R1678" t="str">
        <f>IF(Sales[[#This Row],[Current Upsell $]]&gt;0,_xlfn.CONCAT(Sales[[#This Row],[Subscription Type]]," ",Sales[[#This Row],[Upsell Priority]]," ",TEXT(Sales[[#This Row],[Current Upsell $]],"$#,#")),"")</f>
        <v/>
      </c>
    </row>
    <row r="1679" spans="1:18" x14ac:dyDescent="0.25">
      <c r="A1679">
        <v>100178</v>
      </c>
      <c r="B1679" t="s">
        <v>0</v>
      </c>
      <c r="D1679" s="1"/>
      <c r="E1679" s="1"/>
      <c r="F1679">
        <v>4</v>
      </c>
      <c r="G1679">
        <v>4</v>
      </c>
      <c r="H1679" s="1">
        <v>44166</v>
      </c>
      <c r="I1679" s="1">
        <v>44378</v>
      </c>
      <c r="J1679">
        <v>7</v>
      </c>
      <c r="K1679">
        <v>0</v>
      </c>
      <c r="L1679" s="1">
        <v>44317</v>
      </c>
      <c r="M1679">
        <v>40</v>
      </c>
      <c r="N1679" s="8" cm="1">
        <f t="array" ref="N1679">_xlfn.SWITCH(Sales[[#This Row],[Subscription Type]],"Basic",10,"Premium",10,"Business",25,"Enterprise",27)</f>
        <v>10</v>
      </c>
      <c r="O1679">
        <f>IF(Sales[[#This Row],[Number of Users]]-Sales[[#This Row],[Licenses Bought]]&lt;0,0,Sales[[#This Row],[Number of Users]]-Sales[[#This Row],[Licenses Bought]])</f>
        <v>0</v>
      </c>
      <c r="P1679" s="8">
        <f>IF(Sales[[#This Row],[Sales Month]]=MAX(Sales[Sales Month]),Sales[[#This Row],[Non-Paying Users]]*Sales[[#This Row],[Upsell $ per Non-Paying User]],0)</f>
        <v>0</v>
      </c>
      <c r="Q1679" t="str" cm="1">
        <f t="array" ref="Q1679">_xlfn.IFS(Sales[[#This Row],[Current Upsell $]]=0,"",Sales[[#This Row],[Current Upsell $]]&gt;=400,"High",Sales[[#This Row],[Current Upsell $]]&gt;=100,"Medium",Sales[[#This Row],[Current Upsell $]]&lt;100,"Low")</f>
        <v/>
      </c>
      <c r="R1679" t="str">
        <f>IF(Sales[[#This Row],[Current Upsell $]]&gt;0,_xlfn.CONCAT(Sales[[#This Row],[Subscription Type]]," ",Sales[[#This Row],[Upsell Priority]]," ",TEXT(Sales[[#This Row],[Current Upsell $]],"$#,#")),"")</f>
        <v/>
      </c>
    </row>
    <row r="1680" spans="1:18" x14ac:dyDescent="0.25">
      <c r="A1680">
        <v>100178</v>
      </c>
      <c r="B1680" t="s">
        <v>0</v>
      </c>
      <c r="D1680" s="1"/>
      <c r="E1680" s="1"/>
      <c r="F1680">
        <v>4</v>
      </c>
      <c r="G1680">
        <v>5</v>
      </c>
      <c r="H1680" s="1">
        <v>44166</v>
      </c>
      <c r="I1680" s="1">
        <v>44378</v>
      </c>
      <c r="J1680">
        <v>7</v>
      </c>
      <c r="K1680">
        <v>0</v>
      </c>
      <c r="L1680" s="1">
        <v>44348</v>
      </c>
      <c r="M1680">
        <v>40</v>
      </c>
      <c r="N1680" s="8" cm="1">
        <f t="array" ref="N1680">_xlfn.SWITCH(Sales[[#This Row],[Subscription Type]],"Basic",10,"Premium",10,"Business",25,"Enterprise",27)</f>
        <v>10</v>
      </c>
      <c r="O1680">
        <f>IF(Sales[[#This Row],[Number of Users]]-Sales[[#This Row],[Licenses Bought]]&lt;0,0,Sales[[#This Row],[Number of Users]]-Sales[[#This Row],[Licenses Bought]])</f>
        <v>1</v>
      </c>
      <c r="P1680" s="8">
        <f>IF(Sales[[#This Row],[Sales Month]]=MAX(Sales[Sales Month]),Sales[[#This Row],[Non-Paying Users]]*Sales[[#This Row],[Upsell $ per Non-Paying User]],0)</f>
        <v>10</v>
      </c>
      <c r="Q1680" t="str" cm="1">
        <f t="array" ref="Q1680">_xlfn.IFS(Sales[[#This Row],[Current Upsell $]]=0,"",Sales[[#This Row],[Current Upsell $]]&gt;=400,"High",Sales[[#This Row],[Current Upsell $]]&gt;=100,"Medium",Sales[[#This Row],[Current Upsell $]]&lt;100,"Low")</f>
        <v>Low</v>
      </c>
      <c r="R1680" t="str">
        <f>IF(Sales[[#This Row],[Current Upsell $]]&gt;0,_xlfn.CONCAT(Sales[[#This Row],[Subscription Type]]," ",Sales[[#This Row],[Upsell Priority]]," ",TEXT(Sales[[#This Row],[Current Upsell $]],"$#,#")),"")</f>
        <v>Premium Low $10</v>
      </c>
    </row>
    <row r="1681" spans="1:18" x14ac:dyDescent="0.25">
      <c r="A1681">
        <v>100179</v>
      </c>
      <c r="B1681" t="s">
        <v>3</v>
      </c>
      <c r="F1681">
        <v>0</v>
      </c>
      <c r="G1681">
        <v>3</v>
      </c>
      <c r="H1681" s="1">
        <v>44166</v>
      </c>
      <c r="I1681" s="1">
        <v>44287</v>
      </c>
      <c r="J1681">
        <v>4</v>
      </c>
      <c r="K1681">
        <v>2</v>
      </c>
      <c r="L1681" s="1">
        <v>44166</v>
      </c>
      <c r="M1681">
        <v>0</v>
      </c>
      <c r="N1681" s="8" cm="1">
        <f t="array" ref="N1681">_xlfn.SWITCH(Sales[[#This Row],[Subscription Type]],"Basic",10,"Premium",10,"Business",25,"Enterprise",27)</f>
        <v>10</v>
      </c>
      <c r="O1681">
        <f>IF(Sales[[#This Row],[Number of Users]]-Sales[[#This Row],[Licenses Bought]]&lt;0,0,Sales[[#This Row],[Number of Users]]-Sales[[#This Row],[Licenses Bought]])</f>
        <v>3</v>
      </c>
      <c r="P1681" s="8">
        <f>IF(Sales[[#This Row],[Sales Month]]=MAX(Sales[Sales Month]),Sales[[#This Row],[Non-Paying Users]]*Sales[[#This Row],[Upsell $ per Non-Paying User]],0)</f>
        <v>0</v>
      </c>
      <c r="Q1681" t="str" cm="1">
        <f t="array" ref="Q1681">_xlfn.IFS(Sales[[#This Row],[Current Upsell $]]=0,"",Sales[[#This Row],[Current Upsell $]]&gt;=400,"High",Sales[[#This Row],[Current Upsell $]]&gt;=100,"Medium",Sales[[#This Row],[Current Upsell $]]&lt;100,"Low")</f>
        <v/>
      </c>
      <c r="R1681" t="str">
        <f>IF(Sales[[#This Row],[Current Upsell $]]&gt;0,_xlfn.CONCAT(Sales[[#This Row],[Subscription Type]]," ",Sales[[#This Row],[Upsell Priority]]," ",TEXT(Sales[[#This Row],[Current Upsell $]],"$#,#")),"")</f>
        <v/>
      </c>
    </row>
    <row r="1682" spans="1:18" x14ac:dyDescent="0.25">
      <c r="A1682">
        <v>100179</v>
      </c>
      <c r="B1682" t="s">
        <v>3</v>
      </c>
      <c r="F1682">
        <v>0</v>
      </c>
      <c r="G1682">
        <v>3</v>
      </c>
      <c r="H1682" s="1">
        <v>44166</v>
      </c>
      <c r="I1682" s="1">
        <v>44287</v>
      </c>
      <c r="J1682">
        <v>4</v>
      </c>
      <c r="K1682">
        <v>2</v>
      </c>
      <c r="L1682" s="1">
        <v>44197</v>
      </c>
      <c r="M1682">
        <v>0</v>
      </c>
      <c r="N1682" s="8" cm="1">
        <f t="array" ref="N1682">_xlfn.SWITCH(Sales[[#This Row],[Subscription Type]],"Basic",10,"Premium",10,"Business",25,"Enterprise",27)</f>
        <v>10</v>
      </c>
      <c r="O1682">
        <f>IF(Sales[[#This Row],[Number of Users]]-Sales[[#This Row],[Licenses Bought]]&lt;0,0,Sales[[#This Row],[Number of Users]]-Sales[[#This Row],[Licenses Bought]])</f>
        <v>3</v>
      </c>
      <c r="P1682" s="8">
        <f>IF(Sales[[#This Row],[Sales Month]]=MAX(Sales[Sales Month]),Sales[[#This Row],[Non-Paying Users]]*Sales[[#This Row],[Upsell $ per Non-Paying User]],0)</f>
        <v>0</v>
      </c>
      <c r="Q1682" t="str" cm="1">
        <f t="array" ref="Q1682">_xlfn.IFS(Sales[[#This Row],[Current Upsell $]]=0,"",Sales[[#This Row],[Current Upsell $]]&gt;=400,"High",Sales[[#This Row],[Current Upsell $]]&gt;=100,"Medium",Sales[[#This Row],[Current Upsell $]]&lt;100,"Low")</f>
        <v/>
      </c>
      <c r="R1682" t="str">
        <f>IF(Sales[[#This Row],[Current Upsell $]]&gt;0,_xlfn.CONCAT(Sales[[#This Row],[Subscription Type]]," ",Sales[[#This Row],[Upsell Priority]]," ",TEXT(Sales[[#This Row],[Current Upsell $]],"$#,#")),"")</f>
        <v/>
      </c>
    </row>
    <row r="1683" spans="1:18" x14ac:dyDescent="0.25">
      <c r="A1683">
        <v>100179</v>
      </c>
      <c r="B1683" t="s">
        <v>3</v>
      </c>
      <c r="F1683">
        <v>0</v>
      </c>
      <c r="G1683">
        <v>3</v>
      </c>
      <c r="H1683" s="1">
        <v>44166</v>
      </c>
      <c r="I1683" s="1">
        <v>44287</v>
      </c>
      <c r="J1683">
        <v>4</v>
      </c>
      <c r="K1683">
        <v>2</v>
      </c>
      <c r="L1683" s="1">
        <v>44228</v>
      </c>
      <c r="M1683">
        <v>0</v>
      </c>
      <c r="N1683" s="8" cm="1">
        <f t="array" ref="N1683">_xlfn.SWITCH(Sales[[#This Row],[Subscription Type]],"Basic",10,"Premium",10,"Business",25,"Enterprise",27)</f>
        <v>10</v>
      </c>
      <c r="O1683">
        <f>IF(Sales[[#This Row],[Number of Users]]-Sales[[#This Row],[Licenses Bought]]&lt;0,0,Sales[[#This Row],[Number of Users]]-Sales[[#This Row],[Licenses Bought]])</f>
        <v>3</v>
      </c>
      <c r="P1683" s="8">
        <f>IF(Sales[[#This Row],[Sales Month]]=MAX(Sales[Sales Month]),Sales[[#This Row],[Non-Paying Users]]*Sales[[#This Row],[Upsell $ per Non-Paying User]],0)</f>
        <v>0</v>
      </c>
      <c r="Q1683" t="str" cm="1">
        <f t="array" ref="Q1683">_xlfn.IFS(Sales[[#This Row],[Current Upsell $]]=0,"",Sales[[#This Row],[Current Upsell $]]&gt;=400,"High",Sales[[#This Row],[Current Upsell $]]&gt;=100,"Medium",Sales[[#This Row],[Current Upsell $]]&lt;100,"Low")</f>
        <v/>
      </c>
      <c r="R1683" t="str">
        <f>IF(Sales[[#This Row],[Current Upsell $]]&gt;0,_xlfn.CONCAT(Sales[[#This Row],[Subscription Type]]," ",Sales[[#This Row],[Upsell Priority]]," ",TEXT(Sales[[#This Row],[Current Upsell $]],"$#,#")),"")</f>
        <v/>
      </c>
    </row>
    <row r="1684" spans="1:18" x14ac:dyDescent="0.25">
      <c r="A1684">
        <v>100179</v>
      </c>
      <c r="B1684" t="s">
        <v>3</v>
      </c>
      <c r="F1684">
        <v>0</v>
      </c>
      <c r="G1684">
        <v>3</v>
      </c>
      <c r="H1684" s="1">
        <v>44166</v>
      </c>
      <c r="I1684" s="1">
        <v>44287</v>
      </c>
      <c r="J1684">
        <v>4</v>
      </c>
      <c r="K1684">
        <v>2</v>
      </c>
      <c r="L1684" s="1">
        <v>44256</v>
      </c>
      <c r="M1684">
        <v>0</v>
      </c>
      <c r="N1684" s="8" cm="1">
        <f t="array" ref="N1684">_xlfn.SWITCH(Sales[[#This Row],[Subscription Type]],"Basic",10,"Premium",10,"Business",25,"Enterprise",27)</f>
        <v>10</v>
      </c>
      <c r="O1684">
        <f>IF(Sales[[#This Row],[Number of Users]]-Sales[[#This Row],[Licenses Bought]]&lt;0,0,Sales[[#This Row],[Number of Users]]-Sales[[#This Row],[Licenses Bought]])</f>
        <v>3</v>
      </c>
      <c r="P1684" s="8">
        <f>IF(Sales[[#This Row],[Sales Month]]=MAX(Sales[Sales Month]),Sales[[#This Row],[Non-Paying Users]]*Sales[[#This Row],[Upsell $ per Non-Paying User]],0)</f>
        <v>0</v>
      </c>
      <c r="Q1684" t="str" cm="1">
        <f t="array" ref="Q1684">_xlfn.IFS(Sales[[#This Row],[Current Upsell $]]=0,"",Sales[[#This Row],[Current Upsell $]]&gt;=400,"High",Sales[[#This Row],[Current Upsell $]]&gt;=100,"Medium",Sales[[#This Row],[Current Upsell $]]&lt;100,"Low")</f>
        <v/>
      </c>
      <c r="R1684" t="str">
        <f>IF(Sales[[#This Row],[Current Upsell $]]&gt;0,_xlfn.CONCAT(Sales[[#This Row],[Subscription Type]]," ",Sales[[#This Row],[Upsell Priority]]," ",TEXT(Sales[[#This Row],[Current Upsell $]],"$#,#")),"")</f>
        <v/>
      </c>
    </row>
    <row r="1685" spans="1:18" x14ac:dyDescent="0.25">
      <c r="A1685">
        <v>100179</v>
      </c>
      <c r="B1685" t="s">
        <v>3</v>
      </c>
      <c r="F1685">
        <v>0</v>
      </c>
      <c r="G1685">
        <v>3</v>
      </c>
      <c r="H1685" s="1">
        <v>44166</v>
      </c>
      <c r="I1685" s="1">
        <v>44287</v>
      </c>
      <c r="J1685">
        <v>4</v>
      </c>
      <c r="K1685">
        <v>2</v>
      </c>
      <c r="L1685" s="1">
        <v>44287</v>
      </c>
      <c r="M1685">
        <v>0</v>
      </c>
      <c r="N1685" s="8" cm="1">
        <f t="array" ref="N1685">_xlfn.SWITCH(Sales[[#This Row],[Subscription Type]],"Basic",10,"Premium",10,"Business",25,"Enterprise",27)</f>
        <v>10</v>
      </c>
      <c r="O1685">
        <f>IF(Sales[[#This Row],[Number of Users]]-Sales[[#This Row],[Licenses Bought]]&lt;0,0,Sales[[#This Row],[Number of Users]]-Sales[[#This Row],[Licenses Bought]])</f>
        <v>3</v>
      </c>
      <c r="P1685" s="8">
        <f>IF(Sales[[#This Row],[Sales Month]]=MAX(Sales[Sales Month]),Sales[[#This Row],[Non-Paying Users]]*Sales[[#This Row],[Upsell $ per Non-Paying User]],0)</f>
        <v>0</v>
      </c>
      <c r="Q1685" t="str" cm="1">
        <f t="array" ref="Q1685">_xlfn.IFS(Sales[[#This Row],[Current Upsell $]]=0,"",Sales[[#This Row],[Current Upsell $]]&gt;=400,"High",Sales[[#This Row],[Current Upsell $]]&gt;=100,"Medium",Sales[[#This Row],[Current Upsell $]]&lt;100,"Low")</f>
        <v/>
      </c>
      <c r="R1685" t="str">
        <f>IF(Sales[[#This Row],[Current Upsell $]]&gt;0,_xlfn.CONCAT(Sales[[#This Row],[Subscription Type]]," ",Sales[[#This Row],[Upsell Priority]]," ",TEXT(Sales[[#This Row],[Current Upsell $]],"$#,#")),"")</f>
        <v/>
      </c>
    </row>
    <row r="1686" spans="1:18" x14ac:dyDescent="0.25">
      <c r="A1686">
        <v>100180</v>
      </c>
      <c r="B1686" t="s">
        <v>3</v>
      </c>
      <c r="F1686">
        <v>0</v>
      </c>
      <c r="G1686">
        <v>2</v>
      </c>
      <c r="H1686" s="1">
        <v>44166</v>
      </c>
      <c r="I1686" s="1">
        <v>44228</v>
      </c>
      <c r="J1686">
        <v>2</v>
      </c>
      <c r="K1686">
        <v>4</v>
      </c>
      <c r="L1686" s="1">
        <v>44166</v>
      </c>
      <c r="M1686">
        <v>0</v>
      </c>
      <c r="N1686" s="8" cm="1">
        <f t="array" ref="N1686">_xlfn.SWITCH(Sales[[#This Row],[Subscription Type]],"Basic",10,"Premium",10,"Business",25,"Enterprise",27)</f>
        <v>10</v>
      </c>
      <c r="O1686">
        <f>IF(Sales[[#This Row],[Number of Users]]-Sales[[#This Row],[Licenses Bought]]&lt;0,0,Sales[[#This Row],[Number of Users]]-Sales[[#This Row],[Licenses Bought]])</f>
        <v>2</v>
      </c>
      <c r="P1686" s="8">
        <f>IF(Sales[[#This Row],[Sales Month]]=MAX(Sales[Sales Month]),Sales[[#This Row],[Non-Paying Users]]*Sales[[#This Row],[Upsell $ per Non-Paying User]],0)</f>
        <v>0</v>
      </c>
      <c r="Q1686" t="str" cm="1">
        <f t="array" ref="Q1686">_xlfn.IFS(Sales[[#This Row],[Current Upsell $]]=0,"",Sales[[#This Row],[Current Upsell $]]&gt;=400,"High",Sales[[#This Row],[Current Upsell $]]&gt;=100,"Medium",Sales[[#This Row],[Current Upsell $]]&lt;100,"Low")</f>
        <v/>
      </c>
      <c r="R1686" t="str">
        <f>IF(Sales[[#This Row],[Current Upsell $]]&gt;0,_xlfn.CONCAT(Sales[[#This Row],[Subscription Type]]," ",Sales[[#This Row],[Upsell Priority]]," ",TEXT(Sales[[#This Row],[Current Upsell $]],"$#,#")),"")</f>
        <v/>
      </c>
    </row>
    <row r="1687" spans="1:18" x14ac:dyDescent="0.25">
      <c r="A1687">
        <v>100180</v>
      </c>
      <c r="B1687" t="s">
        <v>0</v>
      </c>
      <c r="F1687">
        <v>1</v>
      </c>
      <c r="G1687">
        <v>2</v>
      </c>
      <c r="H1687" s="1">
        <v>44166</v>
      </c>
      <c r="I1687" s="1">
        <v>44228</v>
      </c>
      <c r="J1687">
        <v>2</v>
      </c>
      <c r="K1687">
        <v>4</v>
      </c>
      <c r="L1687" s="1">
        <v>44197</v>
      </c>
      <c r="M1687">
        <v>10</v>
      </c>
      <c r="N1687" s="8" cm="1">
        <f t="array" ref="N1687">_xlfn.SWITCH(Sales[[#This Row],[Subscription Type]],"Basic",10,"Premium",10,"Business",25,"Enterprise",27)</f>
        <v>10</v>
      </c>
      <c r="O1687">
        <f>IF(Sales[[#This Row],[Number of Users]]-Sales[[#This Row],[Licenses Bought]]&lt;0,0,Sales[[#This Row],[Number of Users]]-Sales[[#This Row],[Licenses Bought]])</f>
        <v>1</v>
      </c>
      <c r="P1687" s="8">
        <f>IF(Sales[[#This Row],[Sales Month]]=MAX(Sales[Sales Month]),Sales[[#This Row],[Non-Paying Users]]*Sales[[#This Row],[Upsell $ per Non-Paying User]],0)</f>
        <v>0</v>
      </c>
      <c r="Q1687" t="str" cm="1">
        <f t="array" ref="Q1687">_xlfn.IFS(Sales[[#This Row],[Current Upsell $]]=0,"",Sales[[#This Row],[Current Upsell $]]&gt;=400,"High",Sales[[#This Row],[Current Upsell $]]&gt;=100,"Medium",Sales[[#This Row],[Current Upsell $]]&lt;100,"Low")</f>
        <v/>
      </c>
      <c r="R1687" t="str">
        <f>IF(Sales[[#This Row],[Current Upsell $]]&gt;0,_xlfn.CONCAT(Sales[[#This Row],[Subscription Type]]," ",Sales[[#This Row],[Upsell Priority]]," ",TEXT(Sales[[#This Row],[Current Upsell $]],"$#,#")),"")</f>
        <v/>
      </c>
    </row>
    <row r="1688" spans="1:18" x14ac:dyDescent="0.25">
      <c r="A1688">
        <v>100180</v>
      </c>
      <c r="B1688" t="s">
        <v>0</v>
      </c>
      <c r="F1688">
        <v>1</v>
      </c>
      <c r="G1688">
        <v>2</v>
      </c>
      <c r="H1688" s="1">
        <v>44166</v>
      </c>
      <c r="I1688" s="1">
        <v>44228</v>
      </c>
      <c r="J1688">
        <v>2</v>
      </c>
      <c r="K1688">
        <v>4</v>
      </c>
      <c r="L1688" s="1">
        <v>44228</v>
      </c>
      <c r="M1688">
        <v>10</v>
      </c>
      <c r="N1688" s="8" cm="1">
        <f t="array" ref="N1688">_xlfn.SWITCH(Sales[[#This Row],[Subscription Type]],"Basic",10,"Premium",10,"Business",25,"Enterprise",27)</f>
        <v>10</v>
      </c>
      <c r="O1688">
        <f>IF(Sales[[#This Row],[Number of Users]]-Sales[[#This Row],[Licenses Bought]]&lt;0,0,Sales[[#This Row],[Number of Users]]-Sales[[#This Row],[Licenses Bought]])</f>
        <v>1</v>
      </c>
      <c r="P1688" s="8">
        <f>IF(Sales[[#This Row],[Sales Month]]=MAX(Sales[Sales Month]),Sales[[#This Row],[Non-Paying Users]]*Sales[[#This Row],[Upsell $ per Non-Paying User]],0)</f>
        <v>0</v>
      </c>
      <c r="Q1688" t="str" cm="1">
        <f t="array" ref="Q1688">_xlfn.IFS(Sales[[#This Row],[Current Upsell $]]=0,"",Sales[[#This Row],[Current Upsell $]]&gt;=400,"High",Sales[[#This Row],[Current Upsell $]]&gt;=100,"Medium",Sales[[#This Row],[Current Upsell $]]&lt;100,"Low")</f>
        <v/>
      </c>
      <c r="R1688" t="str">
        <f>IF(Sales[[#This Row],[Current Upsell $]]&gt;0,_xlfn.CONCAT(Sales[[#This Row],[Subscription Type]]," ",Sales[[#This Row],[Upsell Priority]]," ",TEXT(Sales[[#This Row],[Current Upsell $]],"$#,#")),"")</f>
        <v/>
      </c>
    </row>
    <row r="1689" spans="1:18" x14ac:dyDescent="0.25">
      <c r="A1689">
        <v>100181</v>
      </c>
      <c r="B1689" t="s">
        <v>3</v>
      </c>
      <c r="F1689">
        <v>0</v>
      </c>
      <c r="G1689">
        <v>2</v>
      </c>
      <c r="H1689" s="1">
        <v>44166</v>
      </c>
      <c r="I1689" s="1">
        <v>44317</v>
      </c>
      <c r="J1689">
        <v>5</v>
      </c>
      <c r="K1689">
        <v>1</v>
      </c>
      <c r="L1689" s="1">
        <v>44166</v>
      </c>
      <c r="M1689">
        <v>0</v>
      </c>
      <c r="N1689" s="8" cm="1">
        <f t="array" ref="N1689">_xlfn.SWITCH(Sales[[#This Row],[Subscription Type]],"Basic",10,"Premium",10,"Business",25,"Enterprise",27)</f>
        <v>10</v>
      </c>
      <c r="O1689">
        <f>IF(Sales[[#This Row],[Number of Users]]-Sales[[#This Row],[Licenses Bought]]&lt;0,0,Sales[[#This Row],[Number of Users]]-Sales[[#This Row],[Licenses Bought]])</f>
        <v>2</v>
      </c>
      <c r="P1689" s="8">
        <f>IF(Sales[[#This Row],[Sales Month]]=MAX(Sales[Sales Month]),Sales[[#This Row],[Non-Paying Users]]*Sales[[#This Row],[Upsell $ per Non-Paying User]],0)</f>
        <v>0</v>
      </c>
      <c r="Q1689" t="str" cm="1">
        <f t="array" ref="Q1689">_xlfn.IFS(Sales[[#This Row],[Current Upsell $]]=0,"",Sales[[#This Row],[Current Upsell $]]&gt;=400,"High",Sales[[#This Row],[Current Upsell $]]&gt;=100,"Medium",Sales[[#This Row],[Current Upsell $]]&lt;100,"Low")</f>
        <v/>
      </c>
      <c r="R1689" t="str">
        <f>IF(Sales[[#This Row],[Current Upsell $]]&gt;0,_xlfn.CONCAT(Sales[[#This Row],[Subscription Type]]," ",Sales[[#This Row],[Upsell Priority]]," ",TEXT(Sales[[#This Row],[Current Upsell $]],"$#,#")),"")</f>
        <v/>
      </c>
    </row>
    <row r="1690" spans="1:18" x14ac:dyDescent="0.25">
      <c r="A1690">
        <v>100181</v>
      </c>
      <c r="B1690" t="s">
        <v>3</v>
      </c>
      <c r="F1690">
        <v>0</v>
      </c>
      <c r="G1690">
        <v>2</v>
      </c>
      <c r="H1690" s="1">
        <v>44166</v>
      </c>
      <c r="I1690" s="1">
        <v>44317</v>
      </c>
      <c r="J1690">
        <v>5</v>
      </c>
      <c r="K1690">
        <v>1</v>
      </c>
      <c r="L1690" s="1">
        <v>44197</v>
      </c>
      <c r="M1690">
        <v>0</v>
      </c>
      <c r="N1690" s="8" cm="1">
        <f t="array" ref="N1690">_xlfn.SWITCH(Sales[[#This Row],[Subscription Type]],"Basic",10,"Premium",10,"Business",25,"Enterprise",27)</f>
        <v>10</v>
      </c>
      <c r="O1690">
        <f>IF(Sales[[#This Row],[Number of Users]]-Sales[[#This Row],[Licenses Bought]]&lt;0,0,Sales[[#This Row],[Number of Users]]-Sales[[#This Row],[Licenses Bought]])</f>
        <v>2</v>
      </c>
      <c r="P1690" s="8">
        <f>IF(Sales[[#This Row],[Sales Month]]=MAX(Sales[Sales Month]),Sales[[#This Row],[Non-Paying Users]]*Sales[[#This Row],[Upsell $ per Non-Paying User]],0)</f>
        <v>0</v>
      </c>
      <c r="Q1690" t="str" cm="1">
        <f t="array" ref="Q1690">_xlfn.IFS(Sales[[#This Row],[Current Upsell $]]=0,"",Sales[[#This Row],[Current Upsell $]]&gt;=400,"High",Sales[[#This Row],[Current Upsell $]]&gt;=100,"Medium",Sales[[#This Row],[Current Upsell $]]&lt;100,"Low")</f>
        <v/>
      </c>
      <c r="R1690" t="str">
        <f>IF(Sales[[#This Row],[Current Upsell $]]&gt;0,_xlfn.CONCAT(Sales[[#This Row],[Subscription Type]]," ",Sales[[#This Row],[Upsell Priority]]," ",TEXT(Sales[[#This Row],[Current Upsell $]],"$#,#")),"")</f>
        <v/>
      </c>
    </row>
    <row r="1691" spans="1:18" x14ac:dyDescent="0.25">
      <c r="A1691">
        <v>100181</v>
      </c>
      <c r="B1691" t="s">
        <v>3</v>
      </c>
      <c r="F1691">
        <v>0</v>
      </c>
      <c r="G1691">
        <v>2</v>
      </c>
      <c r="H1691" s="1">
        <v>44166</v>
      </c>
      <c r="I1691" s="1">
        <v>44317</v>
      </c>
      <c r="J1691">
        <v>5</v>
      </c>
      <c r="K1691">
        <v>1</v>
      </c>
      <c r="L1691" s="1">
        <v>44228</v>
      </c>
      <c r="M1691">
        <v>0</v>
      </c>
      <c r="N1691" s="8" cm="1">
        <f t="array" ref="N1691">_xlfn.SWITCH(Sales[[#This Row],[Subscription Type]],"Basic",10,"Premium",10,"Business",25,"Enterprise",27)</f>
        <v>10</v>
      </c>
      <c r="O1691">
        <f>IF(Sales[[#This Row],[Number of Users]]-Sales[[#This Row],[Licenses Bought]]&lt;0,0,Sales[[#This Row],[Number of Users]]-Sales[[#This Row],[Licenses Bought]])</f>
        <v>2</v>
      </c>
      <c r="P1691" s="8">
        <f>IF(Sales[[#This Row],[Sales Month]]=MAX(Sales[Sales Month]),Sales[[#This Row],[Non-Paying Users]]*Sales[[#This Row],[Upsell $ per Non-Paying User]],0)</f>
        <v>0</v>
      </c>
      <c r="Q1691" t="str" cm="1">
        <f t="array" ref="Q1691">_xlfn.IFS(Sales[[#This Row],[Current Upsell $]]=0,"",Sales[[#This Row],[Current Upsell $]]&gt;=400,"High",Sales[[#This Row],[Current Upsell $]]&gt;=100,"Medium",Sales[[#This Row],[Current Upsell $]]&lt;100,"Low")</f>
        <v/>
      </c>
      <c r="R1691" t="str">
        <f>IF(Sales[[#This Row],[Current Upsell $]]&gt;0,_xlfn.CONCAT(Sales[[#This Row],[Subscription Type]]," ",Sales[[#This Row],[Upsell Priority]]," ",TEXT(Sales[[#This Row],[Current Upsell $]],"$#,#")),"")</f>
        <v/>
      </c>
    </row>
    <row r="1692" spans="1:18" x14ac:dyDescent="0.25">
      <c r="A1692">
        <v>100181</v>
      </c>
      <c r="B1692" t="s">
        <v>3</v>
      </c>
      <c r="F1692">
        <v>0</v>
      </c>
      <c r="G1692">
        <v>2</v>
      </c>
      <c r="H1692" s="1">
        <v>44166</v>
      </c>
      <c r="I1692" s="1">
        <v>44317</v>
      </c>
      <c r="J1692">
        <v>5</v>
      </c>
      <c r="K1692">
        <v>1</v>
      </c>
      <c r="L1692" s="1">
        <v>44256</v>
      </c>
      <c r="M1692">
        <v>0</v>
      </c>
      <c r="N1692" s="8" cm="1">
        <f t="array" ref="N1692">_xlfn.SWITCH(Sales[[#This Row],[Subscription Type]],"Basic",10,"Premium",10,"Business",25,"Enterprise",27)</f>
        <v>10</v>
      </c>
      <c r="O1692">
        <f>IF(Sales[[#This Row],[Number of Users]]-Sales[[#This Row],[Licenses Bought]]&lt;0,0,Sales[[#This Row],[Number of Users]]-Sales[[#This Row],[Licenses Bought]])</f>
        <v>2</v>
      </c>
      <c r="P1692" s="8">
        <f>IF(Sales[[#This Row],[Sales Month]]=MAX(Sales[Sales Month]),Sales[[#This Row],[Non-Paying Users]]*Sales[[#This Row],[Upsell $ per Non-Paying User]],0)</f>
        <v>0</v>
      </c>
      <c r="Q1692" t="str" cm="1">
        <f t="array" ref="Q1692">_xlfn.IFS(Sales[[#This Row],[Current Upsell $]]=0,"",Sales[[#This Row],[Current Upsell $]]&gt;=400,"High",Sales[[#This Row],[Current Upsell $]]&gt;=100,"Medium",Sales[[#This Row],[Current Upsell $]]&lt;100,"Low")</f>
        <v/>
      </c>
      <c r="R1692" t="str">
        <f>IF(Sales[[#This Row],[Current Upsell $]]&gt;0,_xlfn.CONCAT(Sales[[#This Row],[Subscription Type]]," ",Sales[[#This Row],[Upsell Priority]]," ",TEXT(Sales[[#This Row],[Current Upsell $]],"$#,#")),"")</f>
        <v/>
      </c>
    </row>
    <row r="1693" spans="1:18" x14ac:dyDescent="0.25">
      <c r="A1693">
        <v>100181</v>
      </c>
      <c r="B1693" t="s">
        <v>3</v>
      </c>
      <c r="F1693">
        <v>0</v>
      </c>
      <c r="G1693">
        <v>1</v>
      </c>
      <c r="H1693" s="1">
        <v>44166</v>
      </c>
      <c r="I1693" s="1">
        <v>44317</v>
      </c>
      <c r="J1693">
        <v>5</v>
      </c>
      <c r="K1693">
        <v>1</v>
      </c>
      <c r="L1693" s="1">
        <v>44287</v>
      </c>
      <c r="M1693">
        <v>0</v>
      </c>
      <c r="N1693" s="8" cm="1">
        <f t="array" ref="N1693">_xlfn.SWITCH(Sales[[#This Row],[Subscription Type]],"Basic",10,"Premium",10,"Business",25,"Enterprise",27)</f>
        <v>10</v>
      </c>
      <c r="O1693">
        <f>IF(Sales[[#This Row],[Number of Users]]-Sales[[#This Row],[Licenses Bought]]&lt;0,0,Sales[[#This Row],[Number of Users]]-Sales[[#This Row],[Licenses Bought]])</f>
        <v>1</v>
      </c>
      <c r="P1693" s="8">
        <f>IF(Sales[[#This Row],[Sales Month]]=MAX(Sales[Sales Month]),Sales[[#This Row],[Non-Paying Users]]*Sales[[#This Row],[Upsell $ per Non-Paying User]],0)</f>
        <v>0</v>
      </c>
      <c r="Q1693" t="str" cm="1">
        <f t="array" ref="Q1693">_xlfn.IFS(Sales[[#This Row],[Current Upsell $]]=0,"",Sales[[#This Row],[Current Upsell $]]&gt;=400,"High",Sales[[#This Row],[Current Upsell $]]&gt;=100,"Medium",Sales[[#This Row],[Current Upsell $]]&lt;100,"Low")</f>
        <v/>
      </c>
      <c r="R1693" t="str">
        <f>IF(Sales[[#This Row],[Current Upsell $]]&gt;0,_xlfn.CONCAT(Sales[[#This Row],[Subscription Type]]," ",Sales[[#This Row],[Upsell Priority]]," ",TEXT(Sales[[#This Row],[Current Upsell $]],"$#,#")),"")</f>
        <v/>
      </c>
    </row>
    <row r="1694" spans="1:18" x14ac:dyDescent="0.25">
      <c r="A1694">
        <v>100181</v>
      </c>
      <c r="B1694" t="s">
        <v>3</v>
      </c>
      <c r="F1694">
        <v>0</v>
      </c>
      <c r="G1694">
        <v>2</v>
      </c>
      <c r="H1694" s="1">
        <v>44166</v>
      </c>
      <c r="I1694" s="1">
        <v>44317</v>
      </c>
      <c r="J1694">
        <v>5</v>
      </c>
      <c r="K1694">
        <v>1</v>
      </c>
      <c r="L1694" s="1">
        <v>44317</v>
      </c>
      <c r="M1694">
        <v>0</v>
      </c>
      <c r="N1694" s="8" cm="1">
        <f t="array" ref="N1694">_xlfn.SWITCH(Sales[[#This Row],[Subscription Type]],"Basic",10,"Premium",10,"Business",25,"Enterprise",27)</f>
        <v>10</v>
      </c>
      <c r="O1694">
        <f>IF(Sales[[#This Row],[Number of Users]]-Sales[[#This Row],[Licenses Bought]]&lt;0,0,Sales[[#This Row],[Number of Users]]-Sales[[#This Row],[Licenses Bought]])</f>
        <v>2</v>
      </c>
      <c r="P1694" s="8">
        <f>IF(Sales[[#This Row],[Sales Month]]=MAX(Sales[Sales Month]),Sales[[#This Row],[Non-Paying Users]]*Sales[[#This Row],[Upsell $ per Non-Paying User]],0)</f>
        <v>0</v>
      </c>
      <c r="Q1694" t="str" cm="1">
        <f t="array" ref="Q1694">_xlfn.IFS(Sales[[#This Row],[Current Upsell $]]=0,"",Sales[[#This Row],[Current Upsell $]]&gt;=400,"High",Sales[[#This Row],[Current Upsell $]]&gt;=100,"Medium",Sales[[#This Row],[Current Upsell $]]&lt;100,"Low")</f>
        <v/>
      </c>
      <c r="R1694" t="str">
        <f>IF(Sales[[#This Row],[Current Upsell $]]&gt;0,_xlfn.CONCAT(Sales[[#This Row],[Subscription Type]]," ",Sales[[#This Row],[Upsell Priority]]," ",TEXT(Sales[[#This Row],[Current Upsell $]],"$#,#")),"")</f>
        <v/>
      </c>
    </row>
    <row r="1695" spans="1:18" x14ac:dyDescent="0.25">
      <c r="A1695">
        <v>100182</v>
      </c>
      <c r="B1695" t="s">
        <v>3</v>
      </c>
      <c r="F1695">
        <v>0</v>
      </c>
      <c r="G1695">
        <v>2</v>
      </c>
      <c r="H1695" s="1">
        <v>44166</v>
      </c>
      <c r="I1695" s="1">
        <v>44256</v>
      </c>
      <c r="J1695">
        <v>3</v>
      </c>
      <c r="K1695">
        <v>3</v>
      </c>
      <c r="L1695" s="1">
        <v>44166</v>
      </c>
      <c r="M1695">
        <v>0</v>
      </c>
      <c r="N1695" s="8" cm="1">
        <f t="array" ref="N1695">_xlfn.SWITCH(Sales[[#This Row],[Subscription Type]],"Basic",10,"Premium",10,"Business",25,"Enterprise",27)</f>
        <v>10</v>
      </c>
      <c r="O1695">
        <f>IF(Sales[[#This Row],[Number of Users]]-Sales[[#This Row],[Licenses Bought]]&lt;0,0,Sales[[#This Row],[Number of Users]]-Sales[[#This Row],[Licenses Bought]])</f>
        <v>2</v>
      </c>
      <c r="P1695" s="8">
        <f>IF(Sales[[#This Row],[Sales Month]]=MAX(Sales[Sales Month]),Sales[[#This Row],[Non-Paying Users]]*Sales[[#This Row],[Upsell $ per Non-Paying User]],0)</f>
        <v>0</v>
      </c>
      <c r="Q1695" t="str" cm="1">
        <f t="array" ref="Q1695">_xlfn.IFS(Sales[[#This Row],[Current Upsell $]]=0,"",Sales[[#This Row],[Current Upsell $]]&gt;=400,"High",Sales[[#This Row],[Current Upsell $]]&gt;=100,"Medium",Sales[[#This Row],[Current Upsell $]]&lt;100,"Low")</f>
        <v/>
      </c>
      <c r="R1695" t="str">
        <f>IF(Sales[[#This Row],[Current Upsell $]]&gt;0,_xlfn.CONCAT(Sales[[#This Row],[Subscription Type]]," ",Sales[[#This Row],[Upsell Priority]]," ",TEXT(Sales[[#This Row],[Current Upsell $]],"$#,#")),"")</f>
        <v/>
      </c>
    </row>
    <row r="1696" spans="1:18" x14ac:dyDescent="0.25">
      <c r="A1696">
        <v>100182</v>
      </c>
      <c r="B1696" t="s">
        <v>3</v>
      </c>
      <c r="F1696">
        <v>0</v>
      </c>
      <c r="G1696">
        <v>2</v>
      </c>
      <c r="H1696" s="1">
        <v>44166</v>
      </c>
      <c r="I1696" s="1">
        <v>44256</v>
      </c>
      <c r="J1696">
        <v>3</v>
      </c>
      <c r="K1696">
        <v>3</v>
      </c>
      <c r="L1696" s="1">
        <v>44197</v>
      </c>
      <c r="M1696">
        <v>0</v>
      </c>
      <c r="N1696" s="8" cm="1">
        <f t="array" ref="N1696">_xlfn.SWITCH(Sales[[#This Row],[Subscription Type]],"Basic",10,"Premium",10,"Business",25,"Enterprise",27)</f>
        <v>10</v>
      </c>
      <c r="O1696">
        <f>IF(Sales[[#This Row],[Number of Users]]-Sales[[#This Row],[Licenses Bought]]&lt;0,0,Sales[[#This Row],[Number of Users]]-Sales[[#This Row],[Licenses Bought]])</f>
        <v>2</v>
      </c>
      <c r="P1696" s="8">
        <f>IF(Sales[[#This Row],[Sales Month]]=MAX(Sales[Sales Month]),Sales[[#This Row],[Non-Paying Users]]*Sales[[#This Row],[Upsell $ per Non-Paying User]],0)</f>
        <v>0</v>
      </c>
      <c r="Q1696" t="str" cm="1">
        <f t="array" ref="Q1696">_xlfn.IFS(Sales[[#This Row],[Current Upsell $]]=0,"",Sales[[#This Row],[Current Upsell $]]&gt;=400,"High",Sales[[#This Row],[Current Upsell $]]&gt;=100,"Medium",Sales[[#This Row],[Current Upsell $]]&lt;100,"Low")</f>
        <v/>
      </c>
      <c r="R1696" t="str">
        <f>IF(Sales[[#This Row],[Current Upsell $]]&gt;0,_xlfn.CONCAT(Sales[[#This Row],[Subscription Type]]," ",Sales[[#This Row],[Upsell Priority]]," ",TEXT(Sales[[#This Row],[Current Upsell $]],"$#,#")),"")</f>
        <v/>
      </c>
    </row>
    <row r="1697" spans="1:18" x14ac:dyDescent="0.25">
      <c r="A1697">
        <v>100182</v>
      </c>
      <c r="B1697" t="s">
        <v>3</v>
      </c>
      <c r="F1697">
        <v>0</v>
      </c>
      <c r="G1697">
        <v>2</v>
      </c>
      <c r="H1697" s="1">
        <v>44166</v>
      </c>
      <c r="I1697" s="1">
        <v>44256</v>
      </c>
      <c r="J1697">
        <v>3</v>
      </c>
      <c r="K1697">
        <v>3</v>
      </c>
      <c r="L1697" s="1">
        <v>44228</v>
      </c>
      <c r="M1697">
        <v>0</v>
      </c>
      <c r="N1697" s="8" cm="1">
        <f t="array" ref="N1697">_xlfn.SWITCH(Sales[[#This Row],[Subscription Type]],"Basic",10,"Premium",10,"Business",25,"Enterprise",27)</f>
        <v>10</v>
      </c>
      <c r="O1697">
        <f>IF(Sales[[#This Row],[Number of Users]]-Sales[[#This Row],[Licenses Bought]]&lt;0,0,Sales[[#This Row],[Number of Users]]-Sales[[#This Row],[Licenses Bought]])</f>
        <v>2</v>
      </c>
      <c r="P1697" s="8">
        <f>IF(Sales[[#This Row],[Sales Month]]=MAX(Sales[Sales Month]),Sales[[#This Row],[Non-Paying Users]]*Sales[[#This Row],[Upsell $ per Non-Paying User]],0)</f>
        <v>0</v>
      </c>
      <c r="Q1697" t="str" cm="1">
        <f t="array" ref="Q1697">_xlfn.IFS(Sales[[#This Row],[Current Upsell $]]=0,"",Sales[[#This Row],[Current Upsell $]]&gt;=400,"High",Sales[[#This Row],[Current Upsell $]]&gt;=100,"Medium",Sales[[#This Row],[Current Upsell $]]&lt;100,"Low")</f>
        <v/>
      </c>
      <c r="R1697" t="str">
        <f>IF(Sales[[#This Row],[Current Upsell $]]&gt;0,_xlfn.CONCAT(Sales[[#This Row],[Subscription Type]]," ",Sales[[#This Row],[Upsell Priority]]," ",TEXT(Sales[[#This Row],[Current Upsell $]],"$#,#")),"")</f>
        <v/>
      </c>
    </row>
    <row r="1698" spans="1:18" x14ac:dyDescent="0.25">
      <c r="A1698">
        <v>100182</v>
      </c>
      <c r="B1698" t="s">
        <v>3</v>
      </c>
      <c r="F1698">
        <v>0</v>
      </c>
      <c r="G1698">
        <v>2</v>
      </c>
      <c r="H1698" s="1">
        <v>44166</v>
      </c>
      <c r="I1698" s="1">
        <v>44256</v>
      </c>
      <c r="J1698">
        <v>3</v>
      </c>
      <c r="K1698">
        <v>3</v>
      </c>
      <c r="L1698" s="1">
        <v>44256</v>
      </c>
      <c r="M1698">
        <v>0</v>
      </c>
      <c r="N1698" s="8" cm="1">
        <f t="array" ref="N1698">_xlfn.SWITCH(Sales[[#This Row],[Subscription Type]],"Basic",10,"Premium",10,"Business",25,"Enterprise",27)</f>
        <v>10</v>
      </c>
      <c r="O1698">
        <f>IF(Sales[[#This Row],[Number of Users]]-Sales[[#This Row],[Licenses Bought]]&lt;0,0,Sales[[#This Row],[Number of Users]]-Sales[[#This Row],[Licenses Bought]])</f>
        <v>2</v>
      </c>
      <c r="P1698" s="8">
        <f>IF(Sales[[#This Row],[Sales Month]]=MAX(Sales[Sales Month]),Sales[[#This Row],[Non-Paying Users]]*Sales[[#This Row],[Upsell $ per Non-Paying User]],0)</f>
        <v>0</v>
      </c>
      <c r="Q1698" t="str" cm="1">
        <f t="array" ref="Q1698">_xlfn.IFS(Sales[[#This Row],[Current Upsell $]]=0,"",Sales[[#This Row],[Current Upsell $]]&gt;=400,"High",Sales[[#This Row],[Current Upsell $]]&gt;=100,"Medium",Sales[[#This Row],[Current Upsell $]]&lt;100,"Low")</f>
        <v/>
      </c>
      <c r="R1698" t="str">
        <f>IF(Sales[[#This Row],[Current Upsell $]]&gt;0,_xlfn.CONCAT(Sales[[#This Row],[Subscription Type]]," ",Sales[[#This Row],[Upsell Priority]]," ",TEXT(Sales[[#This Row],[Current Upsell $]],"$#,#")),"")</f>
        <v/>
      </c>
    </row>
    <row r="1699" spans="1:18" x14ac:dyDescent="0.25">
      <c r="A1699">
        <v>100183</v>
      </c>
      <c r="B1699" t="s">
        <v>3</v>
      </c>
      <c r="D1699" s="1"/>
      <c r="E1699" s="1"/>
      <c r="F1699">
        <v>0</v>
      </c>
      <c r="G1699">
        <v>39</v>
      </c>
      <c r="H1699" s="1">
        <v>44197</v>
      </c>
      <c r="I1699" s="1">
        <v>44378</v>
      </c>
      <c r="J1699">
        <v>6</v>
      </c>
      <c r="K1699">
        <v>0</v>
      </c>
      <c r="L1699" s="1">
        <v>44197</v>
      </c>
      <c r="M1699">
        <v>0</v>
      </c>
      <c r="N1699" s="8" cm="1">
        <f t="array" ref="N1699">_xlfn.SWITCH(Sales[[#This Row],[Subscription Type]],"Basic",10,"Premium",10,"Business",25,"Enterprise",27)</f>
        <v>10</v>
      </c>
      <c r="O1699">
        <f>IF(Sales[[#This Row],[Number of Users]]-Sales[[#This Row],[Licenses Bought]]&lt;0,0,Sales[[#This Row],[Number of Users]]-Sales[[#This Row],[Licenses Bought]])</f>
        <v>39</v>
      </c>
      <c r="P1699" s="8">
        <f>IF(Sales[[#This Row],[Sales Month]]=MAX(Sales[Sales Month]),Sales[[#This Row],[Non-Paying Users]]*Sales[[#This Row],[Upsell $ per Non-Paying User]],0)</f>
        <v>0</v>
      </c>
      <c r="Q1699" t="str" cm="1">
        <f t="array" ref="Q1699">_xlfn.IFS(Sales[[#This Row],[Current Upsell $]]=0,"",Sales[[#This Row],[Current Upsell $]]&gt;=400,"High",Sales[[#This Row],[Current Upsell $]]&gt;=100,"Medium",Sales[[#This Row],[Current Upsell $]]&lt;100,"Low")</f>
        <v/>
      </c>
      <c r="R1699" t="str">
        <f>IF(Sales[[#This Row],[Current Upsell $]]&gt;0,_xlfn.CONCAT(Sales[[#This Row],[Subscription Type]]," ",Sales[[#This Row],[Upsell Priority]]," ",TEXT(Sales[[#This Row],[Current Upsell $]],"$#,#")),"")</f>
        <v/>
      </c>
    </row>
    <row r="1700" spans="1:18" x14ac:dyDescent="0.25">
      <c r="A1700">
        <v>100183</v>
      </c>
      <c r="B1700" t="s">
        <v>0</v>
      </c>
      <c r="D1700" s="1"/>
      <c r="E1700" s="1"/>
      <c r="F1700">
        <v>9</v>
      </c>
      <c r="G1700">
        <v>39</v>
      </c>
      <c r="H1700" s="1">
        <v>44197</v>
      </c>
      <c r="I1700" s="1">
        <v>44378</v>
      </c>
      <c r="J1700">
        <v>6</v>
      </c>
      <c r="K1700">
        <v>0</v>
      </c>
      <c r="L1700" s="1">
        <v>44228</v>
      </c>
      <c r="M1700">
        <v>90</v>
      </c>
      <c r="N1700" s="8" cm="1">
        <f t="array" ref="N1700">_xlfn.SWITCH(Sales[[#This Row],[Subscription Type]],"Basic",10,"Premium",10,"Business",25,"Enterprise",27)</f>
        <v>10</v>
      </c>
      <c r="O1700">
        <f>IF(Sales[[#This Row],[Number of Users]]-Sales[[#This Row],[Licenses Bought]]&lt;0,0,Sales[[#This Row],[Number of Users]]-Sales[[#This Row],[Licenses Bought]])</f>
        <v>30</v>
      </c>
      <c r="P1700" s="8">
        <f>IF(Sales[[#This Row],[Sales Month]]=MAX(Sales[Sales Month]),Sales[[#This Row],[Non-Paying Users]]*Sales[[#This Row],[Upsell $ per Non-Paying User]],0)</f>
        <v>0</v>
      </c>
      <c r="Q1700" t="str" cm="1">
        <f t="array" ref="Q1700">_xlfn.IFS(Sales[[#This Row],[Current Upsell $]]=0,"",Sales[[#This Row],[Current Upsell $]]&gt;=400,"High",Sales[[#This Row],[Current Upsell $]]&gt;=100,"Medium",Sales[[#This Row],[Current Upsell $]]&lt;100,"Low")</f>
        <v/>
      </c>
      <c r="R1700" t="str">
        <f>IF(Sales[[#This Row],[Current Upsell $]]&gt;0,_xlfn.CONCAT(Sales[[#This Row],[Subscription Type]]," ",Sales[[#This Row],[Upsell Priority]]," ",TEXT(Sales[[#This Row],[Current Upsell $]],"$#,#")),"")</f>
        <v/>
      </c>
    </row>
    <row r="1701" spans="1:18" x14ac:dyDescent="0.25">
      <c r="A1701">
        <v>100183</v>
      </c>
      <c r="B1701" t="s">
        <v>0</v>
      </c>
      <c r="D1701" s="1"/>
      <c r="E1701" s="1"/>
      <c r="F1701">
        <v>19</v>
      </c>
      <c r="G1701">
        <v>39</v>
      </c>
      <c r="H1701" s="1">
        <v>44197</v>
      </c>
      <c r="I1701" s="1">
        <v>44378</v>
      </c>
      <c r="J1701">
        <v>6</v>
      </c>
      <c r="K1701">
        <v>0</v>
      </c>
      <c r="L1701" s="1">
        <v>44256</v>
      </c>
      <c r="M1701">
        <v>190</v>
      </c>
      <c r="N1701" s="8" cm="1">
        <f t="array" ref="N1701">_xlfn.SWITCH(Sales[[#This Row],[Subscription Type]],"Basic",10,"Premium",10,"Business",25,"Enterprise",27)</f>
        <v>10</v>
      </c>
      <c r="O1701">
        <f>IF(Sales[[#This Row],[Number of Users]]-Sales[[#This Row],[Licenses Bought]]&lt;0,0,Sales[[#This Row],[Number of Users]]-Sales[[#This Row],[Licenses Bought]])</f>
        <v>20</v>
      </c>
      <c r="P1701" s="8">
        <f>IF(Sales[[#This Row],[Sales Month]]=MAX(Sales[Sales Month]),Sales[[#This Row],[Non-Paying Users]]*Sales[[#This Row],[Upsell $ per Non-Paying User]],0)</f>
        <v>0</v>
      </c>
      <c r="Q1701" t="str" cm="1">
        <f t="array" ref="Q1701">_xlfn.IFS(Sales[[#This Row],[Current Upsell $]]=0,"",Sales[[#This Row],[Current Upsell $]]&gt;=400,"High",Sales[[#This Row],[Current Upsell $]]&gt;=100,"Medium",Sales[[#This Row],[Current Upsell $]]&lt;100,"Low")</f>
        <v/>
      </c>
      <c r="R1701" t="str">
        <f>IF(Sales[[#This Row],[Current Upsell $]]&gt;0,_xlfn.CONCAT(Sales[[#This Row],[Subscription Type]]," ",Sales[[#This Row],[Upsell Priority]]," ",TEXT(Sales[[#This Row],[Current Upsell $]],"$#,#")),"")</f>
        <v/>
      </c>
    </row>
    <row r="1702" spans="1:18" x14ac:dyDescent="0.25">
      <c r="A1702">
        <v>100183</v>
      </c>
      <c r="B1702" t="s">
        <v>0</v>
      </c>
      <c r="D1702" s="1"/>
      <c r="E1702" s="1"/>
      <c r="F1702">
        <v>34</v>
      </c>
      <c r="G1702">
        <v>49</v>
      </c>
      <c r="H1702" s="1">
        <v>44197</v>
      </c>
      <c r="I1702" s="1">
        <v>44378</v>
      </c>
      <c r="J1702">
        <v>6</v>
      </c>
      <c r="K1702">
        <v>0</v>
      </c>
      <c r="L1702" s="1">
        <v>44287</v>
      </c>
      <c r="M1702">
        <v>340</v>
      </c>
      <c r="N1702" s="8" cm="1">
        <f t="array" ref="N1702">_xlfn.SWITCH(Sales[[#This Row],[Subscription Type]],"Basic",10,"Premium",10,"Business",25,"Enterprise",27)</f>
        <v>10</v>
      </c>
      <c r="O1702">
        <f>IF(Sales[[#This Row],[Number of Users]]-Sales[[#This Row],[Licenses Bought]]&lt;0,0,Sales[[#This Row],[Number of Users]]-Sales[[#This Row],[Licenses Bought]])</f>
        <v>15</v>
      </c>
      <c r="P1702" s="8">
        <f>IF(Sales[[#This Row],[Sales Month]]=MAX(Sales[Sales Month]),Sales[[#This Row],[Non-Paying Users]]*Sales[[#This Row],[Upsell $ per Non-Paying User]],0)</f>
        <v>0</v>
      </c>
      <c r="Q1702" t="str" cm="1">
        <f t="array" ref="Q1702">_xlfn.IFS(Sales[[#This Row],[Current Upsell $]]=0,"",Sales[[#This Row],[Current Upsell $]]&gt;=400,"High",Sales[[#This Row],[Current Upsell $]]&gt;=100,"Medium",Sales[[#This Row],[Current Upsell $]]&lt;100,"Low")</f>
        <v/>
      </c>
      <c r="R1702" t="str">
        <f>IF(Sales[[#This Row],[Current Upsell $]]&gt;0,_xlfn.CONCAT(Sales[[#This Row],[Subscription Type]]," ",Sales[[#This Row],[Upsell Priority]]," ",TEXT(Sales[[#This Row],[Current Upsell $]],"$#,#")),"")</f>
        <v/>
      </c>
    </row>
    <row r="1703" spans="1:18" x14ac:dyDescent="0.25">
      <c r="A1703">
        <v>100183</v>
      </c>
      <c r="B1703" t="s">
        <v>0</v>
      </c>
      <c r="D1703" s="1"/>
      <c r="E1703" s="1"/>
      <c r="F1703">
        <v>34</v>
      </c>
      <c r="G1703">
        <v>43</v>
      </c>
      <c r="H1703" s="1">
        <v>44197</v>
      </c>
      <c r="I1703" s="1">
        <v>44378</v>
      </c>
      <c r="J1703">
        <v>6</v>
      </c>
      <c r="K1703">
        <v>0</v>
      </c>
      <c r="L1703" s="1">
        <v>44317</v>
      </c>
      <c r="M1703">
        <v>340</v>
      </c>
      <c r="N1703" s="8" cm="1">
        <f t="array" ref="N1703">_xlfn.SWITCH(Sales[[#This Row],[Subscription Type]],"Basic",10,"Premium",10,"Business",25,"Enterprise",27)</f>
        <v>10</v>
      </c>
      <c r="O1703">
        <f>IF(Sales[[#This Row],[Number of Users]]-Sales[[#This Row],[Licenses Bought]]&lt;0,0,Sales[[#This Row],[Number of Users]]-Sales[[#This Row],[Licenses Bought]])</f>
        <v>9</v>
      </c>
      <c r="P1703" s="8">
        <f>IF(Sales[[#This Row],[Sales Month]]=MAX(Sales[Sales Month]),Sales[[#This Row],[Non-Paying Users]]*Sales[[#This Row],[Upsell $ per Non-Paying User]],0)</f>
        <v>0</v>
      </c>
      <c r="Q1703" t="str" cm="1">
        <f t="array" ref="Q1703">_xlfn.IFS(Sales[[#This Row],[Current Upsell $]]=0,"",Sales[[#This Row],[Current Upsell $]]&gt;=400,"High",Sales[[#This Row],[Current Upsell $]]&gt;=100,"Medium",Sales[[#This Row],[Current Upsell $]]&lt;100,"Low")</f>
        <v/>
      </c>
      <c r="R1703" t="str">
        <f>IF(Sales[[#This Row],[Current Upsell $]]&gt;0,_xlfn.CONCAT(Sales[[#This Row],[Subscription Type]]," ",Sales[[#This Row],[Upsell Priority]]," ",TEXT(Sales[[#This Row],[Current Upsell $]],"$#,#")),"")</f>
        <v/>
      </c>
    </row>
    <row r="1704" spans="1:18" x14ac:dyDescent="0.25">
      <c r="A1704">
        <v>100183</v>
      </c>
      <c r="B1704" t="s">
        <v>0</v>
      </c>
      <c r="D1704" s="1"/>
      <c r="E1704" s="1"/>
      <c r="F1704">
        <v>34</v>
      </c>
      <c r="G1704">
        <v>35</v>
      </c>
      <c r="H1704" s="1">
        <v>44197</v>
      </c>
      <c r="I1704" s="1">
        <v>44378</v>
      </c>
      <c r="J1704">
        <v>6</v>
      </c>
      <c r="K1704">
        <v>0</v>
      </c>
      <c r="L1704" s="1">
        <v>44348</v>
      </c>
      <c r="M1704">
        <v>340</v>
      </c>
      <c r="N1704" s="8" cm="1">
        <f t="array" ref="N1704">_xlfn.SWITCH(Sales[[#This Row],[Subscription Type]],"Basic",10,"Premium",10,"Business",25,"Enterprise",27)</f>
        <v>10</v>
      </c>
      <c r="O1704">
        <f>IF(Sales[[#This Row],[Number of Users]]-Sales[[#This Row],[Licenses Bought]]&lt;0,0,Sales[[#This Row],[Number of Users]]-Sales[[#This Row],[Licenses Bought]])</f>
        <v>1</v>
      </c>
      <c r="P1704" s="8">
        <f>IF(Sales[[#This Row],[Sales Month]]=MAX(Sales[Sales Month]),Sales[[#This Row],[Non-Paying Users]]*Sales[[#This Row],[Upsell $ per Non-Paying User]],0)</f>
        <v>10</v>
      </c>
      <c r="Q1704" t="str" cm="1">
        <f t="array" ref="Q1704">_xlfn.IFS(Sales[[#This Row],[Current Upsell $]]=0,"",Sales[[#This Row],[Current Upsell $]]&gt;=400,"High",Sales[[#This Row],[Current Upsell $]]&gt;=100,"Medium",Sales[[#This Row],[Current Upsell $]]&lt;100,"Low")</f>
        <v>Low</v>
      </c>
      <c r="R1704" t="str">
        <f>IF(Sales[[#This Row],[Current Upsell $]]&gt;0,_xlfn.CONCAT(Sales[[#This Row],[Subscription Type]]," ",Sales[[#This Row],[Upsell Priority]]," ",TEXT(Sales[[#This Row],[Current Upsell $]],"$#,#")),"")</f>
        <v>Premium Low $10</v>
      </c>
    </row>
    <row r="1705" spans="1:18" x14ac:dyDescent="0.25">
      <c r="A1705">
        <v>100184</v>
      </c>
      <c r="B1705" t="s">
        <v>3</v>
      </c>
      <c r="D1705" s="1"/>
      <c r="E1705" s="1"/>
      <c r="F1705">
        <v>0</v>
      </c>
      <c r="G1705">
        <v>32</v>
      </c>
      <c r="H1705" s="1">
        <v>44197</v>
      </c>
      <c r="I1705" s="1">
        <v>44378</v>
      </c>
      <c r="J1705">
        <v>6</v>
      </c>
      <c r="K1705">
        <v>0</v>
      </c>
      <c r="L1705" s="1">
        <v>44197</v>
      </c>
      <c r="M1705">
        <v>0</v>
      </c>
      <c r="N1705" s="8" cm="1">
        <f t="array" ref="N1705">_xlfn.SWITCH(Sales[[#This Row],[Subscription Type]],"Basic",10,"Premium",10,"Business",25,"Enterprise",27)</f>
        <v>10</v>
      </c>
      <c r="O1705">
        <f>IF(Sales[[#This Row],[Number of Users]]-Sales[[#This Row],[Licenses Bought]]&lt;0,0,Sales[[#This Row],[Number of Users]]-Sales[[#This Row],[Licenses Bought]])</f>
        <v>32</v>
      </c>
      <c r="P1705" s="8">
        <f>IF(Sales[[#This Row],[Sales Month]]=MAX(Sales[Sales Month]),Sales[[#This Row],[Non-Paying Users]]*Sales[[#This Row],[Upsell $ per Non-Paying User]],0)</f>
        <v>0</v>
      </c>
      <c r="Q1705" t="str" cm="1">
        <f t="array" ref="Q1705">_xlfn.IFS(Sales[[#This Row],[Current Upsell $]]=0,"",Sales[[#This Row],[Current Upsell $]]&gt;=400,"High",Sales[[#This Row],[Current Upsell $]]&gt;=100,"Medium",Sales[[#This Row],[Current Upsell $]]&lt;100,"Low")</f>
        <v/>
      </c>
      <c r="R1705" t="str">
        <f>IF(Sales[[#This Row],[Current Upsell $]]&gt;0,_xlfn.CONCAT(Sales[[#This Row],[Subscription Type]]," ",Sales[[#This Row],[Upsell Priority]]," ",TEXT(Sales[[#This Row],[Current Upsell $]],"$#,#")),"")</f>
        <v/>
      </c>
    </row>
    <row r="1706" spans="1:18" x14ac:dyDescent="0.25">
      <c r="A1706">
        <v>100184</v>
      </c>
      <c r="B1706" t="s">
        <v>0</v>
      </c>
      <c r="D1706" s="1"/>
      <c r="E1706" s="1"/>
      <c r="F1706">
        <v>10</v>
      </c>
      <c r="G1706">
        <v>29</v>
      </c>
      <c r="H1706" s="1">
        <v>44197</v>
      </c>
      <c r="I1706" s="1">
        <v>44378</v>
      </c>
      <c r="J1706">
        <v>6</v>
      </c>
      <c r="K1706">
        <v>0</v>
      </c>
      <c r="L1706" s="1">
        <v>44228</v>
      </c>
      <c r="M1706">
        <v>100</v>
      </c>
      <c r="N1706" s="8" cm="1">
        <f t="array" ref="N1706">_xlfn.SWITCH(Sales[[#This Row],[Subscription Type]],"Basic",10,"Premium",10,"Business",25,"Enterprise",27)</f>
        <v>10</v>
      </c>
      <c r="O1706">
        <f>IF(Sales[[#This Row],[Number of Users]]-Sales[[#This Row],[Licenses Bought]]&lt;0,0,Sales[[#This Row],[Number of Users]]-Sales[[#This Row],[Licenses Bought]])</f>
        <v>19</v>
      </c>
      <c r="P1706" s="8">
        <f>IF(Sales[[#This Row],[Sales Month]]=MAX(Sales[Sales Month]),Sales[[#This Row],[Non-Paying Users]]*Sales[[#This Row],[Upsell $ per Non-Paying User]],0)</f>
        <v>0</v>
      </c>
      <c r="Q1706" t="str" cm="1">
        <f t="array" ref="Q1706">_xlfn.IFS(Sales[[#This Row],[Current Upsell $]]=0,"",Sales[[#This Row],[Current Upsell $]]&gt;=400,"High",Sales[[#This Row],[Current Upsell $]]&gt;=100,"Medium",Sales[[#This Row],[Current Upsell $]]&lt;100,"Low")</f>
        <v/>
      </c>
      <c r="R1706" t="str">
        <f>IF(Sales[[#This Row],[Current Upsell $]]&gt;0,_xlfn.CONCAT(Sales[[#This Row],[Subscription Type]]," ",Sales[[#This Row],[Upsell Priority]]," ",TEXT(Sales[[#This Row],[Current Upsell $]],"$#,#")),"")</f>
        <v/>
      </c>
    </row>
    <row r="1707" spans="1:18" x14ac:dyDescent="0.25">
      <c r="A1707">
        <v>100184</v>
      </c>
      <c r="B1707" t="s">
        <v>0</v>
      </c>
      <c r="D1707" s="1"/>
      <c r="E1707" s="1"/>
      <c r="F1707">
        <v>16</v>
      </c>
      <c r="G1707">
        <v>30</v>
      </c>
      <c r="H1707" s="1">
        <v>44197</v>
      </c>
      <c r="I1707" s="1">
        <v>44378</v>
      </c>
      <c r="J1707">
        <v>6</v>
      </c>
      <c r="K1707">
        <v>0</v>
      </c>
      <c r="L1707" s="1">
        <v>44256</v>
      </c>
      <c r="M1707">
        <v>160</v>
      </c>
      <c r="N1707" s="8" cm="1">
        <f t="array" ref="N1707">_xlfn.SWITCH(Sales[[#This Row],[Subscription Type]],"Basic",10,"Premium",10,"Business",25,"Enterprise",27)</f>
        <v>10</v>
      </c>
      <c r="O1707">
        <f>IF(Sales[[#This Row],[Number of Users]]-Sales[[#This Row],[Licenses Bought]]&lt;0,0,Sales[[#This Row],[Number of Users]]-Sales[[#This Row],[Licenses Bought]])</f>
        <v>14</v>
      </c>
      <c r="P1707" s="8">
        <f>IF(Sales[[#This Row],[Sales Month]]=MAX(Sales[Sales Month]),Sales[[#This Row],[Non-Paying Users]]*Sales[[#This Row],[Upsell $ per Non-Paying User]],0)</f>
        <v>0</v>
      </c>
      <c r="Q1707" t="str" cm="1">
        <f t="array" ref="Q1707">_xlfn.IFS(Sales[[#This Row],[Current Upsell $]]=0,"",Sales[[#This Row],[Current Upsell $]]&gt;=400,"High",Sales[[#This Row],[Current Upsell $]]&gt;=100,"Medium",Sales[[#This Row],[Current Upsell $]]&lt;100,"Low")</f>
        <v/>
      </c>
      <c r="R1707" t="str">
        <f>IF(Sales[[#This Row],[Current Upsell $]]&gt;0,_xlfn.CONCAT(Sales[[#This Row],[Subscription Type]]," ",Sales[[#This Row],[Upsell Priority]]," ",TEXT(Sales[[#This Row],[Current Upsell $]],"$#,#")),"")</f>
        <v/>
      </c>
    </row>
    <row r="1708" spans="1:18" x14ac:dyDescent="0.25">
      <c r="A1708">
        <v>100184</v>
      </c>
      <c r="B1708" t="s">
        <v>0</v>
      </c>
      <c r="D1708" s="1"/>
      <c r="E1708" s="1"/>
      <c r="F1708">
        <v>27</v>
      </c>
      <c r="G1708">
        <v>33</v>
      </c>
      <c r="H1708" s="1">
        <v>44197</v>
      </c>
      <c r="I1708" s="1">
        <v>44378</v>
      </c>
      <c r="J1708">
        <v>6</v>
      </c>
      <c r="K1708">
        <v>0</v>
      </c>
      <c r="L1708" s="1">
        <v>44287</v>
      </c>
      <c r="M1708">
        <v>270</v>
      </c>
      <c r="N1708" s="8" cm="1">
        <f t="array" ref="N1708">_xlfn.SWITCH(Sales[[#This Row],[Subscription Type]],"Basic",10,"Premium",10,"Business",25,"Enterprise",27)</f>
        <v>10</v>
      </c>
      <c r="O1708">
        <f>IF(Sales[[#This Row],[Number of Users]]-Sales[[#This Row],[Licenses Bought]]&lt;0,0,Sales[[#This Row],[Number of Users]]-Sales[[#This Row],[Licenses Bought]])</f>
        <v>6</v>
      </c>
      <c r="P1708" s="8">
        <f>IF(Sales[[#This Row],[Sales Month]]=MAX(Sales[Sales Month]),Sales[[#This Row],[Non-Paying Users]]*Sales[[#This Row],[Upsell $ per Non-Paying User]],0)</f>
        <v>0</v>
      </c>
      <c r="Q1708" t="str" cm="1">
        <f t="array" ref="Q1708">_xlfn.IFS(Sales[[#This Row],[Current Upsell $]]=0,"",Sales[[#This Row],[Current Upsell $]]&gt;=400,"High",Sales[[#This Row],[Current Upsell $]]&gt;=100,"Medium",Sales[[#This Row],[Current Upsell $]]&lt;100,"Low")</f>
        <v/>
      </c>
      <c r="R1708" t="str">
        <f>IF(Sales[[#This Row],[Current Upsell $]]&gt;0,_xlfn.CONCAT(Sales[[#This Row],[Subscription Type]]," ",Sales[[#This Row],[Upsell Priority]]," ",TEXT(Sales[[#This Row],[Current Upsell $]],"$#,#")),"")</f>
        <v/>
      </c>
    </row>
    <row r="1709" spans="1:18" x14ac:dyDescent="0.25">
      <c r="A1709">
        <v>100184</v>
      </c>
      <c r="B1709" t="s">
        <v>0</v>
      </c>
      <c r="D1709" s="1"/>
      <c r="E1709" s="1"/>
      <c r="F1709">
        <v>27</v>
      </c>
      <c r="G1709">
        <v>27</v>
      </c>
      <c r="H1709" s="1">
        <v>44197</v>
      </c>
      <c r="I1709" s="1">
        <v>44378</v>
      </c>
      <c r="J1709">
        <v>6</v>
      </c>
      <c r="K1709">
        <v>0</v>
      </c>
      <c r="L1709" s="1">
        <v>44317</v>
      </c>
      <c r="M1709">
        <v>270</v>
      </c>
      <c r="N1709" s="8" cm="1">
        <f t="array" ref="N1709">_xlfn.SWITCH(Sales[[#This Row],[Subscription Type]],"Basic",10,"Premium",10,"Business",25,"Enterprise",27)</f>
        <v>10</v>
      </c>
      <c r="O1709">
        <f>IF(Sales[[#This Row],[Number of Users]]-Sales[[#This Row],[Licenses Bought]]&lt;0,0,Sales[[#This Row],[Number of Users]]-Sales[[#This Row],[Licenses Bought]])</f>
        <v>0</v>
      </c>
      <c r="P1709" s="8">
        <f>IF(Sales[[#This Row],[Sales Month]]=MAX(Sales[Sales Month]),Sales[[#This Row],[Non-Paying Users]]*Sales[[#This Row],[Upsell $ per Non-Paying User]],0)</f>
        <v>0</v>
      </c>
      <c r="Q1709" t="str" cm="1">
        <f t="array" ref="Q1709">_xlfn.IFS(Sales[[#This Row],[Current Upsell $]]=0,"",Sales[[#This Row],[Current Upsell $]]&gt;=400,"High",Sales[[#This Row],[Current Upsell $]]&gt;=100,"Medium",Sales[[#This Row],[Current Upsell $]]&lt;100,"Low")</f>
        <v/>
      </c>
      <c r="R1709" t="str">
        <f>IF(Sales[[#This Row],[Current Upsell $]]&gt;0,_xlfn.CONCAT(Sales[[#This Row],[Subscription Type]]," ",Sales[[#This Row],[Upsell Priority]]," ",TEXT(Sales[[#This Row],[Current Upsell $]],"$#,#")),"")</f>
        <v/>
      </c>
    </row>
    <row r="1710" spans="1:18" x14ac:dyDescent="0.25">
      <c r="A1710">
        <v>100184</v>
      </c>
      <c r="B1710" t="s">
        <v>0</v>
      </c>
      <c r="D1710" s="1"/>
      <c r="E1710" s="1"/>
      <c r="F1710">
        <v>27</v>
      </c>
      <c r="G1710">
        <v>40</v>
      </c>
      <c r="H1710" s="1">
        <v>44197</v>
      </c>
      <c r="I1710" s="1">
        <v>44378</v>
      </c>
      <c r="J1710">
        <v>6</v>
      </c>
      <c r="K1710">
        <v>0</v>
      </c>
      <c r="L1710" s="1">
        <v>44348</v>
      </c>
      <c r="M1710">
        <v>270</v>
      </c>
      <c r="N1710" s="8" cm="1">
        <f t="array" ref="N1710">_xlfn.SWITCH(Sales[[#This Row],[Subscription Type]],"Basic",10,"Premium",10,"Business",25,"Enterprise",27)</f>
        <v>10</v>
      </c>
      <c r="O1710">
        <f>IF(Sales[[#This Row],[Number of Users]]-Sales[[#This Row],[Licenses Bought]]&lt;0,0,Sales[[#This Row],[Number of Users]]-Sales[[#This Row],[Licenses Bought]])</f>
        <v>13</v>
      </c>
      <c r="P1710" s="8">
        <f>IF(Sales[[#This Row],[Sales Month]]=MAX(Sales[Sales Month]),Sales[[#This Row],[Non-Paying Users]]*Sales[[#This Row],[Upsell $ per Non-Paying User]],0)</f>
        <v>130</v>
      </c>
      <c r="Q1710" t="str" cm="1">
        <f t="array" ref="Q1710">_xlfn.IFS(Sales[[#This Row],[Current Upsell $]]=0,"",Sales[[#This Row],[Current Upsell $]]&gt;=400,"High",Sales[[#This Row],[Current Upsell $]]&gt;=100,"Medium",Sales[[#This Row],[Current Upsell $]]&lt;100,"Low")</f>
        <v>Medium</v>
      </c>
      <c r="R1710" t="str">
        <f>IF(Sales[[#This Row],[Current Upsell $]]&gt;0,_xlfn.CONCAT(Sales[[#This Row],[Subscription Type]]," ",Sales[[#This Row],[Upsell Priority]]," ",TEXT(Sales[[#This Row],[Current Upsell $]],"$#,#")),"")</f>
        <v>Premium Medium $130</v>
      </c>
    </row>
    <row r="1711" spans="1:18" x14ac:dyDescent="0.25">
      <c r="A1711">
        <v>100185</v>
      </c>
      <c r="B1711" t="s">
        <v>3</v>
      </c>
      <c r="F1711">
        <v>0</v>
      </c>
      <c r="G1711">
        <v>14</v>
      </c>
      <c r="H1711" s="1">
        <v>44197</v>
      </c>
      <c r="I1711" s="1">
        <v>44348</v>
      </c>
      <c r="J1711">
        <v>5</v>
      </c>
      <c r="K1711">
        <v>0</v>
      </c>
      <c r="L1711" s="1">
        <v>44197</v>
      </c>
      <c r="M1711">
        <v>0</v>
      </c>
      <c r="N1711" s="8" cm="1">
        <f t="array" ref="N1711">_xlfn.SWITCH(Sales[[#This Row],[Subscription Type]],"Basic",10,"Premium",10,"Business",25,"Enterprise",27)</f>
        <v>10</v>
      </c>
      <c r="O1711">
        <f>IF(Sales[[#This Row],[Number of Users]]-Sales[[#This Row],[Licenses Bought]]&lt;0,0,Sales[[#This Row],[Number of Users]]-Sales[[#This Row],[Licenses Bought]])</f>
        <v>14</v>
      </c>
      <c r="P1711" s="8">
        <f>IF(Sales[[#This Row],[Sales Month]]=MAX(Sales[Sales Month]),Sales[[#This Row],[Non-Paying Users]]*Sales[[#This Row],[Upsell $ per Non-Paying User]],0)</f>
        <v>0</v>
      </c>
      <c r="Q1711" t="str" cm="1">
        <f t="array" ref="Q1711">_xlfn.IFS(Sales[[#This Row],[Current Upsell $]]=0,"",Sales[[#This Row],[Current Upsell $]]&gt;=400,"High",Sales[[#This Row],[Current Upsell $]]&gt;=100,"Medium",Sales[[#This Row],[Current Upsell $]]&lt;100,"Low")</f>
        <v/>
      </c>
      <c r="R1711" t="str">
        <f>IF(Sales[[#This Row],[Current Upsell $]]&gt;0,_xlfn.CONCAT(Sales[[#This Row],[Subscription Type]]," ",Sales[[#This Row],[Upsell Priority]]," ",TEXT(Sales[[#This Row],[Current Upsell $]],"$#,#")),"")</f>
        <v/>
      </c>
    </row>
    <row r="1712" spans="1:18" x14ac:dyDescent="0.25">
      <c r="A1712">
        <v>100185</v>
      </c>
      <c r="B1712" t="s">
        <v>3</v>
      </c>
      <c r="F1712">
        <v>0</v>
      </c>
      <c r="G1712">
        <v>15</v>
      </c>
      <c r="H1712" s="1">
        <v>44197</v>
      </c>
      <c r="I1712" s="1">
        <v>44348</v>
      </c>
      <c r="J1712">
        <v>5</v>
      </c>
      <c r="K1712">
        <v>0</v>
      </c>
      <c r="L1712" s="1">
        <v>44228</v>
      </c>
      <c r="M1712">
        <v>0</v>
      </c>
      <c r="N1712" s="8" cm="1">
        <f t="array" ref="N1712">_xlfn.SWITCH(Sales[[#This Row],[Subscription Type]],"Basic",10,"Premium",10,"Business",25,"Enterprise",27)</f>
        <v>10</v>
      </c>
      <c r="O1712">
        <f>IF(Sales[[#This Row],[Number of Users]]-Sales[[#This Row],[Licenses Bought]]&lt;0,0,Sales[[#This Row],[Number of Users]]-Sales[[#This Row],[Licenses Bought]])</f>
        <v>15</v>
      </c>
      <c r="P1712" s="8">
        <f>IF(Sales[[#This Row],[Sales Month]]=MAX(Sales[Sales Month]),Sales[[#This Row],[Non-Paying Users]]*Sales[[#This Row],[Upsell $ per Non-Paying User]],0)</f>
        <v>0</v>
      </c>
      <c r="Q1712" t="str" cm="1">
        <f t="array" ref="Q1712">_xlfn.IFS(Sales[[#This Row],[Current Upsell $]]=0,"",Sales[[#This Row],[Current Upsell $]]&gt;=400,"High",Sales[[#This Row],[Current Upsell $]]&gt;=100,"Medium",Sales[[#This Row],[Current Upsell $]]&lt;100,"Low")</f>
        <v/>
      </c>
      <c r="R1712" t="str">
        <f>IF(Sales[[#This Row],[Current Upsell $]]&gt;0,_xlfn.CONCAT(Sales[[#This Row],[Subscription Type]]," ",Sales[[#This Row],[Upsell Priority]]," ",TEXT(Sales[[#This Row],[Current Upsell $]],"$#,#")),"")</f>
        <v/>
      </c>
    </row>
    <row r="1713" spans="1:18" x14ac:dyDescent="0.25">
      <c r="A1713">
        <v>100185</v>
      </c>
      <c r="B1713" t="s">
        <v>3</v>
      </c>
      <c r="F1713">
        <v>0</v>
      </c>
      <c r="G1713">
        <v>13</v>
      </c>
      <c r="H1713" s="1">
        <v>44197</v>
      </c>
      <c r="I1713" s="1">
        <v>44348</v>
      </c>
      <c r="J1713">
        <v>5</v>
      </c>
      <c r="K1713">
        <v>0</v>
      </c>
      <c r="L1713" s="1">
        <v>44256</v>
      </c>
      <c r="M1713">
        <v>0</v>
      </c>
      <c r="N1713" s="8" cm="1">
        <f t="array" ref="N1713">_xlfn.SWITCH(Sales[[#This Row],[Subscription Type]],"Basic",10,"Premium",10,"Business",25,"Enterprise",27)</f>
        <v>10</v>
      </c>
      <c r="O1713">
        <f>IF(Sales[[#This Row],[Number of Users]]-Sales[[#This Row],[Licenses Bought]]&lt;0,0,Sales[[#This Row],[Number of Users]]-Sales[[#This Row],[Licenses Bought]])</f>
        <v>13</v>
      </c>
      <c r="P1713" s="8">
        <f>IF(Sales[[#This Row],[Sales Month]]=MAX(Sales[Sales Month]),Sales[[#This Row],[Non-Paying Users]]*Sales[[#This Row],[Upsell $ per Non-Paying User]],0)</f>
        <v>0</v>
      </c>
      <c r="Q1713" t="str" cm="1">
        <f t="array" ref="Q1713">_xlfn.IFS(Sales[[#This Row],[Current Upsell $]]=0,"",Sales[[#This Row],[Current Upsell $]]&gt;=400,"High",Sales[[#This Row],[Current Upsell $]]&gt;=100,"Medium",Sales[[#This Row],[Current Upsell $]]&lt;100,"Low")</f>
        <v/>
      </c>
      <c r="R1713" t="str">
        <f>IF(Sales[[#This Row],[Current Upsell $]]&gt;0,_xlfn.CONCAT(Sales[[#This Row],[Subscription Type]]," ",Sales[[#This Row],[Upsell Priority]]," ",TEXT(Sales[[#This Row],[Current Upsell $]],"$#,#")),"")</f>
        <v/>
      </c>
    </row>
    <row r="1714" spans="1:18" x14ac:dyDescent="0.25">
      <c r="A1714">
        <v>100185</v>
      </c>
      <c r="B1714" t="s">
        <v>3</v>
      </c>
      <c r="F1714">
        <v>0</v>
      </c>
      <c r="G1714">
        <v>11</v>
      </c>
      <c r="H1714" s="1">
        <v>44197</v>
      </c>
      <c r="I1714" s="1">
        <v>44348</v>
      </c>
      <c r="J1714">
        <v>5</v>
      </c>
      <c r="K1714">
        <v>0</v>
      </c>
      <c r="L1714" s="1">
        <v>44287</v>
      </c>
      <c r="M1714">
        <v>0</v>
      </c>
      <c r="N1714" s="8" cm="1">
        <f t="array" ref="N1714">_xlfn.SWITCH(Sales[[#This Row],[Subscription Type]],"Basic",10,"Premium",10,"Business",25,"Enterprise",27)</f>
        <v>10</v>
      </c>
      <c r="O1714">
        <f>IF(Sales[[#This Row],[Number of Users]]-Sales[[#This Row],[Licenses Bought]]&lt;0,0,Sales[[#This Row],[Number of Users]]-Sales[[#This Row],[Licenses Bought]])</f>
        <v>11</v>
      </c>
      <c r="P1714" s="8">
        <f>IF(Sales[[#This Row],[Sales Month]]=MAX(Sales[Sales Month]),Sales[[#This Row],[Non-Paying Users]]*Sales[[#This Row],[Upsell $ per Non-Paying User]],0)</f>
        <v>0</v>
      </c>
      <c r="Q1714" t="str" cm="1">
        <f t="array" ref="Q1714">_xlfn.IFS(Sales[[#This Row],[Current Upsell $]]=0,"",Sales[[#This Row],[Current Upsell $]]&gt;=400,"High",Sales[[#This Row],[Current Upsell $]]&gt;=100,"Medium",Sales[[#This Row],[Current Upsell $]]&lt;100,"Low")</f>
        <v/>
      </c>
      <c r="R1714" t="str">
        <f>IF(Sales[[#This Row],[Current Upsell $]]&gt;0,_xlfn.CONCAT(Sales[[#This Row],[Subscription Type]]," ",Sales[[#This Row],[Upsell Priority]]," ",TEXT(Sales[[#This Row],[Current Upsell $]],"$#,#")),"")</f>
        <v/>
      </c>
    </row>
    <row r="1715" spans="1:18" x14ac:dyDescent="0.25">
      <c r="A1715">
        <v>100185</v>
      </c>
      <c r="B1715" t="s">
        <v>3</v>
      </c>
      <c r="F1715">
        <v>0</v>
      </c>
      <c r="G1715">
        <v>13</v>
      </c>
      <c r="H1715" s="1">
        <v>44197</v>
      </c>
      <c r="I1715" s="1">
        <v>44348</v>
      </c>
      <c r="J1715">
        <v>5</v>
      </c>
      <c r="K1715">
        <v>0</v>
      </c>
      <c r="L1715" s="1">
        <v>44317</v>
      </c>
      <c r="M1715">
        <v>0</v>
      </c>
      <c r="N1715" s="8" cm="1">
        <f t="array" ref="N1715">_xlfn.SWITCH(Sales[[#This Row],[Subscription Type]],"Basic",10,"Premium",10,"Business",25,"Enterprise",27)</f>
        <v>10</v>
      </c>
      <c r="O1715">
        <f>IF(Sales[[#This Row],[Number of Users]]-Sales[[#This Row],[Licenses Bought]]&lt;0,0,Sales[[#This Row],[Number of Users]]-Sales[[#This Row],[Licenses Bought]])</f>
        <v>13</v>
      </c>
      <c r="P1715" s="8">
        <f>IF(Sales[[#This Row],[Sales Month]]=MAX(Sales[Sales Month]),Sales[[#This Row],[Non-Paying Users]]*Sales[[#This Row],[Upsell $ per Non-Paying User]],0)</f>
        <v>0</v>
      </c>
      <c r="Q1715" t="str" cm="1">
        <f t="array" ref="Q1715">_xlfn.IFS(Sales[[#This Row],[Current Upsell $]]=0,"",Sales[[#This Row],[Current Upsell $]]&gt;=400,"High",Sales[[#This Row],[Current Upsell $]]&gt;=100,"Medium",Sales[[#This Row],[Current Upsell $]]&lt;100,"Low")</f>
        <v/>
      </c>
      <c r="R1715" t="str">
        <f>IF(Sales[[#This Row],[Current Upsell $]]&gt;0,_xlfn.CONCAT(Sales[[#This Row],[Subscription Type]]," ",Sales[[#This Row],[Upsell Priority]]," ",TEXT(Sales[[#This Row],[Current Upsell $]],"$#,#")),"")</f>
        <v/>
      </c>
    </row>
    <row r="1716" spans="1:18" x14ac:dyDescent="0.25">
      <c r="A1716">
        <v>100185</v>
      </c>
      <c r="B1716" t="s">
        <v>3</v>
      </c>
      <c r="F1716">
        <v>0</v>
      </c>
      <c r="G1716">
        <v>16</v>
      </c>
      <c r="H1716" s="1">
        <v>44197</v>
      </c>
      <c r="I1716" s="1">
        <v>44348</v>
      </c>
      <c r="J1716">
        <v>5</v>
      </c>
      <c r="K1716">
        <v>0</v>
      </c>
      <c r="L1716" s="1">
        <v>44348</v>
      </c>
      <c r="M1716">
        <v>0</v>
      </c>
      <c r="N1716" s="8" cm="1">
        <f t="array" ref="N1716">_xlfn.SWITCH(Sales[[#This Row],[Subscription Type]],"Basic",10,"Premium",10,"Business",25,"Enterprise",27)</f>
        <v>10</v>
      </c>
      <c r="O1716">
        <f>IF(Sales[[#This Row],[Number of Users]]-Sales[[#This Row],[Licenses Bought]]&lt;0,0,Sales[[#This Row],[Number of Users]]-Sales[[#This Row],[Licenses Bought]])</f>
        <v>16</v>
      </c>
      <c r="P1716" s="8">
        <f>IF(Sales[[#This Row],[Sales Month]]=MAX(Sales[Sales Month]),Sales[[#This Row],[Non-Paying Users]]*Sales[[#This Row],[Upsell $ per Non-Paying User]],0)</f>
        <v>160</v>
      </c>
      <c r="Q1716" t="str" cm="1">
        <f t="array" ref="Q1716">_xlfn.IFS(Sales[[#This Row],[Current Upsell $]]=0,"",Sales[[#This Row],[Current Upsell $]]&gt;=400,"High",Sales[[#This Row],[Current Upsell $]]&gt;=100,"Medium",Sales[[#This Row],[Current Upsell $]]&lt;100,"Low")</f>
        <v>Medium</v>
      </c>
      <c r="R1716" t="str">
        <f>IF(Sales[[#This Row],[Current Upsell $]]&gt;0,_xlfn.CONCAT(Sales[[#This Row],[Subscription Type]]," ",Sales[[#This Row],[Upsell Priority]]," ",TEXT(Sales[[#This Row],[Current Upsell $]],"$#,#")),"")</f>
        <v>Basic Medium $160</v>
      </c>
    </row>
    <row r="1717" spans="1:18" x14ac:dyDescent="0.25">
      <c r="A1717">
        <v>100186</v>
      </c>
      <c r="B1717" t="s">
        <v>3</v>
      </c>
      <c r="D1717" s="1"/>
      <c r="E1717" s="1"/>
      <c r="F1717">
        <v>0</v>
      </c>
      <c r="G1717">
        <v>22</v>
      </c>
      <c r="H1717" s="1">
        <v>44197</v>
      </c>
      <c r="I1717" s="1">
        <v>44378</v>
      </c>
      <c r="J1717">
        <v>6</v>
      </c>
      <c r="K1717">
        <v>0</v>
      </c>
      <c r="L1717" s="1">
        <v>44197</v>
      </c>
      <c r="M1717">
        <v>0</v>
      </c>
      <c r="N1717" s="8" cm="1">
        <f t="array" ref="N1717">_xlfn.SWITCH(Sales[[#This Row],[Subscription Type]],"Basic",10,"Premium",10,"Business",25,"Enterprise",27)</f>
        <v>10</v>
      </c>
      <c r="O1717">
        <f>IF(Sales[[#This Row],[Number of Users]]-Sales[[#This Row],[Licenses Bought]]&lt;0,0,Sales[[#This Row],[Number of Users]]-Sales[[#This Row],[Licenses Bought]])</f>
        <v>22</v>
      </c>
      <c r="P1717" s="8">
        <f>IF(Sales[[#This Row],[Sales Month]]=MAX(Sales[Sales Month]),Sales[[#This Row],[Non-Paying Users]]*Sales[[#This Row],[Upsell $ per Non-Paying User]],0)</f>
        <v>0</v>
      </c>
      <c r="Q1717" t="str" cm="1">
        <f t="array" ref="Q1717">_xlfn.IFS(Sales[[#This Row],[Current Upsell $]]=0,"",Sales[[#This Row],[Current Upsell $]]&gt;=400,"High",Sales[[#This Row],[Current Upsell $]]&gt;=100,"Medium",Sales[[#This Row],[Current Upsell $]]&lt;100,"Low")</f>
        <v/>
      </c>
      <c r="R1717" t="str">
        <f>IF(Sales[[#This Row],[Current Upsell $]]&gt;0,_xlfn.CONCAT(Sales[[#This Row],[Subscription Type]]," ",Sales[[#This Row],[Upsell Priority]]," ",TEXT(Sales[[#This Row],[Current Upsell $]],"$#,#")),"")</f>
        <v/>
      </c>
    </row>
    <row r="1718" spans="1:18" x14ac:dyDescent="0.25">
      <c r="A1718">
        <v>100186</v>
      </c>
      <c r="B1718" t="s">
        <v>2</v>
      </c>
      <c r="C1718">
        <v>12</v>
      </c>
      <c r="D1718" s="1">
        <v>44682</v>
      </c>
      <c r="E1718" s="1">
        <v>45046</v>
      </c>
      <c r="F1718">
        <v>25</v>
      </c>
      <c r="G1718">
        <v>23</v>
      </c>
      <c r="H1718" s="1">
        <v>44197</v>
      </c>
      <c r="I1718" s="1">
        <v>44378</v>
      </c>
      <c r="J1718">
        <v>6</v>
      </c>
      <c r="K1718">
        <v>0</v>
      </c>
      <c r="L1718" s="1">
        <v>44228</v>
      </c>
      <c r="M1718">
        <v>450</v>
      </c>
      <c r="N1718" s="8" cm="1">
        <f t="array" ref="N1718">_xlfn.SWITCH(Sales[[#This Row],[Subscription Type]],"Basic",10,"Premium",10,"Business",25,"Enterprise",27)</f>
        <v>27</v>
      </c>
      <c r="O1718">
        <f>IF(Sales[[#This Row],[Number of Users]]-Sales[[#This Row],[Licenses Bought]]&lt;0,0,Sales[[#This Row],[Number of Users]]-Sales[[#This Row],[Licenses Bought]])</f>
        <v>0</v>
      </c>
      <c r="P1718" s="8">
        <f>IF(Sales[[#This Row],[Sales Month]]=MAX(Sales[Sales Month]),Sales[[#This Row],[Non-Paying Users]]*Sales[[#This Row],[Upsell $ per Non-Paying User]],0)</f>
        <v>0</v>
      </c>
      <c r="Q1718" t="str" cm="1">
        <f t="array" ref="Q1718">_xlfn.IFS(Sales[[#This Row],[Current Upsell $]]=0,"",Sales[[#This Row],[Current Upsell $]]&gt;=400,"High",Sales[[#This Row],[Current Upsell $]]&gt;=100,"Medium",Sales[[#This Row],[Current Upsell $]]&lt;100,"Low")</f>
        <v/>
      </c>
      <c r="R1718" t="str">
        <f>IF(Sales[[#This Row],[Current Upsell $]]&gt;0,_xlfn.CONCAT(Sales[[#This Row],[Subscription Type]]," ",Sales[[#This Row],[Upsell Priority]]," ",TEXT(Sales[[#This Row],[Current Upsell $]],"$#,#")),"")</f>
        <v/>
      </c>
    </row>
    <row r="1719" spans="1:18" x14ac:dyDescent="0.25">
      <c r="A1719">
        <v>100186</v>
      </c>
      <c r="B1719" t="s">
        <v>2</v>
      </c>
      <c r="C1719">
        <v>12</v>
      </c>
      <c r="D1719" s="1">
        <v>44682</v>
      </c>
      <c r="E1719" s="1">
        <v>45046</v>
      </c>
      <c r="F1719">
        <v>25</v>
      </c>
      <c r="G1719">
        <v>26</v>
      </c>
      <c r="H1719" s="1">
        <v>44197</v>
      </c>
      <c r="I1719" s="1">
        <v>44378</v>
      </c>
      <c r="J1719">
        <v>6</v>
      </c>
      <c r="K1719">
        <v>0</v>
      </c>
      <c r="L1719" s="1">
        <v>44256</v>
      </c>
      <c r="M1719">
        <v>420</v>
      </c>
      <c r="N1719" s="8" cm="1">
        <f t="array" ref="N1719">_xlfn.SWITCH(Sales[[#This Row],[Subscription Type]],"Basic",10,"Premium",10,"Business",25,"Enterprise",27)</f>
        <v>27</v>
      </c>
      <c r="O1719">
        <f>IF(Sales[[#This Row],[Number of Users]]-Sales[[#This Row],[Licenses Bought]]&lt;0,0,Sales[[#This Row],[Number of Users]]-Sales[[#This Row],[Licenses Bought]])</f>
        <v>1</v>
      </c>
      <c r="P1719" s="8">
        <f>IF(Sales[[#This Row],[Sales Month]]=MAX(Sales[Sales Month]),Sales[[#This Row],[Non-Paying Users]]*Sales[[#This Row],[Upsell $ per Non-Paying User]],0)</f>
        <v>0</v>
      </c>
      <c r="Q1719" t="str" cm="1">
        <f t="array" ref="Q1719">_xlfn.IFS(Sales[[#This Row],[Current Upsell $]]=0,"",Sales[[#This Row],[Current Upsell $]]&gt;=400,"High",Sales[[#This Row],[Current Upsell $]]&gt;=100,"Medium",Sales[[#This Row],[Current Upsell $]]&lt;100,"Low")</f>
        <v/>
      </c>
      <c r="R1719" t="str">
        <f>IF(Sales[[#This Row],[Current Upsell $]]&gt;0,_xlfn.CONCAT(Sales[[#This Row],[Subscription Type]]," ",Sales[[#This Row],[Upsell Priority]]," ",TEXT(Sales[[#This Row],[Current Upsell $]],"$#,#")),"")</f>
        <v/>
      </c>
    </row>
    <row r="1720" spans="1:18" x14ac:dyDescent="0.25">
      <c r="A1720">
        <v>100186</v>
      </c>
      <c r="B1720" t="s">
        <v>2</v>
      </c>
      <c r="C1720">
        <v>12</v>
      </c>
      <c r="D1720" s="1">
        <v>44682</v>
      </c>
      <c r="E1720" s="1">
        <v>45046</v>
      </c>
      <c r="F1720">
        <v>25</v>
      </c>
      <c r="G1720">
        <v>23</v>
      </c>
      <c r="H1720" s="1">
        <v>44197</v>
      </c>
      <c r="I1720" s="1">
        <v>44378</v>
      </c>
      <c r="J1720">
        <v>6</v>
      </c>
      <c r="K1720">
        <v>0</v>
      </c>
      <c r="L1720" s="1">
        <v>44287</v>
      </c>
      <c r="M1720">
        <v>600</v>
      </c>
      <c r="N1720" s="8" cm="1">
        <f t="array" ref="N1720">_xlfn.SWITCH(Sales[[#This Row],[Subscription Type]],"Basic",10,"Premium",10,"Business",25,"Enterprise",27)</f>
        <v>27</v>
      </c>
      <c r="O1720">
        <f>IF(Sales[[#This Row],[Number of Users]]-Sales[[#This Row],[Licenses Bought]]&lt;0,0,Sales[[#This Row],[Number of Users]]-Sales[[#This Row],[Licenses Bought]])</f>
        <v>0</v>
      </c>
      <c r="P1720" s="8">
        <f>IF(Sales[[#This Row],[Sales Month]]=MAX(Sales[Sales Month]),Sales[[#This Row],[Non-Paying Users]]*Sales[[#This Row],[Upsell $ per Non-Paying User]],0)</f>
        <v>0</v>
      </c>
      <c r="Q1720" t="str" cm="1">
        <f t="array" ref="Q1720">_xlfn.IFS(Sales[[#This Row],[Current Upsell $]]=0,"",Sales[[#This Row],[Current Upsell $]]&gt;=400,"High",Sales[[#This Row],[Current Upsell $]]&gt;=100,"Medium",Sales[[#This Row],[Current Upsell $]]&lt;100,"Low")</f>
        <v/>
      </c>
      <c r="R1720" t="str">
        <f>IF(Sales[[#This Row],[Current Upsell $]]&gt;0,_xlfn.CONCAT(Sales[[#This Row],[Subscription Type]]," ",Sales[[#This Row],[Upsell Priority]]," ",TEXT(Sales[[#This Row],[Current Upsell $]],"$#,#")),"")</f>
        <v/>
      </c>
    </row>
    <row r="1721" spans="1:18" x14ac:dyDescent="0.25">
      <c r="A1721">
        <v>100186</v>
      </c>
      <c r="B1721" t="s">
        <v>2</v>
      </c>
      <c r="C1721">
        <v>12</v>
      </c>
      <c r="D1721" s="1">
        <v>44682</v>
      </c>
      <c r="E1721" s="1">
        <v>45046</v>
      </c>
      <c r="F1721">
        <v>25</v>
      </c>
      <c r="G1721">
        <v>30</v>
      </c>
      <c r="H1721" s="1">
        <v>44197</v>
      </c>
      <c r="I1721" s="1">
        <v>44378</v>
      </c>
      <c r="J1721">
        <v>6</v>
      </c>
      <c r="K1721">
        <v>0</v>
      </c>
      <c r="L1721" s="1">
        <v>44317</v>
      </c>
      <c r="M1721">
        <v>750</v>
      </c>
      <c r="N1721" s="8" cm="1">
        <f t="array" ref="N1721">_xlfn.SWITCH(Sales[[#This Row],[Subscription Type]],"Basic",10,"Premium",10,"Business",25,"Enterprise",27)</f>
        <v>27</v>
      </c>
      <c r="O1721">
        <f>IF(Sales[[#This Row],[Number of Users]]-Sales[[#This Row],[Licenses Bought]]&lt;0,0,Sales[[#This Row],[Number of Users]]-Sales[[#This Row],[Licenses Bought]])</f>
        <v>5</v>
      </c>
      <c r="P1721" s="8">
        <f>IF(Sales[[#This Row],[Sales Month]]=MAX(Sales[Sales Month]),Sales[[#This Row],[Non-Paying Users]]*Sales[[#This Row],[Upsell $ per Non-Paying User]],0)</f>
        <v>0</v>
      </c>
      <c r="Q1721" t="str" cm="1">
        <f t="array" ref="Q1721">_xlfn.IFS(Sales[[#This Row],[Current Upsell $]]=0,"",Sales[[#This Row],[Current Upsell $]]&gt;=400,"High",Sales[[#This Row],[Current Upsell $]]&gt;=100,"Medium",Sales[[#This Row],[Current Upsell $]]&lt;100,"Low")</f>
        <v/>
      </c>
      <c r="R1721" t="str">
        <f>IF(Sales[[#This Row],[Current Upsell $]]&gt;0,_xlfn.CONCAT(Sales[[#This Row],[Subscription Type]]," ",Sales[[#This Row],[Upsell Priority]]," ",TEXT(Sales[[#This Row],[Current Upsell $]],"$#,#")),"")</f>
        <v/>
      </c>
    </row>
    <row r="1722" spans="1:18" x14ac:dyDescent="0.25">
      <c r="A1722">
        <v>100186</v>
      </c>
      <c r="B1722" t="s">
        <v>2</v>
      </c>
      <c r="C1722">
        <v>12</v>
      </c>
      <c r="D1722" s="1">
        <v>44682</v>
      </c>
      <c r="E1722" s="1">
        <v>45046</v>
      </c>
      <c r="F1722">
        <v>25</v>
      </c>
      <c r="G1722">
        <v>27</v>
      </c>
      <c r="H1722" s="1">
        <v>44197</v>
      </c>
      <c r="I1722" s="1">
        <v>44378</v>
      </c>
      <c r="J1722">
        <v>6</v>
      </c>
      <c r="K1722">
        <v>0</v>
      </c>
      <c r="L1722" s="1">
        <v>44348</v>
      </c>
      <c r="M1722">
        <v>750</v>
      </c>
      <c r="N1722" s="8" cm="1">
        <f t="array" ref="N1722">_xlfn.SWITCH(Sales[[#This Row],[Subscription Type]],"Basic",10,"Premium",10,"Business",25,"Enterprise",27)</f>
        <v>27</v>
      </c>
      <c r="O1722">
        <f>IF(Sales[[#This Row],[Number of Users]]-Sales[[#This Row],[Licenses Bought]]&lt;0,0,Sales[[#This Row],[Number of Users]]-Sales[[#This Row],[Licenses Bought]])</f>
        <v>2</v>
      </c>
      <c r="P1722" s="8">
        <f>IF(Sales[[#This Row],[Sales Month]]=MAX(Sales[Sales Month]),Sales[[#This Row],[Non-Paying Users]]*Sales[[#This Row],[Upsell $ per Non-Paying User]],0)</f>
        <v>54</v>
      </c>
      <c r="Q1722" t="str" cm="1">
        <f t="array" ref="Q1722">_xlfn.IFS(Sales[[#This Row],[Current Upsell $]]=0,"",Sales[[#This Row],[Current Upsell $]]&gt;=400,"High",Sales[[#This Row],[Current Upsell $]]&gt;=100,"Medium",Sales[[#This Row],[Current Upsell $]]&lt;100,"Low")</f>
        <v>Low</v>
      </c>
      <c r="R1722" t="str">
        <f>IF(Sales[[#This Row],[Current Upsell $]]&gt;0,_xlfn.CONCAT(Sales[[#This Row],[Subscription Type]]," ",Sales[[#This Row],[Upsell Priority]]," ",TEXT(Sales[[#This Row],[Current Upsell $]],"$#,#")),"")</f>
        <v>Enterprise Low $54</v>
      </c>
    </row>
    <row r="1723" spans="1:18" x14ac:dyDescent="0.25">
      <c r="A1723">
        <v>100187</v>
      </c>
      <c r="B1723" t="s">
        <v>3</v>
      </c>
      <c r="F1723">
        <v>0</v>
      </c>
      <c r="G1723">
        <v>3</v>
      </c>
      <c r="H1723" s="1">
        <v>44197</v>
      </c>
      <c r="I1723" s="1">
        <v>44378</v>
      </c>
      <c r="J1723">
        <v>6</v>
      </c>
      <c r="K1723">
        <v>0</v>
      </c>
      <c r="L1723" s="1">
        <v>44197</v>
      </c>
      <c r="M1723">
        <v>0</v>
      </c>
      <c r="N1723" s="8" cm="1">
        <f t="array" ref="N1723">_xlfn.SWITCH(Sales[[#This Row],[Subscription Type]],"Basic",10,"Premium",10,"Business",25,"Enterprise",27)</f>
        <v>10</v>
      </c>
      <c r="O1723">
        <f>IF(Sales[[#This Row],[Number of Users]]-Sales[[#This Row],[Licenses Bought]]&lt;0,0,Sales[[#This Row],[Number of Users]]-Sales[[#This Row],[Licenses Bought]])</f>
        <v>3</v>
      </c>
      <c r="P1723" s="8">
        <f>IF(Sales[[#This Row],[Sales Month]]=MAX(Sales[Sales Month]),Sales[[#This Row],[Non-Paying Users]]*Sales[[#This Row],[Upsell $ per Non-Paying User]],0)</f>
        <v>0</v>
      </c>
      <c r="Q1723" t="str" cm="1">
        <f t="array" ref="Q1723">_xlfn.IFS(Sales[[#This Row],[Current Upsell $]]=0,"",Sales[[#This Row],[Current Upsell $]]&gt;=400,"High",Sales[[#This Row],[Current Upsell $]]&gt;=100,"Medium",Sales[[#This Row],[Current Upsell $]]&lt;100,"Low")</f>
        <v/>
      </c>
      <c r="R1723" t="str">
        <f>IF(Sales[[#This Row],[Current Upsell $]]&gt;0,_xlfn.CONCAT(Sales[[#This Row],[Subscription Type]]," ",Sales[[#This Row],[Upsell Priority]]," ",TEXT(Sales[[#This Row],[Current Upsell $]],"$#,#")),"")</f>
        <v/>
      </c>
    </row>
    <row r="1724" spans="1:18" x14ac:dyDescent="0.25">
      <c r="A1724">
        <v>100187</v>
      </c>
      <c r="B1724" t="s">
        <v>3</v>
      </c>
      <c r="F1724">
        <v>0</v>
      </c>
      <c r="G1724">
        <v>3</v>
      </c>
      <c r="H1724" s="1">
        <v>44197</v>
      </c>
      <c r="I1724" s="1">
        <v>44378</v>
      </c>
      <c r="J1724">
        <v>6</v>
      </c>
      <c r="K1724">
        <v>0</v>
      </c>
      <c r="L1724" s="1">
        <v>44228</v>
      </c>
      <c r="M1724">
        <v>0</v>
      </c>
      <c r="N1724" s="8" cm="1">
        <f t="array" ref="N1724">_xlfn.SWITCH(Sales[[#This Row],[Subscription Type]],"Basic",10,"Premium",10,"Business",25,"Enterprise",27)</f>
        <v>10</v>
      </c>
      <c r="O1724">
        <f>IF(Sales[[#This Row],[Number of Users]]-Sales[[#This Row],[Licenses Bought]]&lt;0,0,Sales[[#This Row],[Number of Users]]-Sales[[#This Row],[Licenses Bought]])</f>
        <v>3</v>
      </c>
      <c r="P1724" s="8">
        <f>IF(Sales[[#This Row],[Sales Month]]=MAX(Sales[Sales Month]),Sales[[#This Row],[Non-Paying Users]]*Sales[[#This Row],[Upsell $ per Non-Paying User]],0)</f>
        <v>0</v>
      </c>
      <c r="Q1724" t="str" cm="1">
        <f t="array" ref="Q1724">_xlfn.IFS(Sales[[#This Row],[Current Upsell $]]=0,"",Sales[[#This Row],[Current Upsell $]]&gt;=400,"High",Sales[[#This Row],[Current Upsell $]]&gt;=100,"Medium",Sales[[#This Row],[Current Upsell $]]&lt;100,"Low")</f>
        <v/>
      </c>
      <c r="R1724" t="str">
        <f>IF(Sales[[#This Row],[Current Upsell $]]&gt;0,_xlfn.CONCAT(Sales[[#This Row],[Subscription Type]]," ",Sales[[#This Row],[Upsell Priority]]," ",TEXT(Sales[[#This Row],[Current Upsell $]],"$#,#")),"")</f>
        <v/>
      </c>
    </row>
    <row r="1725" spans="1:18" x14ac:dyDescent="0.25">
      <c r="A1725">
        <v>100187</v>
      </c>
      <c r="B1725" t="s">
        <v>3</v>
      </c>
      <c r="F1725">
        <v>0</v>
      </c>
      <c r="G1725">
        <v>4</v>
      </c>
      <c r="H1725" s="1">
        <v>44197</v>
      </c>
      <c r="I1725" s="1">
        <v>44378</v>
      </c>
      <c r="J1725">
        <v>6</v>
      </c>
      <c r="K1725">
        <v>0</v>
      </c>
      <c r="L1725" s="1">
        <v>44256</v>
      </c>
      <c r="M1725">
        <v>0</v>
      </c>
      <c r="N1725" s="8" cm="1">
        <f t="array" ref="N1725">_xlfn.SWITCH(Sales[[#This Row],[Subscription Type]],"Basic",10,"Premium",10,"Business",25,"Enterprise",27)</f>
        <v>10</v>
      </c>
      <c r="O1725">
        <f>IF(Sales[[#This Row],[Number of Users]]-Sales[[#This Row],[Licenses Bought]]&lt;0,0,Sales[[#This Row],[Number of Users]]-Sales[[#This Row],[Licenses Bought]])</f>
        <v>4</v>
      </c>
      <c r="P1725" s="8">
        <f>IF(Sales[[#This Row],[Sales Month]]=MAX(Sales[Sales Month]),Sales[[#This Row],[Non-Paying Users]]*Sales[[#This Row],[Upsell $ per Non-Paying User]],0)</f>
        <v>0</v>
      </c>
      <c r="Q1725" t="str" cm="1">
        <f t="array" ref="Q1725">_xlfn.IFS(Sales[[#This Row],[Current Upsell $]]=0,"",Sales[[#This Row],[Current Upsell $]]&gt;=400,"High",Sales[[#This Row],[Current Upsell $]]&gt;=100,"Medium",Sales[[#This Row],[Current Upsell $]]&lt;100,"Low")</f>
        <v/>
      </c>
      <c r="R1725" t="str">
        <f>IF(Sales[[#This Row],[Current Upsell $]]&gt;0,_xlfn.CONCAT(Sales[[#This Row],[Subscription Type]]," ",Sales[[#This Row],[Upsell Priority]]," ",TEXT(Sales[[#This Row],[Current Upsell $]],"$#,#")),"")</f>
        <v/>
      </c>
    </row>
    <row r="1726" spans="1:18" x14ac:dyDescent="0.25">
      <c r="A1726">
        <v>100187</v>
      </c>
      <c r="B1726" t="s">
        <v>3</v>
      </c>
      <c r="F1726">
        <v>0</v>
      </c>
      <c r="G1726">
        <v>4</v>
      </c>
      <c r="H1726" s="1">
        <v>44197</v>
      </c>
      <c r="I1726" s="1">
        <v>44378</v>
      </c>
      <c r="J1726">
        <v>6</v>
      </c>
      <c r="K1726">
        <v>0</v>
      </c>
      <c r="L1726" s="1">
        <v>44287</v>
      </c>
      <c r="M1726">
        <v>0</v>
      </c>
      <c r="N1726" s="8" cm="1">
        <f t="array" ref="N1726">_xlfn.SWITCH(Sales[[#This Row],[Subscription Type]],"Basic",10,"Premium",10,"Business",25,"Enterprise",27)</f>
        <v>10</v>
      </c>
      <c r="O1726">
        <f>IF(Sales[[#This Row],[Number of Users]]-Sales[[#This Row],[Licenses Bought]]&lt;0,0,Sales[[#This Row],[Number of Users]]-Sales[[#This Row],[Licenses Bought]])</f>
        <v>4</v>
      </c>
      <c r="P1726" s="8">
        <f>IF(Sales[[#This Row],[Sales Month]]=MAX(Sales[Sales Month]),Sales[[#This Row],[Non-Paying Users]]*Sales[[#This Row],[Upsell $ per Non-Paying User]],0)</f>
        <v>0</v>
      </c>
      <c r="Q1726" t="str" cm="1">
        <f t="array" ref="Q1726">_xlfn.IFS(Sales[[#This Row],[Current Upsell $]]=0,"",Sales[[#This Row],[Current Upsell $]]&gt;=400,"High",Sales[[#This Row],[Current Upsell $]]&gt;=100,"Medium",Sales[[#This Row],[Current Upsell $]]&lt;100,"Low")</f>
        <v/>
      </c>
      <c r="R1726" t="str">
        <f>IF(Sales[[#This Row],[Current Upsell $]]&gt;0,_xlfn.CONCAT(Sales[[#This Row],[Subscription Type]]," ",Sales[[#This Row],[Upsell Priority]]," ",TEXT(Sales[[#This Row],[Current Upsell $]],"$#,#")),"")</f>
        <v/>
      </c>
    </row>
    <row r="1727" spans="1:18" x14ac:dyDescent="0.25">
      <c r="A1727">
        <v>100187</v>
      </c>
      <c r="B1727" t="s">
        <v>3</v>
      </c>
      <c r="F1727">
        <v>0</v>
      </c>
      <c r="G1727">
        <v>4</v>
      </c>
      <c r="H1727" s="1">
        <v>44197</v>
      </c>
      <c r="I1727" s="1">
        <v>44378</v>
      </c>
      <c r="J1727">
        <v>6</v>
      </c>
      <c r="K1727">
        <v>0</v>
      </c>
      <c r="L1727" s="1">
        <v>44317</v>
      </c>
      <c r="M1727">
        <v>0</v>
      </c>
      <c r="N1727" s="8" cm="1">
        <f t="array" ref="N1727">_xlfn.SWITCH(Sales[[#This Row],[Subscription Type]],"Basic",10,"Premium",10,"Business",25,"Enterprise",27)</f>
        <v>10</v>
      </c>
      <c r="O1727">
        <f>IF(Sales[[#This Row],[Number of Users]]-Sales[[#This Row],[Licenses Bought]]&lt;0,0,Sales[[#This Row],[Number of Users]]-Sales[[#This Row],[Licenses Bought]])</f>
        <v>4</v>
      </c>
      <c r="P1727" s="8">
        <f>IF(Sales[[#This Row],[Sales Month]]=MAX(Sales[Sales Month]),Sales[[#This Row],[Non-Paying Users]]*Sales[[#This Row],[Upsell $ per Non-Paying User]],0)</f>
        <v>0</v>
      </c>
      <c r="Q1727" t="str" cm="1">
        <f t="array" ref="Q1727">_xlfn.IFS(Sales[[#This Row],[Current Upsell $]]=0,"",Sales[[#This Row],[Current Upsell $]]&gt;=400,"High",Sales[[#This Row],[Current Upsell $]]&gt;=100,"Medium",Sales[[#This Row],[Current Upsell $]]&lt;100,"Low")</f>
        <v/>
      </c>
      <c r="R1727" t="str">
        <f>IF(Sales[[#This Row],[Current Upsell $]]&gt;0,_xlfn.CONCAT(Sales[[#This Row],[Subscription Type]]," ",Sales[[#This Row],[Upsell Priority]]," ",TEXT(Sales[[#This Row],[Current Upsell $]],"$#,#")),"")</f>
        <v/>
      </c>
    </row>
    <row r="1728" spans="1:18" x14ac:dyDescent="0.25">
      <c r="A1728">
        <v>100187</v>
      </c>
      <c r="B1728" t="s">
        <v>3</v>
      </c>
      <c r="F1728">
        <v>0</v>
      </c>
      <c r="G1728">
        <v>5</v>
      </c>
      <c r="H1728" s="1">
        <v>44197</v>
      </c>
      <c r="I1728" s="1">
        <v>44378</v>
      </c>
      <c r="J1728">
        <v>6</v>
      </c>
      <c r="K1728">
        <v>0</v>
      </c>
      <c r="L1728" s="1">
        <v>44348</v>
      </c>
      <c r="M1728">
        <v>0</v>
      </c>
      <c r="N1728" s="8" cm="1">
        <f t="array" ref="N1728">_xlfn.SWITCH(Sales[[#This Row],[Subscription Type]],"Basic",10,"Premium",10,"Business",25,"Enterprise",27)</f>
        <v>10</v>
      </c>
      <c r="O1728">
        <f>IF(Sales[[#This Row],[Number of Users]]-Sales[[#This Row],[Licenses Bought]]&lt;0,0,Sales[[#This Row],[Number of Users]]-Sales[[#This Row],[Licenses Bought]])</f>
        <v>5</v>
      </c>
      <c r="P1728" s="8">
        <f>IF(Sales[[#This Row],[Sales Month]]=MAX(Sales[Sales Month]),Sales[[#This Row],[Non-Paying Users]]*Sales[[#This Row],[Upsell $ per Non-Paying User]],0)</f>
        <v>50</v>
      </c>
      <c r="Q1728" t="str" cm="1">
        <f t="array" ref="Q1728">_xlfn.IFS(Sales[[#This Row],[Current Upsell $]]=0,"",Sales[[#This Row],[Current Upsell $]]&gt;=400,"High",Sales[[#This Row],[Current Upsell $]]&gt;=100,"Medium",Sales[[#This Row],[Current Upsell $]]&lt;100,"Low")</f>
        <v>Low</v>
      </c>
      <c r="R1728" t="str">
        <f>IF(Sales[[#This Row],[Current Upsell $]]&gt;0,_xlfn.CONCAT(Sales[[#This Row],[Subscription Type]]," ",Sales[[#This Row],[Upsell Priority]]," ",TEXT(Sales[[#This Row],[Current Upsell $]],"$#,#")),"")</f>
        <v>Basic Low $50</v>
      </c>
    </row>
    <row r="1729" spans="1:18" x14ac:dyDescent="0.25">
      <c r="A1729">
        <v>100188</v>
      </c>
      <c r="B1729" t="s">
        <v>3</v>
      </c>
      <c r="F1729">
        <v>0</v>
      </c>
      <c r="G1729">
        <v>2</v>
      </c>
      <c r="H1729" s="1">
        <v>44197</v>
      </c>
      <c r="I1729" s="1">
        <v>44348</v>
      </c>
      <c r="J1729">
        <v>5</v>
      </c>
      <c r="K1729">
        <v>0</v>
      </c>
      <c r="L1729" s="1">
        <v>44197</v>
      </c>
      <c r="M1729">
        <v>0</v>
      </c>
      <c r="N1729" s="8" cm="1">
        <f t="array" ref="N1729">_xlfn.SWITCH(Sales[[#This Row],[Subscription Type]],"Basic",10,"Premium",10,"Business",25,"Enterprise",27)</f>
        <v>10</v>
      </c>
      <c r="O1729">
        <f>IF(Sales[[#This Row],[Number of Users]]-Sales[[#This Row],[Licenses Bought]]&lt;0,0,Sales[[#This Row],[Number of Users]]-Sales[[#This Row],[Licenses Bought]])</f>
        <v>2</v>
      </c>
      <c r="P1729" s="8">
        <f>IF(Sales[[#This Row],[Sales Month]]=MAX(Sales[Sales Month]),Sales[[#This Row],[Non-Paying Users]]*Sales[[#This Row],[Upsell $ per Non-Paying User]],0)</f>
        <v>0</v>
      </c>
      <c r="Q1729" t="str" cm="1">
        <f t="array" ref="Q1729">_xlfn.IFS(Sales[[#This Row],[Current Upsell $]]=0,"",Sales[[#This Row],[Current Upsell $]]&gt;=400,"High",Sales[[#This Row],[Current Upsell $]]&gt;=100,"Medium",Sales[[#This Row],[Current Upsell $]]&lt;100,"Low")</f>
        <v/>
      </c>
      <c r="R1729" t="str">
        <f>IF(Sales[[#This Row],[Current Upsell $]]&gt;0,_xlfn.CONCAT(Sales[[#This Row],[Subscription Type]]," ",Sales[[#This Row],[Upsell Priority]]," ",TEXT(Sales[[#This Row],[Current Upsell $]],"$#,#")),"")</f>
        <v/>
      </c>
    </row>
    <row r="1730" spans="1:18" x14ac:dyDescent="0.25">
      <c r="A1730">
        <v>100188</v>
      </c>
      <c r="B1730" t="s">
        <v>3</v>
      </c>
      <c r="F1730">
        <v>0</v>
      </c>
      <c r="G1730">
        <v>2</v>
      </c>
      <c r="H1730" s="1">
        <v>44197</v>
      </c>
      <c r="I1730" s="1">
        <v>44348</v>
      </c>
      <c r="J1730">
        <v>5</v>
      </c>
      <c r="K1730">
        <v>0</v>
      </c>
      <c r="L1730" s="1">
        <v>44228</v>
      </c>
      <c r="M1730">
        <v>0</v>
      </c>
      <c r="N1730" s="8" cm="1">
        <f t="array" ref="N1730">_xlfn.SWITCH(Sales[[#This Row],[Subscription Type]],"Basic",10,"Premium",10,"Business",25,"Enterprise",27)</f>
        <v>10</v>
      </c>
      <c r="O1730">
        <f>IF(Sales[[#This Row],[Number of Users]]-Sales[[#This Row],[Licenses Bought]]&lt;0,0,Sales[[#This Row],[Number of Users]]-Sales[[#This Row],[Licenses Bought]])</f>
        <v>2</v>
      </c>
      <c r="P1730" s="8">
        <f>IF(Sales[[#This Row],[Sales Month]]=MAX(Sales[Sales Month]),Sales[[#This Row],[Non-Paying Users]]*Sales[[#This Row],[Upsell $ per Non-Paying User]],0)</f>
        <v>0</v>
      </c>
      <c r="Q1730" t="str" cm="1">
        <f t="array" ref="Q1730">_xlfn.IFS(Sales[[#This Row],[Current Upsell $]]=0,"",Sales[[#This Row],[Current Upsell $]]&gt;=400,"High",Sales[[#This Row],[Current Upsell $]]&gt;=100,"Medium",Sales[[#This Row],[Current Upsell $]]&lt;100,"Low")</f>
        <v/>
      </c>
      <c r="R1730" t="str">
        <f>IF(Sales[[#This Row],[Current Upsell $]]&gt;0,_xlfn.CONCAT(Sales[[#This Row],[Subscription Type]]," ",Sales[[#This Row],[Upsell Priority]]," ",TEXT(Sales[[#This Row],[Current Upsell $]],"$#,#")),"")</f>
        <v/>
      </c>
    </row>
    <row r="1731" spans="1:18" x14ac:dyDescent="0.25">
      <c r="A1731">
        <v>100188</v>
      </c>
      <c r="B1731" t="s">
        <v>3</v>
      </c>
      <c r="F1731">
        <v>0</v>
      </c>
      <c r="G1731">
        <v>2</v>
      </c>
      <c r="H1731" s="1">
        <v>44197</v>
      </c>
      <c r="I1731" s="1">
        <v>44348</v>
      </c>
      <c r="J1731">
        <v>5</v>
      </c>
      <c r="K1731">
        <v>0</v>
      </c>
      <c r="L1731" s="1">
        <v>44256</v>
      </c>
      <c r="M1731">
        <v>0</v>
      </c>
      <c r="N1731" s="8" cm="1">
        <f t="array" ref="N1731">_xlfn.SWITCH(Sales[[#This Row],[Subscription Type]],"Basic",10,"Premium",10,"Business",25,"Enterprise",27)</f>
        <v>10</v>
      </c>
      <c r="O1731">
        <f>IF(Sales[[#This Row],[Number of Users]]-Sales[[#This Row],[Licenses Bought]]&lt;0,0,Sales[[#This Row],[Number of Users]]-Sales[[#This Row],[Licenses Bought]])</f>
        <v>2</v>
      </c>
      <c r="P1731" s="8">
        <f>IF(Sales[[#This Row],[Sales Month]]=MAX(Sales[Sales Month]),Sales[[#This Row],[Non-Paying Users]]*Sales[[#This Row],[Upsell $ per Non-Paying User]],0)</f>
        <v>0</v>
      </c>
      <c r="Q1731" t="str" cm="1">
        <f t="array" ref="Q1731">_xlfn.IFS(Sales[[#This Row],[Current Upsell $]]=0,"",Sales[[#This Row],[Current Upsell $]]&gt;=400,"High",Sales[[#This Row],[Current Upsell $]]&gt;=100,"Medium",Sales[[#This Row],[Current Upsell $]]&lt;100,"Low")</f>
        <v/>
      </c>
      <c r="R1731" t="str">
        <f>IF(Sales[[#This Row],[Current Upsell $]]&gt;0,_xlfn.CONCAT(Sales[[#This Row],[Subscription Type]]," ",Sales[[#This Row],[Upsell Priority]]," ",TEXT(Sales[[#This Row],[Current Upsell $]],"$#,#")),"")</f>
        <v/>
      </c>
    </row>
    <row r="1732" spans="1:18" x14ac:dyDescent="0.25">
      <c r="A1732">
        <v>100188</v>
      </c>
      <c r="B1732" t="s">
        <v>3</v>
      </c>
      <c r="F1732">
        <v>0</v>
      </c>
      <c r="G1732">
        <v>2</v>
      </c>
      <c r="H1732" s="1">
        <v>44197</v>
      </c>
      <c r="I1732" s="1">
        <v>44348</v>
      </c>
      <c r="J1732">
        <v>5</v>
      </c>
      <c r="K1732">
        <v>0</v>
      </c>
      <c r="L1732" s="1">
        <v>44287</v>
      </c>
      <c r="M1732">
        <v>0</v>
      </c>
      <c r="N1732" s="8" cm="1">
        <f t="array" ref="N1732">_xlfn.SWITCH(Sales[[#This Row],[Subscription Type]],"Basic",10,"Premium",10,"Business",25,"Enterprise",27)</f>
        <v>10</v>
      </c>
      <c r="O1732">
        <f>IF(Sales[[#This Row],[Number of Users]]-Sales[[#This Row],[Licenses Bought]]&lt;0,0,Sales[[#This Row],[Number of Users]]-Sales[[#This Row],[Licenses Bought]])</f>
        <v>2</v>
      </c>
      <c r="P1732" s="8">
        <f>IF(Sales[[#This Row],[Sales Month]]=MAX(Sales[Sales Month]),Sales[[#This Row],[Non-Paying Users]]*Sales[[#This Row],[Upsell $ per Non-Paying User]],0)</f>
        <v>0</v>
      </c>
      <c r="Q1732" t="str" cm="1">
        <f t="array" ref="Q1732">_xlfn.IFS(Sales[[#This Row],[Current Upsell $]]=0,"",Sales[[#This Row],[Current Upsell $]]&gt;=400,"High",Sales[[#This Row],[Current Upsell $]]&gt;=100,"Medium",Sales[[#This Row],[Current Upsell $]]&lt;100,"Low")</f>
        <v/>
      </c>
      <c r="R1732" t="str">
        <f>IF(Sales[[#This Row],[Current Upsell $]]&gt;0,_xlfn.CONCAT(Sales[[#This Row],[Subscription Type]]," ",Sales[[#This Row],[Upsell Priority]]," ",TEXT(Sales[[#This Row],[Current Upsell $]],"$#,#")),"")</f>
        <v/>
      </c>
    </row>
    <row r="1733" spans="1:18" x14ac:dyDescent="0.25">
      <c r="A1733">
        <v>100188</v>
      </c>
      <c r="B1733" t="s">
        <v>3</v>
      </c>
      <c r="F1733">
        <v>0</v>
      </c>
      <c r="G1733">
        <v>2</v>
      </c>
      <c r="H1733" s="1">
        <v>44197</v>
      </c>
      <c r="I1733" s="1">
        <v>44348</v>
      </c>
      <c r="J1733">
        <v>5</v>
      </c>
      <c r="K1733">
        <v>0</v>
      </c>
      <c r="L1733" s="1">
        <v>44317</v>
      </c>
      <c r="M1733">
        <v>0</v>
      </c>
      <c r="N1733" s="8" cm="1">
        <f t="array" ref="N1733">_xlfn.SWITCH(Sales[[#This Row],[Subscription Type]],"Basic",10,"Premium",10,"Business",25,"Enterprise",27)</f>
        <v>10</v>
      </c>
      <c r="O1733">
        <f>IF(Sales[[#This Row],[Number of Users]]-Sales[[#This Row],[Licenses Bought]]&lt;0,0,Sales[[#This Row],[Number of Users]]-Sales[[#This Row],[Licenses Bought]])</f>
        <v>2</v>
      </c>
      <c r="P1733" s="8">
        <f>IF(Sales[[#This Row],[Sales Month]]=MAX(Sales[Sales Month]),Sales[[#This Row],[Non-Paying Users]]*Sales[[#This Row],[Upsell $ per Non-Paying User]],0)</f>
        <v>0</v>
      </c>
      <c r="Q1733" t="str" cm="1">
        <f t="array" ref="Q1733">_xlfn.IFS(Sales[[#This Row],[Current Upsell $]]=0,"",Sales[[#This Row],[Current Upsell $]]&gt;=400,"High",Sales[[#This Row],[Current Upsell $]]&gt;=100,"Medium",Sales[[#This Row],[Current Upsell $]]&lt;100,"Low")</f>
        <v/>
      </c>
      <c r="R1733" t="str">
        <f>IF(Sales[[#This Row],[Current Upsell $]]&gt;0,_xlfn.CONCAT(Sales[[#This Row],[Subscription Type]]," ",Sales[[#This Row],[Upsell Priority]]," ",TEXT(Sales[[#This Row],[Current Upsell $]],"$#,#")),"")</f>
        <v/>
      </c>
    </row>
    <row r="1734" spans="1:18" x14ac:dyDescent="0.25">
      <c r="A1734">
        <v>100188</v>
      </c>
      <c r="B1734" t="s">
        <v>3</v>
      </c>
      <c r="F1734">
        <v>0</v>
      </c>
      <c r="G1734">
        <v>1</v>
      </c>
      <c r="H1734" s="1">
        <v>44197</v>
      </c>
      <c r="I1734" s="1">
        <v>44348</v>
      </c>
      <c r="J1734">
        <v>5</v>
      </c>
      <c r="K1734">
        <v>0</v>
      </c>
      <c r="L1734" s="1">
        <v>44348</v>
      </c>
      <c r="M1734">
        <v>0</v>
      </c>
      <c r="N1734" s="8" cm="1">
        <f t="array" ref="N1734">_xlfn.SWITCH(Sales[[#This Row],[Subscription Type]],"Basic",10,"Premium",10,"Business",25,"Enterprise",27)</f>
        <v>10</v>
      </c>
      <c r="O1734">
        <f>IF(Sales[[#This Row],[Number of Users]]-Sales[[#This Row],[Licenses Bought]]&lt;0,0,Sales[[#This Row],[Number of Users]]-Sales[[#This Row],[Licenses Bought]])</f>
        <v>1</v>
      </c>
      <c r="P1734" s="8">
        <f>IF(Sales[[#This Row],[Sales Month]]=MAX(Sales[Sales Month]),Sales[[#This Row],[Non-Paying Users]]*Sales[[#This Row],[Upsell $ per Non-Paying User]],0)</f>
        <v>10</v>
      </c>
      <c r="Q1734" t="str" cm="1">
        <f t="array" ref="Q1734">_xlfn.IFS(Sales[[#This Row],[Current Upsell $]]=0,"",Sales[[#This Row],[Current Upsell $]]&gt;=400,"High",Sales[[#This Row],[Current Upsell $]]&gt;=100,"Medium",Sales[[#This Row],[Current Upsell $]]&lt;100,"Low")</f>
        <v>Low</v>
      </c>
      <c r="R1734" t="str">
        <f>IF(Sales[[#This Row],[Current Upsell $]]&gt;0,_xlfn.CONCAT(Sales[[#This Row],[Subscription Type]]," ",Sales[[#This Row],[Upsell Priority]]," ",TEXT(Sales[[#This Row],[Current Upsell $]],"$#,#")),"")</f>
        <v>Basic Low $10</v>
      </c>
    </row>
    <row r="1735" spans="1:18" x14ac:dyDescent="0.25">
      <c r="A1735">
        <v>100189</v>
      </c>
      <c r="B1735" t="s">
        <v>3</v>
      </c>
      <c r="F1735">
        <v>0</v>
      </c>
      <c r="G1735">
        <v>2</v>
      </c>
      <c r="H1735" s="1">
        <v>44197</v>
      </c>
      <c r="I1735" s="1">
        <v>44317</v>
      </c>
      <c r="J1735">
        <v>4</v>
      </c>
      <c r="K1735">
        <v>1</v>
      </c>
      <c r="L1735" s="1">
        <v>44197</v>
      </c>
      <c r="M1735">
        <v>0</v>
      </c>
      <c r="N1735" s="8" cm="1">
        <f t="array" ref="N1735">_xlfn.SWITCH(Sales[[#This Row],[Subscription Type]],"Basic",10,"Premium",10,"Business",25,"Enterprise",27)</f>
        <v>10</v>
      </c>
      <c r="O1735">
        <f>IF(Sales[[#This Row],[Number of Users]]-Sales[[#This Row],[Licenses Bought]]&lt;0,0,Sales[[#This Row],[Number of Users]]-Sales[[#This Row],[Licenses Bought]])</f>
        <v>2</v>
      </c>
      <c r="P1735" s="8">
        <f>IF(Sales[[#This Row],[Sales Month]]=MAX(Sales[Sales Month]),Sales[[#This Row],[Non-Paying Users]]*Sales[[#This Row],[Upsell $ per Non-Paying User]],0)</f>
        <v>0</v>
      </c>
      <c r="Q1735" t="str" cm="1">
        <f t="array" ref="Q1735">_xlfn.IFS(Sales[[#This Row],[Current Upsell $]]=0,"",Sales[[#This Row],[Current Upsell $]]&gt;=400,"High",Sales[[#This Row],[Current Upsell $]]&gt;=100,"Medium",Sales[[#This Row],[Current Upsell $]]&lt;100,"Low")</f>
        <v/>
      </c>
      <c r="R1735" t="str">
        <f>IF(Sales[[#This Row],[Current Upsell $]]&gt;0,_xlfn.CONCAT(Sales[[#This Row],[Subscription Type]]," ",Sales[[#This Row],[Upsell Priority]]," ",TEXT(Sales[[#This Row],[Current Upsell $]],"$#,#")),"")</f>
        <v/>
      </c>
    </row>
    <row r="1736" spans="1:18" x14ac:dyDescent="0.25">
      <c r="A1736">
        <v>100189</v>
      </c>
      <c r="B1736" t="s">
        <v>3</v>
      </c>
      <c r="F1736">
        <v>0</v>
      </c>
      <c r="G1736">
        <v>2</v>
      </c>
      <c r="H1736" s="1">
        <v>44197</v>
      </c>
      <c r="I1736" s="1">
        <v>44317</v>
      </c>
      <c r="J1736">
        <v>4</v>
      </c>
      <c r="K1736">
        <v>1</v>
      </c>
      <c r="L1736" s="1">
        <v>44228</v>
      </c>
      <c r="M1736">
        <v>0</v>
      </c>
      <c r="N1736" s="8" cm="1">
        <f t="array" ref="N1736">_xlfn.SWITCH(Sales[[#This Row],[Subscription Type]],"Basic",10,"Premium",10,"Business",25,"Enterprise",27)</f>
        <v>10</v>
      </c>
      <c r="O1736">
        <f>IF(Sales[[#This Row],[Number of Users]]-Sales[[#This Row],[Licenses Bought]]&lt;0,0,Sales[[#This Row],[Number of Users]]-Sales[[#This Row],[Licenses Bought]])</f>
        <v>2</v>
      </c>
      <c r="P1736" s="8">
        <f>IF(Sales[[#This Row],[Sales Month]]=MAX(Sales[Sales Month]),Sales[[#This Row],[Non-Paying Users]]*Sales[[#This Row],[Upsell $ per Non-Paying User]],0)</f>
        <v>0</v>
      </c>
      <c r="Q1736" t="str" cm="1">
        <f t="array" ref="Q1736">_xlfn.IFS(Sales[[#This Row],[Current Upsell $]]=0,"",Sales[[#This Row],[Current Upsell $]]&gt;=400,"High",Sales[[#This Row],[Current Upsell $]]&gt;=100,"Medium",Sales[[#This Row],[Current Upsell $]]&lt;100,"Low")</f>
        <v/>
      </c>
      <c r="R1736" t="str">
        <f>IF(Sales[[#This Row],[Current Upsell $]]&gt;0,_xlfn.CONCAT(Sales[[#This Row],[Subscription Type]]," ",Sales[[#This Row],[Upsell Priority]]," ",TEXT(Sales[[#This Row],[Current Upsell $]],"$#,#")),"")</f>
        <v/>
      </c>
    </row>
    <row r="1737" spans="1:18" x14ac:dyDescent="0.25">
      <c r="A1737">
        <v>100189</v>
      </c>
      <c r="B1737" t="s">
        <v>3</v>
      </c>
      <c r="F1737">
        <v>0</v>
      </c>
      <c r="G1737">
        <v>2</v>
      </c>
      <c r="H1737" s="1">
        <v>44197</v>
      </c>
      <c r="I1737" s="1">
        <v>44317</v>
      </c>
      <c r="J1737">
        <v>4</v>
      </c>
      <c r="K1737">
        <v>1</v>
      </c>
      <c r="L1737" s="1">
        <v>44256</v>
      </c>
      <c r="M1737">
        <v>0</v>
      </c>
      <c r="N1737" s="8" cm="1">
        <f t="array" ref="N1737">_xlfn.SWITCH(Sales[[#This Row],[Subscription Type]],"Basic",10,"Premium",10,"Business",25,"Enterprise",27)</f>
        <v>10</v>
      </c>
      <c r="O1737">
        <f>IF(Sales[[#This Row],[Number of Users]]-Sales[[#This Row],[Licenses Bought]]&lt;0,0,Sales[[#This Row],[Number of Users]]-Sales[[#This Row],[Licenses Bought]])</f>
        <v>2</v>
      </c>
      <c r="P1737" s="8">
        <f>IF(Sales[[#This Row],[Sales Month]]=MAX(Sales[Sales Month]),Sales[[#This Row],[Non-Paying Users]]*Sales[[#This Row],[Upsell $ per Non-Paying User]],0)</f>
        <v>0</v>
      </c>
      <c r="Q1737" t="str" cm="1">
        <f t="array" ref="Q1737">_xlfn.IFS(Sales[[#This Row],[Current Upsell $]]=0,"",Sales[[#This Row],[Current Upsell $]]&gt;=400,"High",Sales[[#This Row],[Current Upsell $]]&gt;=100,"Medium",Sales[[#This Row],[Current Upsell $]]&lt;100,"Low")</f>
        <v/>
      </c>
      <c r="R1737" t="str">
        <f>IF(Sales[[#This Row],[Current Upsell $]]&gt;0,_xlfn.CONCAT(Sales[[#This Row],[Subscription Type]]," ",Sales[[#This Row],[Upsell Priority]]," ",TEXT(Sales[[#This Row],[Current Upsell $]],"$#,#")),"")</f>
        <v/>
      </c>
    </row>
    <row r="1738" spans="1:18" x14ac:dyDescent="0.25">
      <c r="A1738">
        <v>100189</v>
      </c>
      <c r="B1738" t="s">
        <v>3</v>
      </c>
      <c r="F1738">
        <v>0</v>
      </c>
      <c r="G1738">
        <v>2</v>
      </c>
      <c r="H1738" s="1">
        <v>44197</v>
      </c>
      <c r="I1738" s="1">
        <v>44317</v>
      </c>
      <c r="J1738">
        <v>4</v>
      </c>
      <c r="K1738">
        <v>1</v>
      </c>
      <c r="L1738" s="1">
        <v>44287</v>
      </c>
      <c r="M1738">
        <v>0</v>
      </c>
      <c r="N1738" s="8" cm="1">
        <f t="array" ref="N1738">_xlfn.SWITCH(Sales[[#This Row],[Subscription Type]],"Basic",10,"Premium",10,"Business",25,"Enterprise",27)</f>
        <v>10</v>
      </c>
      <c r="O1738">
        <f>IF(Sales[[#This Row],[Number of Users]]-Sales[[#This Row],[Licenses Bought]]&lt;0,0,Sales[[#This Row],[Number of Users]]-Sales[[#This Row],[Licenses Bought]])</f>
        <v>2</v>
      </c>
      <c r="P1738" s="8">
        <f>IF(Sales[[#This Row],[Sales Month]]=MAX(Sales[Sales Month]),Sales[[#This Row],[Non-Paying Users]]*Sales[[#This Row],[Upsell $ per Non-Paying User]],0)</f>
        <v>0</v>
      </c>
      <c r="Q1738" t="str" cm="1">
        <f t="array" ref="Q1738">_xlfn.IFS(Sales[[#This Row],[Current Upsell $]]=0,"",Sales[[#This Row],[Current Upsell $]]&gt;=400,"High",Sales[[#This Row],[Current Upsell $]]&gt;=100,"Medium",Sales[[#This Row],[Current Upsell $]]&lt;100,"Low")</f>
        <v/>
      </c>
      <c r="R1738" t="str">
        <f>IF(Sales[[#This Row],[Current Upsell $]]&gt;0,_xlfn.CONCAT(Sales[[#This Row],[Subscription Type]]," ",Sales[[#This Row],[Upsell Priority]]," ",TEXT(Sales[[#This Row],[Current Upsell $]],"$#,#")),"")</f>
        <v/>
      </c>
    </row>
    <row r="1739" spans="1:18" x14ac:dyDescent="0.25">
      <c r="A1739">
        <v>100189</v>
      </c>
      <c r="B1739" t="s">
        <v>3</v>
      </c>
      <c r="F1739">
        <v>0</v>
      </c>
      <c r="G1739">
        <v>2</v>
      </c>
      <c r="H1739" s="1">
        <v>44197</v>
      </c>
      <c r="I1739" s="1">
        <v>44317</v>
      </c>
      <c r="J1739">
        <v>4</v>
      </c>
      <c r="K1739">
        <v>1</v>
      </c>
      <c r="L1739" s="1">
        <v>44317</v>
      </c>
      <c r="M1739">
        <v>0</v>
      </c>
      <c r="N1739" s="8" cm="1">
        <f t="array" ref="N1739">_xlfn.SWITCH(Sales[[#This Row],[Subscription Type]],"Basic",10,"Premium",10,"Business",25,"Enterprise",27)</f>
        <v>10</v>
      </c>
      <c r="O1739">
        <f>IF(Sales[[#This Row],[Number of Users]]-Sales[[#This Row],[Licenses Bought]]&lt;0,0,Sales[[#This Row],[Number of Users]]-Sales[[#This Row],[Licenses Bought]])</f>
        <v>2</v>
      </c>
      <c r="P1739" s="8">
        <f>IF(Sales[[#This Row],[Sales Month]]=MAX(Sales[Sales Month]),Sales[[#This Row],[Non-Paying Users]]*Sales[[#This Row],[Upsell $ per Non-Paying User]],0)</f>
        <v>0</v>
      </c>
      <c r="Q1739" t="str" cm="1">
        <f t="array" ref="Q1739">_xlfn.IFS(Sales[[#This Row],[Current Upsell $]]=0,"",Sales[[#This Row],[Current Upsell $]]&gt;=400,"High",Sales[[#This Row],[Current Upsell $]]&gt;=100,"Medium",Sales[[#This Row],[Current Upsell $]]&lt;100,"Low")</f>
        <v/>
      </c>
      <c r="R1739" t="str">
        <f>IF(Sales[[#This Row],[Current Upsell $]]&gt;0,_xlfn.CONCAT(Sales[[#This Row],[Subscription Type]]," ",Sales[[#This Row],[Upsell Priority]]," ",TEXT(Sales[[#This Row],[Current Upsell $]],"$#,#")),"")</f>
        <v/>
      </c>
    </row>
    <row r="1740" spans="1:18" x14ac:dyDescent="0.25">
      <c r="A1740">
        <v>100190</v>
      </c>
      <c r="B1740" t="s">
        <v>3</v>
      </c>
      <c r="F1740">
        <v>0</v>
      </c>
      <c r="G1740">
        <v>2</v>
      </c>
      <c r="H1740" s="1">
        <v>44197</v>
      </c>
      <c r="I1740" s="1">
        <v>44317</v>
      </c>
      <c r="J1740">
        <v>4</v>
      </c>
      <c r="K1740">
        <v>1</v>
      </c>
      <c r="L1740" s="1">
        <v>44197</v>
      </c>
      <c r="M1740">
        <v>0</v>
      </c>
      <c r="N1740" s="8" cm="1">
        <f t="array" ref="N1740">_xlfn.SWITCH(Sales[[#This Row],[Subscription Type]],"Basic",10,"Premium",10,"Business",25,"Enterprise",27)</f>
        <v>10</v>
      </c>
      <c r="O1740">
        <f>IF(Sales[[#This Row],[Number of Users]]-Sales[[#This Row],[Licenses Bought]]&lt;0,0,Sales[[#This Row],[Number of Users]]-Sales[[#This Row],[Licenses Bought]])</f>
        <v>2</v>
      </c>
      <c r="P1740" s="8">
        <f>IF(Sales[[#This Row],[Sales Month]]=MAX(Sales[Sales Month]),Sales[[#This Row],[Non-Paying Users]]*Sales[[#This Row],[Upsell $ per Non-Paying User]],0)</f>
        <v>0</v>
      </c>
      <c r="Q1740" t="str" cm="1">
        <f t="array" ref="Q1740">_xlfn.IFS(Sales[[#This Row],[Current Upsell $]]=0,"",Sales[[#This Row],[Current Upsell $]]&gt;=400,"High",Sales[[#This Row],[Current Upsell $]]&gt;=100,"Medium",Sales[[#This Row],[Current Upsell $]]&lt;100,"Low")</f>
        <v/>
      </c>
      <c r="R1740" t="str">
        <f>IF(Sales[[#This Row],[Current Upsell $]]&gt;0,_xlfn.CONCAT(Sales[[#This Row],[Subscription Type]]," ",Sales[[#This Row],[Upsell Priority]]," ",TEXT(Sales[[#This Row],[Current Upsell $]],"$#,#")),"")</f>
        <v/>
      </c>
    </row>
    <row r="1741" spans="1:18" x14ac:dyDescent="0.25">
      <c r="A1741">
        <v>100190</v>
      </c>
      <c r="B1741" t="s">
        <v>3</v>
      </c>
      <c r="F1741">
        <v>0</v>
      </c>
      <c r="G1741">
        <v>2</v>
      </c>
      <c r="H1741" s="1">
        <v>44197</v>
      </c>
      <c r="I1741" s="1">
        <v>44317</v>
      </c>
      <c r="J1741">
        <v>4</v>
      </c>
      <c r="K1741">
        <v>1</v>
      </c>
      <c r="L1741" s="1">
        <v>44228</v>
      </c>
      <c r="M1741">
        <v>0</v>
      </c>
      <c r="N1741" s="8" cm="1">
        <f t="array" ref="N1741">_xlfn.SWITCH(Sales[[#This Row],[Subscription Type]],"Basic",10,"Premium",10,"Business",25,"Enterprise",27)</f>
        <v>10</v>
      </c>
      <c r="O1741">
        <f>IF(Sales[[#This Row],[Number of Users]]-Sales[[#This Row],[Licenses Bought]]&lt;0,0,Sales[[#This Row],[Number of Users]]-Sales[[#This Row],[Licenses Bought]])</f>
        <v>2</v>
      </c>
      <c r="P1741" s="8">
        <f>IF(Sales[[#This Row],[Sales Month]]=MAX(Sales[Sales Month]),Sales[[#This Row],[Non-Paying Users]]*Sales[[#This Row],[Upsell $ per Non-Paying User]],0)</f>
        <v>0</v>
      </c>
      <c r="Q1741" t="str" cm="1">
        <f t="array" ref="Q1741">_xlfn.IFS(Sales[[#This Row],[Current Upsell $]]=0,"",Sales[[#This Row],[Current Upsell $]]&gt;=400,"High",Sales[[#This Row],[Current Upsell $]]&gt;=100,"Medium",Sales[[#This Row],[Current Upsell $]]&lt;100,"Low")</f>
        <v/>
      </c>
      <c r="R1741" t="str">
        <f>IF(Sales[[#This Row],[Current Upsell $]]&gt;0,_xlfn.CONCAT(Sales[[#This Row],[Subscription Type]]," ",Sales[[#This Row],[Upsell Priority]]," ",TEXT(Sales[[#This Row],[Current Upsell $]],"$#,#")),"")</f>
        <v/>
      </c>
    </row>
    <row r="1742" spans="1:18" x14ac:dyDescent="0.25">
      <c r="A1742">
        <v>100190</v>
      </c>
      <c r="B1742" t="s">
        <v>3</v>
      </c>
      <c r="F1742">
        <v>0</v>
      </c>
      <c r="G1742">
        <v>2</v>
      </c>
      <c r="H1742" s="1">
        <v>44197</v>
      </c>
      <c r="I1742" s="1">
        <v>44317</v>
      </c>
      <c r="J1742">
        <v>4</v>
      </c>
      <c r="K1742">
        <v>1</v>
      </c>
      <c r="L1742" s="1">
        <v>44256</v>
      </c>
      <c r="M1742">
        <v>0</v>
      </c>
      <c r="N1742" s="8" cm="1">
        <f t="array" ref="N1742">_xlfn.SWITCH(Sales[[#This Row],[Subscription Type]],"Basic",10,"Premium",10,"Business",25,"Enterprise",27)</f>
        <v>10</v>
      </c>
      <c r="O1742">
        <f>IF(Sales[[#This Row],[Number of Users]]-Sales[[#This Row],[Licenses Bought]]&lt;0,0,Sales[[#This Row],[Number of Users]]-Sales[[#This Row],[Licenses Bought]])</f>
        <v>2</v>
      </c>
      <c r="P1742" s="8">
        <f>IF(Sales[[#This Row],[Sales Month]]=MAX(Sales[Sales Month]),Sales[[#This Row],[Non-Paying Users]]*Sales[[#This Row],[Upsell $ per Non-Paying User]],0)</f>
        <v>0</v>
      </c>
      <c r="Q1742" t="str" cm="1">
        <f t="array" ref="Q1742">_xlfn.IFS(Sales[[#This Row],[Current Upsell $]]=0,"",Sales[[#This Row],[Current Upsell $]]&gt;=400,"High",Sales[[#This Row],[Current Upsell $]]&gt;=100,"Medium",Sales[[#This Row],[Current Upsell $]]&lt;100,"Low")</f>
        <v/>
      </c>
      <c r="R1742" t="str">
        <f>IF(Sales[[#This Row],[Current Upsell $]]&gt;0,_xlfn.CONCAT(Sales[[#This Row],[Subscription Type]]," ",Sales[[#This Row],[Upsell Priority]]," ",TEXT(Sales[[#This Row],[Current Upsell $]],"$#,#")),"")</f>
        <v/>
      </c>
    </row>
    <row r="1743" spans="1:18" x14ac:dyDescent="0.25">
      <c r="A1743">
        <v>100190</v>
      </c>
      <c r="B1743" t="s">
        <v>3</v>
      </c>
      <c r="F1743">
        <v>0</v>
      </c>
      <c r="G1743">
        <v>1</v>
      </c>
      <c r="H1743" s="1">
        <v>44197</v>
      </c>
      <c r="I1743" s="1">
        <v>44317</v>
      </c>
      <c r="J1743">
        <v>4</v>
      </c>
      <c r="K1743">
        <v>1</v>
      </c>
      <c r="L1743" s="1">
        <v>44287</v>
      </c>
      <c r="M1743">
        <v>0</v>
      </c>
      <c r="N1743" s="8" cm="1">
        <f t="array" ref="N1743">_xlfn.SWITCH(Sales[[#This Row],[Subscription Type]],"Basic",10,"Premium",10,"Business",25,"Enterprise",27)</f>
        <v>10</v>
      </c>
      <c r="O1743">
        <f>IF(Sales[[#This Row],[Number of Users]]-Sales[[#This Row],[Licenses Bought]]&lt;0,0,Sales[[#This Row],[Number of Users]]-Sales[[#This Row],[Licenses Bought]])</f>
        <v>1</v>
      </c>
      <c r="P1743" s="8">
        <f>IF(Sales[[#This Row],[Sales Month]]=MAX(Sales[Sales Month]),Sales[[#This Row],[Non-Paying Users]]*Sales[[#This Row],[Upsell $ per Non-Paying User]],0)</f>
        <v>0</v>
      </c>
      <c r="Q1743" t="str" cm="1">
        <f t="array" ref="Q1743">_xlfn.IFS(Sales[[#This Row],[Current Upsell $]]=0,"",Sales[[#This Row],[Current Upsell $]]&gt;=400,"High",Sales[[#This Row],[Current Upsell $]]&gt;=100,"Medium",Sales[[#This Row],[Current Upsell $]]&lt;100,"Low")</f>
        <v/>
      </c>
      <c r="R1743" t="str">
        <f>IF(Sales[[#This Row],[Current Upsell $]]&gt;0,_xlfn.CONCAT(Sales[[#This Row],[Subscription Type]]," ",Sales[[#This Row],[Upsell Priority]]," ",TEXT(Sales[[#This Row],[Current Upsell $]],"$#,#")),"")</f>
        <v/>
      </c>
    </row>
    <row r="1744" spans="1:18" x14ac:dyDescent="0.25">
      <c r="A1744">
        <v>100190</v>
      </c>
      <c r="B1744" t="s">
        <v>3</v>
      </c>
      <c r="F1744">
        <v>0</v>
      </c>
      <c r="G1744">
        <v>2</v>
      </c>
      <c r="H1744" s="1">
        <v>44197</v>
      </c>
      <c r="I1744" s="1">
        <v>44317</v>
      </c>
      <c r="J1744">
        <v>4</v>
      </c>
      <c r="K1744">
        <v>1</v>
      </c>
      <c r="L1744" s="1">
        <v>44317</v>
      </c>
      <c r="M1744">
        <v>0</v>
      </c>
      <c r="N1744" s="8" cm="1">
        <f t="array" ref="N1744">_xlfn.SWITCH(Sales[[#This Row],[Subscription Type]],"Basic",10,"Premium",10,"Business",25,"Enterprise",27)</f>
        <v>10</v>
      </c>
      <c r="O1744">
        <f>IF(Sales[[#This Row],[Number of Users]]-Sales[[#This Row],[Licenses Bought]]&lt;0,0,Sales[[#This Row],[Number of Users]]-Sales[[#This Row],[Licenses Bought]])</f>
        <v>2</v>
      </c>
      <c r="P1744" s="8">
        <f>IF(Sales[[#This Row],[Sales Month]]=MAX(Sales[Sales Month]),Sales[[#This Row],[Non-Paying Users]]*Sales[[#This Row],[Upsell $ per Non-Paying User]],0)</f>
        <v>0</v>
      </c>
      <c r="Q1744" t="str" cm="1">
        <f t="array" ref="Q1744">_xlfn.IFS(Sales[[#This Row],[Current Upsell $]]=0,"",Sales[[#This Row],[Current Upsell $]]&gt;=400,"High",Sales[[#This Row],[Current Upsell $]]&gt;=100,"Medium",Sales[[#This Row],[Current Upsell $]]&lt;100,"Low")</f>
        <v/>
      </c>
      <c r="R1744" t="str">
        <f>IF(Sales[[#This Row],[Current Upsell $]]&gt;0,_xlfn.CONCAT(Sales[[#This Row],[Subscription Type]]," ",Sales[[#This Row],[Upsell Priority]]," ",TEXT(Sales[[#This Row],[Current Upsell $]],"$#,#")),"")</f>
        <v/>
      </c>
    </row>
    <row r="1745" spans="1:18" x14ac:dyDescent="0.25">
      <c r="A1745">
        <v>100191</v>
      </c>
      <c r="B1745" t="s">
        <v>3</v>
      </c>
      <c r="D1745" s="1"/>
      <c r="E1745" s="1"/>
      <c r="F1745">
        <v>0</v>
      </c>
      <c r="G1745">
        <v>2</v>
      </c>
      <c r="H1745" s="1">
        <v>44197</v>
      </c>
      <c r="I1745" s="1">
        <v>44378</v>
      </c>
      <c r="J1745">
        <v>6</v>
      </c>
      <c r="K1745">
        <v>0</v>
      </c>
      <c r="L1745" s="1">
        <v>44197</v>
      </c>
      <c r="M1745">
        <v>0</v>
      </c>
      <c r="N1745" s="8" cm="1">
        <f t="array" ref="N1745">_xlfn.SWITCH(Sales[[#This Row],[Subscription Type]],"Basic",10,"Premium",10,"Business",25,"Enterprise",27)</f>
        <v>10</v>
      </c>
      <c r="O1745">
        <f>IF(Sales[[#This Row],[Number of Users]]-Sales[[#This Row],[Licenses Bought]]&lt;0,0,Sales[[#This Row],[Number of Users]]-Sales[[#This Row],[Licenses Bought]])</f>
        <v>2</v>
      </c>
      <c r="P1745" s="8">
        <f>IF(Sales[[#This Row],[Sales Month]]=MAX(Sales[Sales Month]),Sales[[#This Row],[Non-Paying Users]]*Sales[[#This Row],[Upsell $ per Non-Paying User]],0)</f>
        <v>0</v>
      </c>
      <c r="Q1745" t="str" cm="1">
        <f t="array" ref="Q1745">_xlfn.IFS(Sales[[#This Row],[Current Upsell $]]=0,"",Sales[[#This Row],[Current Upsell $]]&gt;=400,"High",Sales[[#This Row],[Current Upsell $]]&gt;=100,"Medium",Sales[[#This Row],[Current Upsell $]]&lt;100,"Low")</f>
        <v/>
      </c>
      <c r="R1745" t="str">
        <f>IF(Sales[[#This Row],[Current Upsell $]]&gt;0,_xlfn.CONCAT(Sales[[#This Row],[Subscription Type]]," ",Sales[[#This Row],[Upsell Priority]]," ",TEXT(Sales[[#This Row],[Current Upsell $]],"$#,#")),"")</f>
        <v/>
      </c>
    </row>
    <row r="1746" spans="1:18" x14ac:dyDescent="0.25">
      <c r="A1746">
        <v>100191</v>
      </c>
      <c r="B1746" t="s">
        <v>0</v>
      </c>
      <c r="D1746" s="1"/>
      <c r="E1746" s="1"/>
      <c r="F1746">
        <v>1</v>
      </c>
      <c r="G1746">
        <v>2</v>
      </c>
      <c r="H1746" s="1">
        <v>44197</v>
      </c>
      <c r="I1746" s="1">
        <v>44378</v>
      </c>
      <c r="J1746">
        <v>6</v>
      </c>
      <c r="K1746">
        <v>0</v>
      </c>
      <c r="L1746" s="1">
        <v>44228</v>
      </c>
      <c r="M1746">
        <v>10</v>
      </c>
      <c r="N1746" s="8" cm="1">
        <f t="array" ref="N1746">_xlfn.SWITCH(Sales[[#This Row],[Subscription Type]],"Basic",10,"Premium",10,"Business",25,"Enterprise",27)</f>
        <v>10</v>
      </c>
      <c r="O1746">
        <f>IF(Sales[[#This Row],[Number of Users]]-Sales[[#This Row],[Licenses Bought]]&lt;0,0,Sales[[#This Row],[Number of Users]]-Sales[[#This Row],[Licenses Bought]])</f>
        <v>1</v>
      </c>
      <c r="P1746" s="8">
        <f>IF(Sales[[#This Row],[Sales Month]]=MAX(Sales[Sales Month]),Sales[[#This Row],[Non-Paying Users]]*Sales[[#This Row],[Upsell $ per Non-Paying User]],0)</f>
        <v>0</v>
      </c>
      <c r="Q1746" t="str" cm="1">
        <f t="array" ref="Q1746">_xlfn.IFS(Sales[[#This Row],[Current Upsell $]]=0,"",Sales[[#This Row],[Current Upsell $]]&gt;=400,"High",Sales[[#This Row],[Current Upsell $]]&gt;=100,"Medium",Sales[[#This Row],[Current Upsell $]]&lt;100,"Low")</f>
        <v/>
      </c>
      <c r="R1746" t="str">
        <f>IF(Sales[[#This Row],[Current Upsell $]]&gt;0,_xlfn.CONCAT(Sales[[#This Row],[Subscription Type]]," ",Sales[[#This Row],[Upsell Priority]]," ",TEXT(Sales[[#This Row],[Current Upsell $]],"$#,#")),"")</f>
        <v/>
      </c>
    </row>
    <row r="1747" spans="1:18" x14ac:dyDescent="0.25">
      <c r="A1747">
        <v>100191</v>
      </c>
      <c r="B1747" t="s">
        <v>0</v>
      </c>
      <c r="D1747" s="1"/>
      <c r="E1747" s="1"/>
      <c r="F1747">
        <v>1</v>
      </c>
      <c r="G1747">
        <v>2</v>
      </c>
      <c r="H1747" s="1">
        <v>44197</v>
      </c>
      <c r="I1747" s="1">
        <v>44378</v>
      </c>
      <c r="J1747">
        <v>6</v>
      </c>
      <c r="K1747">
        <v>0</v>
      </c>
      <c r="L1747" s="1">
        <v>44256</v>
      </c>
      <c r="M1747">
        <v>10</v>
      </c>
      <c r="N1747" s="8" cm="1">
        <f t="array" ref="N1747">_xlfn.SWITCH(Sales[[#This Row],[Subscription Type]],"Basic",10,"Premium",10,"Business",25,"Enterprise",27)</f>
        <v>10</v>
      </c>
      <c r="O1747">
        <f>IF(Sales[[#This Row],[Number of Users]]-Sales[[#This Row],[Licenses Bought]]&lt;0,0,Sales[[#This Row],[Number of Users]]-Sales[[#This Row],[Licenses Bought]])</f>
        <v>1</v>
      </c>
      <c r="P1747" s="8">
        <f>IF(Sales[[#This Row],[Sales Month]]=MAX(Sales[Sales Month]),Sales[[#This Row],[Non-Paying Users]]*Sales[[#This Row],[Upsell $ per Non-Paying User]],0)</f>
        <v>0</v>
      </c>
      <c r="Q1747" t="str" cm="1">
        <f t="array" ref="Q1747">_xlfn.IFS(Sales[[#This Row],[Current Upsell $]]=0,"",Sales[[#This Row],[Current Upsell $]]&gt;=400,"High",Sales[[#This Row],[Current Upsell $]]&gt;=100,"Medium",Sales[[#This Row],[Current Upsell $]]&lt;100,"Low")</f>
        <v/>
      </c>
      <c r="R1747" t="str">
        <f>IF(Sales[[#This Row],[Current Upsell $]]&gt;0,_xlfn.CONCAT(Sales[[#This Row],[Subscription Type]]," ",Sales[[#This Row],[Upsell Priority]]," ",TEXT(Sales[[#This Row],[Current Upsell $]],"$#,#")),"")</f>
        <v/>
      </c>
    </row>
    <row r="1748" spans="1:18" x14ac:dyDescent="0.25">
      <c r="A1748">
        <v>100191</v>
      </c>
      <c r="B1748" t="s">
        <v>0</v>
      </c>
      <c r="D1748" s="1"/>
      <c r="E1748" s="1"/>
      <c r="F1748">
        <v>1</v>
      </c>
      <c r="G1748">
        <v>2</v>
      </c>
      <c r="H1748" s="1">
        <v>44197</v>
      </c>
      <c r="I1748" s="1">
        <v>44378</v>
      </c>
      <c r="J1748">
        <v>6</v>
      </c>
      <c r="K1748">
        <v>0</v>
      </c>
      <c r="L1748" s="1">
        <v>44287</v>
      </c>
      <c r="M1748">
        <v>10</v>
      </c>
      <c r="N1748" s="8" cm="1">
        <f t="array" ref="N1748">_xlfn.SWITCH(Sales[[#This Row],[Subscription Type]],"Basic",10,"Premium",10,"Business",25,"Enterprise",27)</f>
        <v>10</v>
      </c>
      <c r="O1748">
        <f>IF(Sales[[#This Row],[Number of Users]]-Sales[[#This Row],[Licenses Bought]]&lt;0,0,Sales[[#This Row],[Number of Users]]-Sales[[#This Row],[Licenses Bought]])</f>
        <v>1</v>
      </c>
      <c r="P1748" s="8">
        <f>IF(Sales[[#This Row],[Sales Month]]=MAX(Sales[Sales Month]),Sales[[#This Row],[Non-Paying Users]]*Sales[[#This Row],[Upsell $ per Non-Paying User]],0)</f>
        <v>0</v>
      </c>
      <c r="Q1748" t="str" cm="1">
        <f t="array" ref="Q1748">_xlfn.IFS(Sales[[#This Row],[Current Upsell $]]=0,"",Sales[[#This Row],[Current Upsell $]]&gt;=400,"High",Sales[[#This Row],[Current Upsell $]]&gt;=100,"Medium",Sales[[#This Row],[Current Upsell $]]&lt;100,"Low")</f>
        <v/>
      </c>
      <c r="R1748" t="str">
        <f>IF(Sales[[#This Row],[Current Upsell $]]&gt;0,_xlfn.CONCAT(Sales[[#This Row],[Subscription Type]]," ",Sales[[#This Row],[Upsell Priority]]," ",TEXT(Sales[[#This Row],[Current Upsell $]],"$#,#")),"")</f>
        <v/>
      </c>
    </row>
    <row r="1749" spans="1:18" x14ac:dyDescent="0.25">
      <c r="A1749">
        <v>100191</v>
      </c>
      <c r="B1749" t="s">
        <v>0</v>
      </c>
      <c r="D1749" s="1"/>
      <c r="E1749" s="1"/>
      <c r="F1749">
        <v>1</v>
      </c>
      <c r="G1749">
        <v>2</v>
      </c>
      <c r="H1749" s="1">
        <v>44197</v>
      </c>
      <c r="I1749" s="1">
        <v>44378</v>
      </c>
      <c r="J1749">
        <v>6</v>
      </c>
      <c r="K1749">
        <v>0</v>
      </c>
      <c r="L1749" s="1">
        <v>44317</v>
      </c>
      <c r="M1749">
        <v>10</v>
      </c>
      <c r="N1749" s="8" cm="1">
        <f t="array" ref="N1749">_xlfn.SWITCH(Sales[[#This Row],[Subscription Type]],"Basic",10,"Premium",10,"Business",25,"Enterprise",27)</f>
        <v>10</v>
      </c>
      <c r="O1749">
        <f>IF(Sales[[#This Row],[Number of Users]]-Sales[[#This Row],[Licenses Bought]]&lt;0,0,Sales[[#This Row],[Number of Users]]-Sales[[#This Row],[Licenses Bought]])</f>
        <v>1</v>
      </c>
      <c r="P1749" s="8">
        <f>IF(Sales[[#This Row],[Sales Month]]=MAX(Sales[Sales Month]),Sales[[#This Row],[Non-Paying Users]]*Sales[[#This Row],[Upsell $ per Non-Paying User]],0)</f>
        <v>0</v>
      </c>
      <c r="Q1749" t="str" cm="1">
        <f t="array" ref="Q1749">_xlfn.IFS(Sales[[#This Row],[Current Upsell $]]=0,"",Sales[[#This Row],[Current Upsell $]]&gt;=400,"High",Sales[[#This Row],[Current Upsell $]]&gt;=100,"Medium",Sales[[#This Row],[Current Upsell $]]&lt;100,"Low")</f>
        <v/>
      </c>
      <c r="R1749" t="str">
        <f>IF(Sales[[#This Row],[Current Upsell $]]&gt;0,_xlfn.CONCAT(Sales[[#This Row],[Subscription Type]]," ",Sales[[#This Row],[Upsell Priority]]," ",TEXT(Sales[[#This Row],[Current Upsell $]],"$#,#")),"")</f>
        <v/>
      </c>
    </row>
    <row r="1750" spans="1:18" x14ac:dyDescent="0.25">
      <c r="A1750">
        <v>100191</v>
      </c>
      <c r="B1750" t="s">
        <v>0</v>
      </c>
      <c r="D1750" s="1"/>
      <c r="E1750" s="1"/>
      <c r="F1750">
        <v>1</v>
      </c>
      <c r="G1750">
        <v>2</v>
      </c>
      <c r="H1750" s="1">
        <v>44197</v>
      </c>
      <c r="I1750" s="1">
        <v>44378</v>
      </c>
      <c r="J1750">
        <v>6</v>
      </c>
      <c r="K1750">
        <v>0</v>
      </c>
      <c r="L1750" s="1">
        <v>44348</v>
      </c>
      <c r="M1750">
        <v>10</v>
      </c>
      <c r="N1750" s="8" cm="1">
        <f t="array" ref="N1750">_xlfn.SWITCH(Sales[[#This Row],[Subscription Type]],"Basic",10,"Premium",10,"Business",25,"Enterprise",27)</f>
        <v>10</v>
      </c>
      <c r="O1750">
        <f>IF(Sales[[#This Row],[Number of Users]]-Sales[[#This Row],[Licenses Bought]]&lt;0,0,Sales[[#This Row],[Number of Users]]-Sales[[#This Row],[Licenses Bought]])</f>
        <v>1</v>
      </c>
      <c r="P1750" s="8">
        <f>IF(Sales[[#This Row],[Sales Month]]=MAX(Sales[Sales Month]),Sales[[#This Row],[Non-Paying Users]]*Sales[[#This Row],[Upsell $ per Non-Paying User]],0)</f>
        <v>10</v>
      </c>
      <c r="Q1750" t="str" cm="1">
        <f t="array" ref="Q1750">_xlfn.IFS(Sales[[#This Row],[Current Upsell $]]=0,"",Sales[[#This Row],[Current Upsell $]]&gt;=400,"High",Sales[[#This Row],[Current Upsell $]]&gt;=100,"Medium",Sales[[#This Row],[Current Upsell $]]&lt;100,"Low")</f>
        <v>Low</v>
      </c>
      <c r="R1750" t="str">
        <f>IF(Sales[[#This Row],[Current Upsell $]]&gt;0,_xlfn.CONCAT(Sales[[#This Row],[Subscription Type]]," ",Sales[[#This Row],[Upsell Priority]]," ",TEXT(Sales[[#This Row],[Current Upsell $]],"$#,#")),"")</f>
        <v>Premium Low $10</v>
      </c>
    </row>
    <row r="1751" spans="1:18" x14ac:dyDescent="0.25">
      <c r="A1751">
        <v>100192</v>
      </c>
      <c r="B1751" t="s">
        <v>3</v>
      </c>
      <c r="D1751" s="1"/>
      <c r="E1751" s="1"/>
      <c r="F1751">
        <v>0</v>
      </c>
      <c r="G1751">
        <v>62</v>
      </c>
      <c r="H1751" s="1">
        <v>44228</v>
      </c>
      <c r="I1751" s="1">
        <v>44378</v>
      </c>
      <c r="J1751">
        <v>5</v>
      </c>
      <c r="K1751">
        <v>0</v>
      </c>
      <c r="L1751" s="1">
        <v>44228</v>
      </c>
      <c r="M1751">
        <v>0</v>
      </c>
      <c r="N1751" s="8" cm="1">
        <f t="array" ref="N1751">_xlfn.SWITCH(Sales[[#This Row],[Subscription Type]],"Basic",10,"Premium",10,"Business",25,"Enterprise",27)</f>
        <v>10</v>
      </c>
      <c r="O1751">
        <f>IF(Sales[[#This Row],[Number of Users]]-Sales[[#This Row],[Licenses Bought]]&lt;0,0,Sales[[#This Row],[Number of Users]]-Sales[[#This Row],[Licenses Bought]])</f>
        <v>62</v>
      </c>
      <c r="P1751" s="8">
        <f>IF(Sales[[#This Row],[Sales Month]]=MAX(Sales[Sales Month]),Sales[[#This Row],[Non-Paying Users]]*Sales[[#This Row],[Upsell $ per Non-Paying User]],0)</f>
        <v>0</v>
      </c>
      <c r="Q1751" t="str" cm="1">
        <f t="array" ref="Q1751">_xlfn.IFS(Sales[[#This Row],[Current Upsell $]]=0,"",Sales[[#This Row],[Current Upsell $]]&gt;=400,"High",Sales[[#This Row],[Current Upsell $]]&gt;=100,"Medium",Sales[[#This Row],[Current Upsell $]]&lt;100,"Low")</f>
        <v/>
      </c>
      <c r="R1751" t="str">
        <f>IF(Sales[[#This Row],[Current Upsell $]]&gt;0,_xlfn.CONCAT(Sales[[#This Row],[Subscription Type]]," ",Sales[[#This Row],[Upsell Priority]]," ",TEXT(Sales[[#This Row],[Current Upsell $]],"$#,#")),"")</f>
        <v/>
      </c>
    </row>
    <row r="1752" spans="1:18" x14ac:dyDescent="0.25">
      <c r="A1752">
        <v>100192</v>
      </c>
      <c r="B1752" t="s">
        <v>0</v>
      </c>
      <c r="D1752" s="1"/>
      <c r="E1752" s="1"/>
      <c r="F1752">
        <v>22</v>
      </c>
      <c r="G1752">
        <v>68</v>
      </c>
      <c r="H1752" s="1">
        <v>44228</v>
      </c>
      <c r="I1752" s="1">
        <v>44378</v>
      </c>
      <c r="J1752">
        <v>5</v>
      </c>
      <c r="K1752">
        <v>0</v>
      </c>
      <c r="L1752" s="1">
        <v>44256</v>
      </c>
      <c r="M1752">
        <v>220</v>
      </c>
      <c r="N1752" s="8" cm="1">
        <f t="array" ref="N1752">_xlfn.SWITCH(Sales[[#This Row],[Subscription Type]],"Basic",10,"Premium",10,"Business",25,"Enterprise",27)</f>
        <v>10</v>
      </c>
      <c r="O1752">
        <f>IF(Sales[[#This Row],[Number of Users]]-Sales[[#This Row],[Licenses Bought]]&lt;0,0,Sales[[#This Row],[Number of Users]]-Sales[[#This Row],[Licenses Bought]])</f>
        <v>46</v>
      </c>
      <c r="P1752" s="8">
        <f>IF(Sales[[#This Row],[Sales Month]]=MAX(Sales[Sales Month]),Sales[[#This Row],[Non-Paying Users]]*Sales[[#This Row],[Upsell $ per Non-Paying User]],0)</f>
        <v>0</v>
      </c>
      <c r="Q1752" t="str" cm="1">
        <f t="array" ref="Q1752">_xlfn.IFS(Sales[[#This Row],[Current Upsell $]]=0,"",Sales[[#This Row],[Current Upsell $]]&gt;=400,"High",Sales[[#This Row],[Current Upsell $]]&gt;=100,"Medium",Sales[[#This Row],[Current Upsell $]]&lt;100,"Low")</f>
        <v/>
      </c>
      <c r="R1752" t="str">
        <f>IF(Sales[[#This Row],[Current Upsell $]]&gt;0,_xlfn.CONCAT(Sales[[#This Row],[Subscription Type]]," ",Sales[[#This Row],[Upsell Priority]]," ",TEXT(Sales[[#This Row],[Current Upsell $]],"$#,#")),"")</f>
        <v/>
      </c>
    </row>
    <row r="1753" spans="1:18" x14ac:dyDescent="0.25">
      <c r="A1753">
        <v>100192</v>
      </c>
      <c r="B1753" t="s">
        <v>0</v>
      </c>
      <c r="D1753" s="1"/>
      <c r="E1753" s="1"/>
      <c r="F1753">
        <v>55</v>
      </c>
      <c r="G1753">
        <v>83</v>
      </c>
      <c r="H1753" s="1">
        <v>44228</v>
      </c>
      <c r="I1753" s="1">
        <v>44378</v>
      </c>
      <c r="J1753">
        <v>5</v>
      </c>
      <c r="K1753">
        <v>0</v>
      </c>
      <c r="L1753" s="1">
        <v>44287</v>
      </c>
      <c r="M1753">
        <v>550</v>
      </c>
      <c r="N1753" s="8" cm="1">
        <f t="array" ref="N1753">_xlfn.SWITCH(Sales[[#This Row],[Subscription Type]],"Basic",10,"Premium",10,"Business",25,"Enterprise",27)</f>
        <v>10</v>
      </c>
      <c r="O1753">
        <f>IF(Sales[[#This Row],[Number of Users]]-Sales[[#This Row],[Licenses Bought]]&lt;0,0,Sales[[#This Row],[Number of Users]]-Sales[[#This Row],[Licenses Bought]])</f>
        <v>28</v>
      </c>
      <c r="P1753" s="8">
        <f>IF(Sales[[#This Row],[Sales Month]]=MAX(Sales[Sales Month]),Sales[[#This Row],[Non-Paying Users]]*Sales[[#This Row],[Upsell $ per Non-Paying User]],0)</f>
        <v>0</v>
      </c>
      <c r="Q1753" t="str" cm="1">
        <f t="array" ref="Q1753">_xlfn.IFS(Sales[[#This Row],[Current Upsell $]]=0,"",Sales[[#This Row],[Current Upsell $]]&gt;=400,"High",Sales[[#This Row],[Current Upsell $]]&gt;=100,"Medium",Sales[[#This Row],[Current Upsell $]]&lt;100,"Low")</f>
        <v/>
      </c>
      <c r="R1753" t="str">
        <f>IF(Sales[[#This Row],[Current Upsell $]]&gt;0,_xlfn.CONCAT(Sales[[#This Row],[Subscription Type]]," ",Sales[[#This Row],[Upsell Priority]]," ",TEXT(Sales[[#This Row],[Current Upsell $]],"$#,#")),"")</f>
        <v/>
      </c>
    </row>
    <row r="1754" spans="1:18" x14ac:dyDescent="0.25">
      <c r="A1754">
        <v>100192</v>
      </c>
      <c r="B1754" t="s">
        <v>0</v>
      </c>
      <c r="D1754" s="1"/>
      <c r="E1754" s="1"/>
      <c r="F1754">
        <v>47</v>
      </c>
      <c r="G1754">
        <v>73</v>
      </c>
      <c r="H1754" s="1">
        <v>44228</v>
      </c>
      <c r="I1754" s="1">
        <v>44378</v>
      </c>
      <c r="J1754">
        <v>5</v>
      </c>
      <c r="K1754">
        <v>0</v>
      </c>
      <c r="L1754" s="1">
        <v>44317</v>
      </c>
      <c r="M1754">
        <v>470</v>
      </c>
      <c r="N1754" s="8" cm="1">
        <f t="array" ref="N1754">_xlfn.SWITCH(Sales[[#This Row],[Subscription Type]],"Basic",10,"Premium",10,"Business",25,"Enterprise",27)</f>
        <v>10</v>
      </c>
      <c r="O1754">
        <f>IF(Sales[[#This Row],[Number of Users]]-Sales[[#This Row],[Licenses Bought]]&lt;0,0,Sales[[#This Row],[Number of Users]]-Sales[[#This Row],[Licenses Bought]])</f>
        <v>26</v>
      </c>
      <c r="P1754" s="8">
        <f>IF(Sales[[#This Row],[Sales Month]]=MAX(Sales[Sales Month]),Sales[[#This Row],[Non-Paying Users]]*Sales[[#This Row],[Upsell $ per Non-Paying User]],0)</f>
        <v>0</v>
      </c>
      <c r="Q1754" t="str" cm="1">
        <f t="array" ref="Q1754">_xlfn.IFS(Sales[[#This Row],[Current Upsell $]]=0,"",Sales[[#This Row],[Current Upsell $]]&gt;=400,"High",Sales[[#This Row],[Current Upsell $]]&gt;=100,"Medium",Sales[[#This Row],[Current Upsell $]]&lt;100,"Low")</f>
        <v/>
      </c>
      <c r="R1754" t="str">
        <f>IF(Sales[[#This Row],[Current Upsell $]]&gt;0,_xlfn.CONCAT(Sales[[#This Row],[Subscription Type]]," ",Sales[[#This Row],[Upsell Priority]]," ",TEXT(Sales[[#This Row],[Current Upsell $]],"$#,#")),"")</f>
        <v/>
      </c>
    </row>
    <row r="1755" spans="1:18" x14ac:dyDescent="0.25">
      <c r="A1755">
        <v>100192</v>
      </c>
      <c r="B1755" t="s">
        <v>0</v>
      </c>
      <c r="D1755" s="1"/>
      <c r="E1755" s="1"/>
      <c r="F1755">
        <v>58</v>
      </c>
      <c r="G1755">
        <v>71</v>
      </c>
      <c r="H1755" s="1">
        <v>44228</v>
      </c>
      <c r="I1755" s="1">
        <v>44378</v>
      </c>
      <c r="J1755">
        <v>5</v>
      </c>
      <c r="K1755">
        <v>0</v>
      </c>
      <c r="L1755" s="1">
        <v>44348</v>
      </c>
      <c r="M1755">
        <v>580</v>
      </c>
      <c r="N1755" s="8" cm="1">
        <f t="array" ref="N1755">_xlfn.SWITCH(Sales[[#This Row],[Subscription Type]],"Basic",10,"Premium",10,"Business",25,"Enterprise",27)</f>
        <v>10</v>
      </c>
      <c r="O1755">
        <f>IF(Sales[[#This Row],[Number of Users]]-Sales[[#This Row],[Licenses Bought]]&lt;0,0,Sales[[#This Row],[Number of Users]]-Sales[[#This Row],[Licenses Bought]])</f>
        <v>13</v>
      </c>
      <c r="P1755" s="8">
        <f>IF(Sales[[#This Row],[Sales Month]]=MAX(Sales[Sales Month]),Sales[[#This Row],[Non-Paying Users]]*Sales[[#This Row],[Upsell $ per Non-Paying User]],0)</f>
        <v>130</v>
      </c>
      <c r="Q1755" t="str" cm="1">
        <f t="array" ref="Q1755">_xlfn.IFS(Sales[[#This Row],[Current Upsell $]]=0,"",Sales[[#This Row],[Current Upsell $]]&gt;=400,"High",Sales[[#This Row],[Current Upsell $]]&gt;=100,"Medium",Sales[[#This Row],[Current Upsell $]]&lt;100,"Low")</f>
        <v>Medium</v>
      </c>
      <c r="R1755" t="str">
        <f>IF(Sales[[#This Row],[Current Upsell $]]&gt;0,_xlfn.CONCAT(Sales[[#This Row],[Subscription Type]]," ",Sales[[#This Row],[Upsell Priority]]," ",TEXT(Sales[[#This Row],[Current Upsell $]],"$#,#")),"")</f>
        <v>Premium Medium $130</v>
      </c>
    </row>
    <row r="1756" spans="1:18" x14ac:dyDescent="0.25">
      <c r="A1756">
        <v>100193</v>
      </c>
      <c r="B1756" t="s">
        <v>3</v>
      </c>
      <c r="D1756" s="1"/>
      <c r="E1756" s="1"/>
      <c r="F1756">
        <v>0</v>
      </c>
      <c r="G1756">
        <v>73</v>
      </c>
      <c r="H1756" s="1">
        <v>44228</v>
      </c>
      <c r="I1756" s="1">
        <v>44378</v>
      </c>
      <c r="J1756">
        <v>5</v>
      </c>
      <c r="K1756">
        <v>0</v>
      </c>
      <c r="L1756" s="1">
        <v>44228</v>
      </c>
      <c r="M1756">
        <v>0</v>
      </c>
      <c r="N1756" s="8" cm="1">
        <f t="array" ref="N1756">_xlfn.SWITCH(Sales[[#This Row],[Subscription Type]],"Basic",10,"Premium",10,"Business",25,"Enterprise",27)</f>
        <v>10</v>
      </c>
      <c r="O1756">
        <f>IF(Sales[[#This Row],[Number of Users]]-Sales[[#This Row],[Licenses Bought]]&lt;0,0,Sales[[#This Row],[Number of Users]]-Sales[[#This Row],[Licenses Bought]])</f>
        <v>73</v>
      </c>
      <c r="P1756" s="8">
        <f>IF(Sales[[#This Row],[Sales Month]]=MAX(Sales[Sales Month]),Sales[[#This Row],[Non-Paying Users]]*Sales[[#This Row],[Upsell $ per Non-Paying User]],0)</f>
        <v>0</v>
      </c>
      <c r="Q1756" t="str" cm="1">
        <f t="array" ref="Q1756">_xlfn.IFS(Sales[[#This Row],[Current Upsell $]]=0,"",Sales[[#This Row],[Current Upsell $]]&gt;=400,"High",Sales[[#This Row],[Current Upsell $]]&gt;=100,"Medium",Sales[[#This Row],[Current Upsell $]]&lt;100,"Low")</f>
        <v/>
      </c>
      <c r="R1756" t="str">
        <f>IF(Sales[[#This Row],[Current Upsell $]]&gt;0,_xlfn.CONCAT(Sales[[#This Row],[Subscription Type]]," ",Sales[[#This Row],[Upsell Priority]]," ",TEXT(Sales[[#This Row],[Current Upsell $]],"$#,#")),"")</f>
        <v/>
      </c>
    </row>
    <row r="1757" spans="1:18" x14ac:dyDescent="0.25">
      <c r="A1757">
        <v>100193</v>
      </c>
      <c r="B1757" t="s">
        <v>0</v>
      </c>
      <c r="D1757" s="1"/>
      <c r="E1757" s="1"/>
      <c r="F1757">
        <v>16</v>
      </c>
      <c r="G1757">
        <v>76</v>
      </c>
      <c r="H1757" s="1">
        <v>44228</v>
      </c>
      <c r="I1757" s="1">
        <v>44378</v>
      </c>
      <c r="J1757">
        <v>5</v>
      </c>
      <c r="K1757">
        <v>0</v>
      </c>
      <c r="L1757" s="1">
        <v>44256</v>
      </c>
      <c r="M1757">
        <v>160</v>
      </c>
      <c r="N1757" s="8" cm="1">
        <f t="array" ref="N1757">_xlfn.SWITCH(Sales[[#This Row],[Subscription Type]],"Basic",10,"Premium",10,"Business",25,"Enterprise",27)</f>
        <v>10</v>
      </c>
      <c r="O1757">
        <f>IF(Sales[[#This Row],[Number of Users]]-Sales[[#This Row],[Licenses Bought]]&lt;0,0,Sales[[#This Row],[Number of Users]]-Sales[[#This Row],[Licenses Bought]])</f>
        <v>60</v>
      </c>
      <c r="P1757" s="8">
        <f>IF(Sales[[#This Row],[Sales Month]]=MAX(Sales[Sales Month]),Sales[[#This Row],[Non-Paying Users]]*Sales[[#This Row],[Upsell $ per Non-Paying User]],0)</f>
        <v>0</v>
      </c>
      <c r="Q1757" t="str" cm="1">
        <f t="array" ref="Q1757">_xlfn.IFS(Sales[[#This Row],[Current Upsell $]]=0,"",Sales[[#This Row],[Current Upsell $]]&gt;=400,"High",Sales[[#This Row],[Current Upsell $]]&gt;=100,"Medium",Sales[[#This Row],[Current Upsell $]]&lt;100,"Low")</f>
        <v/>
      </c>
      <c r="R1757" t="str">
        <f>IF(Sales[[#This Row],[Current Upsell $]]&gt;0,_xlfn.CONCAT(Sales[[#This Row],[Subscription Type]]," ",Sales[[#This Row],[Upsell Priority]]," ",TEXT(Sales[[#This Row],[Current Upsell $]],"$#,#")),"")</f>
        <v/>
      </c>
    </row>
    <row r="1758" spans="1:18" x14ac:dyDescent="0.25">
      <c r="A1758">
        <v>100193</v>
      </c>
      <c r="B1758" t="s">
        <v>0</v>
      </c>
      <c r="D1758" s="1"/>
      <c r="E1758" s="1"/>
      <c r="F1758">
        <v>37</v>
      </c>
      <c r="G1758">
        <v>68</v>
      </c>
      <c r="H1758" s="1">
        <v>44228</v>
      </c>
      <c r="I1758" s="1">
        <v>44378</v>
      </c>
      <c r="J1758">
        <v>5</v>
      </c>
      <c r="K1758">
        <v>0</v>
      </c>
      <c r="L1758" s="1">
        <v>44287</v>
      </c>
      <c r="M1758">
        <v>370</v>
      </c>
      <c r="N1758" s="8" cm="1">
        <f t="array" ref="N1758">_xlfn.SWITCH(Sales[[#This Row],[Subscription Type]],"Basic",10,"Premium",10,"Business",25,"Enterprise",27)</f>
        <v>10</v>
      </c>
      <c r="O1758">
        <f>IF(Sales[[#This Row],[Number of Users]]-Sales[[#This Row],[Licenses Bought]]&lt;0,0,Sales[[#This Row],[Number of Users]]-Sales[[#This Row],[Licenses Bought]])</f>
        <v>31</v>
      </c>
      <c r="P1758" s="8">
        <f>IF(Sales[[#This Row],[Sales Month]]=MAX(Sales[Sales Month]),Sales[[#This Row],[Non-Paying Users]]*Sales[[#This Row],[Upsell $ per Non-Paying User]],0)</f>
        <v>0</v>
      </c>
      <c r="Q1758" t="str" cm="1">
        <f t="array" ref="Q1758">_xlfn.IFS(Sales[[#This Row],[Current Upsell $]]=0,"",Sales[[#This Row],[Current Upsell $]]&gt;=400,"High",Sales[[#This Row],[Current Upsell $]]&gt;=100,"Medium",Sales[[#This Row],[Current Upsell $]]&lt;100,"Low")</f>
        <v/>
      </c>
      <c r="R1758" t="str">
        <f>IF(Sales[[#This Row],[Current Upsell $]]&gt;0,_xlfn.CONCAT(Sales[[#This Row],[Subscription Type]]," ",Sales[[#This Row],[Upsell Priority]]," ",TEXT(Sales[[#This Row],[Current Upsell $]],"$#,#")),"")</f>
        <v/>
      </c>
    </row>
    <row r="1759" spans="1:18" x14ac:dyDescent="0.25">
      <c r="A1759">
        <v>100193</v>
      </c>
      <c r="B1759" t="s">
        <v>0</v>
      </c>
      <c r="D1759" s="1"/>
      <c r="E1759" s="1"/>
      <c r="F1759">
        <v>55</v>
      </c>
      <c r="G1759">
        <v>70</v>
      </c>
      <c r="H1759" s="1">
        <v>44228</v>
      </c>
      <c r="I1759" s="1">
        <v>44378</v>
      </c>
      <c r="J1759">
        <v>5</v>
      </c>
      <c r="K1759">
        <v>0</v>
      </c>
      <c r="L1759" s="1">
        <v>44317</v>
      </c>
      <c r="M1759">
        <v>550</v>
      </c>
      <c r="N1759" s="8" cm="1">
        <f t="array" ref="N1759">_xlfn.SWITCH(Sales[[#This Row],[Subscription Type]],"Basic",10,"Premium",10,"Business",25,"Enterprise",27)</f>
        <v>10</v>
      </c>
      <c r="O1759">
        <f>IF(Sales[[#This Row],[Number of Users]]-Sales[[#This Row],[Licenses Bought]]&lt;0,0,Sales[[#This Row],[Number of Users]]-Sales[[#This Row],[Licenses Bought]])</f>
        <v>15</v>
      </c>
      <c r="P1759" s="8">
        <f>IF(Sales[[#This Row],[Sales Month]]=MAX(Sales[Sales Month]),Sales[[#This Row],[Non-Paying Users]]*Sales[[#This Row],[Upsell $ per Non-Paying User]],0)</f>
        <v>0</v>
      </c>
      <c r="Q1759" t="str" cm="1">
        <f t="array" ref="Q1759">_xlfn.IFS(Sales[[#This Row],[Current Upsell $]]=0,"",Sales[[#This Row],[Current Upsell $]]&gt;=400,"High",Sales[[#This Row],[Current Upsell $]]&gt;=100,"Medium",Sales[[#This Row],[Current Upsell $]]&lt;100,"Low")</f>
        <v/>
      </c>
      <c r="R1759" t="str">
        <f>IF(Sales[[#This Row],[Current Upsell $]]&gt;0,_xlfn.CONCAT(Sales[[#This Row],[Subscription Type]]," ",Sales[[#This Row],[Upsell Priority]]," ",TEXT(Sales[[#This Row],[Current Upsell $]],"$#,#")),"")</f>
        <v/>
      </c>
    </row>
    <row r="1760" spans="1:18" x14ac:dyDescent="0.25">
      <c r="A1760">
        <v>100193</v>
      </c>
      <c r="B1760" t="s">
        <v>0</v>
      </c>
      <c r="D1760" s="1"/>
      <c r="E1760" s="1"/>
      <c r="F1760">
        <v>58</v>
      </c>
      <c r="G1760">
        <v>51</v>
      </c>
      <c r="H1760" s="1">
        <v>44228</v>
      </c>
      <c r="I1760" s="1">
        <v>44378</v>
      </c>
      <c r="J1760">
        <v>5</v>
      </c>
      <c r="K1760">
        <v>0</v>
      </c>
      <c r="L1760" s="1">
        <v>44348</v>
      </c>
      <c r="M1760">
        <v>580</v>
      </c>
      <c r="N1760" s="8" cm="1">
        <f t="array" ref="N1760">_xlfn.SWITCH(Sales[[#This Row],[Subscription Type]],"Basic",10,"Premium",10,"Business",25,"Enterprise",27)</f>
        <v>10</v>
      </c>
      <c r="O1760">
        <f>IF(Sales[[#This Row],[Number of Users]]-Sales[[#This Row],[Licenses Bought]]&lt;0,0,Sales[[#This Row],[Number of Users]]-Sales[[#This Row],[Licenses Bought]])</f>
        <v>0</v>
      </c>
      <c r="P1760" s="8">
        <f>IF(Sales[[#This Row],[Sales Month]]=MAX(Sales[Sales Month]),Sales[[#This Row],[Non-Paying Users]]*Sales[[#This Row],[Upsell $ per Non-Paying User]],0)</f>
        <v>0</v>
      </c>
      <c r="Q1760" t="str" cm="1">
        <f t="array" ref="Q1760">_xlfn.IFS(Sales[[#This Row],[Current Upsell $]]=0,"",Sales[[#This Row],[Current Upsell $]]&gt;=400,"High",Sales[[#This Row],[Current Upsell $]]&gt;=100,"Medium",Sales[[#This Row],[Current Upsell $]]&lt;100,"Low")</f>
        <v/>
      </c>
      <c r="R1760" t="str">
        <f>IF(Sales[[#This Row],[Current Upsell $]]&gt;0,_xlfn.CONCAT(Sales[[#This Row],[Subscription Type]]," ",Sales[[#This Row],[Upsell Priority]]," ",TEXT(Sales[[#This Row],[Current Upsell $]],"$#,#")),"")</f>
        <v/>
      </c>
    </row>
    <row r="1761" spans="1:18" x14ac:dyDescent="0.25">
      <c r="A1761">
        <v>100194</v>
      </c>
      <c r="B1761" t="s">
        <v>3</v>
      </c>
      <c r="D1761" s="1"/>
      <c r="E1761" s="1"/>
      <c r="F1761">
        <v>0</v>
      </c>
      <c r="G1761">
        <v>73</v>
      </c>
      <c r="H1761" s="1">
        <v>44228</v>
      </c>
      <c r="I1761" s="1">
        <v>44378</v>
      </c>
      <c r="J1761">
        <v>5</v>
      </c>
      <c r="K1761">
        <v>0</v>
      </c>
      <c r="L1761" s="1">
        <v>44228</v>
      </c>
      <c r="M1761">
        <v>0</v>
      </c>
      <c r="N1761" s="8" cm="1">
        <f t="array" ref="N1761">_xlfn.SWITCH(Sales[[#This Row],[Subscription Type]],"Basic",10,"Premium",10,"Business",25,"Enterprise",27)</f>
        <v>10</v>
      </c>
      <c r="O1761">
        <f>IF(Sales[[#This Row],[Number of Users]]-Sales[[#This Row],[Licenses Bought]]&lt;0,0,Sales[[#This Row],[Number of Users]]-Sales[[#This Row],[Licenses Bought]])</f>
        <v>73</v>
      </c>
      <c r="P1761" s="8">
        <f>IF(Sales[[#This Row],[Sales Month]]=MAX(Sales[Sales Month]),Sales[[#This Row],[Non-Paying Users]]*Sales[[#This Row],[Upsell $ per Non-Paying User]],0)</f>
        <v>0</v>
      </c>
      <c r="Q1761" t="str" cm="1">
        <f t="array" ref="Q1761">_xlfn.IFS(Sales[[#This Row],[Current Upsell $]]=0,"",Sales[[#This Row],[Current Upsell $]]&gt;=400,"High",Sales[[#This Row],[Current Upsell $]]&gt;=100,"Medium",Sales[[#This Row],[Current Upsell $]]&lt;100,"Low")</f>
        <v/>
      </c>
      <c r="R1761" t="str">
        <f>IF(Sales[[#This Row],[Current Upsell $]]&gt;0,_xlfn.CONCAT(Sales[[#This Row],[Subscription Type]]," ",Sales[[#This Row],[Upsell Priority]]," ",TEXT(Sales[[#This Row],[Current Upsell $]],"$#,#")),"")</f>
        <v/>
      </c>
    </row>
    <row r="1762" spans="1:18" x14ac:dyDescent="0.25">
      <c r="A1762">
        <v>100194</v>
      </c>
      <c r="B1762" t="s">
        <v>0</v>
      </c>
      <c r="D1762" s="1"/>
      <c r="E1762" s="1"/>
      <c r="F1762">
        <v>16</v>
      </c>
      <c r="G1762">
        <v>60</v>
      </c>
      <c r="H1762" s="1">
        <v>44228</v>
      </c>
      <c r="I1762" s="1">
        <v>44378</v>
      </c>
      <c r="J1762">
        <v>5</v>
      </c>
      <c r="K1762">
        <v>0</v>
      </c>
      <c r="L1762" s="1">
        <v>44256</v>
      </c>
      <c r="M1762">
        <v>160</v>
      </c>
      <c r="N1762" s="8" cm="1">
        <f t="array" ref="N1762">_xlfn.SWITCH(Sales[[#This Row],[Subscription Type]],"Basic",10,"Premium",10,"Business",25,"Enterprise",27)</f>
        <v>10</v>
      </c>
      <c r="O1762">
        <f>IF(Sales[[#This Row],[Number of Users]]-Sales[[#This Row],[Licenses Bought]]&lt;0,0,Sales[[#This Row],[Number of Users]]-Sales[[#This Row],[Licenses Bought]])</f>
        <v>44</v>
      </c>
      <c r="P1762" s="8">
        <f>IF(Sales[[#This Row],[Sales Month]]=MAX(Sales[Sales Month]),Sales[[#This Row],[Non-Paying Users]]*Sales[[#This Row],[Upsell $ per Non-Paying User]],0)</f>
        <v>0</v>
      </c>
      <c r="Q1762" t="str" cm="1">
        <f t="array" ref="Q1762">_xlfn.IFS(Sales[[#This Row],[Current Upsell $]]=0,"",Sales[[#This Row],[Current Upsell $]]&gt;=400,"High",Sales[[#This Row],[Current Upsell $]]&gt;=100,"Medium",Sales[[#This Row],[Current Upsell $]]&lt;100,"Low")</f>
        <v/>
      </c>
      <c r="R1762" t="str">
        <f>IF(Sales[[#This Row],[Current Upsell $]]&gt;0,_xlfn.CONCAT(Sales[[#This Row],[Subscription Type]]," ",Sales[[#This Row],[Upsell Priority]]," ",TEXT(Sales[[#This Row],[Current Upsell $]],"$#,#")),"")</f>
        <v/>
      </c>
    </row>
    <row r="1763" spans="1:18" x14ac:dyDescent="0.25">
      <c r="A1763">
        <v>100194</v>
      </c>
      <c r="B1763" t="s">
        <v>0</v>
      </c>
      <c r="D1763" s="1"/>
      <c r="E1763" s="1"/>
      <c r="F1763">
        <v>29</v>
      </c>
      <c r="G1763">
        <v>64</v>
      </c>
      <c r="H1763" s="1">
        <v>44228</v>
      </c>
      <c r="I1763" s="1">
        <v>44378</v>
      </c>
      <c r="J1763">
        <v>5</v>
      </c>
      <c r="K1763">
        <v>0</v>
      </c>
      <c r="L1763" s="1">
        <v>44287</v>
      </c>
      <c r="M1763">
        <v>290</v>
      </c>
      <c r="N1763" s="8" cm="1">
        <f t="array" ref="N1763">_xlfn.SWITCH(Sales[[#This Row],[Subscription Type]],"Basic",10,"Premium",10,"Business",25,"Enterprise",27)</f>
        <v>10</v>
      </c>
      <c r="O1763">
        <f>IF(Sales[[#This Row],[Number of Users]]-Sales[[#This Row],[Licenses Bought]]&lt;0,0,Sales[[#This Row],[Number of Users]]-Sales[[#This Row],[Licenses Bought]])</f>
        <v>35</v>
      </c>
      <c r="P1763" s="8">
        <f>IF(Sales[[#This Row],[Sales Month]]=MAX(Sales[Sales Month]),Sales[[#This Row],[Non-Paying Users]]*Sales[[#This Row],[Upsell $ per Non-Paying User]],0)</f>
        <v>0</v>
      </c>
      <c r="Q1763" t="str" cm="1">
        <f t="array" ref="Q1763">_xlfn.IFS(Sales[[#This Row],[Current Upsell $]]=0,"",Sales[[#This Row],[Current Upsell $]]&gt;=400,"High",Sales[[#This Row],[Current Upsell $]]&gt;=100,"Medium",Sales[[#This Row],[Current Upsell $]]&lt;100,"Low")</f>
        <v/>
      </c>
      <c r="R1763" t="str">
        <f>IF(Sales[[#This Row],[Current Upsell $]]&gt;0,_xlfn.CONCAT(Sales[[#This Row],[Subscription Type]]," ",Sales[[#This Row],[Upsell Priority]]," ",TEXT(Sales[[#This Row],[Current Upsell $]],"$#,#")),"")</f>
        <v/>
      </c>
    </row>
    <row r="1764" spans="1:18" x14ac:dyDescent="0.25">
      <c r="A1764">
        <v>100194</v>
      </c>
      <c r="B1764" t="s">
        <v>0</v>
      </c>
      <c r="D1764" s="1"/>
      <c r="E1764" s="1"/>
      <c r="F1764">
        <v>44</v>
      </c>
      <c r="G1764">
        <v>77</v>
      </c>
      <c r="H1764" s="1">
        <v>44228</v>
      </c>
      <c r="I1764" s="1">
        <v>44378</v>
      </c>
      <c r="J1764">
        <v>5</v>
      </c>
      <c r="K1764">
        <v>0</v>
      </c>
      <c r="L1764" s="1">
        <v>44317</v>
      </c>
      <c r="M1764">
        <v>440</v>
      </c>
      <c r="N1764" s="8" cm="1">
        <f t="array" ref="N1764">_xlfn.SWITCH(Sales[[#This Row],[Subscription Type]],"Basic",10,"Premium",10,"Business",25,"Enterprise",27)</f>
        <v>10</v>
      </c>
      <c r="O1764">
        <f>IF(Sales[[#This Row],[Number of Users]]-Sales[[#This Row],[Licenses Bought]]&lt;0,0,Sales[[#This Row],[Number of Users]]-Sales[[#This Row],[Licenses Bought]])</f>
        <v>33</v>
      </c>
      <c r="P1764" s="8">
        <f>IF(Sales[[#This Row],[Sales Month]]=MAX(Sales[Sales Month]),Sales[[#This Row],[Non-Paying Users]]*Sales[[#This Row],[Upsell $ per Non-Paying User]],0)</f>
        <v>0</v>
      </c>
      <c r="Q1764" t="str" cm="1">
        <f t="array" ref="Q1764">_xlfn.IFS(Sales[[#This Row],[Current Upsell $]]=0,"",Sales[[#This Row],[Current Upsell $]]&gt;=400,"High",Sales[[#This Row],[Current Upsell $]]&gt;=100,"Medium",Sales[[#This Row],[Current Upsell $]]&lt;100,"Low")</f>
        <v/>
      </c>
      <c r="R1764" t="str">
        <f>IF(Sales[[#This Row],[Current Upsell $]]&gt;0,_xlfn.CONCAT(Sales[[#This Row],[Subscription Type]]," ",Sales[[#This Row],[Upsell Priority]]," ",TEXT(Sales[[#This Row],[Current Upsell $]],"$#,#")),"")</f>
        <v/>
      </c>
    </row>
    <row r="1765" spans="1:18" x14ac:dyDescent="0.25">
      <c r="A1765">
        <v>100194</v>
      </c>
      <c r="B1765" t="s">
        <v>0</v>
      </c>
      <c r="D1765" s="1"/>
      <c r="E1765" s="1"/>
      <c r="F1765">
        <v>50</v>
      </c>
      <c r="G1765">
        <v>60</v>
      </c>
      <c r="H1765" s="1">
        <v>44228</v>
      </c>
      <c r="I1765" s="1">
        <v>44378</v>
      </c>
      <c r="J1765">
        <v>5</v>
      </c>
      <c r="K1765">
        <v>0</v>
      </c>
      <c r="L1765" s="1">
        <v>44348</v>
      </c>
      <c r="M1765">
        <v>500</v>
      </c>
      <c r="N1765" s="8" cm="1">
        <f t="array" ref="N1765">_xlfn.SWITCH(Sales[[#This Row],[Subscription Type]],"Basic",10,"Premium",10,"Business",25,"Enterprise",27)</f>
        <v>10</v>
      </c>
      <c r="O1765">
        <f>IF(Sales[[#This Row],[Number of Users]]-Sales[[#This Row],[Licenses Bought]]&lt;0,0,Sales[[#This Row],[Number of Users]]-Sales[[#This Row],[Licenses Bought]])</f>
        <v>10</v>
      </c>
      <c r="P1765" s="8">
        <f>IF(Sales[[#This Row],[Sales Month]]=MAX(Sales[Sales Month]),Sales[[#This Row],[Non-Paying Users]]*Sales[[#This Row],[Upsell $ per Non-Paying User]],0)</f>
        <v>100</v>
      </c>
      <c r="Q1765" t="str" cm="1">
        <f t="array" ref="Q1765">_xlfn.IFS(Sales[[#This Row],[Current Upsell $]]=0,"",Sales[[#This Row],[Current Upsell $]]&gt;=400,"High",Sales[[#This Row],[Current Upsell $]]&gt;=100,"Medium",Sales[[#This Row],[Current Upsell $]]&lt;100,"Low")</f>
        <v>Medium</v>
      </c>
      <c r="R1765" t="str">
        <f>IF(Sales[[#This Row],[Current Upsell $]]&gt;0,_xlfn.CONCAT(Sales[[#This Row],[Subscription Type]]," ",Sales[[#This Row],[Upsell Priority]]," ",TEXT(Sales[[#This Row],[Current Upsell $]],"$#,#")),"")</f>
        <v>Premium Medium $100</v>
      </c>
    </row>
    <row r="1766" spans="1:18" x14ac:dyDescent="0.25">
      <c r="A1766">
        <v>100195</v>
      </c>
      <c r="B1766" t="s">
        <v>3</v>
      </c>
      <c r="D1766" s="1"/>
      <c r="E1766" s="1"/>
      <c r="F1766">
        <v>0</v>
      </c>
      <c r="G1766">
        <v>51</v>
      </c>
      <c r="H1766" s="1">
        <v>44228</v>
      </c>
      <c r="I1766" s="1">
        <v>44378</v>
      </c>
      <c r="J1766">
        <v>5</v>
      </c>
      <c r="K1766">
        <v>0</v>
      </c>
      <c r="L1766" s="1">
        <v>44228</v>
      </c>
      <c r="M1766">
        <v>0</v>
      </c>
      <c r="N1766" s="8" cm="1">
        <f t="array" ref="N1766">_xlfn.SWITCH(Sales[[#This Row],[Subscription Type]],"Basic",10,"Premium",10,"Business",25,"Enterprise",27)</f>
        <v>10</v>
      </c>
      <c r="O1766">
        <f>IF(Sales[[#This Row],[Number of Users]]-Sales[[#This Row],[Licenses Bought]]&lt;0,0,Sales[[#This Row],[Number of Users]]-Sales[[#This Row],[Licenses Bought]])</f>
        <v>51</v>
      </c>
      <c r="P1766" s="8">
        <f>IF(Sales[[#This Row],[Sales Month]]=MAX(Sales[Sales Month]),Sales[[#This Row],[Non-Paying Users]]*Sales[[#This Row],[Upsell $ per Non-Paying User]],0)</f>
        <v>0</v>
      </c>
      <c r="Q1766" t="str" cm="1">
        <f t="array" ref="Q1766">_xlfn.IFS(Sales[[#This Row],[Current Upsell $]]=0,"",Sales[[#This Row],[Current Upsell $]]&gt;=400,"High",Sales[[#This Row],[Current Upsell $]]&gt;=100,"Medium",Sales[[#This Row],[Current Upsell $]]&lt;100,"Low")</f>
        <v/>
      </c>
      <c r="R1766" t="str">
        <f>IF(Sales[[#This Row],[Current Upsell $]]&gt;0,_xlfn.CONCAT(Sales[[#This Row],[Subscription Type]]," ",Sales[[#This Row],[Upsell Priority]]," ",TEXT(Sales[[#This Row],[Current Upsell $]],"$#,#")),"")</f>
        <v/>
      </c>
    </row>
    <row r="1767" spans="1:18" x14ac:dyDescent="0.25">
      <c r="A1767">
        <v>100195</v>
      </c>
      <c r="B1767" t="s">
        <v>0</v>
      </c>
      <c r="D1767" s="1"/>
      <c r="E1767" s="1"/>
      <c r="F1767">
        <v>13</v>
      </c>
      <c r="G1767">
        <v>63</v>
      </c>
      <c r="H1767" s="1">
        <v>44228</v>
      </c>
      <c r="I1767" s="1">
        <v>44378</v>
      </c>
      <c r="J1767">
        <v>5</v>
      </c>
      <c r="K1767">
        <v>0</v>
      </c>
      <c r="L1767" s="1">
        <v>44256</v>
      </c>
      <c r="M1767">
        <v>130</v>
      </c>
      <c r="N1767" s="8" cm="1">
        <f t="array" ref="N1767">_xlfn.SWITCH(Sales[[#This Row],[Subscription Type]],"Basic",10,"Premium",10,"Business",25,"Enterprise",27)</f>
        <v>10</v>
      </c>
      <c r="O1767">
        <f>IF(Sales[[#This Row],[Number of Users]]-Sales[[#This Row],[Licenses Bought]]&lt;0,0,Sales[[#This Row],[Number of Users]]-Sales[[#This Row],[Licenses Bought]])</f>
        <v>50</v>
      </c>
      <c r="P1767" s="8">
        <f>IF(Sales[[#This Row],[Sales Month]]=MAX(Sales[Sales Month]),Sales[[#This Row],[Non-Paying Users]]*Sales[[#This Row],[Upsell $ per Non-Paying User]],0)</f>
        <v>0</v>
      </c>
      <c r="Q1767" t="str" cm="1">
        <f t="array" ref="Q1767">_xlfn.IFS(Sales[[#This Row],[Current Upsell $]]=0,"",Sales[[#This Row],[Current Upsell $]]&gt;=400,"High",Sales[[#This Row],[Current Upsell $]]&gt;=100,"Medium",Sales[[#This Row],[Current Upsell $]]&lt;100,"Low")</f>
        <v/>
      </c>
      <c r="R1767" t="str">
        <f>IF(Sales[[#This Row],[Current Upsell $]]&gt;0,_xlfn.CONCAT(Sales[[#This Row],[Subscription Type]]," ",Sales[[#This Row],[Upsell Priority]]," ",TEXT(Sales[[#This Row],[Current Upsell $]],"$#,#")),"")</f>
        <v/>
      </c>
    </row>
    <row r="1768" spans="1:18" x14ac:dyDescent="0.25">
      <c r="A1768">
        <v>100195</v>
      </c>
      <c r="B1768" t="s">
        <v>0</v>
      </c>
      <c r="D1768" s="1"/>
      <c r="E1768" s="1"/>
      <c r="F1768">
        <v>43</v>
      </c>
      <c r="G1768">
        <v>58</v>
      </c>
      <c r="H1768" s="1">
        <v>44228</v>
      </c>
      <c r="I1768" s="1">
        <v>44378</v>
      </c>
      <c r="J1768">
        <v>5</v>
      </c>
      <c r="K1768">
        <v>0</v>
      </c>
      <c r="L1768" s="1">
        <v>44287</v>
      </c>
      <c r="M1768">
        <v>430</v>
      </c>
      <c r="N1768" s="8" cm="1">
        <f t="array" ref="N1768">_xlfn.SWITCH(Sales[[#This Row],[Subscription Type]],"Basic",10,"Premium",10,"Business",25,"Enterprise",27)</f>
        <v>10</v>
      </c>
      <c r="O1768">
        <f>IF(Sales[[#This Row],[Number of Users]]-Sales[[#This Row],[Licenses Bought]]&lt;0,0,Sales[[#This Row],[Number of Users]]-Sales[[#This Row],[Licenses Bought]])</f>
        <v>15</v>
      </c>
      <c r="P1768" s="8">
        <f>IF(Sales[[#This Row],[Sales Month]]=MAX(Sales[Sales Month]),Sales[[#This Row],[Non-Paying Users]]*Sales[[#This Row],[Upsell $ per Non-Paying User]],0)</f>
        <v>0</v>
      </c>
      <c r="Q1768" t="str" cm="1">
        <f t="array" ref="Q1768">_xlfn.IFS(Sales[[#This Row],[Current Upsell $]]=0,"",Sales[[#This Row],[Current Upsell $]]&gt;=400,"High",Sales[[#This Row],[Current Upsell $]]&gt;=100,"Medium",Sales[[#This Row],[Current Upsell $]]&lt;100,"Low")</f>
        <v/>
      </c>
      <c r="R1768" t="str">
        <f>IF(Sales[[#This Row],[Current Upsell $]]&gt;0,_xlfn.CONCAT(Sales[[#This Row],[Subscription Type]]," ",Sales[[#This Row],[Upsell Priority]]," ",TEXT(Sales[[#This Row],[Current Upsell $]],"$#,#")),"")</f>
        <v/>
      </c>
    </row>
    <row r="1769" spans="1:18" x14ac:dyDescent="0.25">
      <c r="A1769">
        <v>100195</v>
      </c>
      <c r="B1769" t="s">
        <v>0</v>
      </c>
      <c r="D1769" s="1"/>
      <c r="E1769" s="1"/>
      <c r="F1769">
        <v>35</v>
      </c>
      <c r="G1769">
        <v>64</v>
      </c>
      <c r="H1769" s="1">
        <v>44228</v>
      </c>
      <c r="I1769" s="1">
        <v>44378</v>
      </c>
      <c r="J1769">
        <v>5</v>
      </c>
      <c r="K1769">
        <v>0</v>
      </c>
      <c r="L1769" s="1">
        <v>44317</v>
      </c>
      <c r="M1769">
        <v>350</v>
      </c>
      <c r="N1769" s="8" cm="1">
        <f t="array" ref="N1769">_xlfn.SWITCH(Sales[[#This Row],[Subscription Type]],"Basic",10,"Premium",10,"Business",25,"Enterprise",27)</f>
        <v>10</v>
      </c>
      <c r="O1769">
        <f>IF(Sales[[#This Row],[Number of Users]]-Sales[[#This Row],[Licenses Bought]]&lt;0,0,Sales[[#This Row],[Number of Users]]-Sales[[#This Row],[Licenses Bought]])</f>
        <v>29</v>
      </c>
      <c r="P1769" s="8">
        <f>IF(Sales[[#This Row],[Sales Month]]=MAX(Sales[Sales Month]),Sales[[#This Row],[Non-Paying Users]]*Sales[[#This Row],[Upsell $ per Non-Paying User]],0)</f>
        <v>0</v>
      </c>
      <c r="Q1769" t="str" cm="1">
        <f t="array" ref="Q1769">_xlfn.IFS(Sales[[#This Row],[Current Upsell $]]=0,"",Sales[[#This Row],[Current Upsell $]]&gt;=400,"High",Sales[[#This Row],[Current Upsell $]]&gt;=100,"Medium",Sales[[#This Row],[Current Upsell $]]&lt;100,"Low")</f>
        <v/>
      </c>
      <c r="R1769" t="str">
        <f>IF(Sales[[#This Row],[Current Upsell $]]&gt;0,_xlfn.CONCAT(Sales[[#This Row],[Subscription Type]]," ",Sales[[#This Row],[Upsell Priority]]," ",TEXT(Sales[[#This Row],[Current Upsell $]],"$#,#")),"")</f>
        <v/>
      </c>
    </row>
    <row r="1770" spans="1:18" x14ac:dyDescent="0.25">
      <c r="A1770">
        <v>100195</v>
      </c>
      <c r="B1770" t="s">
        <v>0</v>
      </c>
      <c r="D1770" s="1"/>
      <c r="E1770" s="1"/>
      <c r="F1770">
        <v>45</v>
      </c>
      <c r="G1770">
        <v>54</v>
      </c>
      <c r="H1770" s="1">
        <v>44228</v>
      </c>
      <c r="I1770" s="1">
        <v>44378</v>
      </c>
      <c r="J1770">
        <v>5</v>
      </c>
      <c r="K1770">
        <v>0</v>
      </c>
      <c r="L1770" s="1">
        <v>44348</v>
      </c>
      <c r="M1770">
        <v>450</v>
      </c>
      <c r="N1770" s="8" cm="1">
        <f t="array" ref="N1770">_xlfn.SWITCH(Sales[[#This Row],[Subscription Type]],"Basic",10,"Premium",10,"Business",25,"Enterprise",27)</f>
        <v>10</v>
      </c>
      <c r="O1770">
        <f>IF(Sales[[#This Row],[Number of Users]]-Sales[[#This Row],[Licenses Bought]]&lt;0,0,Sales[[#This Row],[Number of Users]]-Sales[[#This Row],[Licenses Bought]])</f>
        <v>9</v>
      </c>
      <c r="P1770" s="8">
        <f>IF(Sales[[#This Row],[Sales Month]]=MAX(Sales[Sales Month]),Sales[[#This Row],[Non-Paying Users]]*Sales[[#This Row],[Upsell $ per Non-Paying User]],0)</f>
        <v>90</v>
      </c>
      <c r="Q1770" t="str" cm="1">
        <f t="array" ref="Q1770">_xlfn.IFS(Sales[[#This Row],[Current Upsell $]]=0,"",Sales[[#This Row],[Current Upsell $]]&gt;=400,"High",Sales[[#This Row],[Current Upsell $]]&gt;=100,"Medium",Sales[[#This Row],[Current Upsell $]]&lt;100,"Low")</f>
        <v>Low</v>
      </c>
      <c r="R1770" t="str">
        <f>IF(Sales[[#This Row],[Current Upsell $]]&gt;0,_xlfn.CONCAT(Sales[[#This Row],[Subscription Type]]," ",Sales[[#This Row],[Upsell Priority]]," ",TEXT(Sales[[#This Row],[Current Upsell $]],"$#,#")),"")</f>
        <v>Premium Low $90</v>
      </c>
    </row>
    <row r="1771" spans="1:18" x14ac:dyDescent="0.25">
      <c r="A1771">
        <v>100196</v>
      </c>
      <c r="B1771" t="s">
        <v>3</v>
      </c>
      <c r="D1771" s="1"/>
      <c r="E1771" s="1"/>
      <c r="F1771">
        <v>0</v>
      </c>
      <c r="G1771">
        <v>53</v>
      </c>
      <c r="H1771" s="1">
        <v>44228</v>
      </c>
      <c r="I1771" s="1">
        <v>44378</v>
      </c>
      <c r="J1771">
        <v>5</v>
      </c>
      <c r="K1771">
        <v>0</v>
      </c>
      <c r="L1771" s="1">
        <v>44228</v>
      </c>
      <c r="M1771">
        <v>0</v>
      </c>
      <c r="N1771" s="8" cm="1">
        <f t="array" ref="N1771">_xlfn.SWITCH(Sales[[#This Row],[Subscription Type]],"Basic",10,"Premium",10,"Business",25,"Enterprise",27)</f>
        <v>10</v>
      </c>
      <c r="O1771">
        <f>IF(Sales[[#This Row],[Number of Users]]-Sales[[#This Row],[Licenses Bought]]&lt;0,0,Sales[[#This Row],[Number of Users]]-Sales[[#This Row],[Licenses Bought]])</f>
        <v>53</v>
      </c>
      <c r="P1771" s="8">
        <f>IF(Sales[[#This Row],[Sales Month]]=MAX(Sales[Sales Month]),Sales[[#This Row],[Non-Paying Users]]*Sales[[#This Row],[Upsell $ per Non-Paying User]],0)</f>
        <v>0</v>
      </c>
      <c r="Q1771" t="str" cm="1">
        <f t="array" ref="Q1771">_xlfn.IFS(Sales[[#This Row],[Current Upsell $]]=0,"",Sales[[#This Row],[Current Upsell $]]&gt;=400,"High",Sales[[#This Row],[Current Upsell $]]&gt;=100,"Medium",Sales[[#This Row],[Current Upsell $]]&lt;100,"Low")</f>
        <v/>
      </c>
      <c r="R1771" t="str">
        <f>IF(Sales[[#This Row],[Current Upsell $]]&gt;0,_xlfn.CONCAT(Sales[[#This Row],[Subscription Type]]," ",Sales[[#This Row],[Upsell Priority]]," ",TEXT(Sales[[#This Row],[Current Upsell $]],"$#,#")),"")</f>
        <v/>
      </c>
    </row>
    <row r="1772" spans="1:18" x14ac:dyDescent="0.25">
      <c r="A1772">
        <v>100196</v>
      </c>
      <c r="B1772" t="s">
        <v>1</v>
      </c>
      <c r="D1772" s="1"/>
      <c r="E1772" s="1"/>
      <c r="F1772">
        <v>15</v>
      </c>
      <c r="G1772">
        <v>64</v>
      </c>
      <c r="H1772" s="1">
        <v>44228</v>
      </c>
      <c r="I1772" s="1">
        <v>44378</v>
      </c>
      <c r="J1772">
        <v>5</v>
      </c>
      <c r="K1772">
        <v>0</v>
      </c>
      <c r="L1772" s="1">
        <v>44256</v>
      </c>
      <c r="M1772">
        <v>375</v>
      </c>
      <c r="N1772" s="8" cm="1">
        <f t="array" ref="N1772">_xlfn.SWITCH(Sales[[#This Row],[Subscription Type]],"Basic",10,"Premium",10,"Business",25,"Enterprise",27)</f>
        <v>25</v>
      </c>
      <c r="O1772">
        <f>IF(Sales[[#This Row],[Number of Users]]-Sales[[#This Row],[Licenses Bought]]&lt;0,0,Sales[[#This Row],[Number of Users]]-Sales[[#This Row],[Licenses Bought]])</f>
        <v>49</v>
      </c>
      <c r="P1772" s="8">
        <f>IF(Sales[[#This Row],[Sales Month]]=MAX(Sales[Sales Month]),Sales[[#This Row],[Non-Paying Users]]*Sales[[#This Row],[Upsell $ per Non-Paying User]],0)</f>
        <v>0</v>
      </c>
      <c r="Q1772" t="str" cm="1">
        <f t="array" ref="Q1772">_xlfn.IFS(Sales[[#This Row],[Current Upsell $]]=0,"",Sales[[#This Row],[Current Upsell $]]&gt;=400,"High",Sales[[#This Row],[Current Upsell $]]&gt;=100,"Medium",Sales[[#This Row],[Current Upsell $]]&lt;100,"Low")</f>
        <v/>
      </c>
      <c r="R1772" t="str">
        <f>IF(Sales[[#This Row],[Current Upsell $]]&gt;0,_xlfn.CONCAT(Sales[[#This Row],[Subscription Type]]," ",Sales[[#This Row],[Upsell Priority]]," ",TEXT(Sales[[#This Row],[Current Upsell $]],"$#,#")),"")</f>
        <v/>
      </c>
    </row>
    <row r="1773" spans="1:18" x14ac:dyDescent="0.25">
      <c r="A1773">
        <v>100196</v>
      </c>
      <c r="B1773" t="s">
        <v>1</v>
      </c>
      <c r="D1773" s="1"/>
      <c r="E1773" s="1"/>
      <c r="F1773">
        <v>44</v>
      </c>
      <c r="G1773">
        <v>50</v>
      </c>
      <c r="H1773" s="1">
        <v>44228</v>
      </c>
      <c r="I1773" s="1">
        <v>44378</v>
      </c>
      <c r="J1773">
        <v>5</v>
      </c>
      <c r="K1773">
        <v>0</v>
      </c>
      <c r="L1773" s="1">
        <v>44287</v>
      </c>
      <c r="M1773">
        <v>1100</v>
      </c>
      <c r="N1773" s="8" cm="1">
        <f t="array" ref="N1773">_xlfn.SWITCH(Sales[[#This Row],[Subscription Type]],"Basic",10,"Premium",10,"Business",25,"Enterprise",27)</f>
        <v>25</v>
      </c>
      <c r="O1773">
        <f>IF(Sales[[#This Row],[Number of Users]]-Sales[[#This Row],[Licenses Bought]]&lt;0,0,Sales[[#This Row],[Number of Users]]-Sales[[#This Row],[Licenses Bought]])</f>
        <v>6</v>
      </c>
      <c r="P1773" s="8">
        <f>IF(Sales[[#This Row],[Sales Month]]=MAX(Sales[Sales Month]),Sales[[#This Row],[Non-Paying Users]]*Sales[[#This Row],[Upsell $ per Non-Paying User]],0)</f>
        <v>0</v>
      </c>
      <c r="Q1773" t="str" cm="1">
        <f t="array" ref="Q1773">_xlfn.IFS(Sales[[#This Row],[Current Upsell $]]=0,"",Sales[[#This Row],[Current Upsell $]]&gt;=400,"High",Sales[[#This Row],[Current Upsell $]]&gt;=100,"Medium",Sales[[#This Row],[Current Upsell $]]&lt;100,"Low")</f>
        <v/>
      </c>
      <c r="R1773" t="str">
        <f>IF(Sales[[#This Row],[Current Upsell $]]&gt;0,_xlfn.CONCAT(Sales[[#This Row],[Subscription Type]]," ",Sales[[#This Row],[Upsell Priority]]," ",TEXT(Sales[[#This Row],[Current Upsell $]],"$#,#")),"")</f>
        <v/>
      </c>
    </row>
    <row r="1774" spans="1:18" x14ac:dyDescent="0.25">
      <c r="A1774">
        <v>100196</v>
      </c>
      <c r="B1774" t="s">
        <v>1</v>
      </c>
      <c r="D1774" s="1"/>
      <c r="E1774" s="1"/>
      <c r="F1774">
        <v>44</v>
      </c>
      <c r="G1774">
        <v>38</v>
      </c>
      <c r="H1774" s="1">
        <v>44228</v>
      </c>
      <c r="I1774" s="1">
        <v>44378</v>
      </c>
      <c r="J1774">
        <v>5</v>
      </c>
      <c r="K1774">
        <v>0</v>
      </c>
      <c r="L1774" s="1">
        <v>44317</v>
      </c>
      <c r="M1774">
        <v>1100</v>
      </c>
      <c r="N1774" s="8" cm="1">
        <f t="array" ref="N1774">_xlfn.SWITCH(Sales[[#This Row],[Subscription Type]],"Basic",10,"Premium",10,"Business",25,"Enterprise",27)</f>
        <v>25</v>
      </c>
      <c r="O1774">
        <f>IF(Sales[[#This Row],[Number of Users]]-Sales[[#This Row],[Licenses Bought]]&lt;0,0,Sales[[#This Row],[Number of Users]]-Sales[[#This Row],[Licenses Bought]])</f>
        <v>0</v>
      </c>
      <c r="P1774" s="8">
        <f>IF(Sales[[#This Row],[Sales Month]]=MAX(Sales[Sales Month]),Sales[[#This Row],[Non-Paying Users]]*Sales[[#This Row],[Upsell $ per Non-Paying User]],0)</f>
        <v>0</v>
      </c>
      <c r="Q1774" t="str" cm="1">
        <f t="array" ref="Q1774">_xlfn.IFS(Sales[[#This Row],[Current Upsell $]]=0,"",Sales[[#This Row],[Current Upsell $]]&gt;=400,"High",Sales[[#This Row],[Current Upsell $]]&gt;=100,"Medium",Sales[[#This Row],[Current Upsell $]]&lt;100,"Low")</f>
        <v/>
      </c>
      <c r="R1774" t="str">
        <f>IF(Sales[[#This Row],[Current Upsell $]]&gt;0,_xlfn.CONCAT(Sales[[#This Row],[Subscription Type]]," ",Sales[[#This Row],[Upsell Priority]]," ",TEXT(Sales[[#This Row],[Current Upsell $]],"$#,#")),"")</f>
        <v/>
      </c>
    </row>
    <row r="1775" spans="1:18" x14ac:dyDescent="0.25">
      <c r="A1775">
        <v>100196</v>
      </c>
      <c r="B1775" t="s">
        <v>1</v>
      </c>
      <c r="D1775" s="1"/>
      <c r="E1775" s="1"/>
      <c r="F1775">
        <v>44</v>
      </c>
      <c r="G1775">
        <v>58</v>
      </c>
      <c r="H1775" s="1">
        <v>44228</v>
      </c>
      <c r="I1775" s="1">
        <v>44378</v>
      </c>
      <c r="J1775">
        <v>5</v>
      </c>
      <c r="K1775">
        <v>0</v>
      </c>
      <c r="L1775" s="1">
        <v>44348</v>
      </c>
      <c r="M1775">
        <v>1100</v>
      </c>
      <c r="N1775" s="8" cm="1">
        <f t="array" ref="N1775">_xlfn.SWITCH(Sales[[#This Row],[Subscription Type]],"Basic",10,"Premium",10,"Business",25,"Enterprise",27)</f>
        <v>25</v>
      </c>
      <c r="O1775">
        <f>IF(Sales[[#This Row],[Number of Users]]-Sales[[#This Row],[Licenses Bought]]&lt;0,0,Sales[[#This Row],[Number of Users]]-Sales[[#This Row],[Licenses Bought]])</f>
        <v>14</v>
      </c>
      <c r="P1775" s="8">
        <f>IF(Sales[[#This Row],[Sales Month]]=MAX(Sales[Sales Month]),Sales[[#This Row],[Non-Paying Users]]*Sales[[#This Row],[Upsell $ per Non-Paying User]],0)</f>
        <v>350</v>
      </c>
      <c r="Q1775" t="str" cm="1">
        <f t="array" ref="Q1775">_xlfn.IFS(Sales[[#This Row],[Current Upsell $]]=0,"",Sales[[#This Row],[Current Upsell $]]&gt;=400,"High",Sales[[#This Row],[Current Upsell $]]&gt;=100,"Medium",Sales[[#This Row],[Current Upsell $]]&lt;100,"Low")</f>
        <v>Medium</v>
      </c>
      <c r="R1775" t="str">
        <f>IF(Sales[[#This Row],[Current Upsell $]]&gt;0,_xlfn.CONCAT(Sales[[#This Row],[Subscription Type]]," ",Sales[[#This Row],[Upsell Priority]]," ",TEXT(Sales[[#This Row],[Current Upsell $]],"$#,#")),"")</f>
        <v>Business Medium $350</v>
      </c>
    </row>
    <row r="1776" spans="1:18" x14ac:dyDescent="0.25">
      <c r="A1776">
        <v>100197</v>
      </c>
      <c r="B1776" t="s">
        <v>3</v>
      </c>
      <c r="D1776" s="1"/>
      <c r="E1776" s="1"/>
      <c r="F1776">
        <v>0</v>
      </c>
      <c r="G1776">
        <v>52</v>
      </c>
      <c r="H1776" s="1">
        <v>44228</v>
      </c>
      <c r="I1776" s="1">
        <v>44378</v>
      </c>
      <c r="J1776">
        <v>5</v>
      </c>
      <c r="K1776">
        <v>0</v>
      </c>
      <c r="L1776" s="1">
        <v>44228</v>
      </c>
      <c r="M1776">
        <v>0</v>
      </c>
      <c r="N1776" s="8" cm="1">
        <f t="array" ref="N1776">_xlfn.SWITCH(Sales[[#This Row],[Subscription Type]],"Basic",10,"Premium",10,"Business",25,"Enterprise",27)</f>
        <v>10</v>
      </c>
      <c r="O1776">
        <f>IF(Sales[[#This Row],[Number of Users]]-Sales[[#This Row],[Licenses Bought]]&lt;0,0,Sales[[#This Row],[Number of Users]]-Sales[[#This Row],[Licenses Bought]])</f>
        <v>52</v>
      </c>
      <c r="P1776" s="8">
        <f>IF(Sales[[#This Row],[Sales Month]]=MAX(Sales[Sales Month]),Sales[[#This Row],[Non-Paying Users]]*Sales[[#This Row],[Upsell $ per Non-Paying User]],0)</f>
        <v>0</v>
      </c>
      <c r="Q1776" t="str" cm="1">
        <f t="array" ref="Q1776">_xlfn.IFS(Sales[[#This Row],[Current Upsell $]]=0,"",Sales[[#This Row],[Current Upsell $]]&gt;=400,"High",Sales[[#This Row],[Current Upsell $]]&gt;=100,"Medium",Sales[[#This Row],[Current Upsell $]]&lt;100,"Low")</f>
        <v/>
      </c>
      <c r="R1776" t="str">
        <f>IF(Sales[[#This Row],[Current Upsell $]]&gt;0,_xlfn.CONCAT(Sales[[#This Row],[Subscription Type]]," ",Sales[[#This Row],[Upsell Priority]]," ",TEXT(Sales[[#This Row],[Current Upsell $]],"$#,#")),"")</f>
        <v/>
      </c>
    </row>
    <row r="1777" spans="1:18" x14ac:dyDescent="0.25">
      <c r="A1777">
        <v>100197</v>
      </c>
      <c r="B1777" t="s">
        <v>0</v>
      </c>
      <c r="D1777" s="1"/>
      <c r="E1777" s="1"/>
      <c r="F1777">
        <v>15</v>
      </c>
      <c r="G1777">
        <v>44</v>
      </c>
      <c r="H1777" s="1">
        <v>44228</v>
      </c>
      <c r="I1777" s="1">
        <v>44378</v>
      </c>
      <c r="J1777">
        <v>5</v>
      </c>
      <c r="K1777">
        <v>0</v>
      </c>
      <c r="L1777" s="1">
        <v>44256</v>
      </c>
      <c r="M1777">
        <v>150</v>
      </c>
      <c r="N1777" s="8" cm="1">
        <f t="array" ref="N1777">_xlfn.SWITCH(Sales[[#This Row],[Subscription Type]],"Basic",10,"Premium",10,"Business",25,"Enterprise",27)</f>
        <v>10</v>
      </c>
      <c r="O1777">
        <f>IF(Sales[[#This Row],[Number of Users]]-Sales[[#This Row],[Licenses Bought]]&lt;0,0,Sales[[#This Row],[Number of Users]]-Sales[[#This Row],[Licenses Bought]])</f>
        <v>29</v>
      </c>
      <c r="P1777" s="8">
        <f>IF(Sales[[#This Row],[Sales Month]]=MAX(Sales[Sales Month]),Sales[[#This Row],[Non-Paying Users]]*Sales[[#This Row],[Upsell $ per Non-Paying User]],0)</f>
        <v>0</v>
      </c>
      <c r="Q1777" t="str" cm="1">
        <f t="array" ref="Q1777">_xlfn.IFS(Sales[[#This Row],[Current Upsell $]]=0,"",Sales[[#This Row],[Current Upsell $]]&gt;=400,"High",Sales[[#This Row],[Current Upsell $]]&gt;=100,"Medium",Sales[[#This Row],[Current Upsell $]]&lt;100,"Low")</f>
        <v/>
      </c>
      <c r="R1777" t="str">
        <f>IF(Sales[[#This Row],[Current Upsell $]]&gt;0,_xlfn.CONCAT(Sales[[#This Row],[Subscription Type]]," ",Sales[[#This Row],[Upsell Priority]]," ",TEXT(Sales[[#This Row],[Current Upsell $]],"$#,#")),"")</f>
        <v/>
      </c>
    </row>
    <row r="1778" spans="1:18" x14ac:dyDescent="0.25">
      <c r="A1778">
        <v>100197</v>
      </c>
      <c r="B1778" t="s">
        <v>0</v>
      </c>
      <c r="D1778" s="1"/>
      <c r="E1778" s="1"/>
      <c r="F1778">
        <v>24</v>
      </c>
      <c r="G1778">
        <v>51</v>
      </c>
      <c r="H1778" s="1">
        <v>44228</v>
      </c>
      <c r="I1778" s="1">
        <v>44378</v>
      </c>
      <c r="J1778">
        <v>5</v>
      </c>
      <c r="K1778">
        <v>0</v>
      </c>
      <c r="L1778" s="1">
        <v>44287</v>
      </c>
      <c r="M1778">
        <v>240</v>
      </c>
      <c r="N1778" s="8" cm="1">
        <f t="array" ref="N1778">_xlfn.SWITCH(Sales[[#This Row],[Subscription Type]],"Basic",10,"Premium",10,"Business",25,"Enterprise",27)</f>
        <v>10</v>
      </c>
      <c r="O1778">
        <f>IF(Sales[[#This Row],[Number of Users]]-Sales[[#This Row],[Licenses Bought]]&lt;0,0,Sales[[#This Row],[Number of Users]]-Sales[[#This Row],[Licenses Bought]])</f>
        <v>27</v>
      </c>
      <c r="P1778" s="8">
        <f>IF(Sales[[#This Row],[Sales Month]]=MAX(Sales[Sales Month]),Sales[[#This Row],[Non-Paying Users]]*Sales[[#This Row],[Upsell $ per Non-Paying User]],0)</f>
        <v>0</v>
      </c>
      <c r="Q1778" t="str" cm="1">
        <f t="array" ref="Q1778">_xlfn.IFS(Sales[[#This Row],[Current Upsell $]]=0,"",Sales[[#This Row],[Current Upsell $]]&gt;=400,"High",Sales[[#This Row],[Current Upsell $]]&gt;=100,"Medium",Sales[[#This Row],[Current Upsell $]]&lt;100,"Low")</f>
        <v/>
      </c>
      <c r="R1778" t="str">
        <f>IF(Sales[[#This Row],[Current Upsell $]]&gt;0,_xlfn.CONCAT(Sales[[#This Row],[Subscription Type]]," ",Sales[[#This Row],[Upsell Priority]]," ",TEXT(Sales[[#This Row],[Current Upsell $]],"$#,#")),"")</f>
        <v/>
      </c>
    </row>
    <row r="1779" spans="1:18" x14ac:dyDescent="0.25">
      <c r="A1779">
        <v>100197</v>
      </c>
      <c r="B1779" t="s">
        <v>0</v>
      </c>
      <c r="D1779" s="1"/>
      <c r="E1779" s="1"/>
      <c r="F1779">
        <v>44</v>
      </c>
      <c r="G1779">
        <v>58</v>
      </c>
      <c r="H1779" s="1">
        <v>44228</v>
      </c>
      <c r="I1779" s="1">
        <v>44378</v>
      </c>
      <c r="J1779">
        <v>5</v>
      </c>
      <c r="K1779">
        <v>0</v>
      </c>
      <c r="L1779" s="1">
        <v>44317</v>
      </c>
      <c r="M1779">
        <v>440</v>
      </c>
      <c r="N1779" s="8" cm="1">
        <f t="array" ref="N1779">_xlfn.SWITCH(Sales[[#This Row],[Subscription Type]],"Basic",10,"Premium",10,"Business",25,"Enterprise",27)</f>
        <v>10</v>
      </c>
      <c r="O1779">
        <f>IF(Sales[[#This Row],[Number of Users]]-Sales[[#This Row],[Licenses Bought]]&lt;0,0,Sales[[#This Row],[Number of Users]]-Sales[[#This Row],[Licenses Bought]])</f>
        <v>14</v>
      </c>
      <c r="P1779" s="8">
        <f>IF(Sales[[#This Row],[Sales Month]]=MAX(Sales[Sales Month]),Sales[[#This Row],[Non-Paying Users]]*Sales[[#This Row],[Upsell $ per Non-Paying User]],0)</f>
        <v>0</v>
      </c>
      <c r="Q1779" t="str" cm="1">
        <f t="array" ref="Q1779">_xlfn.IFS(Sales[[#This Row],[Current Upsell $]]=0,"",Sales[[#This Row],[Current Upsell $]]&gt;=400,"High",Sales[[#This Row],[Current Upsell $]]&gt;=100,"Medium",Sales[[#This Row],[Current Upsell $]]&lt;100,"Low")</f>
        <v/>
      </c>
      <c r="R1779" t="str">
        <f>IF(Sales[[#This Row],[Current Upsell $]]&gt;0,_xlfn.CONCAT(Sales[[#This Row],[Subscription Type]]," ",Sales[[#This Row],[Upsell Priority]]," ",TEXT(Sales[[#This Row],[Current Upsell $]],"$#,#")),"")</f>
        <v/>
      </c>
    </row>
    <row r="1780" spans="1:18" x14ac:dyDescent="0.25">
      <c r="A1780">
        <v>100197</v>
      </c>
      <c r="B1780" t="s">
        <v>0</v>
      </c>
      <c r="D1780" s="1"/>
      <c r="E1780" s="1"/>
      <c r="F1780">
        <v>44</v>
      </c>
      <c r="G1780">
        <v>59</v>
      </c>
      <c r="H1780" s="1">
        <v>44228</v>
      </c>
      <c r="I1780" s="1">
        <v>44378</v>
      </c>
      <c r="J1780">
        <v>5</v>
      </c>
      <c r="K1780">
        <v>0</v>
      </c>
      <c r="L1780" s="1">
        <v>44348</v>
      </c>
      <c r="M1780">
        <v>440</v>
      </c>
      <c r="N1780" s="8" cm="1">
        <f t="array" ref="N1780">_xlfn.SWITCH(Sales[[#This Row],[Subscription Type]],"Basic",10,"Premium",10,"Business",25,"Enterprise",27)</f>
        <v>10</v>
      </c>
      <c r="O1780">
        <f>IF(Sales[[#This Row],[Number of Users]]-Sales[[#This Row],[Licenses Bought]]&lt;0,0,Sales[[#This Row],[Number of Users]]-Sales[[#This Row],[Licenses Bought]])</f>
        <v>15</v>
      </c>
      <c r="P1780" s="8">
        <f>IF(Sales[[#This Row],[Sales Month]]=MAX(Sales[Sales Month]),Sales[[#This Row],[Non-Paying Users]]*Sales[[#This Row],[Upsell $ per Non-Paying User]],0)</f>
        <v>150</v>
      </c>
      <c r="Q1780" t="str" cm="1">
        <f t="array" ref="Q1780">_xlfn.IFS(Sales[[#This Row],[Current Upsell $]]=0,"",Sales[[#This Row],[Current Upsell $]]&gt;=400,"High",Sales[[#This Row],[Current Upsell $]]&gt;=100,"Medium",Sales[[#This Row],[Current Upsell $]]&lt;100,"Low")</f>
        <v>Medium</v>
      </c>
      <c r="R1780" t="str">
        <f>IF(Sales[[#This Row],[Current Upsell $]]&gt;0,_xlfn.CONCAT(Sales[[#This Row],[Subscription Type]]," ",Sales[[#This Row],[Upsell Priority]]," ",TEXT(Sales[[#This Row],[Current Upsell $]],"$#,#")),"")</f>
        <v>Premium Medium $150</v>
      </c>
    </row>
    <row r="1781" spans="1:18" x14ac:dyDescent="0.25">
      <c r="A1781">
        <v>100198</v>
      </c>
      <c r="B1781" t="s">
        <v>3</v>
      </c>
      <c r="D1781" s="1"/>
      <c r="E1781" s="1"/>
      <c r="F1781">
        <v>0</v>
      </c>
      <c r="G1781">
        <v>45</v>
      </c>
      <c r="H1781" s="1">
        <v>44228</v>
      </c>
      <c r="I1781" s="1">
        <v>44378</v>
      </c>
      <c r="J1781">
        <v>5</v>
      </c>
      <c r="K1781">
        <v>0</v>
      </c>
      <c r="L1781" s="1">
        <v>44228</v>
      </c>
      <c r="M1781">
        <v>0</v>
      </c>
      <c r="N1781" s="8" cm="1">
        <f t="array" ref="N1781">_xlfn.SWITCH(Sales[[#This Row],[Subscription Type]],"Basic",10,"Premium",10,"Business",25,"Enterprise",27)</f>
        <v>10</v>
      </c>
      <c r="O1781">
        <f>IF(Sales[[#This Row],[Number of Users]]-Sales[[#This Row],[Licenses Bought]]&lt;0,0,Sales[[#This Row],[Number of Users]]-Sales[[#This Row],[Licenses Bought]])</f>
        <v>45</v>
      </c>
      <c r="P1781" s="8">
        <f>IF(Sales[[#This Row],[Sales Month]]=MAX(Sales[Sales Month]),Sales[[#This Row],[Non-Paying Users]]*Sales[[#This Row],[Upsell $ per Non-Paying User]],0)</f>
        <v>0</v>
      </c>
      <c r="Q1781" t="str" cm="1">
        <f t="array" ref="Q1781">_xlfn.IFS(Sales[[#This Row],[Current Upsell $]]=0,"",Sales[[#This Row],[Current Upsell $]]&gt;=400,"High",Sales[[#This Row],[Current Upsell $]]&gt;=100,"Medium",Sales[[#This Row],[Current Upsell $]]&lt;100,"Low")</f>
        <v/>
      </c>
      <c r="R1781" t="str">
        <f>IF(Sales[[#This Row],[Current Upsell $]]&gt;0,_xlfn.CONCAT(Sales[[#This Row],[Subscription Type]]," ",Sales[[#This Row],[Upsell Priority]]," ",TEXT(Sales[[#This Row],[Current Upsell $]],"$#,#")),"")</f>
        <v/>
      </c>
    </row>
    <row r="1782" spans="1:18" x14ac:dyDescent="0.25">
      <c r="A1782">
        <v>100198</v>
      </c>
      <c r="B1782" t="s">
        <v>0</v>
      </c>
      <c r="D1782" s="1"/>
      <c r="E1782" s="1"/>
      <c r="F1782">
        <v>11</v>
      </c>
      <c r="G1782">
        <v>40</v>
      </c>
      <c r="H1782" s="1">
        <v>44228</v>
      </c>
      <c r="I1782" s="1">
        <v>44378</v>
      </c>
      <c r="J1782">
        <v>5</v>
      </c>
      <c r="K1782">
        <v>0</v>
      </c>
      <c r="L1782" s="1">
        <v>44256</v>
      </c>
      <c r="M1782">
        <v>110</v>
      </c>
      <c r="N1782" s="8" cm="1">
        <f t="array" ref="N1782">_xlfn.SWITCH(Sales[[#This Row],[Subscription Type]],"Basic",10,"Premium",10,"Business",25,"Enterprise",27)</f>
        <v>10</v>
      </c>
      <c r="O1782">
        <f>IF(Sales[[#This Row],[Number of Users]]-Sales[[#This Row],[Licenses Bought]]&lt;0,0,Sales[[#This Row],[Number of Users]]-Sales[[#This Row],[Licenses Bought]])</f>
        <v>29</v>
      </c>
      <c r="P1782" s="8">
        <f>IF(Sales[[#This Row],[Sales Month]]=MAX(Sales[Sales Month]),Sales[[#This Row],[Non-Paying Users]]*Sales[[#This Row],[Upsell $ per Non-Paying User]],0)</f>
        <v>0</v>
      </c>
      <c r="Q1782" t="str" cm="1">
        <f t="array" ref="Q1782">_xlfn.IFS(Sales[[#This Row],[Current Upsell $]]=0,"",Sales[[#This Row],[Current Upsell $]]&gt;=400,"High",Sales[[#This Row],[Current Upsell $]]&gt;=100,"Medium",Sales[[#This Row],[Current Upsell $]]&lt;100,"Low")</f>
        <v/>
      </c>
      <c r="R1782" t="str">
        <f>IF(Sales[[#This Row],[Current Upsell $]]&gt;0,_xlfn.CONCAT(Sales[[#This Row],[Subscription Type]]," ",Sales[[#This Row],[Upsell Priority]]," ",TEXT(Sales[[#This Row],[Current Upsell $]],"$#,#")),"")</f>
        <v/>
      </c>
    </row>
    <row r="1783" spans="1:18" x14ac:dyDescent="0.25">
      <c r="A1783">
        <v>100198</v>
      </c>
      <c r="B1783" t="s">
        <v>0</v>
      </c>
      <c r="D1783" s="1"/>
      <c r="E1783" s="1"/>
      <c r="F1783">
        <v>22</v>
      </c>
      <c r="G1783">
        <v>49</v>
      </c>
      <c r="H1783" s="1">
        <v>44228</v>
      </c>
      <c r="I1783" s="1">
        <v>44378</v>
      </c>
      <c r="J1783">
        <v>5</v>
      </c>
      <c r="K1783">
        <v>0</v>
      </c>
      <c r="L1783" s="1">
        <v>44287</v>
      </c>
      <c r="M1783">
        <v>220</v>
      </c>
      <c r="N1783" s="8" cm="1">
        <f t="array" ref="N1783">_xlfn.SWITCH(Sales[[#This Row],[Subscription Type]],"Basic",10,"Premium",10,"Business",25,"Enterprise",27)</f>
        <v>10</v>
      </c>
      <c r="O1783">
        <f>IF(Sales[[#This Row],[Number of Users]]-Sales[[#This Row],[Licenses Bought]]&lt;0,0,Sales[[#This Row],[Number of Users]]-Sales[[#This Row],[Licenses Bought]])</f>
        <v>27</v>
      </c>
      <c r="P1783" s="8">
        <f>IF(Sales[[#This Row],[Sales Month]]=MAX(Sales[Sales Month]),Sales[[#This Row],[Non-Paying Users]]*Sales[[#This Row],[Upsell $ per Non-Paying User]],0)</f>
        <v>0</v>
      </c>
      <c r="Q1783" t="str" cm="1">
        <f t="array" ref="Q1783">_xlfn.IFS(Sales[[#This Row],[Current Upsell $]]=0,"",Sales[[#This Row],[Current Upsell $]]&gt;=400,"High",Sales[[#This Row],[Current Upsell $]]&gt;=100,"Medium",Sales[[#This Row],[Current Upsell $]]&lt;100,"Low")</f>
        <v/>
      </c>
      <c r="R1783" t="str">
        <f>IF(Sales[[#This Row],[Current Upsell $]]&gt;0,_xlfn.CONCAT(Sales[[#This Row],[Subscription Type]]," ",Sales[[#This Row],[Upsell Priority]]," ",TEXT(Sales[[#This Row],[Current Upsell $]],"$#,#")),"")</f>
        <v/>
      </c>
    </row>
    <row r="1784" spans="1:18" x14ac:dyDescent="0.25">
      <c r="A1784">
        <v>100198</v>
      </c>
      <c r="B1784" t="s">
        <v>0</v>
      </c>
      <c r="D1784" s="1"/>
      <c r="E1784" s="1"/>
      <c r="F1784">
        <v>31</v>
      </c>
      <c r="G1784">
        <v>45</v>
      </c>
      <c r="H1784" s="1">
        <v>44228</v>
      </c>
      <c r="I1784" s="1">
        <v>44378</v>
      </c>
      <c r="J1784">
        <v>5</v>
      </c>
      <c r="K1784">
        <v>0</v>
      </c>
      <c r="L1784" s="1">
        <v>44317</v>
      </c>
      <c r="M1784">
        <v>310</v>
      </c>
      <c r="N1784" s="8" cm="1">
        <f t="array" ref="N1784">_xlfn.SWITCH(Sales[[#This Row],[Subscription Type]],"Basic",10,"Premium",10,"Business",25,"Enterprise",27)</f>
        <v>10</v>
      </c>
      <c r="O1784">
        <f>IF(Sales[[#This Row],[Number of Users]]-Sales[[#This Row],[Licenses Bought]]&lt;0,0,Sales[[#This Row],[Number of Users]]-Sales[[#This Row],[Licenses Bought]])</f>
        <v>14</v>
      </c>
      <c r="P1784" s="8">
        <f>IF(Sales[[#This Row],[Sales Month]]=MAX(Sales[Sales Month]),Sales[[#This Row],[Non-Paying Users]]*Sales[[#This Row],[Upsell $ per Non-Paying User]],0)</f>
        <v>0</v>
      </c>
      <c r="Q1784" t="str" cm="1">
        <f t="array" ref="Q1784">_xlfn.IFS(Sales[[#This Row],[Current Upsell $]]=0,"",Sales[[#This Row],[Current Upsell $]]&gt;=400,"High",Sales[[#This Row],[Current Upsell $]]&gt;=100,"Medium",Sales[[#This Row],[Current Upsell $]]&lt;100,"Low")</f>
        <v/>
      </c>
      <c r="R1784" t="str">
        <f>IF(Sales[[#This Row],[Current Upsell $]]&gt;0,_xlfn.CONCAT(Sales[[#This Row],[Subscription Type]]," ",Sales[[#This Row],[Upsell Priority]]," ",TEXT(Sales[[#This Row],[Current Upsell $]],"$#,#")),"")</f>
        <v/>
      </c>
    </row>
    <row r="1785" spans="1:18" x14ac:dyDescent="0.25">
      <c r="A1785">
        <v>100198</v>
      </c>
      <c r="B1785" t="s">
        <v>0</v>
      </c>
      <c r="D1785" s="1"/>
      <c r="E1785" s="1"/>
      <c r="F1785">
        <v>39</v>
      </c>
      <c r="G1785">
        <v>43</v>
      </c>
      <c r="H1785" s="1">
        <v>44228</v>
      </c>
      <c r="I1785" s="1">
        <v>44378</v>
      </c>
      <c r="J1785">
        <v>5</v>
      </c>
      <c r="K1785">
        <v>0</v>
      </c>
      <c r="L1785" s="1">
        <v>44348</v>
      </c>
      <c r="M1785">
        <v>390</v>
      </c>
      <c r="N1785" s="8" cm="1">
        <f t="array" ref="N1785">_xlfn.SWITCH(Sales[[#This Row],[Subscription Type]],"Basic",10,"Premium",10,"Business",25,"Enterprise",27)</f>
        <v>10</v>
      </c>
      <c r="O1785">
        <f>IF(Sales[[#This Row],[Number of Users]]-Sales[[#This Row],[Licenses Bought]]&lt;0,0,Sales[[#This Row],[Number of Users]]-Sales[[#This Row],[Licenses Bought]])</f>
        <v>4</v>
      </c>
      <c r="P1785" s="8">
        <f>IF(Sales[[#This Row],[Sales Month]]=MAX(Sales[Sales Month]),Sales[[#This Row],[Non-Paying Users]]*Sales[[#This Row],[Upsell $ per Non-Paying User]],0)</f>
        <v>40</v>
      </c>
      <c r="Q1785" t="str" cm="1">
        <f t="array" ref="Q1785">_xlfn.IFS(Sales[[#This Row],[Current Upsell $]]=0,"",Sales[[#This Row],[Current Upsell $]]&gt;=400,"High",Sales[[#This Row],[Current Upsell $]]&gt;=100,"Medium",Sales[[#This Row],[Current Upsell $]]&lt;100,"Low")</f>
        <v>Low</v>
      </c>
      <c r="R1785" t="str">
        <f>IF(Sales[[#This Row],[Current Upsell $]]&gt;0,_xlfn.CONCAT(Sales[[#This Row],[Subscription Type]]," ",Sales[[#This Row],[Upsell Priority]]," ",TEXT(Sales[[#This Row],[Current Upsell $]],"$#,#")),"")</f>
        <v>Premium Low $40</v>
      </c>
    </row>
    <row r="1786" spans="1:18" x14ac:dyDescent="0.25">
      <c r="A1786">
        <v>100199</v>
      </c>
      <c r="B1786" t="s">
        <v>3</v>
      </c>
      <c r="D1786" s="1"/>
      <c r="E1786" s="1"/>
      <c r="F1786">
        <v>0</v>
      </c>
      <c r="G1786">
        <v>41</v>
      </c>
      <c r="H1786" s="1">
        <v>44228</v>
      </c>
      <c r="I1786" s="1">
        <v>44378</v>
      </c>
      <c r="J1786">
        <v>5</v>
      </c>
      <c r="K1786">
        <v>0</v>
      </c>
      <c r="L1786" s="1">
        <v>44228</v>
      </c>
      <c r="M1786">
        <v>0</v>
      </c>
      <c r="N1786" s="8" cm="1">
        <f t="array" ref="N1786">_xlfn.SWITCH(Sales[[#This Row],[Subscription Type]],"Basic",10,"Premium",10,"Business",25,"Enterprise",27)</f>
        <v>10</v>
      </c>
      <c r="O1786">
        <f>IF(Sales[[#This Row],[Number of Users]]-Sales[[#This Row],[Licenses Bought]]&lt;0,0,Sales[[#This Row],[Number of Users]]-Sales[[#This Row],[Licenses Bought]])</f>
        <v>41</v>
      </c>
      <c r="P1786" s="8">
        <f>IF(Sales[[#This Row],[Sales Month]]=MAX(Sales[Sales Month]),Sales[[#This Row],[Non-Paying Users]]*Sales[[#This Row],[Upsell $ per Non-Paying User]],0)</f>
        <v>0</v>
      </c>
      <c r="Q1786" t="str" cm="1">
        <f t="array" ref="Q1786">_xlfn.IFS(Sales[[#This Row],[Current Upsell $]]=0,"",Sales[[#This Row],[Current Upsell $]]&gt;=400,"High",Sales[[#This Row],[Current Upsell $]]&gt;=100,"Medium",Sales[[#This Row],[Current Upsell $]]&lt;100,"Low")</f>
        <v/>
      </c>
      <c r="R1786" t="str">
        <f>IF(Sales[[#This Row],[Current Upsell $]]&gt;0,_xlfn.CONCAT(Sales[[#This Row],[Subscription Type]]," ",Sales[[#This Row],[Upsell Priority]]," ",TEXT(Sales[[#This Row],[Current Upsell $]],"$#,#")),"")</f>
        <v/>
      </c>
    </row>
    <row r="1787" spans="1:18" x14ac:dyDescent="0.25">
      <c r="A1787">
        <v>100199</v>
      </c>
      <c r="B1787" t="s">
        <v>1</v>
      </c>
      <c r="D1787" s="1"/>
      <c r="E1787" s="1"/>
      <c r="F1787">
        <v>12</v>
      </c>
      <c r="G1787">
        <v>50</v>
      </c>
      <c r="H1787" s="1">
        <v>44228</v>
      </c>
      <c r="I1787" s="1">
        <v>44378</v>
      </c>
      <c r="J1787">
        <v>5</v>
      </c>
      <c r="K1787">
        <v>0</v>
      </c>
      <c r="L1787" s="1">
        <v>44256</v>
      </c>
      <c r="M1787">
        <v>300</v>
      </c>
      <c r="N1787" s="8" cm="1">
        <f t="array" ref="N1787">_xlfn.SWITCH(Sales[[#This Row],[Subscription Type]],"Basic",10,"Premium",10,"Business",25,"Enterprise",27)</f>
        <v>25</v>
      </c>
      <c r="O1787">
        <f>IF(Sales[[#This Row],[Number of Users]]-Sales[[#This Row],[Licenses Bought]]&lt;0,0,Sales[[#This Row],[Number of Users]]-Sales[[#This Row],[Licenses Bought]])</f>
        <v>38</v>
      </c>
      <c r="P1787" s="8">
        <f>IF(Sales[[#This Row],[Sales Month]]=MAX(Sales[Sales Month]),Sales[[#This Row],[Non-Paying Users]]*Sales[[#This Row],[Upsell $ per Non-Paying User]],0)</f>
        <v>0</v>
      </c>
      <c r="Q1787" t="str" cm="1">
        <f t="array" ref="Q1787">_xlfn.IFS(Sales[[#This Row],[Current Upsell $]]=0,"",Sales[[#This Row],[Current Upsell $]]&gt;=400,"High",Sales[[#This Row],[Current Upsell $]]&gt;=100,"Medium",Sales[[#This Row],[Current Upsell $]]&lt;100,"Low")</f>
        <v/>
      </c>
      <c r="R1787" t="str">
        <f>IF(Sales[[#This Row],[Current Upsell $]]&gt;0,_xlfn.CONCAT(Sales[[#This Row],[Subscription Type]]," ",Sales[[#This Row],[Upsell Priority]]," ",TEXT(Sales[[#This Row],[Current Upsell $]],"$#,#")),"")</f>
        <v/>
      </c>
    </row>
    <row r="1788" spans="1:18" x14ac:dyDescent="0.25">
      <c r="A1788">
        <v>100199</v>
      </c>
      <c r="B1788" t="s">
        <v>1</v>
      </c>
      <c r="D1788" s="1"/>
      <c r="E1788" s="1"/>
      <c r="F1788">
        <v>37</v>
      </c>
      <c r="G1788">
        <v>34</v>
      </c>
      <c r="H1788" s="1">
        <v>44228</v>
      </c>
      <c r="I1788" s="1">
        <v>44378</v>
      </c>
      <c r="J1788">
        <v>5</v>
      </c>
      <c r="K1788">
        <v>0</v>
      </c>
      <c r="L1788" s="1">
        <v>44287</v>
      </c>
      <c r="M1788">
        <v>925</v>
      </c>
      <c r="N1788" s="8" cm="1">
        <f t="array" ref="N1788">_xlfn.SWITCH(Sales[[#This Row],[Subscription Type]],"Basic",10,"Premium",10,"Business",25,"Enterprise",27)</f>
        <v>25</v>
      </c>
      <c r="O1788">
        <f>IF(Sales[[#This Row],[Number of Users]]-Sales[[#This Row],[Licenses Bought]]&lt;0,0,Sales[[#This Row],[Number of Users]]-Sales[[#This Row],[Licenses Bought]])</f>
        <v>0</v>
      </c>
      <c r="P1788" s="8">
        <f>IF(Sales[[#This Row],[Sales Month]]=MAX(Sales[Sales Month]),Sales[[#This Row],[Non-Paying Users]]*Sales[[#This Row],[Upsell $ per Non-Paying User]],0)</f>
        <v>0</v>
      </c>
      <c r="Q1788" t="str" cm="1">
        <f t="array" ref="Q1788">_xlfn.IFS(Sales[[#This Row],[Current Upsell $]]=0,"",Sales[[#This Row],[Current Upsell $]]&gt;=400,"High",Sales[[#This Row],[Current Upsell $]]&gt;=100,"Medium",Sales[[#This Row],[Current Upsell $]]&lt;100,"Low")</f>
        <v/>
      </c>
      <c r="R1788" t="str">
        <f>IF(Sales[[#This Row],[Current Upsell $]]&gt;0,_xlfn.CONCAT(Sales[[#This Row],[Subscription Type]]," ",Sales[[#This Row],[Upsell Priority]]," ",TEXT(Sales[[#This Row],[Current Upsell $]],"$#,#")),"")</f>
        <v/>
      </c>
    </row>
    <row r="1789" spans="1:18" x14ac:dyDescent="0.25">
      <c r="A1789">
        <v>100199</v>
      </c>
      <c r="B1789" t="s">
        <v>1</v>
      </c>
      <c r="D1789" s="1"/>
      <c r="E1789" s="1"/>
      <c r="F1789">
        <v>33</v>
      </c>
      <c r="G1789">
        <v>40</v>
      </c>
      <c r="H1789" s="1">
        <v>44228</v>
      </c>
      <c r="I1789" s="1">
        <v>44378</v>
      </c>
      <c r="J1789">
        <v>5</v>
      </c>
      <c r="K1789">
        <v>0</v>
      </c>
      <c r="L1789" s="1">
        <v>44317</v>
      </c>
      <c r="M1789">
        <v>825</v>
      </c>
      <c r="N1789" s="8" cm="1">
        <f t="array" ref="N1789">_xlfn.SWITCH(Sales[[#This Row],[Subscription Type]],"Basic",10,"Premium",10,"Business",25,"Enterprise",27)</f>
        <v>25</v>
      </c>
      <c r="O1789">
        <f>IF(Sales[[#This Row],[Number of Users]]-Sales[[#This Row],[Licenses Bought]]&lt;0,0,Sales[[#This Row],[Number of Users]]-Sales[[#This Row],[Licenses Bought]])</f>
        <v>7</v>
      </c>
      <c r="P1789" s="8">
        <f>IF(Sales[[#This Row],[Sales Month]]=MAX(Sales[Sales Month]),Sales[[#This Row],[Non-Paying Users]]*Sales[[#This Row],[Upsell $ per Non-Paying User]],0)</f>
        <v>0</v>
      </c>
      <c r="Q1789" t="str" cm="1">
        <f t="array" ref="Q1789">_xlfn.IFS(Sales[[#This Row],[Current Upsell $]]=0,"",Sales[[#This Row],[Current Upsell $]]&gt;=400,"High",Sales[[#This Row],[Current Upsell $]]&gt;=100,"Medium",Sales[[#This Row],[Current Upsell $]]&lt;100,"Low")</f>
        <v/>
      </c>
      <c r="R1789" t="str">
        <f>IF(Sales[[#This Row],[Current Upsell $]]&gt;0,_xlfn.CONCAT(Sales[[#This Row],[Subscription Type]]," ",Sales[[#This Row],[Upsell Priority]]," ",TEXT(Sales[[#This Row],[Current Upsell $]],"$#,#")),"")</f>
        <v/>
      </c>
    </row>
    <row r="1790" spans="1:18" x14ac:dyDescent="0.25">
      <c r="A1790">
        <v>100199</v>
      </c>
      <c r="B1790" t="s">
        <v>1</v>
      </c>
      <c r="D1790" s="1"/>
      <c r="E1790" s="1"/>
      <c r="F1790">
        <v>37</v>
      </c>
      <c r="G1790">
        <v>42</v>
      </c>
      <c r="H1790" s="1">
        <v>44228</v>
      </c>
      <c r="I1790" s="1">
        <v>44378</v>
      </c>
      <c r="J1790">
        <v>5</v>
      </c>
      <c r="K1790">
        <v>0</v>
      </c>
      <c r="L1790" s="1">
        <v>44348</v>
      </c>
      <c r="M1790">
        <v>925</v>
      </c>
      <c r="N1790" s="8" cm="1">
        <f t="array" ref="N1790">_xlfn.SWITCH(Sales[[#This Row],[Subscription Type]],"Basic",10,"Premium",10,"Business",25,"Enterprise",27)</f>
        <v>25</v>
      </c>
      <c r="O1790">
        <f>IF(Sales[[#This Row],[Number of Users]]-Sales[[#This Row],[Licenses Bought]]&lt;0,0,Sales[[#This Row],[Number of Users]]-Sales[[#This Row],[Licenses Bought]])</f>
        <v>5</v>
      </c>
      <c r="P1790" s="8">
        <f>IF(Sales[[#This Row],[Sales Month]]=MAX(Sales[Sales Month]),Sales[[#This Row],[Non-Paying Users]]*Sales[[#This Row],[Upsell $ per Non-Paying User]],0)</f>
        <v>125</v>
      </c>
      <c r="Q1790" t="str" cm="1">
        <f t="array" ref="Q1790">_xlfn.IFS(Sales[[#This Row],[Current Upsell $]]=0,"",Sales[[#This Row],[Current Upsell $]]&gt;=400,"High",Sales[[#This Row],[Current Upsell $]]&gt;=100,"Medium",Sales[[#This Row],[Current Upsell $]]&lt;100,"Low")</f>
        <v>Medium</v>
      </c>
      <c r="R1790" t="str">
        <f>IF(Sales[[#This Row],[Current Upsell $]]&gt;0,_xlfn.CONCAT(Sales[[#This Row],[Subscription Type]]," ",Sales[[#This Row],[Upsell Priority]]," ",TEXT(Sales[[#This Row],[Current Upsell $]],"$#,#")),"")</f>
        <v>Business Medium $125</v>
      </c>
    </row>
    <row r="1791" spans="1:18" x14ac:dyDescent="0.25">
      <c r="A1791">
        <v>100200</v>
      </c>
      <c r="B1791" t="s">
        <v>3</v>
      </c>
      <c r="D1791" s="1"/>
      <c r="E1791" s="1"/>
      <c r="F1791">
        <v>0</v>
      </c>
      <c r="G1791">
        <v>35</v>
      </c>
      <c r="H1791" s="1">
        <v>44228</v>
      </c>
      <c r="I1791" s="1">
        <v>44378</v>
      </c>
      <c r="J1791">
        <v>5</v>
      </c>
      <c r="K1791">
        <v>0</v>
      </c>
      <c r="L1791" s="1">
        <v>44228</v>
      </c>
      <c r="M1791">
        <v>0</v>
      </c>
      <c r="N1791" s="8" cm="1">
        <f t="array" ref="N1791">_xlfn.SWITCH(Sales[[#This Row],[Subscription Type]],"Basic",10,"Premium",10,"Business",25,"Enterprise",27)</f>
        <v>10</v>
      </c>
      <c r="O1791">
        <f>IF(Sales[[#This Row],[Number of Users]]-Sales[[#This Row],[Licenses Bought]]&lt;0,0,Sales[[#This Row],[Number of Users]]-Sales[[#This Row],[Licenses Bought]])</f>
        <v>35</v>
      </c>
      <c r="P1791" s="8">
        <f>IF(Sales[[#This Row],[Sales Month]]=MAX(Sales[Sales Month]),Sales[[#This Row],[Non-Paying Users]]*Sales[[#This Row],[Upsell $ per Non-Paying User]],0)</f>
        <v>0</v>
      </c>
      <c r="Q1791" t="str" cm="1">
        <f t="array" ref="Q1791">_xlfn.IFS(Sales[[#This Row],[Current Upsell $]]=0,"",Sales[[#This Row],[Current Upsell $]]&gt;=400,"High",Sales[[#This Row],[Current Upsell $]]&gt;=100,"Medium",Sales[[#This Row],[Current Upsell $]]&lt;100,"Low")</f>
        <v/>
      </c>
      <c r="R1791" t="str">
        <f>IF(Sales[[#This Row],[Current Upsell $]]&gt;0,_xlfn.CONCAT(Sales[[#This Row],[Subscription Type]]," ",Sales[[#This Row],[Upsell Priority]]," ",TEXT(Sales[[#This Row],[Current Upsell $]],"$#,#")),"")</f>
        <v/>
      </c>
    </row>
    <row r="1792" spans="1:18" x14ac:dyDescent="0.25">
      <c r="A1792">
        <v>100200</v>
      </c>
      <c r="B1792" t="s">
        <v>0</v>
      </c>
      <c r="D1792" s="1"/>
      <c r="E1792" s="1"/>
      <c r="F1792">
        <v>21</v>
      </c>
      <c r="G1792">
        <v>42</v>
      </c>
      <c r="H1792" s="1">
        <v>44228</v>
      </c>
      <c r="I1792" s="1">
        <v>44378</v>
      </c>
      <c r="J1792">
        <v>5</v>
      </c>
      <c r="K1792">
        <v>0</v>
      </c>
      <c r="L1792" s="1">
        <v>44256</v>
      </c>
      <c r="M1792">
        <v>210</v>
      </c>
      <c r="N1792" s="8" cm="1">
        <f t="array" ref="N1792">_xlfn.SWITCH(Sales[[#This Row],[Subscription Type]],"Basic",10,"Premium",10,"Business",25,"Enterprise",27)</f>
        <v>10</v>
      </c>
      <c r="O1792">
        <f>IF(Sales[[#This Row],[Number of Users]]-Sales[[#This Row],[Licenses Bought]]&lt;0,0,Sales[[#This Row],[Number of Users]]-Sales[[#This Row],[Licenses Bought]])</f>
        <v>21</v>
      </c>
      <c r="P1792" s="8">
        <f>IF(Sales[[#This Row],[Sales Month]]=MAX(Sales[Sales Month]),Sales[[#This Row],[Non-Paying Users]]*Sales[[#This Row],[Upsell $ per Non-Paying User]],0)</f>
        <v>0</v>
      </c>
      <c r="Q1792" t="str" cm="1">
        <f t="array" ref="Q1792">_xlfn.IFS(Sales[[#This Row],[Current Upsell $]]=0,"",Sales[[#This Row],[Current Upsell $]]&gt;=400,"High",Sales[[#This Row],[Current Upsell $]]&gt;=100,"Medium",Sales[[#This Row],[Current Upsell $]]&lt;100,"Low")</f>
        <v/>
      </c>
      <c r="R1792" t="str">
        <f>IF(Sales[[#This Row],[Current Upsell $]]&gt;0,_xlfn.CONCAT(Sales[[#This Row],[Subscription Type]]," ",Sales[[#This Row],[Upsell Priority]]," ",TEXT(Sales[[#This Row],[Current Upsell $]],"$#,#")),"")</f>
        <v/>
      </c>
    </row>
    <row r="1793" spans="1:18" x14ac:dyDescent="0.25">
      <c r="A1793">
        <v>100200</v>
      </c>
      <c r="B1793" t="s">
        <v>0</v>
      </c>
      <c r="D1793" s="1"/>
      <c r="E1793" s="1"/>
      <c r="F1793">
        <v>20</v>
      </c>
      <c r="G1793">
        <v>48</v>
      </c>
      <c r="H1793" s="1">
        <v>44228</v>
      </c>
      <c r="I1793" s="1">
        <v>44378</v>
      </c>
      <c r="J1793">
        <v>5</v>
      </c>
      <c r="K1793">
        <v>0</v>
      </c>
      <c r="L1793" s="1">
        <v>44287</v>
      </c>
      <c r="M1793">
        <v>200</v>
      </c>
      <c r="N1793" s="8" cm="1">
        <f t="array" ref="N1793">_xlfn.SWITCH(Sales[[#This Row],[Subscription Type]],"Basic",10,"Premium",10,"Business",25,"Enterprise",27)</f>
        <v>10</v>
      </c>
      <c r="O1793">
        <f>IF(Sales[[#This Row],[Number of Users]]-Sales[[#This Row],[Licenses Bought]]&lt;0,0,Sales[[#This Row],[Number of Users]]-Sales[[#This Row],[Licenses Bought]])</f>
        <v>28</v>
      </c>
      <c r="P1793" s="8">
        <f>IF(Sales[[#This Row],[Sales Month]]=MAX(Sales[Sales Month]),Sales[[#This Row],[Non-Paying Users]]*Sales[[#This Row],[Upsell $ per Non-Paying User]],0)</f>
        <v>0</v>
      </c>
      <c r="Q1793" t="str" cm="1">
        <f t="array" ref="Q1793">_xlfn.IFS(Sales[[#This Row],[Current Upsell $]]=0,"",Sales[[#This Row],[Current Upsell $]]&gt;=400,"High",Sales[[#This Row],[Current Upsell $]]&gt;=100,"Medium",Sales[[#This Row],[Current Upsell $]]&lt;100,"Low")</f>
        <v/>
      </c>
      <c r="R1793" t="str">
        <f>IF(Sales[[#This Row],[Current Upsell $]]&gt;0,_xlfn.CONCAT(Sales[[#This Row],[Subscription Type]]," ",Sales[[#This Row],[Upsell Priority]]," ",TEXT(Sales[[#This Row],[Current Upsell $]],"$#,#")),"")</f>
        <v/>
      </c>
    </row>
    <row r="1794" spans="1:18" x14ac:dyDescent="0.25">
      <c r="A1794">
        <v>100200</v>
      </c>
      <c r="B1794" t="s">
        <v>0</v>
      </c>
      <c r="D1794" s="1"/>
      <c r="E1794" s="1"/>
      <c r="F1794">
        <v>32</v>
      </c>
      <c r="G1794">
        <v>36</v>
      </c>
      <c r="H1794" s="1">
        <v>44228</v>
      </c>
      <c r="I1794" s="1">
        <v>44378</v>
      </c>
      <c r="J1794">
        <v>5</v>
      </c>
      <c r="K1794">
        <v>0</v>
      </c>
      <c r="L1794" s="1">
        <v>44317</v>
      </c>
      <c r="M1794">
        <v>320</v>
      </c>
      <c r="N1794" s="8" cm="1">
        <f t="array" ref="N1794">_xlfn.SWITCH(Sales[[#This Row],[Subscription Type]],"Basic",10,"Premium",10,"Business",25,"Enterprise",27)</f>
        <v>10</v>
      </c>
      <c r="O1794">
        <f>IF(Sales[[#This Row],[Number of Users]]-Sales[[#This Row],[Licenses Bought]]&lt;0,0,Sales[[#This Row],[Number of Users]]-Sales[[#This Row],[Licenses Bought]])</f>
        <v>4</v>
      </c>
      <c r="P1794" s="8">
        <f>IF(Sales[[#This Row],[Sales Month]]=MAX(Sales[Sales Month]),Sales[[#This Row],[Non-Paying Users]]*Sales[[#This Row],[Upsell $ per Non-Paying User]],0)</f>
        <v>0</v>
      </c>
      <c r="Q1794" t="str" cm="1">
        <f t="array" ref="Q1794">_xlfn.IFS(Sales[[#This Row],[Current Upsell $]]=0,"",Sales[[#This Row],[Current Upsell $]]&gt;=400,"High",Sales[[#This Row],[Current Upsell $]]&gt;=100,"Medium",Sales[[#This Row],[Current Upsell $]]&lt;100,"Low")</f>
        <v/>
      </c>
      <c r="R1794" t="str">
        <f>IF(Sales[[#This Row],[Current Upsell $]]&gt;0,_xlfn.CONCAT(Sales[[#This Row],[Subscription Type]]," ",Sales[[#This Row],[Upsell Priority]]," ",TEXT(Sales[[#This Row],[Current Upsell $]],"$#,#")),"")</f>
        <v/>
      </c>
    </row>
    <row r="1795" spans="1:18" x14ac:dyDescent="0.25">
      <c r="A1795">
        <v>100200</v>
      </c>
      <c r="B1795" t="s">
        <v>0</v>
      </c>
      <c r="D1795" s="1"/>
      <c r="E1795" s="1"/>
      <c r="F1795">
        <v>32</v>
      </c>
      <c r="G1795">
        <v>38</v>
      </c>
      <c r="H1795" s="1">
        <v>44228</v>
      </c>
      <c r="I1795" s="1">
        <v>44378</v>
      </c>
      <c r="J1795">
        <v>5</v>
      </c>
      <c r="K1795">
        <v>0</v>
      </c>
      <c r="L1795" s="1">
        <v>44348</v>
      </c>
      <c r="M1795">
        <v>320</v>
      </c>
      <c r="N1795" s="8" cm="1">
        <f t="array" ref="N1795">_xlfn.SWITCH(Sales[[#This Row],[Subscription Type]],"Basic",10,"Premium",10,"Business",25,"Enterprise",27)</f>
        <v>10</v>
      </c>
      <c r="O1795">
        <f>IF(Sales[[#This Row],[Number of Users]]-Sales[[#This Row],[Licenses Bought]]&lt;0,0,Sales[[#This Row],[Number of Users]]-Sales[[#This Row],[Licenses Bought]])</f>
        <v>6</v>
      </c>
      <c r="P1795" s="8">
        <f>IF(Sales[[#This Row],[Sales Month]]=MAX(Sales[Sales Month]),Sales[[#This Row],[Non-Paying Users]]*Sales[[#This Row],[Upsell $ per Non-Paying User]],0)</f>
        <v>60</v>
      </c>
      <c r="Q1795" t="str" cm="1">
        <f t="array" ref="Q1795">_xlfn.IFS(Sales[[#This Row],[Current Upsell $]]=0,"",Sales[[#This Row],[Current Upsell $]]&gt;=400,"High",Sales[[#This Row],[Current Upsell $]]&gt;=100,"Medium",Sales[[#This Row],[Current Upsell $]]&lt;100,"Low")</f>
        <v>Low</v>
      </c>
      <c r="R1795" t="str">
        <f>IF(Sales[[#This Row],[Current Upsell $]]&gt;0,_xlfn.CONCAT(Sales[[#This Row],[Subscription Type]]," ",Sales[[#This Row],[Upsell Priority]]," ",TEXT(Sales[[#This Row],[Current Upsell $]],"$#,#")),"")</f>
        <v>Premium Low $60</v>
      </c>
    </row>
    <row r="1796" spans="1:18" x14ac:dyDescent="0.25">
      <c r="A1796">
        <v>100201</v>
      </c>
      <c r="B1796" t="s">
        <v>3</v>
      </c>
      <c r="D1796" s="1"/>
      <c r="E1796" s="1"/>
      <c r="F1796">
        <v>0</v>
      </c>
      <c r="G1796">
        <v>38</v>
      </c>
      <c r="H1796" s="1">
        <v>44228</v>
      </c>
      <c r="I1796" s="1">
        <v>44378</v>
      </c>
      <c r="J1796">
        <v>5</v>
      </c>
      <c r="K1796">
        <v>0</v>
      </c>
      <c r="L1796" s="1">
        <v>44228</v>
      </c>
      <c r="M1796">
        <v>0</v>
      </c>
      <c r="N1796" s="8" cm="1">
        <f t="array" ref="N1796">_xlfn.SWITCH(Sales[[#This Row],[Subscription Type]],"Basic",10,"Premium",10,"Business",25,"Enterprise",27)</f>
        <v>10</v>
      </c>
      <c r="O1796">
        <f>IF(Sales[[#This Row],[Number of Users]]-Sales[[#This Row],[Licenses Bought]]&lt;0,0,Sales[[#This Row],[Number of Users]]-Sales[[#This Row],[Licenses Bought]])</f>
        <v>38</v>
      </c>
      <c r="P1796" s="8">
        <f>IF(Sales[[#This Row],[Sales Month]]=MAX(Sales[Sales Month]),Sales[[#This Row],[Non-Paying Users]]*Sales[[#This Row],[Upsell $ per Non-Paying User]],0)</f>
        <v>0</v>
      </c>
      <c r="Q1796" t="str" cm="1">
        <f t="array" ref="Q1796">_xlfn.IFS(Sales[[#This Row],[Current Upsell $]]=0,"",Sales[[#This Row],[Current Upsell $]]&gt;=400,"High",Sales[[#This Row],[Current Upsell $]]&gt;=100,"Medium",Sales[[#This Row],[Current Upsell $]]&lt;100,"Low")</f>
        <v/>
      </c>
      <c r="R1796" t="str">
        <f>IF(Sales[[#This Row],[Current Upsell $]]&gt;0,_xlfn.CONCAT(Sales[[#This Row],[Subscription Type]]," ",Sales[[#This Row],[Upsell Priority]]," ",TEXT(Sales[[#This Row],[Current Upsell $]],"$#,#")),"")</f>
        <v/>
      </c>
    </row>
    <row r="1797" spans="1:18" x14ac:dyDescent="0.25">
      <c r="A1797">
        <v>100201</v>
      </c>
      <c r="B1797" t="s">
        <v>0</v>
      </c>
      <c r="D1797" s="1"/>
      <c r="E1797" s="1"/>
      <c r="F1797">
        <v>17</v>
      </c>
      <c r="G1797">
        <v>29</v>
      </c>
      <c r="H1797" s="1">
        <v>44228</v>
      </c>
      <c r="I1797" s="1">
        <v>44378</v>
      </c>
      <c r="J1797">
        <v>5</v>
      </c>
      <c r="K1797">
        <v>0</v>
      </c>
      <c r="L1797" s="1">
        <v>44256</v>
      </c>
      <c r="M1797">
        <v>170</v>
      </c>
      <c r="N1797" s="8" cm="1">
        <f t="array" ref="N1797">_xlfn.SWITCH(Sales[[#This Row],[Subscription Type]],"Basic",10,"Premium",10,"Business",25,"Enterprise",27)</f>
        <v>10</v>
      </c>
      <c r="O1797">
        <f>IF(Sales[[#This Row],[Number of Users]]-Sales[[#This Row],[Licenses Bought]]&lt;0,0,Sales[[#This Row],[Number of Users]]-Sales[[#This Row],[Licenses Bought]])</f>
        <v>12</v>
      </c>
      <c r="P1797" s="8">
        <f>IF(Sales[[#This Row],[Sales Month]]=MAX(Sales[Sales Month]),Sales[[#This Row],[Non-Paying Users]]*Sales[[#This Row],[Upsell $ per Non-Paying User]],0)</f>
        <v>0</v>
      </c>
      <c r="Q1797" t="str" cm="1">
        <f t="array" ref="Q1797">_xlfn.IFS(Sales[[#This Row],[Current Upsell $]]=0,"",Sales[[#This Row],[Current Upsell $]]&gt;=400,"High",Sales[[#This Row],[Current Upsell $]]&gt;=100,"Medium",Sales[[#This Row],[Current Upsell $]]&lt;100,"Low")</f>
        <v/>
      </c>
      <c r="R1797" t="str">
        <f>IF(Sales[[#This Row],[Current Upsell $]]&gt;0,_xlfn.CONCAT(Sales[[#This Row],[Subscription Type]]," ",Sales[[#This Row],[Upsell Priority]]," ",TEXT(Sales[[#This Row],[Current Upsell $]],"$#,#")),"")</f>
        <v/>
      </c>
    </row>
    <row r="1798" spans="1:18" x14ac:dyDescent="0.25">
      <c r="A1798">
        <v>100201</v>
      </c>
      <c r="B1798" t="s">
        <v>0</v>
      </c>
      <c r="D1798" s="1"/>
      <c r="E1798" s="1"/>
      <c r="F1798">
        <v>14</v>
      </c>
      <c r="G1798">
        <v>36</v>
      </c>
      <c r="H1798" s="1">
        <v>44228</v>
      </c>
      <c r="I1798" s="1">
        <v>44378</v>
      </c>
      <c r="J1798">
        <v>5</v>
      </c>
      <c r="K1798">
        <v>0</v>
      </c>
      <c r="L1798" s="1">
        <v>44287</v>
      </c>
      <c r="M1798">
        <v>140</v>
      </c>
      <c r="N1798" s="8" cm="1">
        <f t="array" ref="N1798">_xlfn.SWITCH(Sales[[#This Row],[Subscription Type]],"Basic",10,"Premium",10,"Business",25,"Enterprise",27)</f>
        <v>10</v>
      </c>
      <c r="O1798">
        <f>IF(Sales[[#This Row],[Number of Users]]-Sales[[#This Row],[Licenses Bought]]&lt;0,0,Sales[[#This Row],[Number of Users]]-Sales[[#This Row],[Licenses Bought]])</f>
        <v>22</v>
      </c>
      <c r="P1798" s="8">
        <f>IF(Sales[[#This Row],[Sales Month]]=MAX(Sales[Sales Month]),Sales[[#This Row],[Non-Paying Users]]*Sales[[#This Row],[Upsell $ per Non-Paying User]],0)</f>
        <v>0</v>
      </c>
      <c r="Q1798" t="str" cm="1">
        <f t="array" ref="Q1798">_xlfn.IFS(Sales[[#This Row],[Current Upsell $]]=0,"",Sales[[#This Row],[Current Upsell $]]&gt;=400,"High",Sales[[#This Row],[Current Upsell $]]&gt;=100,"Medium",Sales[[#This Row],[Current Upsell $]]&lt;100,"Low")</f>
        <v/>
      </c>
      <c r="R1798" t="str">
        <f>IF(Sales[[#This Row],[Current Upsell $]]&gt;0,_xlfn.CONCAT(Sales[[#This Row],[Subscription Type]]," ",Sales[[#This Row],[Upsell Priority]]," ",TEXT(Sales[[#This Row],[Current Upsell $]],"$#,#")),"")</f>
        <v/>
      </c>
    </row>
    <row r="1799" spans="1:18" x14ac:dyDescent="0.25">
      <c r="A1799">
        <v>100201</v>
      </c>
      <c r="B1799" t="s">
        <v>0</v>
      </c>
      <c r="D1799" s="1"/>
      <c r="E1799" s="1"/>
      <c r="F1799">
        <v>26</v>
      </c>
      <c r="G1799">
        <v>31</v>
      </c>
      <c r="H1799" s="1">
        <v>44228</v>
      </c>
      <c r="I1799" s="1">
        <v>44378</v>
      </c>
      <c r="J1799">
        <v>5</v>
      </c>
      <c r="K1799">
        <v>0</v>
      </c>
      <c r="L1799" s="1">
        <v>44317</v>
      </c>
      <c r="M1799">
        <v>260</v>
      </c>
      <c r="N1799" s="8" cm="1">
        <f t="array" ref="N1799">_xlfn.SWITCH(Sales[[#This Row],[Subscription Type]],"Basic",10,"Premium",10,"Business",25,"Enterprise",27)</f>
        <v>10</v>
      </c>
      <c r="O1799">
        <f>IF(Sales[[#This Row],[Number of Users]]-Sales[[#This Row],[Licenses Bought]]&lt;0,0,Sales[[#This Row],[Number of Users]]-Sales[[#This Row],[Licenses Bought]])</f>
        <v>5</v>
      </c>
      <c r="P1799" s="8">
        <f>IF(Sales[[#This Row],[Sales Month]]=MAX(Sales[Sales Month]),Sales[[#This Row],[Non-Paying Users]]*Sales[[#This Row],[Upsell $ per Non-Paying User]],0)</f>
        <v>0</v>
      </c>
      <c r="Q1799" t="str" cm="1">
        <f t="array" ref="Q1799">_xlfn.IFS(Sales[[#This Row],[Current Upsell $]]=0,"",Sales[[#This Row],[Current Upsell $]]&gt;=400,"High",Sales[[#This Row],[Current Upsell $]]&gt;=100,"Medium",Sales[[#This Row],[Current Upsell $]]&lt;100,"Low")</f>
        <v/>
      </c>
      <c r="R1799" t="str">
        <f>IF(Sales[[#This Row],[Current Upsell $]]&gt;0,_xlfn.CONCAT(Sales[[#This Row],[Subscription Type]]," ",Sales[[#This Row],[Upsell Priority]]," ",TEXT(Sales[[#This Row],[Current Upsell $]],"$#,#")),"")</f>
        <v/>
      </c>
    </row>
    <row r="1800" spans="1:18" x14ac:dyDescent="0.25">
      <c r="A1800">
        <v>100201</v>
      </c>
      <c r="B1800" t="s">
        <v>0</v>
      </c>
      <c r="D1800" s="1"/>
      <c r="E1800" s="1"/>
      <c r="F1800">
        <v>26</v>
      </c>
      <c r="G1800">
        <v>37</v>
      </c>
      <c r="H1800" s="1">
        <v>44228</v>
      </c>
      <c r="I1800" s="1">
        <v>44378</v>
      </c>
      <c r="J1800">
        <v>5</v>
      </c>
      <c r="K1800">
        <v>0</v>
      </c>
      <c r="L1800" s="1">
        <v>44348</v>
      </c>
      <c r="M1800">
        <v>260</v>
      </c>
      <c r="N1800" s="8" cm="1">
        <f t="array" ref="N1800">_xlfn.SWITCH(Sales[[#This Row],[Subscription Type]],"Basic",10,"Premium",10,"Business",25,"Enterprise",27)</f>
        <v>10</v>
      </c>
      <c r="O1800">
        <f>IF(Sales[[#This Row],[Number of Users]]-Sales[[#This Row],[Licenses Bought]]&lt;0,0,Sales[[#This Row],[Number of Users]]-Sales[[#This Row],[Licenses Bought]])</f>
        <v>11</v>
      </c>
      <c r="P1800" s="8">
        <f>IF(Sales[[#This Row],[Sales Month]]=MAX(Sales[Sales Month]),Sales[[#This Row],[Non-Paying Users]]*Sales[[#This Row],[Upsell $ per Non-Paying User]],0)</f>
        <v>110</v>
      </c>
      <c r="Q1800" t="str" cm="1">
        <f t="array" ref="Q1800">_xlfn.IFS(Sales[[#This Row],[Current Upsell $]]=0,"",Sales[[#This Row],[Current Upsell $]]&gt;=400,"High",Sales[[#This Row],[Current Upsell $]]&gt;=100,"Medium",Sales[[#This Row],[Current Upsell $]]&lt;100,"Low")</f>
        <v>Medium</v>
      </c>
      <c r="R1800" t="str">
        <f>IF(Sales[[#This Row],[Current Upsell $]]&gt;0,_xlfn.CONCAT(Sales[[#This Row],[Subscription Type]]," ",Sales[[#This Row],[Upsell Priority]]," ",TEXT(Sales[[#This Row],[Current Upsell $]],"$#,#")),"")</f>
        <v>Premium Medium $110</v>
      </c>
    </row>
    <row r="1801" spans="1:18" x14ac:dyDescent="0.25">
      <c r="A1801">
        <v>100202</v>
      </c>
      <c r="B1801" t="s">
        <v>3</v>
      </c>
      <c r="D1801" s="1"/>
      <c r="E1801" s="1"/>
      <c r="F1801">
        <v>0</v>
      </c>
      <c r="G1801">
        <v>31</v>
      </c>
      <c r="H1801" s="1">
        <v>44228</v>
      </c>
      <c r="I1801" s="1">
        <v>44378</v>
      </c>
      <c r="J1801">
        <v>5</v>
      </c>
      <c r="K1801">
        <v>0</v>
      </c>
      <c r="L1801" s="1">
        <v>44228</v>
      </c>
      <c r="M1801">
        <v>0</v>
      </c>
      <c r="N1801" s="8" cm="1">
        <f t="array" ref="N1801">_xlfn.SWITCH(Sales[[#This Row],[Subscription Type]],"Basic",10,"Premium",10,"Business",25,"Enterprise",27)</f>
        <v>10</v>
      </c>
      <c r="O1801">
        <f>IF(Sales[[#This Row],[Number of Users]]-Sales[[#This Row],[Licenses Bought]]&lt;0,0,Sales[[#This Row],[Number of Users]]-Sales[[#This Row],[Licenses Bought]])</f>
        <v>31</v>
      </c>
      <c r="P1801" s="8">
        <f>IF(Sales[[#This Row],[Sales Month]]=MAX(Sales[Sales Month]),Sales[[#This Row],[Non-Paying Users]]*Sales[[#This Row],[Upsell $ per Non-Paying User]],0)</f>
        <v>0</v>
      </c>
      <c r="Q1801" t="str" cm="1">
        <f t="array" ref="Q1801">_xlfn.IFS(Sales[[#This Row],[Current Upsell $]]=0,"",Sales[[#This Row],[Current Upsell $]]&gt;=400,"High",Sales[[#This Row],[Current Upsell $]]&gt;=100,"Medium",Sales[[#This Row],[Current Upsell $]]&lt;100,"Low")</f>
        <v/>
      </c>
      <c r="R1801" t="str">
        <f>IF(Sales[[#This Row],[Current Upsell $]]&gt;0,_xlfn.CONCAT(Sales[[#This Row],[Subscription Type]]," ",Sales[[#This Row],[Upsell Priority]]," ",TEXT(Sales[[#This Row],[Current Upsell $]],"$#,#")),"")</f>
        <v/>
      </c>
    </row>
    <row r="1802" spans="1:18" x14ac:dyDescent="0.25">
      <c r="A1802">
        <v>100202</v>
      </c>
      <c r="B1802" t="s">
        <v>1</v>
      </c>
      <c r="D1802" s="1"/>
      <c r="E1802" s="1"/>
      <c r="F1802">
        <v>11</v>
      </c>
      <c r="G1802">
        <v>29</v>
      </c>
      <c r="H1802" s="1">
        <v>44228</v>
      </c>
      <c r="I1802" s="1">
        <v>44378</v>
      </c>
      <c r="J1802">
        <v>5</v>
      </c>
      <c r="K1802">
        <v>0</v>
      </c>
      <c r="L1802" s="1">
        <v>44256</v>
      </c>
      <c r="M1802">
        <v>275</v>
      </c>
      <c r="N1802" s="8" cm="1">
        <f t="array" ref="N1802">_xlfn.SWITCH(Sales[[#This Row],[Subscription Type]],"Basic",10,"Premium",10,"Business",25,"Enterprise",27)</f>
        <v>25</v>
      </c>
      <c r="O1802">
        <f>IF(Sales[[#This Row],[Number of Users]]-Sales[[#This Row],[Licenses Bought]]&lt;0,0,Sales[[#This Row],[Number of Users]]-Sales[[#This Row],[Licenses Bought]])</f>
        <v>18</v>
      </c>
      <c r="P1802" s="8">
        <f>IF(Sales[[#This Row],[Sales Month]]=MAX(Sales[Sales Month]),Sales[[#This Row],[Non-Paying Users]]*Sales[[#This Row],[Upsell $ per Non-Paying User]],0)</f>
        <v>0</v>
      </c>
      <c r="Q1802" t="str" cm="1">
        <f t="array" ref="Q1802">_xlfn.IFS(Sales[[#This Row],[Current Upsell $]]=0,"",Sales[[#This Row],[Current Upsell $]]&gt;=400,"High",Sales[[#This Row],[Current Upsell $]]&gt;=100,"Medium",Sales[[#This Row],[Current Upsell $]]&lt;100,"Low")</f>
        <v/>
      </c>
      <c r="R1802" t="str">
        <f>IF(Sales[[#This Row],[Current Upsell $]]&gt;0,_xlfn.CONCAT(Sales[[#This Row],[Subscription Type]]," ",Sales[[#This Row],[Upsell Priority]]," ",TEXT(Sales[[#This Row],[Current Upsell $]],"$#,#")),"")</f>
        <v/>
      </c>
    </row>
    <row r="1803" spans="1:18" x14ac:dyDescent="0.25">
      <c r="A1803">
        <v>100202</v>
      </c>
      <c r="B1803" t="s">
        <v>1</v>
      </c>
      <c r="D1803" s="1"/>
      <c r="E1803" s="1"/>
      <c r="F1803">
        <v>25</v>
      </c>
      <c r="G1803">
        <v>34</v>
      </c>
      <c r="H1803" s="1">
        <v>44228</v>
      </c>
      <c r="I1803" s="1">
        <v>44378</v>
      </c>
      <c r="J1803">
        <v>5</v>
      </c>
      <c r="K1803">
        <v>0</v>
      </c>
      <c r="L1803" s="1">
        <v>44287</v>
      </c>
      <c r="M1803">
        <v>625</v>
      </c>
      <c r="N1803" s="8" cm="1">
        <f t="array" ref="N1803">_xlfn.SWITCH(Sales[[#This Row],[Subscription Type]],"Basic",10,"Premium",10,"Business",25,"Enterprise",27)</f>
        <v>25</v>
      </c>
      <c r="O1803">
        <f>IF(Sales[[#This Row],[Number of Users]]-Sales[[#This Row],[Licenses Bought]]&lt;0,0,Sales[[#This Row],[Number of Users]]-Sales[[#This Row],[Licenses Bought]])</f>
        <v>9</v>
      </c>
      <c r="P1803" s="8">
        <f>IF(Sales[[#This Row],[Sales Month]]=MAX(Sales[Sales Month]),Sales[[#This Row],[Non-Paying Users]]*Sales[[#This Row],[Upsell $ per Non-Paying User]],0)</f>
        <v>0</v>
      </c>
      <c r="Q1803" t="str" cm="1">
        <f t="array" ref="Q1803">_xlfn.IFS(Sales[[#This Row],[Current Upsell $]]=0,"",Sales[[#This Row],[Current Upsell $]]&gt;=400,"High",Sales[[#This Row],[Current Upsell $]]&gt;=100,"Medium",Sales[[#This Row],[Current Upsell $]]&lt;100,"Low")</f>
        <v/>
      </c>
      <c r="R1803" t="str">
        <f>IF(Sales[[#This Row],[Current Upsell $]]&gt;0,_xlfn.CONCAT(Sales[[#This Row],[Subscription Type]]," ",Sales[[#This Row],[Upsell Priority]]," ",TEXT(Sales[[#This Row],[Current Upsell $]],"$#,#")),"")</f>
        <v/>
      </c>
    </row>
    <row r="1804" spans="1:18" x14ac:dyDescent="0.25">
      <c r="A1804">
        <v>100202</v>
      </c>
      <c r="B1804" t="s">
        <v>1</v>
      </c>
      <c r="D1804" s="1"/>
      <c r="E1804" s="1"/>
      <c r="F1804">
        <v>25</v>
      </c>
      <c r="G1804">
        <v>31</v>
      </c>
      <c r="H1804" s="1">
        <v>44228</v>
      </c>
      <c r="I1804" s="1">
        <v>44378</v>
      </c>
      <c r="J1804">
        <v>5</v>
      </c>
      <c r="K1804">
        <v>0</v>
      </c>
      <c r="L1804" s="1">
        <v>44317</v>
      </c>
      <c r="M1804">
        <v>625</v>
      </c>
      <c r="N1804" s="8" cm="1">
        <f t="array" ref="N1804">_xlfn.SWITCH(Sales[[#This Row],[Subscription Type]],"Basic",10,"Premium",10,"Business",25,"Enterprise",27)</f>
        <v>25</v>
      </c>
      <c r="O1804">
        <f>IF(Sales[[#This Row],[Number of Users]]-Sales[[#This Row],[Licenses Bought]]&lt;0,0,Sales[[#This Row],[Number of Users]]-Sales[[#This Row],[Licenses Bought]])</f>
        <v>6</v>
      </c>
      <c r="P1804" s="8">
        <f>IF(Sales[[#This Row],[Sales Month]]=MAX(Sales[Sales Month]),Sales[[#This Row],[Non-Paying Users]]*Sales[[#This Row],[Upsell $ per Non-Paying User]],0)</f>
        <v>0</v>
      </c>
      <c r="Q1804" t="str" cm="1">
        <f t="array" ref="Q1804">_xlfn.IFS(Sales[[#This Row],[Current Upsell $]]=0,"",Sales[[#This Row],[Current Upsell $]]&gt;=400,"High",Sales[[#This Row],[Current Upsell $]]&gt;=100,"Medium",Sales[[#This Row],[Current Upsell $]]&lt;100,"Low")</f>
        <v/>
      </c>
      <c r="R1804" t="str">
        <f>IF(Sales[[#This Row],[Current Upsell $]]&gt;0,_xlfn.CONCAT(Sales[[#This Row],[Subscription Type]]," ",Sales[[#This Row],[Upsell Priority]]," ",TEXT(Sales[[#This Row],[Current Upsell $]],"$#,#")),"")</f>
        <v/>
      </c>
    </row>
    <row r="1805" spans="1:18" x14ac:dyDescent="0.25">
      <c r="A1805">
        <v>100202</v>
      </c>
      <c r="B1805" t="s">
        <v>1</v>
      </c>
      <c r="D1805" s="1"/>
      <c r="E1805" s="1"/>
      <c r="F1805">
        <v>25</v>
      </c>
      <c r="G1805">
        <v>31</v>
      </c>
      <c r="H1805" s="1">
        <v>44228</v>
      </c>
      <c r="I1805" s="1">
        <v>44378</v>
      </c>
      <c r="J1805">
        <v>5</v>
      </c>
      <c r="K1805">
        <v>0</v>
      </c>
      <c r="L1805" s="1">
        <v>44348</v>
      </c>
      <c r="M1805">
        <v>625</v>
      </c>
      <c r="N1805" s="8" cm="1">
        <f t="array" ref="N1805">_xlfn.SWITCH(Sales[[#This Row],[Subscription Type]],"Basic",10,"Premium",10,"Business",25,"Enterprise",27)</f>
        <v>25</v>
      </c>
      <c r="O1805">
        <f>IF(Sales[[#This Row],[Number of Users]]-Sales[[#This Row],[Licenses Bought]]&lt;0,0,Sales[[#This Row],[Number of Users]]-Sales[[#This Row],[Licenses Bought]])</f>
        <v>6</v>
      </c>
      <c r="P1805" s="8">
        <f>IF(Sales[[#This Row],[Sales Month]]=MAX(Sales[Sales Month]),Sales[[#This Row],[Non-Paying Users]]*Sales[[#This Row],[Upsell $ per Non-Paying User]],0)</f>
        <v>150</v>
      </c>
      <c r="Q1805" t="str" cm="1">
        <f t="array" ref="Q1805">_xlfn.IFS(Sales[[#This Row],[Current Upsell $]]=0,"",Sales[[#This Row],[Current Upsell $]]&gt;=400,"High",Sales[[#This Row],[Current Upsell $]]&gt;=100,"Medium",Sales[[#This Row],[Current Upsell $]]&lt;100,"Low")</f>
        <v>Medium</v>
      </c>
      <c r="R1805" t="str">
        <f>IF(Sales[[#This Row],[Current Upsell $]]&gt;0,_xlfn.CONCAT(Sales[[#This Row],[Subscription Type]]," ",Sales[[#This Row],[Upsell Priority]]," ",TEXT(Sales[[#This Row],[Current Upsell $]],"$#,#")),"")</f>
        <v>Business Medium $150</v>
      </c>
    </row>
    <row r="1806" spans="1:18" x14ac:dyDescent="0.25">
      <c r="A1806">
        <v>100203</v>
      </c>
      <c r="B1806" t="s">
        <v>3</v>
      </c>
      <c r="D1806" s="1"/>
      <c r="E1806" s="1"/>
      <c r="F1806">
        <v>0</v>
      </c>
      <c r="G1806">
        <v>26</v>
      </c>
      <c r="H1806" s="1">
        <v>44228</v>
      </c>
      <c r="I1806" s="1">
        <v>44378</v>
      </c>
      <c r="J1806">
        <v>5</v>
      </c>
      <c r="K1806">
        <v>0</v>
      </c>
      <c r="L1806" s="1">
        <v>44228</v>
      </c>
      <c r="M1806">
        <v>0</v>
      </c>
      <c r="N1806" s="8" cm="1">
        <f t="array" ref="N1806">_xlfn.SWITCH(Sales[[#This Row],[Subscription Type]],"Basic",10,"Premium",10,"Business",25,"Enterprise",27)</f>
        <v>10</v>
      </c>
      <c r="O1806">
        <f>IF(Sales[[#This Row],[Number of Users]]-Sales[[#This Row],[Licenses Bought]]&lt;0,0,Sales[[#This Row],[Number of Users]]-Sales[[#This Row],[Licenses Bought]])</f>
        <v>26</v>
      </c>
      <c r="P1806" s="8">
        <f>IF(Sales[[#This Row],[Sales Month]]=MAX(Sales[Sales Month]),Sales[[#This Row],[Non-Paying Users]]*Sales[[#This Row],[Upsell $ per Non-Paying User]],0)</f>
        <v>0</v>
      </c>
      <c r="Q1806" t="str" cm="1">
        <f t="array" ref="Q1806">_xlfn.IFS(Sales[[#This Row],[Current Upsell $]]=0,"",Sales[[#This Row],[Current Upsell $]]&gt;=400,"High",Sales[[#This Row],[Current Upsell $]]&gt;=100,"Medium",Sales[[#This Row],[Current Upsell $]]&lt;100,"Low")</f>
        <v/>
      </c>
      <c r="R1806" t="str">
        <f>IF(Sales[[#This Row],[Current Upsell $]]&gt;0,_xlfn.CONCAT(Sales[[#This Row],[Subscription Type]]," ",Sales[[#This Row],[Upsell Priority]]," ",TEXT(Sales[[#This Row],[Current Upsell $]],"$#,#")),"")</f>
        <v/>
      </c>
    </row>
    <row r="1807" spans="1:18" x14ac:dyDescent="0.25">
      <c r="A1807">
        <v>100203</v>
      </c>
      <c r="B1807" t="s">
        <v>0</v>
      </c>
      <c r="D1807" s="1"/>
      <c r="E1807" s="1"/>
      <c r="F1807">
        <v>6</v>
      </c>
      <c r="G1807">
        <v>32</v>
      </c>
      <c r="H1807" s="1">
        <v>44228</v>
      </c>
      <c r="I1807" s="1">
        <v>44378</v>
      </c>
      <c r="J1807">
        <v>5</v>
      </c>
      <c r="K1807">
        <v>0</v>
      </c>
      <c r="L1807" s="1">
        <v>44256</v>
      </c>
      <c r="M1807">
        <v>60</v>
      </c>
      <c r="N1807" s="8" cm="1">
        <f t="array" ref="N1807">_xlfn.SWITCH(Sales[[#This Row],[Subscription Type]],"Basic",10,"Premium",10,"Business",25,"Enterprise",27)</f>
        <v>10</v>
      </c>
      <c r="O1807">
        <f>IF(Sales[[#This Row],[Number of Users]]-Sales[[#This Row],[Licenses Bought]]&lt;0,0,Sales[[#This Row],[Number of Users]]-Sales[[#This Row],[Licenses Bought]])</f>
        <v>26</v>
      </c>
      <c r="P1807" s="8">
        <f>IF(Sales[[#This Row],[Sales Month]]=MAX(Sales[Sales Month]),Sales[[#This Row],[Non-Paying Users]]*Sales[[#This Row],[Upsell $ per Non-Paying User]],0)</f>
        <v>0</v>
      </c>
      <c r="Q1807" t="str" cm="1">
        <f t="array" ref="Q1807">_xlfn.IFS(Sales[[#This Row],[Current Upsell $]]=0,"",Sales[[#This Row],[Current Upsell $]]&gt;=400,"High",Sales[[#This Row],[Current Upsell $]]&gt;=100,"Medium",Sales[[#This Row],[Current Upsell $]]&lt;100,"Low")</f>
        <v/>
      </c>
      <c r="R1807" t="str">
        <f>IF(Sales[[#This Row],[Current Upsell $]]&gt;0,_xlfn.CONCAT(Sales[[#This Row],[Subscription Type]]," ",Sales[[#This Row],[Upsell Priority]]," ",TEXT(Sales[[#This Row],[Current Upsell $]],"$#,#")),"")</f>
        <v/>
      </c>
    </row>
    <row r="1808" spans="1:18" x14ac:dyDescent="0.25">
      <c r="A1808">
        <v>100203</v>
      </c>
      <c r="B1808" t="s">
        <v>0</v>
      </c>
      <c r="D1808" s="1"/>
      <c r="E1808" s="1"/>
      <c r="F1808">
        <v>15</v>
      </c>
      <c r="G1808">
        <v>25</v>
      </c>
      <c r="H1808" s="1">
        <v>44228</v>
      </c>
      <c r="I1808" s="1">
        <v>44378</v>
      </c>
      <c r="J1808">
        <v>5</v>
      </c>
      <c r="K1808">
        <v>0</v>
      </c>
      <c r="L1808" s="1">
        <v>44287</v>
      </c>
      <c r="M1808">
        <v>150</v>
      </c>
      <c r="N1808" s="8" cm="1">
        <f t="array" ref="N1808">_xlfn.SWITCH(Sales[[#This Row],[Subscription Type]],"Basic",10,"Premium",10,"Business",25,"Enterprise",27)</f>
        <v>10</v>
      </c>
      <c r="O1808">
        <f>IF(Sales[[#This Row],[Number of Users]]-Sales[[#This Row],[Licenses Bought]]&lt;0,0,Sales[[#This Row],[Number of Users]]-Sales[[#This Row],[Licenses Bought]])</f>
        <v>10</v>
      </c>
      <c r="P1808" s="8">
        <f>IF(Sales[[#This Row],[Sales Month]]=MAX(Sales[Sales Month]),Sales[[#This Row],[Non-Paying Users]]*Sales[[#This Row],[Upsell $ per Non-Paying User]],0)</f>
        <v>0</v>
      </c>
      <c r="Q1808" t="str" cm="1">
        <f t="array" ref="Q1808">_xlfn.IFS(Sales[[#This Row],[Current Upsell $]]=0,"",Sales[[#This Row],[Current Upsell $]]&gt;=400,"High",Sales[[#This Row],[Current Upsell $]]&gt;=100,"Medium",Sales[[#This Row],[Current Upsell $]]&lt;100,"Low")</f>
        <v/>
      </c>
      <c r="R1808" t="str">
        <f>IF(Sales[[#This Row],[Current Upsell $]]&gt;0,_xlfn.CONCAT(Sales[[#This Row],[Subscription Type]]," ",Sales[[#This Row],[Upsell Priority]]," ",TEXT(Sales[[#This Row],[Current Upsell $]],"$#,#")),"")</f>
        <v/>
      </c>
    </row>
    <row r="1809" spans="1:18" x14ac:dyDescent="0.25">
      <c r="A1809">
        <v>100203</v>
      </c>
      <c r="B1809" t="s">
        <v>0</v>
      </c>
      <c r="D1809" s="1"/>
      <c r="E1809" s="1"/>
      <c r="F1809">
        <v>19</v>
      </c>
      <c r="G1809">
        <v>29</v>
      </c>
      <c r="H1809" s="1">
        <v>44228</v>
      </c>
      <c r="I1809" s="1">
        <v>44378</v>
      </c>
      <c r="J1809">
        <v>5</v>
      </c>
      <c r="K1809">
        <v>0</v>
      </c>
      <c r="L1809" s="1">
        <v>44317</v>
      </c>
      <c r="M1809">
        <v>190</v>
      </c>
      <c r="N1809" s="8" cm="1">
        <f t="array" ref="N1809">_xlfn.SWITCH(Sales[[#This Row],[Subscription Type]],"Basic",10,"Premium",10,"Business",25,"Enterprise",27)</f>
        <v>10</v>
      </c>
      <c r="O1809">
        <f>IF(Sales[[#This Row],[Number of Users]]-Sales[[#This Row],[Licenses Bought]]&lt;0,0,Sales[[#This Row],[Number of Users]]-Sales[[#This Row],[Licenses Bought]])</f>
        <v>10</v>
      </c>
      <c r="P1809" s="8">
        <f>IF(Sales[[#This Row],[Sales Month]]=MAX(Sales[Sales Month]),Sales[[#This Row],[Non-Paying Users]]*Sales[[#This Row],[Upsell $ per Non-Paying User]],0)</f>
        <v>0</v>
      </c>
      <c r="Q1809" t="str" cm="1">
        <f t="array" ref="Q1809">_xlfn.IFS(Sales[[#This Row],[Current Upsell $]]=0,"",Sales[[#This Row],[Current Upsell $]]&gt;=400,"High",Sales[[#This Row],[Current Upsell $]]&gt;=100,"Medium",Sales[[#This Row],[Current Upsell $]]&lt;100,"Low")</f>
        <v/>
      </c>
      <c r="R1809" t="str">
        <f>IF(Sales[[#This Row],[Current Upsell $]]&gt;0,_xlfn.CONCAT(Sales[[#This Row],[Subscription Type]]," ",Sales[[#This Row],[Upsell Priority]]," ",TEXT(Sales[[#This Row],[Current Upsell $]],"$#,#")),"")</f>
        <v/>
      </c>
    </row>
    <row r="1810" spans="1:18" x14ac:dyDescent="0.25">
      <c r="A1810">
        <v>100203</v>
      </c>
      <c r="B1810" t="s">
        <v>0</v>
      </c>
      <c r="D1810" s="1"/>
      <c r="E1810" s="1"/>
      <c r="F1810">
        <v>23</v>
      </c>
      <c r="G1810">
        <v>30</v>
      </c>
      <c r="H1810" s="1">
        <v>44228</v>
      </c>
      <c r="I1810" s="1">
        <v>44378</v>
      </c>
      <c r="J1810">
        <v>5</v>
      </c>
      <c r="K1810">
        <v>0</v>
      </c>
      <c r="L1810" s="1">
        <v>44348</v>
      </c>
      <c r="M1810">
        <v>230</v>
      </c>
      <c r="N1810" s="8" cm="1">
        <f t="array" ref="N1810">_xlfn.SWITCH(Sales[[#This Row],[Subscription Type]],"Basic",10,"Premium",10,"Business",25,"Enterprise",27)</f>
        <v>10</v>
      </c>
      <c r="O1810">
        <f>IF(Sales[[#This Row],[Number of Users]]-Sales[[#This Row],[Licenses Bought]]&lt;0,0,Sales[[#This Row],[Number of Users]]-Sales[[#This Row],[Licenses Bought]])</f>
        <v>7</v>
      </c>
      <c r="P1810" s="8">
        <f>IF(Sales[[#This Row],[Sales Month]]=MAX(Sales[Sales Month]),Sales[[#This Row],[Non-Paying Users]]*Sales[[#This Row],[Upsell $ per Non-Paying User]],0)</f>
        <v>70</v>
      </c>
      <c r="Q1810" t="str" cm="1">
        <f t="array" ref="Q1810">_xlfn.IFS(Sales[[#This Row],[Current Upsell $]]=0,"",Sales[[#This Row],[Current Upsell $]]&gt;=400,"High",Sales[[#This Row],[Current Upsell $]]&gt;=100,"Medium",Sales[[#This Row],[Current Upsell $]]&lt;100,"Low")</f>
        <v>Low</v>
      </c>
      <c r="R1810" t="str">
        <f>IF(Sales[[#This Row],[Current Upsell $]]&gt;0,_xlfn.CONCAT(Sales[[#This Row],[Subscription Type]]," ",Sales[[#This Row],[Upsell Priority]]," ",TEXT(Sales[[#This Row],[Current Upsell $]],"$#,#")),"")</f>
        <v>Premium Low $70</v>
      </c>
    </row>
    <row r="1811" spans="1:18" x14ac:dyDescent="0.25">
      <c r="A1811">
        <v>100204</v>
      </c>
      <c r="B1811" t="s">
        <v>3</v>
      </c>
      <c r="D1811" s="1"/>
      <c r="E1811" s="1"/>
      <c r="F1811">
        <v>0</v>
      </c>
      <c r="G1811">
        <v>21</v>
      </c>
      <c r="H1811" s="1">
        <v>44228</v>
      </c>
      <c r="I1811" s="1">
        <v>44378</v>
      </c>
      <c r="J1811">
        <v>5</v>
      </c>
      <c r="K1811">
        <v>0</v>
      </c>
      <c r="L1811" s="1">
        <v>44228</v>
      </c>
      <c r="M1811">
        <v>0</v>
      </c>
      <c r="N1811" s="8" cm="1">
        <f t="array" ref="N1811">_xlfn.SWITCH(Sales[[#This Row],[Subscription Type]],"Basic",10,"Premium",10,"Business",25,"Enterprise",27)</f>
        <v>10</v>
      </c>
      <c r="O1811">
        <f>IF(Sales[[#This Row],[Number of Users]]-Sales[[#This Row],[Licenses Bought]]&lt;0,0,Sales[[#This Row],[Number of Users]]-Sales[[#This Row],[Licenses Bought]])</f>
        <v>21</v>
      </c>
      <c r="P1811" s="8">
        <f>IF(Sales[[#This Row],[Sales Month]]=MAX(Sales[Sales Month]),Sales[[#This Row],[Non-Paying Users]]*Sales[[#This Row],[Upsell $ per Non-Paying User]],0)</f>
        <v>0</v>
      </c>
      <c r="Q1811" t="str" cm="1">
        <f t="array" ref="Q1811">_xlfn.IFS(Sales[[#This Row],[Current Upsell $]]=0,"",Sales[[#This Row],[Current Upsell $]]&gt;=400,"High",Sales[[#This Row],[Current Upsell $]]&gt;=100,"Medium",Sales[[#This Row],[Current Upsell $]]&lt;100,"Low")</f>
        <v/>
      </c>
      <c r="R1811" t="str">
        <f>IF(Sales[[#This Row],[Current Upsell $]]&gt;0,_xlfn.CONCAT(Sales[[#This Row],[Subscription Type]]," ",Sales[[#This Row],[Upsell Priority]]," ",TEXT(Sales[[#This Row],[Current Upsell $]],"$#,#")),"")</f>
        <v/>
      </c>
    </row>
    <row r="1812" spans="1:18" x14ac:dyDescent="0.25">
      <c r="A1812">
        <v>100204</v>
      </c>
      <c r="B1812" t="s">
        <v>1</v>
      </c>
      <c r="D1812" s="1"/>
      <c r="E1812" s="1"/>
      <c r="F1812">
        <v>9</v>
      </c>
      <c r="G1812">
        <v>22</v>
      </c>
      <c r="H1812" s="1">
        <v>44228</v>
      </c>
      <c r="I1812" s="1">
        <v>44378</v>
      </c>
      <c r="J1812">
        <v>5</v>
      </c>
      <c r="K1812">
        <v>0</v>
      </c>
      <c r="L1812" s="1">
        <v>44256</v>
      </c>
      <c r="M1812">
        <v>225</v>
      </c>
      <c r="N1812" s="8" cm="1">
        <f t="array" ref="N1812">_xlfn.SWITCH(Sales[[#This Row],[Subscription Type]],"Basic",10,"Premium",10,"Business",25,"Enterprise",27)</f>
        <v>25</v>
      </c>
      <c r="O1812">
        <f>IF(Sales[[#This Row],[Number of Users]]-Sales[[#This Row],[Licenses Bought]]&lt;0,0,Sales[[#This Row],[Number of Users]]-Sales[[#This Row],[Licenses Bought]])</f>
        <v>13</v>
      </c>
      <c r="P1812" s="8">
        <f>IF(Sales[[#This Row],[Sales Month]]=MAX(Sales[Sales Month]),Sales[[#This Row],[Non-Paying Users]]*Sales[[#This Row],[Upsell $ per Non-Paying User]],0)</f>
        <v>0</v>
      </c>
      <c r="Q1812" t="str" cm="1">
        <f t="array" ref="Q1812">_xlfn.IFS(Sales[[#This Row],[Current Upsell $]]=0,"",Sales[[#This Row],[Current Upsell $]]&gt;=400,"High",Sales[[#This Row],[Current Upsell $]]&gt;=100,"Medium",Sales[[#This Row],[Current Upsell $]]&lt;100,"Low")</f>
        <v/>
      </c>
      <c r="R1812" t="str">
        <f>IF(Sales[[#This Row],[Current Upsell $]]&gt;0,_xlfn.CONCAT(Sales[[#This Row],[Subscription Type]]," ",Sales[[#This Row],[Upsell Priority]]," ",TEXT(Sales[[#This Row],[Current Upsell $]],"$#,#")),"")</f>
        <v/>
      </c>
    </row>
    <row r="1813" spans="1:18" x14ac:dyDescent="0.25">
      <c r="A1813">
        <v>100204</v>
      </c>
      <c r="B1813" t="s">
        <v>1</v>
      </c>
      <c r="D1813" s="1"/>
      <c r="E1813" s="1"/>
      <c r="F1813">
        <v>13</v>
      </c>
      <c r="G1813">
        <v>21</v>
      </c>
      <c r="H1813" s="1">
        <v>44228</v>
      </c>
      <c r="I1813" s="1">
        <v>44378</v>
      </c>
      <c r="J1813">
        <v>5</v>
      </c>
      <c r="K1813">
        <v>0</v>
      </c>
      <c r="L1813" s="1">
        <v>44287</v>
      </c>
      <c r="M1813">
        <v>325</v>
      </c>
      <c r="N1813" s="8" cm="1">
        <f t="array" ref="N1813">_xlfn.SWITCH(Sales[[#This Row],[Subscription Type]],"Basic",10,"Premium",10,"Business",25,"Enterprise",27)</f>
        <v>25</v>
      </c>
      <c r="O1813">
        <f>IF(Sales[[#This Row],[Number of Users]]-Sales[[#This Row],[Licenses Bought]]&lt;0,0,Sales[[#This Row],[Number of Users]]-Sales[[#This Row],[Licenses Bought]])</f>
        <v>8</v>
      </c>
      <c r="P1813" s="8">
        <f>IF(Sales[[#This Row],[Sales Month]]=MAX(Sales[Sales Month]),Sales[[#This Row],[Non-Paying Users]]*Sales[[#This Row],[Upsell $ per Non-Paying User]],0)</f>
        <v>0</v>
      </c>
      <c r="Q1813" t="str" cm="1">
        <f t="array" ref="Q1813">_xlfn.IFS(Sales[[#This Row],[Current Upsell $]]=0,"",Sales[[#This Row],[Current Upsell $]]&gt;=400,"High",Sales[[#This Row],[Current Upsell $]]&gt;=100,"Medium",Sales[[#This Row],[Current Upsell $]]&lt;100,"Low")</f>
        <v/>
      </c>
      <c r="R1813" t="str">
        <f>IF(Sales[[#This Row],[Current Upsell $]]&gt;0,_xlfn.CONCAT(Sales[[#This Row],[Subscription Type]]," ",Sales[[#This Row],[Upsell Priority]]," ",TEXT(Sales[[#This Row],[Current Upsell $]],"$#,#")),"")</f>
        <v/>
      </c>
    </row>
    <row r="1814" spans="1:18" x14ac:dyDescent="0.25">
      <c r="A1814">
        <v>100204</v>
      </c>
      <c r="B1814" t="s">
        <v>1</v>
      </c>
      <c r="D1814" s="1"/>
      <c r="E1814" s="1"/>
      <c r="F1814">
        <v>18</v>
      </c>
      <c r="G1814">
        <v>19</v>
      </c>
      <c r="H1814" s="1">
        <v>44228</v>
      </c>
      <c r="I1814" s="1">
        <v>44378</v>
      </c>
      <c r="J1814">
        <v>5</v>
      </c>
      <c r="K1814">
        <v>0</v>
      </c>
      <c r="L1814" s="1">
        <v>44317</v>
      </c>
      <c r="M1814">
        <v>450</v>
      </c>
      <c r="N1814" s="8" cm="1">
        <f t="array" ref="N1814">_xlfn.SWITCH(Sales[[#This Row],[Subscription Type]],"Basic",10,"Premium",10,"Business",25,"Enterprise",27)</f>
        <v>25</v>
      </c>
      <c r="O1814">
        <f>IF(Sales[[#This Row],[Number of Users]]-Sales[[#This Row],[Licenses Bought]]&lt;0,0,Sales[[#This Row],[Number of Users]]-Sales[[#This Row],[Licenses Bought]])</f>
        <v>1</v>
      </c>
      <c r="P1814" s="8">
        <f>IF(Sales[[#This Row],[Sales Month]]=MAX(Sales[Sales Month]),Sales[[#This Row],[Non-Paying Users]]*Sales[[#This Row],[Upsell $ per Non-Paying User]],0)</f>
        <v>0</v>
      </c>
      <c r="Q1814" t="str" cm="1">
        <f t="array" ref="Q1814">_xlfn.IFS(Sales[[#This Row],[Current Upsell $]]=0,"",Sales[[#This Row],[Current Upsell $]]&gt;=400,"High",Sales[[#This Row],[Current Upsell $]]&gt;=100,"Medium",Sales[[#This Row],[Current Upsell $]]&lt;100,"Low")</f>
        <v/>
      </c>
      <c r="R1814" t="str">
        <f>IF(Sales[[#This Row],[Current Upsell $]]&gt;0,_xlfn.CONCAT(Sales[[#This Row],[Subscription Type]]," ",Sales[[#This Row],[Upsell Priority]]," ",TEXT(Sales[[#This Row],[Current Upsell $]],"$#,#")),"")</f>
        <v/>
      </c>
    </row>
    <row r="1815" spans="1:18" x14ac:dyDescent="0.25">
      <c r="A1815">
        <v>100204</v>
      </c>
      <c r="B1815" t="s">
        <v>1</v>
      </c>
      <c r="D1815" s="1"/>
      <c r="E1815" s="1"/>
      <c r="F1815">
        <v>18</v>
      </c>
      <c r="G1815">
        <v>22</v>
      </c>
      <c r="H1815" s="1">
        <v>44228</v>
      </c>
      <c r="I1815" s="1">
        <v>44378</v>
      </c>
      <c r="J1815">
        <v>5</v>
      </c>
      <c r="K1815">
        <v>0</v>
      </c>
      <c r="L1815" s="1">
        <v>44348</v>
      </c>
      <c r="M1815">
        <v>450</v>
      </c>
      <c r="N1815" s="8" cm="1">
        <f t="array" ref="N1815">_xlfn.SWITCH(Sales[[#This Row],[Subscription Type]],"Basic",10,"Premium",10,"Business",25,"Enterprise",27)</f>
        <v>25</v>
      </c>
      <c r="O1815">
        <f>IF(Sales[[#This Row],[Number of Users]]-Sales[[#This Row],[Licenses Bought]]&lt;0,0,Sales[[#This Row],[Number of Users]]-Sales[[#This Row],[Licenses Bought]])</f>
        <v>4</v>
      </c>
      <c r="P1815" s="8">
        <f>IF(Sales[[#This Row],[Sales Month]]=MAX(Sales[Sales Month]),Sales[[#This Row],[Non-Paying Users]]*Sales[[#This Row],[Upsell $ per Non-Paying User]],0)</f>
        <v>100</v>
      </c>
      <c r="Q1815" t="str" cm="1">
        <f t="array" ref="Q1815">_xlfn.IFS(Sales[[#This Row],[Current Upsell $]]=0,"",Sales[[#This Row],[Current Upsell $]]&gt;=400,"High",Sales[[#This Row],[Current Upsell $]]&gt;=100,"Medium",Sales[[#This Row],[Current Upsell $]]&lt;100,"Low")</f>
        <v>Medium</v>
      </c>
      <c r="R1815" t="str">
        <f>IF(Sales[[#This Row],[Current Upsell $]]&gt;0,_xlfn.CONCAT(Sales[[#This Row],[Subscription Type]]," ",Sales[[#This Row],[Upsell Priority]]," ",TEXT(Sales[[#This Row],[Current Upsell $]],"$#,#")),"")</f>
        <v>Business Medium $100</v>
      </c>
    </row>
    <row r="1816" spans="1:18" x14ac:dyDescent="0.25">
      <c r="A1816">
        <v>100205</v>
      </c>
      <c r="B1816" t="s">
        <v>3</v>
      </c>
      <c r="D1816" s="1"/>
      <c r="E1816" s="1"/>
      <c r="F1816">
        <v>0</v>
      </c>
      <c r="G1816">
        <v>25</v>
      </c>
      <c r="H1816" s="1">
        <v>44228</v>
      </c>
      <c r="I1816" s="1">
        <v>44378</v>
      </c>
      <c r="J1816">
        <v>5</v>
      </c>
      <c r="K1816">
        <v>0</v>
      </c>
      <c r="L1816" s="1">
        <v>44228</v>
      </c>
      <c r="M1816">
        <v>0</v>
      </c>
      <c r="N1816" s="8" cm="1">
        <f t="array" ref="N1816">_xlfn.SWITCH(Sales[[#This Row],[Subscription Type]],"Basic",10,"Premium",10,"Business",25,"Enterprise",27)</f>
        <v>10</v>
      </c>
      <c r="O1816">
        <f>IF(Sales[[#This Row],[Number of Users]]-Sales[[#This Row],[Licenses Bought]]&lt;0,0,Sales[[#This Row],[Number of Users]]-Sales[[#This Row],[Licenses Bought]])</f>
        <v>25</v>
      </c>
      <c r="P1816" s="8">
        <f>IF(Sales[[#This Row],[Sales Month]]=MAX(Sales[Sales Month]),Sales[[#This Row],[Non-Paying Users]]*Sales[[#This Row],[Upsell $ per Non-Paying User]],0)</f>
        <v>0</v>
      </c>
      <c r="Q1816" t="str" cm="1">
        <f t="array" ref="Q1816">_xlfn.IFS(Sales[[#This Row],[Current Upsell $]]=0,"",Sales[[#This Row],[Current Upsell $]]&gt;=400,"High",Sales[[#This Row],[Current Upsell $]]&gt;=100,"Medium",Sales[[#This Row],[Current Upsell $]]&lt;100,"Low")</f>
        <v/>
      </c>
      <c r="R1816" t="str">
        <f>IF(Sales[[#This Row],[Current Upsell $]]&gt;0,_xlfn.CONCAT(Sales[[#This Row],[Subscription Type]]," ",Sales[[#This Row],[Upsell Priority]]," ",TEXT(Sales[[#This Row],[Current Upsell $]],"$#,#")),"")</f>
        <v/>
      </c>
    </row>
    <row r="1817" spans="1:18" x14ac:dyDescent="0.25">
      <c r="A1817">
        <v>100205</v>
      </c>
      <c r="B1817" t="s">
        <v>0</v>
      </c>
      <c r="D1817" s="1"/>
      <c r="E1817" s="1"/>
      <c r="F1817">
        <v>7</v>
      </c>
      <c r="G1817">
        <v>18</v>
      </c>
      <c r="H1817" s="1">
        <v>44228</v>
      </c>
      <c r="I1817" s="1">
        <v>44378</v>
      </c>
      <c r="J1817">
        <v>5</v>
      </c>
      <c r="K1817">
        <v>0</v>
      </c>
      <c r="L1817" s="1">
        <v>44256</v>
      </c>
      <c r="M1817">
        <v>70</v>
      </c>
      <c r="N1817" s="8" cm="1">
        <f t="array" ref="N1817">_xlfn.SWITCH(Sales[[#This Row],[Subscription Type]],"Basic",10,"Premium",10,"Business",25,"Enterprise",27)</f>
        <v>10</v>
      </c>
      <c r="O1817">
        <f>IF(Sales[[#This Row],[Number of Users]]-Sales[[#This Row],[Licenses Bought]]&lt;0,0,Sales[[#This Row],[Number of Users]]-Sales[[#This Row],[Licenses Bought]])</f>
        <v>11</v>
      </c>
      <c r="P1817" s="8">
        <f>IF(Sales[[#This Row],[Sales Month]]=MAX(Sales[Sales Month]),Sales[[#This Row],[Non-Paying Users]]*Sales[[#This Row],[Upsell $ per Non-Paying User]],0)</f>
        <v>0</v>
      </c>
      <c r="Q1817" t="str" cm="1">
        <f t="array" ref="Q1817">_xlfn.IFS(Sales[[#This Row],[Current Upsell $]]=0,"",Sales[[#This Row],[Current Upsell $]]&gt;=400,"High",Sales[[#This Row],[Current Upsell $]]&gt;=100,"Medium",Sales[[#This Row],[Current Upsell $]]&lt;100,"Low")</f>
        <v/>
      </c>
      <c r="R1817" t="str">
        <f>IF(Sales[[#This Row],[Current Upsell $]]&gt;0,_xlfn.CONCAT(Sales[[#This Row],[Subscription Type]]," ",Sales[[#This Row],[Upsell Priority]]," ",TEXT(Sales[[#This Row],[Current Upsell $]],"$#,#")),"")</f>
        <v/>
      </c>
    </row>
    <row r="1818" spans="1:18" x14ac:dyDescent="0.25">
      <c r="A1818">
        <v>100205</v>
      </c>
      <c r="B1818" t="s">
        <v>0</v>
      </c>
      <c r="D1818" s="1"/>
      <c r="E1818" s="1"/>
      <c r="F1818">
        <v>10</v>
      </c>
      <c r="G1818">
        <v>19</v>
      </c>
      <c r="H1818" s="1">
        <v>44228</v>
      </c>
      <c r="I1818" s="1">
        <v>44378</v>
      </c>
      <c r="J1818">
        <v>5</v>
      </c>
      <c r="K1818">
        <v>0</v>
      </c>
      <c r="L1818" s="1">
        <v>44287</v>
      </c>
      <c r="M1818">
        <v>100</v>
      </c>
      <c r="N1818" s="8" cm="1">
        <f t="array" ref="N1818">_xlfn.SWITCH(Sales[[#This Row],[Subscription Type]],"Basic",10,"Premium",10,"Business",25,"Enterprise",27)</f>
        <v>10</v>
      </c>
      <c r="O1818">
        <f>IF(Sales[[#This Row],[Number of Users]]-Sales[[#This Row],[Licenses Bought]]&lt;0,0,Sales[[#This Row],[Number of Users]]-Sales[[#This Row],[Licenses Bought]])</f>
        <v>9</v>
      </c>
      <c r="P1818" s="8">
        <f>IF(Sales[[#This Row],[Sales Month]]=MAX(Sales[Sales Month]),Sales[[#This Row],[Non-Paying Users]]*Sales[[#This Row],[Upsell $ per Non-Paying User]],0)</f>
        <v>0</v>
      </c>
      <c r="Q1818" t="str" cm="1">
        <f t="array" ref="Q1818">_xlfn.IFS(Sales[[#This Row],[Current Upsell $]]=0,"",Sales[[#This Row],[Current Upsell $]]&gt;=400,"High",Sales[[#This Row],[Current Upsell $]]&gt;=100,"Medium",Sales[[#This Row],[Current Upsell $]]&lt;100,"Low")</f>
        <v/>
      </c>
      <c r="R1818" t="str">
        <f>IF(Sales[[#This Row],[Current Upsell $]]&gt;0,_xlfn.CONCAT(Sales[[#This Row],[Subscription Type]]," ",Sales[[#This Row],[Upsell Priority]]," ",TEXT(Sales[[#This Row],[Current Upsell $]],"$#,#")),"")</f>
        <v/>
      </c>
    </row>
    <row r="1819" spans="1:18" x14ac:dyDescent="0.25">
      <c r="A1819">
        <v>100205</v>
      </c>
      <c r="B1819" t="s">
        <v>0</v>
      </c>
      <c r="D1819" s="1"/>
      <c r="E1819" s="1"/>
      <c r="F1819">
        <v>17</v>
      </c>
      <c r="G1819">
        <v>23</v>
      </c>
      <c r="H1819" s="1">
        <v>44228</v>
      </c>
      <c r="I1819" s="1">
        <v>44378</v>
      </c>
      <c r="J1819">
        <v>5</v>
      </c>
      <c r="K1819">
        <v>0</v>
      </c>
      <c r="L1819" s="1">
        <v>44317</v>
      </c>
      <c r="M1819">
        <v>170</v>
      </c>
      <c r="N1819" s="8" cm="1">
        <f t="array" ref="N1819">_xlfn.SWITCH(Sales[[#This Row],[Subscription Type]],"Basic",10,"Premium",10,"Business",25,"Enterprise",27)</f>
        <v>10</v>
      </c>
      <c r="O1819">
        <f>IF(Sales[[#This Row],[Number of Users]]-Sales[[#This Row],[Licenses Bought]]&lt;0,0,Sales[[#This Row],[Number of Users]]-Sales[[#This Row],[Licenses Bought]])</f>
        <v>6</v>
      </c>
      <c r="P1819" s="8">
        <f>IF(Sales[[#This Row],[Sales Month]]=MAX(Sales[Sales Month]),Sales[[#This Row],[Non-Paying Users]]*Sales[[#This Row],[Upsell $ per Non-Paying User]],0)</f>
        <v>0</v>
      </c>
      <c r="Q1819" t="str" cm="1">
        <f t="array" ref="Q1819">_xlfn.IFS(Sales[[#This Row],[Current Upsell $]]=0,"",Sales[[#This Row],[Current Upsell $]]&gt;=400,"High",Sales[[#This Row],[Current Upsell $]]&gt;=100,"Medium",Sales[[#This Row],[Current Upsell $]]&lt;100,"Low")</f>
        <v/>
      </c>
      <c r="R1819" t="str">
        <f>IF(Sales[[#This Row],[Current Upsell $]]&gt;0,_xlfn.CONCAT(Sales[[#This Row],[Subscription Type]]," ",Sales[[#This Row],[Upsell Priority]]," ",TEXT(Sales[[#This Row],[Current Upsell $]],"$#,#")),"")</f>
        <v/>
      </c>
    </row>
    <row r="1820" spans="1:18" x14ac:dyDescent="0.25">
      <c r="A1820">
        <v>100205</v>
      </c>
      <c r="B1820" t="s">
        <v>0</v>
      </c>
      <c r="D1820" s="1"/>
      <c r="E1820" s="1"/>
      <c r="F1820">
        <v>17</v>
      </c>
      <c r="G1820">
        <v>18</v>
      </c>
      <c r="H1820" s="1">
        <v>44228</v>
      </c>
      <c r="I1820" s="1">
        <v>44378</v>
      </c>
      <c r="J1820">
        <v>5</v>
      </c>
      <c r="K1820">
        <v>0</v>
      </c>
      <c r="L1820" s="1">
        <v>44348</v>
      </c>
      <c r="M1820">
        <v>170</v>
      </c>
      <c r="N1820" s="8" cm="1">
        <f t="array" ref="N1820">_xlfn.SWITCH(Sales[[#This Row],[Subscription Type]],"Basic",10,"Premium",10,"Business",25,"Enterprise",27)</f>
        <v>10</v>
      </c>
      <c r="O1820">
        <f>IF(Sales[[#This Row],[Number of Users]]-Sales[[#This Row],[Licenses Bought]]&lt;0,0,Sales[[#This Row],[Number of Users]]-Sales[[#This Row],[Licenses Bought]])</f>
        <v>1</v>
      </c>
      <c r="P1820" s="8">
        <f>IF(Sales[[#This Row],[Sales Month]]=MAX(Sales[Sales Month]),Sales[[#This Row],[Non-Paying Users]]*Sales[[#This Row],[Upsell $ per Non-Paying User]],0)</f>
        <v>10</v>
      </c>
      <c r="Q1820" t="str" cm="1">
        <f t="array" ref="Q1820">_xlfn.IFS(Sales[[#This Row],[Current Upsell $]]=0,"",Sales[[#This Row],[Current Upsell $]]&gt;=400,"High",Sales[[#This Row],[Current Upsell $]]&gt;=100,"Medium",Sales[[#This Row],[Current Upsell $]]&lt;100,"Low")</f>
        <v>Low</v>
      </c>
      <c r="R1820" t="str">
        <f>IF(Sales[[#This Row],[Current Upsell $]]&gt;0,_xlfn.CONCAT(Sales[[#This Row],[Subscription Type]]," ",Sales[[#This Row],[Upsell Priority]]," ",TEXT(Sales[[#This Row],[Current Upsell $]],"$#,#")),"")</f>
        <v>Premium Low $10</v>
      </c>
    </row>
    <row r="1821" spans="1:18" x14ac:dyDescent="0.25">
      <c r="A1821">
        <v>100206</v>
      </c>
      <c r="B1821" t="s">
        <v>3</v>
      </c>
      <c r="F1821">
        <v>0</v>
      </c>
      <c r="G1821">
        <v>17</v>
      </c>
      <c r="H1821" s="1">
        <v>44228</v>
      </c>
      <c r="I1821" s="1">
        <v>44378</v>
      </c>
      <c r="J1821">
        <v>5</v>
      </c>
      <c r="K1821">
        <v>0</v>
      </c>
      <c r="L1821" s="1">
        <v>44228</v>
      </c>
      <c r="M1821">
        <v>0</v>
      </c>
      <c r="N1821" s="8" cm="1">
        <f t="array" ref="N1821">_xlfn.SWITCH(Sales[[#This Row],[Subscription Type]],"Basic",10,"Premium",10,"Business",25,"Enterprise",27)</f>
        <v>10</v>
      </c>
      <c r="O1821">
        <f>IF(Sales[[#This Row],[Number of Users]]-Sales[[#This Row],[Licenses Bought]]&lt;0,0,Sales[[#This Row],[Number of Users]]-Sales[[#This Row],[Licenses Bought]])</f>
        <v>17</v>
      </c>
      <c r="P1821" s="8">
        <f>IF(Sales[[#This Row],[Sales Month]]=MAX(Sales[Sales Month]),Sales[[#This Row],[Non-Paying Users]]*Sales[[#This Row],[Upsell $ per Non-Paying User]],0)</f>
        <v>0</v>
      </c>
      <c r="Q1821" t="str" cm="1">
        <f t="array" ref="Q1821">_xlfn.IFS(Sales[[#This Row],[Current Upsell $]]=0,"",Sales[[#This Row],[Current Upsell $]]&gt;=400,"High",Sales[[#This Row],[Current Upsell $]]&gt;=100,"Medium",Sales[[#This Row],[Current Upsell $]]&lt;100,"Low")</f>
        <v/>
      </c>
      <c r="R1821" t="str">
        <f>IF(Sales[[#This Row],[Current Upsell $]]&gt;0,_xlfn.CONCAT(Sales[[#This Row],[Subscription Type]]," ",Sales[[#This Row],[Upsell Priority]]," ",TEXT(Sales[[#This Row],[Current Upsell $]],"$#,#")),"")</f>
        <v/>
      </c>
    </row>
    <row r="1822" spans="1:18" x14ac:dyDescent="0.25">
      <c r="A1822">
        <v>100206</v>
      </c>
      <c r="B1822" t="s">
        <v>3</v>
      </c>
      <c r="F1822">
        <v>0</v>
      </c>
      <c r="G1822">
        <v>18</v>
      </c>
      <c r="H1822" s="1">
        <v>44228</v>
      </c>
      <c r="I1822" s="1">
        <v>44378</v>
      </c>
      <c r="J1822">
        <v>5</v>
      </c>
      <c r="K1822">
        <v>0</v>
      </c>
      <c r="L1822" s="1">
        <v>44256</v>
      </c>
      <c r="M1822">
        <v>0</v>
      </c>
      <c r="N1822" s="8" cm="1">
        <f t="array" ref="N1822">_xlfn.SWITCH(Sales[[#This Row],[Subscription Type]],"Basic",10,"Premium",10,"Business",25,"Enterprise",27)</f>
        <v>10</v>
      </c>
      <c r="O1822">
        <f>IF(Sales[[#This Row],[Number of Users]]-Sales[[#This Row],[Licenses Bought]]&lt;0,0,Sales[[#This Row],[Number of Users]]-Sales[[#This Row],[Licenses Bought]])</f>
        <v>18</v>
      </c>
      <c r="P1822" s="8">
        <f>IF(Sales[[#This Row],[Sales Month]]=MAX(Sales[Sales Month]),Sales[[#This Row],[Non-Paying Users]]*Sales[[#This Row],[Upsell $ per Non-Paying User]],0)</f>
        <v>0</v>
      </c>
      <c r="Q1822" t="str" cm="1">
        <f t="array" ref="Q1822">_xlfn.IFS(Sales[[#This Row],[Current Upsell $]]=0,"",Sales[[#This Row],[Current Upsell $]]&gt;=400,"High",Sales[[#This Row],[Current Upsell $]]&gt;=100,"Medium",Sales[[#This Row],[Current Upsell $]]&lt;100,"Low")</f>
        <v/>
      </c>
      <c r="R1822" t="str">
        <f>IF(Sales[[#This Row],[Current Upsell $]]&gt;0,_xlfn.CONCAT(Sales[[#This Row],[Subscription Type]]," ",Sales[[#This Row],[Upsell Priority]]," ",TEXT(Sales[[#This Row],[Current Upsell $]],"$#,#")),"")</f>
        <v/>
      </c>
    </row>
    <row r="1823" spans="1:18" x14ac:dyDescent="0.25">
      <c r="A1823">
        <v>100206</v>
      </c>
      <c r="B1823" t="s">
        <v>3</v>
      </c>
      <c r="F1823">
        <v>0</v>
      </c>
      <c r="G1823">
        <v>20</v>
      </c>
      <c r="H1823" s="1">
        <v>44228</v>
      </c>
      <c r="I1823" s="1">
        <v>44378</v>
      </c>
      <c r="J1823">
        <v>5</v>
      </c>
      <c r="K1823">
        <v>0</v>
      </c>
      <c r="L1823" s="1">
        <v>44287</v>
      </c>
      <c r="M1823">
        <v>0</v>
      </c>
      <c r="N1823" s="8" cm="1">
        <f t="array" ref="N1823">_xlfn.SWITCH(Sales[[#This Row],[Subscription Type]],"Basic",10,"Premium",10,"Business",25,"Enterprise",27)</f>
        <v>10</v>
      </c>
      <c r="O1823">
        <f>IF(Sales[[#This Row],[Number of Users]]-Sales[[#This Row],[Licenses Bought]]&lt;0,0,Sales[[#This Row],[Number of Users]]-Sales[[#This Row],[Licenses Bought]])</f>
        <v>20</v>
      </c>
      <c r="P1823" s="8">
        <f>IF(Sales[[#This Row],[Sales Month]]=MAX(Sales[Sales Month]),Sales[[#This Row],[Non-Paying Users]]*Sales[[#This Row],[Upsell $ per Non-Paying User]],0)</f>
        <v>0</v>
      </c>
      <c r="Q1823" t="str" cm="1">
        <f t="array" ref="Q1823">_xlfn.IFS(Sales[[#This Row],[Current Upsell $]]=0,"",Sales[[#This Row],[Current Upsell $]]&gt;=400,"High",Sales[[#This Row],[Current Upsell $]]&gt;=100,"Medium",Sales[[#This Row],[Current Upsell $]]&lt;100,"Low")</f>
        <v/>
      </c>
      <c r="R1823" t="str">
        <f>IF(Sales[[#This Row],[Current Upsell $]]&gt;0,_xlfn.CONCAT(Sales[[#This Row],[Subscription Type]]," ",Sales[[#This Row],[Upsell Priority]]," ",TEXT(Sales[[#This Row],[Current Upsell $]],"$#,#")),"")</f>
        <v/>
      </c>
    </row>
    <row r="1824" spans="1:18" x14ac:dyDescent="0.25">
      <c r="A1824">
        <v>100206</v>
      </c>
      <c r="B1824" t="s">
        <v>3</v>
      </c>
      <c r="F1824">
        <v>0</v>
      </c>
      <c r="G1824">
        <v>19</v>
      </c>
      <c r="H1824" s="1">
        <v>44228</v>
      </c>
      <c r="I1824" s="1">
        <v>44378</v>
      </c>
      <c r="J1824">
        <v>5</v>
      </c>
      <c r="K1824">
        <v>0</v>
      </c>
      <c r="L1824" s="1">
        <v>44317</v>
      </c>
      <c r="M1824">
        <v>0</v>
      </c>
      <c r="N1824" s="8" cm="1">
        <f t="array" ref="N1824">_xlfn.SWITCH(Sales[[#This Row],[Subscription Type]],"Basic",10,"Premium",10,"Business",25,"Enterprise",27)</f>
        <v>10</v>
      </c>
      <c r="O1824">
        <f>IF(Sales[[#This Row],[Number of Users]]-Sales[[#This Row],[Licenses Bought]]&lt;0,0,Sales[[#This Row],[Number of Users]]-Sales[[#This Row],[Licenses Bought]])</f>
        <v>19</v>
      </c>
      <c r="P1824" s="8">
        <f>IF(Sales[[#This Row],[Sales Month]]=MAX(Sales[Sales Month]),Sales[[#This Row],[Non-Paying Users]]*Sales[[#This Row],[Upsell $ per Non-Paying User]],0)</f>
        <v>0</v>
      </c>
      <c r="Q1824" t="str" cm="1">
        <f t="array" ref="Q1824">_xlfn.IFS(Sales[[#This Row],[Current Upsell $]]=0,"",Sales[[#This Row],[Current Upsell $]]&gt;=400,"High",Sales[[#This Row],[Current Upsell $]]&gt;=100,"Medium",Sales[[#This Row],[Current Upsell $]]&lt;100,"Low")</f>
        <v/>
      </c>
      <c r="R1824" t="str">
        <f>IF(Sales[[#This Row],[Current Upsell $]]&gt;0,_xlfn.CONCAT(Sales[[#This Row],[Subscription Type]]," ",Sales[[#This Row],[Upsell Priority]]," ",TEXT(Sales[[#This Row],[Current Upsell $]],"$#,#")),"")</f>
        <v/>
      </c>
    </row>
    <row r="1825" spans="1:18" x14ac:dyDescent="0.25">
      <c r="A1825">
        <v>100206</v>
      </c>
      <c r="B1825" t="s">
        <v>3</v>
      </c>
      <c r="F1825">
        <v>0</v>
      </c>
      <c r="G1825">
        <v>21</v>
      </c>
      <c r="H1825" s="1">
        <v>44228</v>
      </c>
      <c r="I1825" s="1">
        <v>44378</v>
      </c>
      <c r="J1825">
        <v>5</v>
      </c>
      <c r="K1825">
        <v>0</v>
      </c>
      <c r="L1825" s="1">
        <v>44348</v>
      </c>
      <c r="M1825">
        <v>0</v>
      </c>
      <c r="N1825" s="8" cm="1">
        <f t="array" ref="N1825">_xlfn.SWITCH(Sales[[#This Row],[Subscription Type]],"Basic",10,"Premium",10,"Business",25,"Enterprise",27)</f>
        <v>10</v>
      </c>
      <c r="O1825">
        <f>IF(Sales[[#This Row],[Number of Users]]-Sales[[#This Row],[Licenses Bought]]&lt;0,0,Sales[[#This Row],[Number of Users]]-Sales[[#This Row],[Licenses Bought]])</f>
        <v>21</v>
      </c>
      <c r="P1825" s="8">
        <f>IF(Sales[[#This Row],[Sales Month]]=MAX(Sales[Sales Month]),Sales[[#This Row],[Non-Paying Users]]*Sales[[#This Row],[Upsell $ per Non-Paying User]],0)</f>
        <v>210</v>
      </c>
      <c r="Q1825" t="str" cm="1">
        <f t="array" ref="Q1825">_xlfn.IFS(Sales[[#This Row],[Current Upsell $]]=0,"",Sales[[#This Row],[Current Upsell $]]&gt;=400,"High",Sales[[#This Row],[Current Upsell $]]&gt;=100,"Medium",Sales[[#This Row],[Current Upsell $]]&lt;100,"Low")</f>
        <v>Medium</v>
      </c>
      <c r="R1825" t="str">
        <f>IF(Sales[[#This Row],[Current Upsell $]]&gt;0,_xlfn.CONCAT(Sales[[#This Row],[Subscription Type]]," ",Sales[[#This Row],[Upsell Priority]]," ",TEXT(Sales[[#This Row],[Current Upsell $]],"$#,#")),"")</f>
        <v>Basic Medium $210</v>
      </c>
    </row>
    <row r="1826" spans="1:18" x14ac:dyDescent="0.25">
      <c r="A1826">
        <v>100207</v>
      </c>
      <c r="B1826" t="s">
        <v>3</v>
      </c>
      <c r="D1826" s="1"/>
      <c r="E1826" s="1"/>
      <c r="F1826">
        <v>0</v>
      </c>
      <c r="G1826">
        <v>15</v>
      </c>
      <c r="H1826" s="1">
        <v>44228</v>
      </c>
      <c r="I1826" s="1">
        <v>44378</v>
      </c>
      <c r="J1826">
        <v>5</v>
      </c>
      <c r="K1826">
        <v>0</v>
      </c>
      <c r="L1826" s="1">
        <v>44228</v>
      </c>
      <c r="M1826">
        <v>0</v>
      </c>
      <c r="N1826" s="8" cm="1">
        <f t="array" ref="N1826">_xlfn.SWITCH(Sales[[#This Row],[Subscription Type]],"Basic",10,"Premium",10,"Business",25,"Enterprise",27)</f>
        <v>10</v>
      </c>
      <c r="O1826">
        <f>IF(Sales[[#This Row],[Number of Users]]-Sales[[#This Row],[Licenses Bought]]&lt;0,0,Sales[[#This Row],[Number of Users]]-Sales[[#This Row],[Licenses Bought]])</f>
        <v>15</v>
      </c>
      <c r="P1826" s="8">
        <f>IF(Sales[[#This Row],[Sales Month]]=MAX(Sales[Sales Month]),Sales[[#This Row],[Non-Paying Users]]*Sales[[#This Row],[Upsell $ per Non-Paying User]],0)</f>
        <v>0</v>
      </c>
      <c r="Q1826" t="str" cm="1">
        <f t="array" ref="Q1826">_xlfn.IFS(Sales[[#This Row],[Current Upsell $]]=0,"",Sales[[#This Row],[Current Upsell $]]&gt;=400,"High",Sales[[#This Row],[Current Upsell $]]&gt;=100,"Medium",Sales[[#This Row],[Current Upsell $]]&lt;100,"Low")</f>
        <v/>
      </c>
      <c r="R1826" t="str">
        <f>IF(Sales[[#This Row],[Current Upsell $]]&gt;0,_xlfn.CONCAT(Sales[[#This Row],[Subscription Type]]," ",Sales[[#This Row],[Upsell Priority]]," ",TEXT(Sales[[#This Row],[Current Upsell $]],"$#,#")),"")</f>
        <v/>
      </c>
    </row>
    <row r="1827" spans="1:18" x14ac:dyDescent="0.25">
      <c r="A1827">
        <v>100207</v>
      </c>
      <c r="B1827" t="s">
        <v>0</v>
      </c>
      <c r="D1827" s="1"/>
      <c r="E1827" s="1"/>
      <c r="F1827">
        <v>4</v>
      </c>
      <c r="G1827">
        <v>18</v>
      </c>
      <c r="H1827" s="1">
        <v>44228</v>
      </c>
      <c r="I1827" s="1">
        <v>44378</v>
      </c>
      <c r="J1827">
        <v>5</v>
      </c>
      <c r="K1827">
        <v>0</v>
      </c>
      <c r="L1827" s="1">
        <v>44256</v>
      </c>
      <c r="M1827">
        <v>40</v>
      </c>
      <c r="N1827" s="8" cm="1">
        <f t="array" ref="N1827">_xlfn.SWITCH(Sales[[#This Row],[Subscription Type]],"Basic",10,"Premium",10,"Business",25,"Enterprise",27)</f>
        <v>10</v>
      </c>
      <c r="O1827">
        <f>IF(Sales[[#This Row],[Number of Users]]-Sales[[#This Row],[Licenses Bought]]&lt;0,0,Sales[[#This Row],[Number of Users]]-Sales[[#This Row],[Licenses Bought]])</f>
        <v>14</v>
      </c>
      <c r="P1827" s="8">
        <f>IF(Sales[[#This Row],[Sales Month]]=MAX(Sales[Sales Month]),Sales[[#This Row],[Non-Paying Users]]*Sales[[#This Row],[Upsell $ per Non-Paying User]],0)</f>
        <v>0</v>
      </c>
      <c r="Q1827" t="str" cm="1">
        <f t="array" ref="Q1827">_xlfn.IFS(Sales[[#This Row],[Current Upsell $]]=0,"",Sales[[#This Row],[Current Upsell $]]&gt;=400,"High",Sales[[#This Row],[Current Upsell $]]&gt;=100,"Medium",Sales[[#This Row],[Current Upsell $]]&lt;100,"Low")</f>
        <v/>
      </c>
      <c r="R1827" t="str">
        <f>IF(Sales[[#This Row],[Current Upsell $]]&gt;0,_xlfn.CONCAT(Sales[[#This Row],[Subscription Type]]," ",Sales[[#This Row],[Upsell Priority]]," ",TEXT(Sales[[#This Row],[Current Upsell $]],"$#,#")),"")</f>
        <v/>
      </c>
    </row>
    <row r="1828" spans="1:18" x14ac:dyDescent="0.25">
      <c r="A1828">
        <v>100207</v>
      </c>
      <c r="B1828" t="s">
        <v>0</v>
      </c>
      <c r="D1828" s="1"/>
      <c r="E1828" s="1"/>
      <c r="F1828">
        <v>12</v>
      </c>
      <c r="G1828">
        <v>13</v>
      </c>
      <c r="H1828" s="1">
        <v>44228</v>
      </c>
      <c r="I1828" s="1">
        <v>44378</v>
      </c>
      <c r="J1828">
        <v>5</v>
      </c>
      <c r="K1828">
        <v>0</v>
      </c>
      <c r="L1828" s="1">
        <v>44287</v>
      </c>
      <c r="M1828">
        <v>120</v>
      </c>
      <c r="N1828" s="8" cm="1">
        <f t="array" ref="N1828">_xlfn.SWITCH(Sales[[#This Row],[Subscription Type]],"Basic",10,"Premium",10,"Business",25,"Enterprise",27)</f>
        <v>10</v>
      </c>
      <c r="O1828">
        <f>IF(Sales[[#This Row],[Number of Users]]-Sales[[#This Row],[Licenses Bought]]&lt;0,0,Sales[[#This Row],[Number of Users]]-Sales[[#This Row],[Licenses Bought]])</f>
        <v>1</v>
      </c>
      <c r="P1828" s="8">
        <f>IF(Sales[[#This Row],[Sales Month]]=MAX(Sales[Sales Month]),Sales[[#This Row],[Non-Paying Users]]*Sales[[#This Row],[Upsell $ per Non-Paying User]],0)</f>
        <v>0</v>
      </c>
      <c r="Q1828" t="str" cm="1">
        <f t="array" ref="Q1828">_xlfn.IFS(Sales[[#This Row],[Current Upsell $]]=0,"",Sales[[#This Row],[Current Upsell $]]&gt;=400,"High",Sales[[#This Row],[Current Upsell $]]&gt;=100,"Medium",Sales[[#This Row],[Current Upsell $]]&lt;100,"Low")</f>
        <v/>
      </c>
      <c r="R1828" t="str">
        <f>IF(Sales[[#This Row],[Current Upsell $]]&gt;0,_xlfn.CONCAT(Sales[[#This Row],[Subscription Type]]," ",Sales[[#This Row],[Upsell Priority]]," ",TEXT(Sales[[#This Row],[Current Upsell $]],"$#,#")),"")</f>
        <v/>
      </c>
    </row>
    <row r="1829" spans="1:18" x14ac:dyDescent="0.25">
      <c r="A1829">
        <v>100207</v>
      </c>
      <c r="B1829" t="s">
        <v>0</v>
      </c>
      <c r="D1829" s="1"/>
      <c r="E1829" s="1"/>
      <c r="F1829">
        <v>12</v>
      </c>
      <c r="G1829">
        <v>16</v>
      </c>
      <c r="H1829" s="1">
        <v>44228</v>
      </c>
      <c r="I1829" s="1">
        <v>44378</v>
      </c>
      <c r="J1829">
        <v>5</v>
      </c>
      <c r="K1829">
        <v>0</v>
      </c>
      <c r="L1829" s="1">
        <v>44317</v>
      </c>
      <c r="M1829">
        <v>120</v>
      </c>
      <c r="N1829" s="8" cm="1">
        <f t="array" ref="N1829">_xlfn.SWITCH(Sales[[#This Row],[Subscription Type]],"Basic",10,"Premium",10,"Business",25,"Enterprise",27)</f>
        <v>10</v>
      </c>
      <c r="O1829">
        <f>IF(Sales[[#This Row],[Number of Users]]-Sales[[#This Row],[Licenses Bought]]&lt;0,0,Sales[[#This Row],[Number of Users]]-Sales[[#This Row],[Licenses Bought]])</f>
        <v>4</v>
      </c>
      <c r="P1829" s="8">
        <f>IF(Sales[[#This Row],[Sales Month]]=MAX(Sales[Sales Month]),Sales[[#This Row],[Non-Paying Users]]*Sales[[#This Row],[Upsell $ per Non-Paying User]],0)</f>
        <v>0</v>
      </c>
      <c r="Q1829" t="str" cm="1">
        <f t="array" ref="Q1829">_xlfn.IFS(Sales[[#This Row],[Current Upsell $]]=0,"",Sales[[#This Row],[Current Upsell $]]&gt;=400,"High",Sales[[#This Row],[Current Upsell $]]&gt;=100,"Medium",Sales[[#This Row],[Current Upsell $]]&lt;100,"Low")</f>
        <v/>
      </c>
      <c r="R1829" t="str">
        <f>IF(Sales[[#This Row],[Current Upsell $]]&gt;0,_xlfn.CONCAT(Sales[[#This Row],[Subscription Type]]," ",Sales[[#This Row],[Upsell Priority]]," ",TEXT(Sales[[#This Row],[Current Upsell $]],"$#,#")),"")</f>
        <v/>
      </c>
    </row>
    <row r="1830" spans="1:18" x14ac:dyDescent="0.25">
      <c r="A1830">
        <v>100207</v>
      </c>
      <c r="B1830" t="s">
        <v>0</v>
      </c>
      <c r="D1830" s="1"/>
      <c r="E1830" s="1"/>
      <c r="F1830">
        <v>12</v>
      </c>
      <c r="G1830">
        <v>14</v>
      </c>
      <c r="H1830" s="1">
        <v>44228</v>
      </c>
      <c r="I1830" s="1">
        <v>44378</v>
      </c>
      <c r="J1830">
        <v>5</v>
      </c>
      <c r="K1830">
        <v>0</v>
      </c>
      <c r="L1830" s="1">
        <v>44348</v>
      </c>
      <c r="M1830">
        <v>120</v>
      </c>
      <c r="N1830" s="8" cm="1">
        <f t="array" ref="N1830">_xlfn.SWITCH(Sales[[#This Row],[Subscription Type]],"Basic",10,"Premium",10,"Business",25,"Enterprise",27)</f>
        <v>10</v>
      </c>
      <c r="O1830">
        <f>IF(Sales[[#This Row],[Number of Users]]-Sales[[#This Row],[Licenses Bought]]&lt;0,0,Sales[[#This Row],[Number of Users]]-Sales[[#This Row],[Licenses Bought]])</f>
        <v>2</v>
      </c>
      <c r="P1830" s="8">
        <f>IF(Sales[[#This Row],[Sales Month]]=MAX(Sales[Sales Month]),Sales[[#This Row],[Non-Paying Users]]*Sales[[#This Row],[Upsell $ per Non-Paying User]],0)</f>
        <v>20</v>
      </c>
      <c r="Q1830" t="str" cm="1">
        <f t="array" ref="Q1830">_xlfn.IFS(Sales[[#This Row],[Current Upsell $]]=0,"",Sales[[#This Row],[Current Upsell $]]&gt;=400,"High",Sales[[#This Row],[Current Upsell $]]&gt;=100,"Medium",Sales[[#This Row],[Current Upsell $]]&lt;100,"Low")</f>
        <v>Low</v>
      </c>
      <c r="R1830" t="str">
        <f>IF(Sales[[#This Row],[Current Upsell $]]&gt;0,_xlfn.CONCAT(Sales[[#This Row],[Subscription Type]]," ",Sales[[#This Row],[Upsell Priority]]," ",TEXT(Sales[[#This Row],[Current Upsell $]],"$#,#")),"")</f>
        <v>Premium Low $20</v>
      </c>
    </row>
    <row r="1831" spans="1:18" x14ac:dyDescent="0.25">
      <c r="A1831">
        <v>100208</v>
      </c>
      <c r="B1831" t="s">
        <v>3</v>
      </c>
      <c r="F1831">
        <v>0</v>
      </c>
      <c r="G1831">
        <v>12</v>
      </c>
      <c r="H1831" s="1">
        <v>44228</v>
      </c>
      <c r="I1831" s="1">
        <v>44348</v>
      </c>
      <c r="J1831">
        <v>4</v>
      </c>
      <c r="K1831">
        <v>0</v>
      </c>
      <c r="L1831" s="1">
        <v>44228</v>
      </c>
      <c r="M1831">
        <v>0</v>
      </c>
      <c r="N1831" s="8" cm="1">
        <f t="array" ref="N1831">_xlfn.SWITCH(Sales[[#This Row],[Subscription Type]],"Basic",10,"Premium",10,"Business",25,"Enterprise",27)</f>
        <v>10</v>
      </c>
      <c r="O1831">
        <f>IF(Sales[[#This Row],[Number of Users]]-Sales[[#This Row],[Licenses Bought]]&lt;0,0,Sales[[#This Row],[Number of Users]]-Sales[[#This Row],[Licenses Bought]])</f>
        <v>12</v>
      </c>
      <c r="P1831" s="8">
        <f>IF(Sales[[#This Row],[Sales Month]]=MAX(Sales[Sales Month]),Sales[[#This Row],[Non-Paying Users]]*Sales[[#This Row],[Upsell $ per Non-Paying User]],0)</f>
        <v>0</v>
      </c>
      <c r="Q1831" t="str" cm="1">
        <f t="array" ref="Q1831">_xlfn.IFS(Sales[[#This Row],[Current Upsell $]]=0,"",Sales[[#This Row],[Current Upsell $]]&gt;=400,"High",Sales[[#This Row],[Current Upsell $]]&gt;=100,"Medium",Sales[[#This Row],[Current Upsell $]]&lt;100,"Low")</f>
        <v/>
      </c>
      <c r="R1831" t="str">
        <f>IF(Sales[[#This Row],[Current Upsell $]]&gt;0,_xlfn.CONCAT(Sales[[#This Row],[Subscription Type]]," ",Sales[[#This Row],[Upsell Priority]]," ",TEXT(Sales[[#This Row],[Current Upsell $]],"$#,#")),"")</f>
        <v/>
      </c>
    </row>
    <row r="1832" spans="1:18" x14ac:dyDescent="0.25">
      <c r="A1832">
        <v>100208</v>
      </c>
      <c r="B1832" t="s">
        <v>1</v>
      </c>
      <c r="F1832">
        <v>3</v>
      </c>
      <c r="G1832">
        <v>14</v>
      </c>
      <c r="H1832" s="1">
        <v>44228</v>
      </c>
      <c r="I1832" s="1">
        <v>44348</v>
      </c>
      <c r="J1832">
        <v>4</v>
      </c>
      <c r="K1832">
        <v>0</v>
      </c>
      <c r="L1832" s="1">
        <v>44256</v>
      </c>
      <c r="M1832">
        <v>75</v>
      </c>
      <c r="N1832" s="8" cm="1">
        <f t="array" ref="N1832">_xlfn.SWITCH(Sales[[#This Row],[Subscription Type]],"Basic",10,"Premium",10,"Business",25,"Enterprise",27)</f>
        <v>25</v>
      </c>
      <c r="O1832">
        <f>IF(Sales[[#This Row],[Number of Users]]-Sales[[#This Row],[Licenses Bought]]&lt;0,0,Sales[[#This Row],[Number of Users]]-Sales[[#This Row],[Licenses Bought]])</f>
        <v>11</v>
      </c>
      <c r="P1832" s="8">
        <f>IF(Sales[[#This Row],[Sales Month]]=MAX(Sales[Sales Month]),Sales[[#This Row],[Non-Paying Users]]*Sales[[#This Row],[Upsell $ per Non-Paying User]],0)</f>
        <v>0</v>
      </c>
      <c r="Q1832" t="str" cm="1">
        <f t="array" ref="Q1832">_xlfn.IFS(Sales[[#This Row],[Current Upsell $]]=0,"",Sales[[#This Row],[Current Upsell $]]&gt;=400,"High",Sales[[#This Row],[Current Upsell $]]&gt;=100,"Medium",Sales[[#This Row],[Current Upsell $]]&lt;100,"Low")</f>
        <v/>
      </c>
      <c r="R1832" t="str">
        <f>IF(Sales[[#This Row],[Current Upsell $]]&gt;0,_xlfn.CONCAT(Sales[[#This Row],[Subscription Type]]," ",Sales[[#This Row],[Upsell Priority]]," ",TEXT(Sales[[#This Row],[Current Upsell $]],"$#,#")),"")</f>
        <v/>
      </c>
    </row>
    <row r="1833" spans="1:18" x14ac:dyDescent="0.25">
      <c r="A1833">
        <v>100208</v>
      </c>
      <c r="B1833" t="s">
        <v>1</v>
      </c>
      <c r="F1833">
        <v>6</v>
      </c>
      <c r="G1833">
        <v>14</v>
      </c>
      <c r="H1833" s="1">
        <v>44228</v>
      </c>
      <c r="I1833" s="1">
        <v>44348</v>
      </c>
      <c r="J1833">
        <v>4</v>
      </c>
      <c r="K1833">
        <v>0</v>
      </c>
      <c r="L1833" s="1">
        <v>44287</v>
      </c>
      <c r="M1833">
        <v>150</v>
      </c>
      <c r="N1833" s="8" cm="1">
        <f t="array" ref="N1833">_xlfn.SWITCH(Sales[[#This Row],[Subscription Type]],"Basic",10,"Premium",10,"Business",25,"Enterprise",27)</f>
        <v>25</v>
      </c>
      <c r="O1833">
        <f>IF(Sales[[#This Row],[Number of Users]]-Sales[[#This Row],[Licenses Bought]]&lt;0,0,Sales[[#This Row],[Number of Users]]-Sales[[#This Row],[Licenses Bought]])</f>
        <v>8</v>
      </c>
      <c r="P1833" s="8">
        <f>IF(Sales[[#This Row],[Sales Month]]=MAX(Sales[Sales Month]),Sales[[#This Row],[Non-Paying Users]]*Sales[[#This Row],[Upsell $ per Non-Paying User]],0)</f>
        <v>0</v>
      </c>
      <c r="Q1833" t="str" cm="1">
        <f t="array" ref="Q1833">_xlfn.IFS(Sales[[#This Row],[Current Upsell $]]=0,"",Sales[[#This Row],[Current Upsell $]]&gt;=400,"High",Sales[[#This Row],[Current Upsell $]]&gt;=100,"Medium",Sales[[#This Row],[Current Upsell $]]&lt;100,"Low")</f>
        <v/>
      </c>
      <c r="R1833" t="str">
        <f>IF(Sales[[#This Row],[Current Upsell $]]&gt;0,_xlfn.CONCAT(Sales[[#This Row],[Subscription Type]]," ",Sales[[#This Row],[Upsell Priority]]," ",TEXT(Sales[[#This Row],[Current Upsell $]],"$#,#")),"")</f>
        <v/>
      </c>
    </row>
    <row r="1834" spans="1:18" x14ac:dyDescent="0.25">
      <c r="A1834">
        <v>100208</v>
      </c>
      <c r="B1834" t="s">
        <v>1</v>
      </c>
      <c r="F1834">
        <v>10</v>
      </c>
      <c r="G1834">
        <v>10</v>
      </c>
      <c r="H1834" s="1">
        <v>44228</v>
      </c>
      <c r="I1834" s="1">
        <v>44348</v>
      </c>
      <c r="J1834">
        <v>4</v>
      </c>
      <c r="K1834">
        <v>0</v>
      </c>
      <c r="L1834" s="1">
        <v>44317</v>
      </c>
      <c r="M1834">
        <v>250</v>
      </c>
      <c r="N1834" s="8" cm="1">
        <f t="array" ref="N1834">_xlfn.SWITCH(Sales[[#This Row],[Subscription Type]],"Basic",10,"Premium",10,"Business",25,"Enterprise",27)</f>
        <v>25</v>
      </c>
      <c r="O1834">
        <f>IF(Sales[[#This Row],[Number of Users]]-Sales[[#This Row],[Licenses Bought]]&lt;0,0,Sales[[#This Row],[Number of Users]]-Sales[[#This Row],[Licenses Bought]])</f>
        <v>0</v>
      </c>
      <c r="P1834" s="8">
        <f>IF(Sales[[#This Row],[Sales Month]]=MAX(Sales[Sales Month]),Sales[[#This Row],[Non-Paying Users]]*Sales[[#This Row],[Upsell $ per Non-Paying User]],0)</f>
        <v>0</v>
      </c>
      <c r="Q1834" t="str" cm="1">
        <f t="array" ref="Q1834">_xlfn.IFS(Sales[[#This Row],[Current Upsell $]]=0,"",Sales[[#This Row],[Current Upsell $]]&gt;=400,"High",Sales[[#This Row],[Current Upsell $]]&gt;=100,"Medium",Sales[[#This Row],[Current Upsell $]]&lt;100,"Low")</f>
        <v/>
      </c>
      <c r="R1834" t="str">
        <f>IF(Sales[[#This Row],[Current Upsell $]]&gt;0,_xlfn.CONCAT(Sales[[#This Row],[Subscription Type]]," ",Sales[[#This Row],[Upsell Priority]]," ",TEXT(Sales[[#This Row],[Current Upsell $]],"$#,#")),"")</f>
        <v/>
      </c>
    </row>
    <row r="1835" spans="1:18" x14ac:dyDescent="0.25">
      <c r="A1835">
        <v>100208</v>
      </c>
      <c r="B1835" t="s">
        <v>1</v>
      </c>
      <c r="F1835">
        <v>10</v>
      </c>
      <c r="G1835">
        <v>12</v>
      </c>
      <c r="H1835" s="1">
        <v>44228</v>
      </c>
      <c r="I1835" s="1">
        <v>44348</v>
      </c>
      <c r="J1835">
        <v>4</v>
      </c>
      <c r="K1835">
        <v>0</v>
      </c>
      <c r="L1835" s="1">
        <v>44348</v>
      </c>
      <c r="M1835">
        <v>250</v>
      </c>
      <c r="N1835" s="8" cm="1">
        <f t="array" ref="N1835">_xlfn.SWITCH(Sales[[#This Row],[Subscription Type]],"Basic",10,"Premium",10,"Business",25,"Enterprise",27)</f>
        <v>25</v>
      </c>
      <c r="O1835">
        <f>IF(Sales[[#This Row],[Number of Users]]-Sales[[#This Row],[Licenses Bought]]&lt;0,0,Sales[[#This Row],[Number of Users]]-Sales[[#This Row],[Licenses Bought]])</f>
        <v>2</v>
      </c>
      <c r="P1835" s="8">
        <f>IF(Sales[[#This Row],[Sales Month]]=MAX(Sales[Sales Month]),Sales[[#This Row],[Non-Paying Users]]*Sales[[#This Row],[Upsell $ per Non-Paying User]],0)</f>
        <v>50</v>
      </c>
      <c r="Q1835" t="str" cm="1">
        <f t="array" ref="Q1835">_xlfn.IFS(Sales[[#This Row],[Current Upsell $]]=0,"",Sales[[#This Row],[Current Upsell $]]&gt;=400,"High",Sales[[#This Row],[Current Upsell $]]&gt;=100,"Medium",Sales[[#This Row],[Current Upsell $]]&lt;100,"Low")</f>
        <v>Low</v>
      </c>
      <c r="R1835" t="str">
        <f>IF(Sales[[#This Row],[Current Upsell $]]&gt;0,_xlfn.CONCAT(Sales[[#This Row],[Subscription Type]]," ",Sales[[#This Row],[Upsell Priority]]," ",TEXT(Sales[[#This Row],[Current Upsell $]],"$#,#")),"")</f>
        <v>Business Low $50</v>
      </c>
    </row>
    <row r="1836" spans="1:18" x14ac:dyDescent="0.25">
      <c r="A1836">
        <v>100209</v>
      </c>
      <c r="B1836" t="s">
        <v>3</v>
      </c>
      <c r="F1836">
        <v>0</v>
      </c>
      <c r="G1836">
        <v>13</v>
      </c>
      <c r="H1836" s="1">
        <v>44228</v>
      </c>
      <c r="I1836" s="1">
        <v>44378</v>
      </c>
      <c r="J1836">
        <v>5</v>
      </c>
      <c r="K1836">
        <v>0</v>
      </c>
      <c r="L1836" s="1">
        <v>44228</v>
      </c>
      <c r="M1836">
        <v>0</v>
      </c>
      <c r="N1836" s="8" cm="1">
        <f t="array" ref="N1836">_xlfn.SWITCH(Sales[[#This Row],[Subscription Type]],"Basic",10,"Premium",10,"Business",25,"Enterprise",27)</f>
        <v>10</v>
      </c>
      <c r="O1836">
        <f>IF(Sales[[#This Row],[Number of Users]]-Sales[[#This Row],[Licenses Bought]]&lt;0,0,Sales[[#This Row],[Number of Users]]-Sales[[#This Row],[Licenses Bought]])</f>
        <v>13</v>
      </c>
      <c r="P1836" s="8">
        <f>IF(Sales[[#This Row],[Sales Month]]=MAX(Sales[Sales Month]),Sales[[#This Row],[Non-Paying Users]]*Sales[[#This Row],[Upsell $ per Non-Paying User]],0)</f>
        <v>0</v>
      </c>
      <c r="Q1836" t="str" cm="1">
        <f t="array" ref="Q1836">_xlfn.IFS(Sales[[#This Row],[Current Upsell $]]=0,"",Sales[[#This Row],[Current Upsell $]]&gt;=400,"High",Sales[[#This Row],[Current Upsell $]]&gt;=100,"Medium",Sales[[#This Row],[Current Upsell $]]&lt;100,"Low")</f>
        <v/>
      </c>
      <c r="R1836" t="str">
        <f>IF(Sales[[#This Row],[Current Upsell $]]&gt;0,_xlfn.CONCAT(Sales[[#This Row],[Subscription Type]]," ",Sales[[#This Row],[Upsell Priority]]," ",TEXT(Sales[[#This Row],[Current Upsell $]],"$#,#")),"")</f>
        <v/>
      </c>
    </row>
    <row r="1837" spans="1:18" x14ac:dyDescent="0.25">
      <c r="A1837">
        <v>100209</v>
      </c>
      <c r="B1837" t="s">
        <v>3</v>
      </c>
      <c r="F1837">
        <v>0</v>
      </c>
      <c r="G1837">
        <v>13</v>
      </c>
      <c r="H1837" s="1">
        <v>44228</v>
      </c>
      <c r="I1837" s="1">
        <v>44378</v>
      </c>
      <c r="J1837">
        <v>5</v>
      </c>
      <c r="K1837">
        <v>0</v>
      </c>
      <c r="L1837" s="1">
        <v>44256</v>
      </c>
      <c r="M1837">
        <v>0</v>
      </c>
      <c r="N1837" s="8" cm="1">
        <f t="array" ref="N1837">_xlfn.SWITCH(Sales[[#This Row],[Subscription Type]],"Basic",10,"Premium",10,"Business",25,"Enterprise",27)</f>
        <v>10</v>
      </c>
      <c r="O1837">
        <f>IF(Sales[[#This Row],[Number of Users]]-Sales[[#This Row],[Licenses Bought]]&lt;0,0,Sales[[#This Row],[Number of Users]]-Sales[[#This Row],[Licenses Bought]])</f>
        <v>13</v>
      </c>
      <c r="P1837" s="8">
        <f>IF(Sales[[#This Row],[Sales Month]]=MAX(Sales[Sales Month]),Sales[[#This Row],[Non-Paying Users]]*Sales[[#This Row],[Upsell $ per Non-Paying User]],0)</f>
        <v>0</v>
      </c>
      <c r="Q1837" t="str" cm="1">
        <f t="array" ref="Q1837">_xlfn.IFS(Sales[[#This Row],[Current Upsell $]]=0,"",Sales[[#This Row],[Current Upsell $]]&gt;=400,"High",Sales[[#This Row],[Current Upsell $]]&gt;=100,"Medium",Sales[[#This Row],[Current Upsell $]]&lt;100,"Low")</f>
        <v/>
      </c>
      <c r="R1837" t="str">
        <f>IF(Sales[[#This Row],[Current Upsell $]]&gt;0,_xlfn.CONCAT(Sales[[#This Row],[Subscription Type]]," ",Sales[[#This Row],[Upsell Priority]]," ",TEXT(Sales[[#This Row],[Current Upsell $]],"$#,#")),"")</f>
        <v/>
      </c>
    </row>
    <row r="1838" spans="1:18" x14ac:dyDescent="0.25">
      <c r="A1838">
        <v>100209</v>
      </c>
      <c r="B1838" t="s">
        <v>3</v>
      </c>
      <c r="F1838">
        <v>0</v>
      </c>
      <c r="G1838">
        <v>12</v>
      </c>
      <c r="H1838" s="1">
        <v>44228</v>
      </c>
      <c r="I1838" s="1">
        <v>44378</v>
      </c>
      <c r="J1838">
        <v>5</v>
      </c>
      <c r="K1838">
        <v>0</v>
      </c>
      <c r="L1838" s="1">
        <v>44287</v>
      </c>
      <c r="M1838">
        <v>0</v>
      </c>
      <c r="N1838" s="8" cm="1">
        <f t="array" ref="N1838">_xlfn.SWITCH(Sales[[#This Row],[Subscription Type]],"Basic",10,"Premium",10,"Business",25,"Enterprise",27)</f>
        <v>10</v>
      </c>
      <c r="O1838">
        <f>IF(Sales[[#This Row],[Number of Users]]-Sales[[#This Row],[Licenses Bought]]&lt;0,0,Sales[[#This Row],[Number of Users]]-Sales[[#This Row],[Licenses Bought]])</f>
        <v>12</v>
      </c>
      <c r="P1838" s="8">
        <f>IF(Sales[[#This Row],[Sales Month]]=MAX(Sales[Sales Month]),Sales[[#This Row],[Non-Paying Users]]*Sales[[#This Row],[Upsell $ per Non-Paying User]],0)</f>
        <v>0</v>
      </c>
      <c r="Q1838" t="str" cm="1">
        <f t="array" ref="Q1838">_xlfn.IFS(Sales[[#This Row],[Current Upsell $]]=0,"",Sales[[#This Row],[Current Upsell $]]&gt;=400,"High",Sales[[#This Row],[Current Upsell $]]&gt;=100,"Medium",Sales[[#This Row],[Current Upsell $]]&lt;100,"Low")</f>
        <v/>
      </c>
      <c r="R1838" t="str">
        <f>IF(Sales[[#This Row],[Current Upsell $]]&gt;0,_xlfn.CONCAT(Sales[[#This Row],[Subscription Type]]," ",Sales[[#This Row],[Upsell Priority]]," ",TEXT(Sales[[#This Row],[Current Upsell $]],"$#,#")),"")</f>
        <v/>
      </c>
    </row>
    <row r="1839" spans="1:18" x14ac:dyDescent="0.25">
      <c r="A1839">
        <v>100209</v>
      </c>
      <c r="B1839" t="s">
        <v>3</v>
      </c>
      <c r="F1839">
        <v>0</v>
      </c>
      <c r="G1839">
        <v>12</v>
      </c>
      <c r="H1839" s="1">
        <v>44228</v>
      </c>
      <c r="I1839" s="1">
        <v>44378</v>
      </c>
      <c r="J1839">
        <v>5</v>
      </c>
      <c r="K1839">
        <v>0</v>
      </c>
      <c r="L1839" s="1">
        <v>44317</v>
      </c>
      <c r="M1839">
        <v>0</v>
      </c>
      <c r="N1839" s="8" cm="1">
        <f t="array" ref="N1839">_xlfn.SWITCH(Sales[[#This Row],[Subscription Type]],"Basic",10,"Premium",10,"Business",25,"Enterprise",27)</f>
        <v>10</v>
      </c>
      <c r="O1839">
        <f>IF(Sales[[#This Row],[Number of Users]]-Sales[[#This Row],[Licenses Bought]]&lt;0,0,Sales[[#This Row],[Number of Users]]-Sales[[#This Row],[Licenses Bought]])</f>
        <v>12</v>
      </c>
      <c r="P1839" s="8">
        <f>IF(Sales[[#This Row],[Sales Month]]=MAX(Sales[Sales Month]),Sales[[#This Row],[Non-Paying Users]]*Sales[[#This Row],[Upsell $ per Non-Paying User]],0)</f>
        <v>0</v>
      </c>
      <c r="Q1839" t="str" cm="1">
        <f t="array" ref="Q1839">_xlfn.IFS(Sales[[#This Row],[Current Upsell $]]=0,"",Sales[[#This Row],[Current Upsell $]]&gt;=400,"High",Sales[[#This Row],[Current Upsell $]]&gt;=100,"Medium",Sales[[#This Row],[Current Upsell $]]&lt;100,"Low")</f>
        <v/>
      </c>
      <c r="R1839" t="str">
        <f>IF(Sales[[#This Row],[Current Upsell $]]&gt;0,_xlfn.CONCAT(Sales[[#This Row],[Subscription Type]]," ",Sales[[#This Row],[Upsell Priority]]," ",TEXT(Sales[[#This Row],[Current Upsell $]],"$#,#")),"")</f>
        <v/>
      </c>
    </row>
    <row r="1840" spans="1:18" x14ac:dyDescent="0.25">
      <c r="A1840">
        <v>100209</v>
      </c>
      <c r="B1840" t="s">
        <v>3</v>
      </c>
      <c r="F1840">
        <v>0</v>
      </c>
      <c r="G1840">
        <v>11</v>
      </c>
      <c r="H1840" s="1">
        <v>44228</v>
      </c>
      <c r="I1840" s="1">
        <v>44378</v>
      </c>
      <c r="J1840">
        <v>5</v>
      </c>
      <c r="K1840">
        <v>0</v>
      </c>
      <c r="L1840" s="1">
        <v>44348</v>
      </c>
      <c r="M1840">
        <v>0</v>
      </c>
      <c r="N1840" s="8" cm="1">
        <f t="array" ref="N1840">_xlfn.SWITCH(Sales[[#This Row],[Subscription Type]],"Basic",10,"Premium",10,"Business",25,"Enterprise",27)</f>
        <v>10</v>
      </c>
      <c r="O1840">
        <f>IF(Sales[[#This Row],[Number of Users]]-Sales[[#This Row],[Licenses Bought]]&lt;0,0,Sales[[#This Row],[Number of Users]]-Sales[[#This Row],[Licenses Bought]])</f>
        <v>11</v>
      </c>
      <c r="P1840" s="8">
        <f>IF(Sales[[#This Row],[Sales Month]]=MAX(Sales[Sales Month]),Sales[[#This Row],[Non-Paying Users]]*Sales[[#This Row],[Upsell $ per Non-Paying User]],0)</f>
        <v>110</v>
      </c>
      <c r="Q1840" t="str" cm="1">
        <f t="array" ref="Q1840">_xlfn.IFS(Sales[[#This Row],[Current Upsell $]]=0,"",Sales[[#This Row],[Current Upsell $]]&gt;=400,"High",Sales[[#This Row],[Current Upsell $]]&gt;=100,"Medium",Sales[[#This Row],[Current Upsell $]]&lt;100,"Low")</f>
        <v>Medium</v>
      </c>
      <c r="R1840" t="str">
        <f>IF(Sales[[#This Row],[Current Upsell $]]&gt;0,_xlfn.CONCAT(Sales[[#This Row],[Subscription Type]]," ",Sales[[#This Row],[Upsell Priority]]," ",TEXT(Sales[[#This Row],[Current Upsell $]],"$#,#")),"")</f>
        <v>Basic Medium $110</v>
      </c>
    </row>
    <row r="1841" spans="1:18" x14ac:dyDescent="0.25">
      <c r="A1841">
        <v>100210</v>
      </c>
      <c r="B1841" t="s">
        <v>3</v>
      </c>
      <c r="F1841">
        <v>0</v>
      </c>
      <c r="G1841">
        <v>6</v>
      </c>
      <c r="H1841" s="1">
        <v>44228</v>
      </c>
      <c r="I1841" s="1">
        <v>44348</v>
      </c>
      <c r="J1841">
        <v>4</v>
      </c>
      <c r="K1841">
        <v>0</v>
      </c>
      <c r="L1841" s="1">
        <v>44228</v>
      </c>
      <c r="M1841">
        <v>0</v>
      </c>
      <c r="N1841" s="8" cm="1">
        <f t="array" ref="N1841">_xlfn.SWITCH(Sales[[#This Row],[Subscription Type]],"Basic",10,"Premium",10,"Business",25,"Enterprise",27)</f>
        <v>10</v>
      </c>
      <c r="O1841">
        <f>IF(Sales[[#This Row],[Number of Users]]-Sales[[#This Row],[Licenses Bought]]&lt;0,0,Sales[[#This Row],[Number of Users]]-Sales[[#This Row],[Licenses Bought]])</f>
        <v>6</v>
      </c>
      <c r="P1841" s="8">
        <f>IF(Sales[[#This Row],[Sales Month]]=MAX(Sales[Sales Month]),Sales[[#This Row],[Non-Paying Users]]*Sales[[#This Row],[Upsell $ per Non-Paying User]],0)</f>
        <v>0</v>
      </c>
      <c r="Q1841" t="str" cm="1">
        <f t="array" ref="Q1841">_xlfn.IFS(Sales[[#This Row],[Current Upsell $]]=0,"",Sales[[#This Row],[Current Upsell $]]&gt;=400,"High",Sales[[#This Row],[Current Upsell $]]&gt;=100,"Medium",Sales[[#This Row],[Current Upsell $]]&lt;100,"Low")</f>
        <v/>
      </c>
      <c r="R1841" t="str">
        <f>IF(Sales[[#This Row],[Current Upsell $]]&gt;0,_xlfn.CONCAT(Sales[[#This Row],[Subscription Type]]," ",Sales[[#This Row],[Upsell Priority]]," ",TEXT(Sales[[#This Row],[Current Upsell $]],"$#,#")),"")</f>
        <v/>
      </c>
    </row>
    <row r="1842" spans="1:18" x14ac:dyDescent="0.25">
      <c r="A1842">
        <v>100210</v>
      </c>
      <c r="B1842" t="s">
        <v>0</v>
      </c>
      <c r="F1842">
        <v>2</v>
      </c>
      <c r="G1842">
        <v>6</v>
      </c>
      <c r="H1842" s="1">
        <v>44228</v>
      </c>
      <c r="I1842" s="1">
        <v>44348</v>
      </c>
      <c r="J1842">
        <v>4</v>
      </c>
      <c r="K1842">
        <v>0</v>
      </c>
      <c r="L1842" s="1">
        <v>44256</v>
      </c>
      <c r="M1842">
        <v>20</v>
      </c>
      <c r="N1842" s="8" cm="1">
        <f t="array" ref="N1842">_xlfn.SWITCH(Sales[[#This Row],[Subscription Type]],"Basic",10,"Premium",10,"Business",25,"Enterprise",27)</f>
        <v>10</v>
      </c>
      <c r="O1842">
        <f>IF(Sales[[#This Row],[Number of Users]]-Sales[[#This Row],[Licenses Bought]]&lt;0,0,Sales[[#This Row],[Number of Users]]-Sales[[#This Row],[Licenses Bought]])</f>
        <v>4</v>
      </c>
      <c r="P1842" s="8">
        <f>IF(Sales[[#This Row],[Sales Month]]=MAX(Sales[Sales Month]),Sales[[#This Row],[Non-Paying Users]]*Sales[[#This Row],[Upsell $ per Non-Paying User]],0)</f>
        <v>0</v>
      </c>
      <c r="Q1842" t="str" cm="1">
        <f t="array" ref="Q1842">_xlfn.IFS(Sales[[#This Row],[Current Upsell $]]=0,"",Sales[[#This Row],[Current Upsell $]]&gt;=400,"High",Sales[[#This Row],[Current Upsell $]]&gt;=100,"Medium",Sales[[#This Row],[Current Upsell $]]&lt;100,"Low")</f>
        <v/>
      </c>
      <c r="R1842" t="str">
        <f>IF(Sales[[#This Row],[Current Upsell $]]&gt;0,_xlfn.CONCAT(Sales[[#This Row],[Subscription Type]]," ",Sales[[#This Row],[Upsell Priority]]," ",TEXT(Sales[[#This Row],[Current Upsell $]],"$#,#")),"")</f>
        <v/>
      </c>
    </row>
    <row r="1843" spans="1:18" x14ac:dyDescent="0.25">
      <c r="A1843">
        <v>100210</v>
      </c>
      <c r="B1843" t="s">
        <v>0</v>
      </c>
      <c r="F1843">
        <v>3</v>
      </c>
      <c r="G1843">
        <v>6</v>
      </c>
      <c r="H1843" s="1">
        <v>44228</v>
      </c>
      <c r="I1843" s="1">
        <v>44348</v>
      </c>
      <c r="J1843">
        <v>4</v>
      </c>
      <c r="K1843">
        <v>0</v>
      </c>
      <c r="L1843" s="1">
        <v>44287</v>
      </c>
      <c r="M1843">
        <v>30</v>
      </c>
      <c r="N1843" s="8" cm="1">
        <f t="array" ref="N1843">_xlfn.SWITCH(Sales[[#This Row],[Subscription Type]],"Basic",10,"Premium",10,"Business",25,"Enterprise",27)</f>
        <v>10</v>
      </c>
      <c r="O1843">
        <f>IF(Sales[[#This Row],[Number of Users]]-Sales[[#This Row],[Licenses Bought]]&lt;0,0,Sales[[#This Row],[Number of Users]]-Sales[[#This Row],[Licenses Bought]])</f>
        <v>3</v>
      </c>
      <c r="P1843" s="8">
        <f>IF(Sales[[#This Row],[Sales Month]]=MAX(Sales[Sales Month]),Sales[[#This Row],[Non-Paying Users]]*Sales[[#This Row],[Upsell $ per Non-Paying User]],0)</f>
        <v>0</v>
      </c>
      <c r="Q1843" t="str" cm="1">
        <f t="array" ref="Q1843">_xlfn.IFS(Sales[[#This Row],[Current Upsell $]]=0,"",Sales[[#This Row],[Current Upsell $]]&gt;=400,"High",Sales[[#This Row],[Current Upsell $]]&gt;=100,"Medium",Sales[[#This Row],[Current Upsell $]]&lt;100,"Low")</f>
        <v/>
      </c>
      <c r="R1843" t="str">
        <f>IF(Sales[[#This Row],[Current Upsell $]]&gt;0,_xlfn.CONCAT(Sales[[#This Row],[Subscription Type]]," ",Sales[[#This Row],[Upsell Priority]]," ",TEXT(Sales[[#This Row],[Current Upsell $]],"$#,#")),"")</f>
        <v/>
      </c>
    </row>
    <row r="1844" spans="1:18" x14ac:dyDescent="0.25">
      <c r="A1844">
        <v>100210</v>
      </c>
      <c r="B1844" t="s">
        <v>0</v>
      </c>
      <c r="F1844">
        <v>5</v>
      </c>
      <c r="G1844">
        <v>6</v>
      </c>
      <c r="H1844" s="1">
        <v>44228</v>
      </c>
      <c r="I1844" s="1">
        <v>44348</v>
      </c>
      <c r="J1844">
        <v>4</v>
      </c>
      <c r="K1844">
        <v>0</v>
      </c>
      <c r="L1844" s="1">
        <v>44317</v>
      </c>
      <c r="M1844">
        <v>50</v>
      </c>
      <c r="N1844" s="8" cm="1">
        <f t="array" ref="N1844">_xlfn.SWITCH(Sales[[#This Row],[Subscription Type]],"Basic",10,"Premium",10,"Business",25,"Enterprise",27)</f>
        <v>10</v>
      </c>
      <c r="O1844">
        <f>IF(Sales[[#This Row],[Number of Users]]-Sales[[#This Row],[Licenses Bought]]&lt;0,0,Sales[[#This Row],[Number of Users]]-Sales[[#This Row],[Licenses Bought]])</f>
        <v>1</v>
      </c>
      <c r="P1844" s="8">
        <f>IF(Sales[[#This Row],[Sales Month]]=MAX(Sales[Sales Month]),Sales[[#This Row],[Non-Paying Users]]*Sales[[#This Row],[Upsell $ per Non-Paying User]],0)</f>
        <v>0</v>
      </c>
      <c r="Q1844" t="str" cm="1">
        <f t="array" ref="Q1844">_xlfn.IFS(Sales[[#This Row],[Current Upsell $]]=0,"",Sales[[#This Row],[Current Upsell $]]&gt;=400,"High",Sales[[#This Row],[Current Upsell $]]&gt;=100,"Medium",Sales[[#This Row],[Current Upsell $]]&lt;100,"Low")</f>
        <v/>
      </c>
      <c r="R1844" t="str">
        <f>IF(Sales[[#This Row],[Current Upsell $]]&gt;0,_xlfn.CONCAT(Sales[[#This Row],[Subscription Type]]," ",Sales[[#This Row],[Upsell Priority]]," ",TEXT(Sales[[#This Row],[Current Upsell $]],"$#,#")),"")</f>
        <v/>
      </c>
    </row>
    <row r="1845" spans="1:18" x14ac:dyDescent="0.25">
      <c r="A1845">
        <v>100210</v>
      </c>
      <c r="B1845" t="s">
        <v>0</v>
      </c>
      <c r="F1845">
        <v>5</v>
      </c>
      <c r="G1845">
        <v>6</v>
      </c>
      <c r="H1845" s="1">
        <v>44228</v>
      </c>
      <c r="I1845" s="1">
        <v>44348</v>
      </c>
      <c r="J1845">
        <v>4</v>
      </c>
      <c r="K1845">
        <v>0</v>
      </c>
      <c r="L1845" s="1">
        <v>44348</v>
      </c>
      <c r="M1845">
        <v>50</v>
      </c>
      <c r="N1845" s="8" cm="1">
        <f t="array" ref="N1845">_xlfn.SWITCH(Sales[[#This Row],[Subscription Type]],"Basic",10,"Premium",10,"Business",25,"Enterprise",27)</f>
        <v>10</v>
      </c>
      <c r="O1845">
        <f>IF(Sales[[#This Row],[Number of Users]]-Sales[[#This Row],[Licenses Bought]]&lt;0,0,Sales[[#This Row],[Number of Users]]-Sales[[#This Row],[Licenses Bought]])</f>
        <v>1</v>
      </c>
      <c r="P1845" s="8">
        <f>IF(Sales[[#This Row],[Sales Month]]=MAX(Sales[Sales Month]),Sales[[#This Row],[Non-Paying Users]]*Sales[[#This Row],[Upsell $ per Non-Paying User]],0)</f>
        <v>10</v>
      </c>
      <c r="Q1845" t="str" cm="1">
        <f t="array" ref="Q1845">_xlfn.IFS(Sales[[#This Row],[Current Upsell $]]=0,"",Sales[[#This Row],[Current Upsell $]]&gt;=400,"High",Sales[[#This Row],[Current Upsell $]]&gt;=100,"Medium",Sales[[#This Row],[Current Upsell $]]&lt;100,"Low")</f>
        <v>Low</v>
      </c>
      <c r="R1845" t="str">
        <f>IF(Sales[[#This Row],[Current Upsell $]]&gt;0,_xlfn.CONCAT(Sales[[#This Row],[Subscription Type]]," ",Sales[[#This Row],[Upsell Priority]]," ",TEXT(Sales[[#This Row],[Current Upsell $]],"$#,#")),"")</f>
        <v>Premium Low $10</v>
      </c>
    </row>
    <row r="1846" spans="1:18" x14ac:dyDescent="0.25">
      <c r="A1846">
        <v>100211</v>
      </c>
      <c r="B1846" t="s">
        <v>3</v>
      </c>
      <c r="F1846">
        <v>0</v>
      </c>
      <c r="G1846">
        <v>4</v>
      </c>
      <c r="H1846" s="1">
        <v>44228</v>
      </c>
      <c r="I1846" s="1">
        <v>44256</v>
      </c>
      <c r="J1846">
        <v>1</v>
      </c>
      <c r="K1846">
        <v>3</v>
      </c>
      <c r="L1846" s="1">
        <v>44228</v>
      </c>
      <c r="M1846">
        <v>0</v>
      </c>
      <c r="N1846" s="8" cm="1">
        <f t="array" ref="N1846">_xlfn.SWITCH(Sales[[#This Row],[Subscription Type]],"Basic",10,"Premium",10,"Business",25,"Enterprise",27)</f>
        <v>10</v>
      </c>
      <c r="O1846">
        <f>IF(Sales[[#This Row],[Number of Users]]-Sales[[#This Row],[Licenses Bought]]&lt;0,0,Sales[[#This Row],[Number of Users]]-Sales[[#This Row],[Licenses Bought]])</f>
        <v>4</v>
      </c>
      <c r="P1846" s="8">
        <f>IF(Sales[[#This Row],[Sales Month]]=MAX(Sales[Sales Month]),Sales[[#This Row],[Non-Paying Users]]*Sales[[#This Row],[Upsell $ per Non-Paying User]],0)</f>
        <v>0</v>
      </c>
      <c r="Q1846" t="str" cm="1">
        <f t="array" ref="Q1846">_xlfn.IFS(Sales[[#This Row],[Current Upsell $]]=0,"",Sales[[#This Row],[Current Upsell $]]&gt;=400,"High",Sales[[#This Row],[Current Upsell $]]&gt;=100,"Medium",Sales[[#This Row],[Current Upsell $]]&lt;100,"Low")</f>
        <v/>
      </c>
      <c r="R1846" t="str">
        <f>IF(Sales[[#This Row],[Current Upsell $]]&gt;0,_xlfn.CONCAT(Sales[[#This Row],[Subscription Type]]," ",Sales[[#This Row],[Upsell Priority]]," ",TEXT(Sales[[#This Row],[Current Upsell $]],"$#,#")),"")</f>
        <v/>
      </c>
    </row>
    <row r="1847" spans="1:18" x14ac:dyDescent="0.25">
      <c r="A1847">
        <v>100211</v>
      </c>
      <c r="B1847" t="s">
        <v>3</v>
      </c>
      <c r="F1847">
        <v>0</v>
      </c>
      <c r="G1847">
        <v>6</v>
      </c>
      <c r="H1847" s="1">
        <v>44228</v>
      </c>
      <c r="I1847" s="1">
        <v>44256</v>
      </c>
      <c r="J1847">
        <v>1</v>
      </c>
      <c r="K1847">
        <v>3</v>
      </c>
      <c r="L1847" s="1">
        <v>44256</v>
      </c>
      <c r="M1847">
        <v>0</v>
      </c>
      <c r="N1847" s="8" cm="1">
        <f t="array" ref="N1847">_xlfn.SWITCH(Sales[[#This Row],[Subscription Type]],"Basic",10,"Premium",10,"Business",25,"Enterprise",27)</f>
        <v>10</v>
      </c>
      <c r="O1847">
        <f>IF(Sales[[#This Row],[Number of Users]]-Sales[[#This Row],[Licenses Bought]]&lt;0,0,Sales[[#This Row],[Number of Users]]-Sales[[#This Row],[Licenses Bought]])</f>
        <v>6</v>
      </c>
      <c r="P1847" s="8">
        <f>IF(Sales[[#This Row],[Sales Month]]=MAX(Sales[Sales Month]),Sales[[#This Row],[Non-Paying Users]]*Sales[[#This Row],[Upsell $ per Non-Paying User]],0)</f>
        <v>0</v>
      </c>
      <c r="Q1847" t="str" cm="1">
        <f t="array" ref="Q1847">_xlfn.IFS(Sales[[#This Row],[Current Upsell $]]=0,"",Sales[[#This Row],[Current Upsell $]]&gt;=400,"High",Sales[[#This Row],[Current Upsell $]]&gt;=100,"Medium",Sales[[#This Row],[Current Upsell $]]&lt;100,"Low")</f>
        <v/>
      </c>
      <c r="R1847" t="str">
        <f>IF(Sales[[#This Row],[Current Upsell $]]&gt;0,_xlfn.CONCAT(Sales[[#This Row],[Subscription Type]]," ",Sales[[#This Row],[Upsell Priority]]," ",TEXT(Sales[[#This Row],[Current Upsell $]],"$#,#")),"")</f>
        <v/>
      </c>
    </row>
    <row r="1848" spans="1:18" x14ac:dyDescent="0.25">
      <c r="A1848">
        <v>100212</v>
      </c>
      <c r="B1848" t="s">
        <v>3</v>
      </c>
      <c r="F1848">
        <v>0</v>
      </c>
      <c r="G1848">
        <v>3</v>
      </c>
      <c r="H1848" s="1">
        <v>44228</v>
      </c>
      <c r="I1848" s="1">
        <v>44378</v>
      </c>
      <c r="J1848">
        <v>5</v>
      </c>
      <c r="K1848">
        <v>0</v>
      </c>
      <c r="L1848" s="1">
        <v>44228</v>
      </c>
      <c r="M1848">
        <v>0</v>
      </c>
      <c r="N1848" s="8" cm="1">
        <f t="array" ref="N1848">_xlfn.SWITCH(Sales[[#This Row],[Subscription Type]],"Basic",10,"Premium",10,"Business",25,"Enterprise",27)</f>
        <v>10</v>
      </c>
      <c r="O1848">
        <f>IF(Sales[[#This Row],[Number of Users]]-Sales[[#This Row],[Licenses Bought]]&lt;0,0,Sales[[#This Row],[Number of Users]]-Sales[[#This Row],[Licenses Bought]])</f>
        <v>3</v>
      </c>
      <c r="P1848" s="8">
        <f>IF(Sales[[#This Row],[Sales Month]]=MAX(Sales[Sales Month]),Sales[[#This Row],[Non-Paying Users]]*Sales[[#This Row],[Upsell $ per Non-Paying User]],0)</f>
        <v>0</v>
      </c>
      <c r="Q1848" t="str" cm="1">
        <f t="array" ref="Q1848">_xlfn.IFS(Sales[[#This Row],[Current Upsell $]]=0,"",Sales[[#This Row],[Current Upsell $]]&gt;=400,"High",Sales[[#This Row],[Current Upsell $]]&gt;=100,"Medium",Sales[[#This Row],[Current Upsell $]]&lt;100,"Low")</f>
        <v/>
      </c>
      <c r="R1848" t="str">
        <f>IF(Sales[[#This Row],[Current Upsell $]]&gt;0,_xlfn.CONCAT(Sales[[#This Row],[Subscription Type]]," ",Sales[[#This Row],[Upsell Priority]]," ",TEXT(Sales[[#This Row],[Current Upsell $]],"$#,#")),"")</f>
        <v/>
      </c>
    </row>
    <row r="1849" spans="1:18" x14ac:dyDescent="0.25">
      <c r="A1849">
        <v>100212</v>
      </c>
      <c r="B1849" t="s">
        <v>3</v>
      </c>
      <c r="F1849">
        <v>0</v>
      </c>
      <c r="G1849">
        <v>3</v>
      </c>
      <c r="H1849" s="1">
        <v>44228</v>
      </c>
      <c r="I1849" s="1">
        <v>44378</v>
      </c>
      <c r="J1849">
        <v>5</v>
      </c>
      <c r="K1849">
        <v>0</v>
      </c>
      <c r="L1849" s="1">
        <v>44256</v>
      </c>
      <c r="M1849">
        <v>0</v>
      </c>
      <c r="N1849" s="8" cm="1">
        <f t="array" ref="N1849">_xlfn.SWITCH(Sales[[#This Row],[Subscription Type]],"Basic",10,"Premium",10,"Business",25,"Enterprise",27)</f>
        <v>10</v>
      </c>
      <c r="O1849">
        <f>IF(Sales[[#This Row],[Number of Users]]-Sales[[#This Row],[Licenses Bought]]&lt;0,0,Sales[[#This Row],[Number of Users]]-Sales[[#This Row],[Licenses Bought]])</f>
        <v>3</v>
      </c>
      <c r="P1849" s="8">
        <f>IF(Sales[[#This Row],[Sales Month]]=MAX(Sales[Sales Month]),Sales[[#This Row],[Non-Paying Users]]*Sales[[#This Row],[Upsell $ per Non-Paying User]],0)</f>
        <v>0</v>
      </c>
      <c r="Q1849" t="str" cm="1">
        <f t="array" ref="Q1849">_xlfn.IFS(Sales[[#This Row],[Current Upsell $]]=0,"",Sales[[#This Row],[Current Upsell $]]&gt;=400,"High",Sales[[#This Row],[Current Upsell $]]&gt;=100,"Medium",Sales[[#This Row],[Current Upsell $]]&lt;100,"Low")</f>
        <v/>
      </c>
      <c r="R1849" t="str">
        <f>IF(Sales[[#This Row],[Current Upsell $]]&gt;0,_xlfn.CONCAT(Sales[[#This Row],[Subscription Type]]," ",Sales[[#This Row],[Upsell Priority]]," ",TEXT(Sales[[#This Row],[Current Upsell $]],"$#,#")),"")</f>
        <v/>
      </c>
    </row>
    <row r="1850" spans="1:18" x14ac:dyDescent="0.25">
      <c r="A1850">
        <v>100212</v>
      </c>
      <c r="B1850" t="s">
        <v>3</v>
      </c>
      <c r="F1850">
        <v>0</v>
      </c>
      <c r="G1850">
        <v>3</v>
      </c>
      <c r="H1850" s="1">
        <v>44228</v>
      </c>
      <c r="I1850" s="1">
        <v>44378</v>
      </c>
      <c r="J1850">
        <v>5</v>
      </c>
      <c r="K1850">
        <v>0</v>
      </c>
      <c r="L1850" s="1">
        <v>44287</v>
      </c>
      <c r="M1850">
        <v>0</v>
      </c>
      <c r="N1850" s="8" cm="1">
        <f t="array" ref="N1850">_xlfn.SWITCH(Sales[[#This Row],[Subscription Type]],"Basic",10,"Premium",10,"Business",25,"Enterprise",27)</f>
        <v>10</v>
      </c>
      <c r="O1850">
        <f>IF(Sales[[#This Row],[Number of Users]]-Sales[[#This Row],[Licenses Bought]]&lt;0,0,Sales[[#This Row],[Number of Users]]-Sales[[#This Row],[Licenses Bought]])</f>
        <v>3</v>
      </c>
      <c r="P1850" s="8">
        <f>IF(Sales[[#This Row],[Sales Month]]=MAX(Sales[Sales Month]),Sales[[#This Row],[Non-Paying Users]]*Sales[[#This Row],[Upsell $ per Non-Paying User]],0)</f>
        <v>0</v>
      </c>
      <c r="Q1850" t="str" cm="1">
        <f t="array" ref="Q1850">_xlfn.IFS(Sales[[#This Row],[Current Upsell $]]=0,"",Sales[[#This Row],[Current Upsell $]]&gt;=400,"High",Sales[[#This Row],[Current Upsell $]]&gt;=100,"Medium",Sales[[#This Row],[Current Upsell $]]&lt;100,"Low")</f>
        <v/>
      </c>
      <c r="R1850" t="str">
        <f>IF(Sales[[#This Row],[Current Upsell $]]&gt;0,_xlfn.CONCAT(Sales[[#This Row],[Subscription Type]]," ",Sales[[#This Row],[Upsell Priority]]," ",TEXT(Sales[[#This Row],[Current Upsell $]],"$#,#")),"")</f>
        <v/>
      </c>
    </row>
    <row r="1851" spans="1:18" x14ac:dyDescent="0.25">
      <c r="A1851">
        <v>100212</v>
      </c>
      <c r="B1851" t="s">
        <v>3</v>
      </c>
      <c r="F1851">
        <v>0</v>
      </c>
      <c r="G1851">
        <v>3</v>
      </c>
      <c r="H1851" s="1">
        <v>44228</v>
      </c>
      <c r="I1851" s="1">
        <v>44378</v>
      </c>
      <c r="J1851">
        <v>5</v>
      </c>
      <c r="K1851">
        <v>0</v>
      </c>
      <c r="L1851" s="1">
        <v>44317</v>
      </c>
      <c r="M1851">
        <v>0</v>
      </c>
      <c r="N1851" s="8" cm="1">
        <f t="array" ref="N1851">_xlfn.SWITCH(Sales[[#This Row],[Subscription Type]],"Basic",10,"Premium",10,"Business",25,"Enterprise",27)</f>
        <v>10</v>
      </c>
      <c r="O1851">
        <f>IF(Sales[[#This Row],[Number of Users]]-Sales[[#This Row],[Licenses Bought]]&lt;0,0,Sales[[#This Row],[Number of Users]]-Sales[[#This Row],[Licenses Bought]])</f>
        <v>3</v>
      </c>
      <c r="P1851" s="8">
        <f>IF(Sales[[#This Row],[Sales Month]]=MAX(Sales[Sales Month]),Sales[[#This Row],[Non-Paying Users]]*Sales[[#This Row],[Upsell $ per Non-Paying User]],0)</f>
        <v>0</v>
      </c>
      <c r="Q1851" t="str" cm="1">
        <f t="array" ref="Q1851">_xlfn.IFS(Sales[[#This Row],[Current Upsell $]]=0,"",Sales[[#This Row],[Current Upsell $]]&gt;=400,"High",Sales[[#This Row],[Current Upsell $]]&gt;=100,"Medium",Sales[[#This Row],[Current Upsell $]]&lt;100,"Low")</f>
        <v/>
      </c>
      <c r="R1851" t="str">
        <f>IF(Sales[[#This Row],[Current Upsell $]]&gt;0,_xlfn.CONCAT(Sales[[#This Row],[Subscription Type]]," ",Sales[[#This Row],[Upsell Priority]]," ",TEXT(Sales[[#This Row],[Current Upsell $]],"$#,#")),"")</f>
        <v/>
      </c>
    </row>
    <row r="1852" spans="1:18" x14ac:dyDescent="0.25">
      <c r="A1852">
        <v>100212</v>
      </c>
      <c r="B1852" t="s">
        <v>3</v>
      </c>
      <c r="F1852">
        <v>0</v>
      </c>
      <c r="G1852">
        <v>3</v>
      </c>
      <c r="H1852" s="1">
        <v>44228</v>
      </c>
      <c r="I1852" s="1">
        <v>44378</v>
      </c>
      <c r="J1852">
        <v>5</v>
      </c>
      <c r="K1852">
        <v>0</v>
      </c>
      <c r="L1852" s="1">
        <v>44348</v>
      </c>
      <c r="M1852">
        <v>0</v>
      </c>
      <c r="N1852" s="8" cm="1">
        <f t="array" ref="N1852">_xlfn.SWITCH(Sales[[#This Row],[Subscription Type]],"Basic",10,"Premium",10,"Business",25,"Enterprise",27)</f>
        <v>10</v>
      </c>
      <c r="O1852">
        <f>IF(Sales[[#This Row],[Number of Users]]-Sales[[#This Row],[Licenses Bought]]&lt;0,0,Sales[[#This Row],[Number of Users]]-Sales[[#This Row],[Licenses Bought]])</f>
        <v>3</v>
      </c>
      <c r="P1852" s="8">
        <f>IF(Sales[[#This Row],[Sales Month]]=MAX(Sales[Sales Month]),Sales[[#This Row],[Non-Paying Users]]*Sales[[#This Row],[Upsell $ per Non-Paying User]],0)</f>
        <v>30</v>
      </c>
      <c r="Q1852" t="str" cm="1">
        <f t="array" ref="Q1852">_xlfn.IFS(Sales[[#This Row],[Current Upsell $]]=0,"",Sales[[#This Row],[Current Upsell $]]&gt;=400,"High",Sales[[#This Row],[Current Upsell $]]&gt;=100,"Medium",Sales[[#This Row],[Current Upsell $]]&lt;100,"Low")</f>
        <v>Low</v>
      </c>
      <c r="R1852" t="str">
        <f>IF(Sales[[#This Row],[Current Upsell $]]&gt;0,_xlfn.CONCAT(Sales[[#This Row],[Subscription Type]]," ",Sales[[#This Row],[Upsell Priority]]," ",TEXT(Sales[[#This Row],[Current Upsell $]],"$#,#")),"")</f>
        <v>Basic Low $30</v>
      </c>
    </row>
    <row r="1853" spans="1:18" x14ac:dyDescent="0.25">
      <c r="A1853">
        <v>100213</v>
      </c>
      <c r="B1853" t="s">
        <v>3</v>
      </c>
      <c r="F1853">
        <v>0</v>
      </c>
      <c r="G1853">
        <v>3</v>
      </c>
      <c r="H1853" s="1">
        <v>44228</v>
      </c>
      <c r="I1853" s="1">
        <v>44378</v>
      </c>
      <c r="J1853">
        <v>5</v>
      </c>
      <c r="K1853">
        <v>0</v>
      </c>
      <c r="L1853" s="1">
        <v>44228</v>
      </c>
      <c r="M1853">
        <v>0</v>
      </c>
      <c r="N1853" s="8" cm="1">
        <f t="array" ref="N1853">_xlfn.SWITCH(Sales[[#This Row],[Subscription Type]],"Basic",10,"Premium",10,"Business",25,"Enterprise",27)</f>
        <v>10</v>
      </c>
      <c r="O1853">
        <f>IF(Sales[[#This Row],[Number of Users]]-Sales[[#This Row],[Licenses Bought]]&lt;0,0,Sales[[#This Row],[Number of Users]]-Sales[[#This Row],[Licenses Bought]])</f>
        <v>3</v>
      </c>
      <c r="P1853" s="8">
        <f>IF(Sales[[#This Row],[Sales Month]]=MAX(Sales[Sales Month]),Sales[[#This Row],[Non-Paying Users]]*Sales[[#This Row],[Upsell $ per Non-Paying User]],0)</f>
        <v>0</v>
      </c>
      <c r="Q1853" t="str" cm="1">
        <f t="array" ref="Q1853">_xlfn.IFS(Sales[[#This Row],[Current Upsell $]]=0,"",Sales[[#This Row],[Current Upsell $]]&gt;=400,"High",Sales[[#This Row],[Current Upsell $]]&gt;=100,"Medium",Sales[[#This Row],[Current Upsell $]]&lt;100,"Low")</f>
        <v/>
      </c>
      <c r="R1853" t="str">
        <f>IF(Sales[[#This Row],[Current Upsell $]]&gt;0,_xlfn.CONCAT(Sales[[#This Row],[Subscription Type]]," ",Sales[[#This Row],[Upsell Priority]]," ",TEXT(Sales[[#This Row],[Current Upsell $]],"$#,#")),"")</f>
        <v/>
      </c>
    </row>
    <row r="1854" spans="1:18" x14ac:dyDescent="0.25">
      <c r="A1854">
        <v>100213</v>
      </c>
      <c r="B1854" t="s">
        <v>3</v>
      </c>
      <c r="F1854">
        <v>0</v>
      </c>
      <c r="G1854">
        <v>3</v>
      </c>
      <c r="H1854" s="1">
        <v>44228</v>
      </c>
      <c r="I1854" s="1">
        <v>44378</v>
      </c>
      <c r="J1854">
        <v>5</v>
      </c>
      <c r="K1854">
        <v>0</v>
      </c>
      <c r="L1854" s="1">
        <v>44256</v>
      </c>
      <c r="M1854">
        <v>0</v>
      </c>
      <c r="N1854" s="8" cm="1">
        <f t="array" ref="N1854">_xlfn.SWITCH(Sales[[#This Row],[Subscription Type]],"Basic",10,"Premium",10,"Business",25,"Enterprise",27)</f>
        <v>10</v>
      </c>
      <c r="O1854">
        <f>IF(Sales[[#This Row],[Number of Users]]-Sales[[#This Row],[Licenses Bought]]&lt;0,0,Sales[[#This Row],[Number of Users]]-Sales[[#This Row],[Licenses Bought]])</f>
        <v>3</v>
      </c>
      <c r="P1854" s="8">
        <f>IF(Sales[[#This Row],[Sales Month]]=MAX(Sales[Sales Month]),Sales[[#This Row],[Non-Paying Users]]*Sales[[#This Row],[Upsell $ per Non-Paying User]],0)</f>
        <v>0</v>
      </c>
      <c r="Q1854" t="str" cm="1">
        <f t="array" ref="Q1854">_xlfn.IFS(Sales[[#This Row],[Current Upsell $]]=0,"",Sales[[#This Row],[Current Upsell $]]&gt;=400,"High",Sales[[#This Row],[Current Upsell $]]&gt;=100,"Medium",Sales[[#This Row],[Current Upsell $]]&lt;100,"Low")</f>
        <v/>
      </c>
      <c r="R1854" t="str">
        <f>IF(Sales[[#This Row],[Current Upsell $]]&gt;0,_xlfn.CONCAT(Sales[[#This Row],[Subscription Type]]," ",Sales[[#This Row],[Upsell Priority]]," ",TEXT(Sales[[#This Row],[Current Upsell $]],"$#,#")),"")</f>
        <v/>
      </c>
    </row>
    <row r="1855" spans="1:18" x14ac:dyDescent="0.25">
      <c r="A1855">
        <v>100213</v>
      </c>
      <c r="B1855" t="s">
        <v>3</v>
      </c>
      <c r="F1855">
        <v>0</v>
      </c>
      <c r="G1855">
        <v>3</v>
      </c>
      <c r="H1855" s="1">
        <v>44228</v>
      </c>
      <c r="I1855" s="1">
        <v>44378</v>
      </c>
      <c r="J1855">
        <v>5</v>
      </c>
      <c r="K1855">
        <v>0</v>
      </c>
      <c r="L1855" s="1">
        <v>44287</v>
      </c>
      <c r="M1855">
        <v>0</v>
      </c>
      <c r="N1855" s="8" cm="1">
        <f t="array" ref="N1855">_xlfn.SWITCH(Sales[[#This Row],[Subscription Type]],"Basic",10,"Premium",10,"Business",25,"Enterprise",27)</f>
        <v>10</v>
      </c>
      <c r="O1855">
        <f>IF(Sales[[#This Row],[Number of Users]]-Sales[[#This Row],[Licenses Bought]]&lt;0,0,Sales[[#This Row],[Number of Users]]-Sales[[#This Row],[Licenses Bought]])</f>
        <v>3</v>
      </c>
      <c r="P1855" s="8">
        <f>IF(Sales[[#This Row],[Sales Month]]=MAX(Sales[Sales Month]),Sales[[#This Row],[Non-Paying Users]]*Sales[[#This Row],[Upsell $ per Non-Paying User]],0)</f>
        <v>0</v>
      </c>
      <c r="Q1855" t="str" cm="1">
        <f t="array" ref="Q1855">_xlfn.IFS(Sales[[#This Row],[Current Upsell $]]=0,"",Sales[[#This Row],[Current Upsell $]]&gt;=400,"High",Sales[[#This Row],[Current Upsell $]]&gt;=100,"Medium",Sales[[#This Row],[Current Upsell $]]&lt;100,"Low")</f>
        <v/>
      </c>
      <c r="R1855" t="str">
        <f>IF(Sales[[#This Row],[Current Upsell $]]&gt;0,_xlfn.CONCAT(Sales[[#This Row],[Subscription Type]]," ",Sales[[#This Row],[Upsell Priority]]," ",TEXT(Sales[[#This Row],[Current Upsell $]],"$#,#")),"")</f>
        <v/>
      </c>
    </row>
    <row r="1856" spans="1:18" x14ac:dyDescent="0.25">
      <c r="A1856">
        <v>100213</v>
      </c>
      <c r="B1856" t="s">
        <v>3</v>
      </c>
      <c r="F1856">
        <v>0</v>
      </c>
      <c r="G1856">
        <v>2</v>
      </c>
      <c r="H1856" s="1">
        <v>44228</v>
      </c>
      <c r="I1856" s="1">
        <v>44378</v>
      </c>
      <c r="J1856">
        <v>5</v>
      </c>
      <c r="K1856">
        <v>0</v>
      </c>
      <c r="L1856" s="1">
        <v>44317</v>
      </c>
      <c r="M1856">
        <v>0</v>
      </c>
      <c r="N1856" s="8" cm="1">
        <f t="array" ref="N1856">_xlfn.SWITCH(Sales[[#This Row],[Subscription Type]],"Basic",10,"Premium",10,"Business",25,"Enterprise",27)</f>
        <v>10</v>
      </c>
      <c r="O1856">
        <f>IF(Sales[[#This Row],[Number of Users]]-Sales[[#This Row],[Licenses Bought]]&lt;0,0,Sales[[#This Row],[Number of Users]]-Sales[[#This Row],[Licenses Bought]])</f>
        <v>2</v>
      </c>
      <c r="P1856" s="8">
        <f>IF(Sales[[#This Row],[Sales Month]]=MAX(Sales[Sales Month]),Sales[[#This Row],[Non-Paying Users]]*Sales[[#This Row],[Upsell $ per Non-Paying User]],0)</f>
        <v>0</v>
      </c>
      <c r="Q1856" t="str" cm="1">
        <f t="array" ref="Q1856">_xlfn.IFS(Sales[[#This Row],[Current Upsell $]]=0,"",Sales[[#This Row],[Current Upsell $]]&gt;=400,"High",Sales[[#This Row],[Current Upsell $]]&gt;=100,"Medium",Sales[[#This Row],[Current Upsell $]]&lt;100,"Low")</f>
        <v/>
      </c>
      <c r="R1856" t="str">
        <f>IF(Sales[[#This Row],[Current Upsell $]]&gt;0,_xlfn.CONCAT(Sales[[#This Row],[Subscription Type]]," ",Sales[[#This Row],[Upsell Priority]]," ",TEXT(Sales[[#This Row],[Current Upsell $]],"$#,#")),"")</f>
        <v/>
      </c>
    </row>
    <row r="1857" spans="1:18" x14ac:dyDescent="0.25">
      <c r="A1857">
        <v>100213</v>
      </c>
      <c r="B1857" t="s">
        <v>3</v>
      </c>
      <c r="F1857">
        <v>0</v>
      </c>
      <c r="G1857">
        <v>3</v>
      </c>
      <c r="H1857" s="1">
        <v>44228</v>
      </c>
      <c r="I1857" s="1">
        <v>44378</v>
      </c>
      <c r="J1857">
        <v>5</v>
      </c>
      <c r="K1857">
        <v>0</v>
      </c>
      <c r="L1857" s="1">
        <v>44348</v>
      </c>
      <c r="M1857">
        <v>0</v>
      </c>
      <c r="N1857" s="8" cm="1">
        <f t="array" ref="N1857">_xlfn.SWITCH(Sales[[#This Row],[Subscription Type]],"Basic",10,"Premium",10,"Business",25,"Enterprise",27)</f>
        <v>10</v>
      </c>
      <c r="O1857">
        <f>IF(Sales[[#This Row],[Number of Users]]-Sales[[#This Row],[Licenses Bought]]&lt;0,0,Sales[[#This Row],[Number of Users]]-Sales[[#This Row],[Licenses Bought]])</f>
        <v>3</v>
      </c>
      <c r="P1857" s="8">
        <f>IF(Sales[[#This Row],[Sales Month]]=MAX(Sales[Sales Month]),Sales[[#This Row],[Non-Paying Users]]*Sales[[#This Row],[Upsell $ per Non-Paying User]],0)</f>
        <v>30</v>
      </c>
      <c r="Q1857" t="str" cm="1">
        <f t="array" ref="Q1857">_xlfn.IFS(Sales[[#This Row],[Current Upsell $]]=0,"",Sales[[#This Row],[Current Upsell $]]&gt;=400,"High",Sales[[#This Row],[Current Upsell $]]&gt;=100,"Medium",Sales[[#This Row],[Current Upsell $]]&lt;100,"Low")</f>
        <v>Low</v>
      </c>
      <c r="R1857" t="str">
        <f>IF(Sales[[#This Row],[Current Upsell $]]&gt;0,_xlfn.CONCAT(Sales[[#This Row],[Subscription Type]]," ",Sales[[#This Row],[Upsell Priority]]," ",TEXT(Sales[[#This Row],[Current Upsell $]],"$#,#")),"")</f>
        <v>Basic Low $30</v>
      </c>
    </row>
    <row r="1858" spans="1:18" x14ac:dyDescent="0.25">
      <c r="A1858">
        <v>100214</v>
      </c>
      <c r="B1858" t="s">
        <v>3</v>
      </c>
      <c r="D1858" s="1"/>
      <c r="E1858" s="1"/>
      <c r="F1858">
        <v>0</v>
      </c>
      <c r="G1858">
        <v>3</v>
      </c>
      <c r="H1858" s="1">
        <v>44228</v>
      </c>
      <c r="I1858" s="1">
        <v>44378</v>
      </c>
      <c r="J1858">
        <v>5</v>
      </c>
      <c r="K1858">
        <v>0</v>
      </c>
      <c r="L1858" s="1">
        <v>44228</v>
      </c>
      <c r="M1858">
        <v>0</v>
      </c>
      <c r="N1858" s="8" cm="1">
        <f t="array" ref="N1858">_xlfn.SWITCH(Sales[[#This Row],[Subscription Type]],"Basic",10,"Premium",10,"Business",25,"Enterprise",27)</f>
        <v>10</v>
      </c>
      <c r="O1858">
        <f>IF(Sales[[#This Row],[Number of Users]]-Sales[[#This Row],[Licenses Bought]]&lt;0,0,Sales[[#This Row],[Number of Users]]-Sales[[#This Row],[Licenses Bought]])</f>
        <v>3</v>
      </c>
      <c r="P1858" s="8">
        <f>IF(Sales[[#This Row],[Sales Month]]=MAX(Sales[Sales Month]),Sales[[#This Row],[Non-Paying Users]]*Sales[[#This Row],[Upsell $ per Non-Paying User]],0)</f>
        <v>0</v>
      </c>
      <c r="Q1858" t="str" cm="1">
        <f t="array" ref="Q1858">_xlfn.IFS(Sales[[#This Row],[Current Upsell $]]=0,"",Sales[[#This Row],[Current Upsell $]]&gt;=400,"High",Sales[[#This Row],[Current Upsell $]]&gt;=100,"Medium",Sales[[#This Row],[Current Upsell $]]&lt;100,"Low")</f>
        <v/>
      </c>
      <c r="R1858" t="str">
        <f>IF(Sales[[#This Row],[Current Upsell $]]&gt;0,_xlfn.CONCAT(Sales[[#This Row],[Subscription Type]]," ",Sales[[#This Row],[Upsell Priority]]," ",TEXT(Sales[[#This Row],[Current Upsell $]],"$#,#")),"")</f>
        <v/>
      </c>
    </row>
    <row r="1859" spans="1:18" x14ac:dyDescent="0.25">
      <c r="A1859">
        <v>100214</v>
      </c>
      <c r="B1859" t="s">
        <v>0</v>
      </c>
      <c r="D1859" s="1"/>
      <c r="E1859" s="1"/>
      <c r="F1859">
        <v>1</v>
      </c>
      <c r="G1859">
        <v>3</v>
      </c>
      <c r="H1859" s="1">
        <v>44228</v>
      </c>
      <c r="I1859" s="1">
        <v>44378</v>
      </c>
      <c r="J1859">
        <v>5</v>
      </c>
      <c r="K1859">
        <v>0</v>
      </c>
      <c r="L1859" s="1">
        <v>44256</v>
      </c>
      <c r="M1859">
        <v>10</v>
      </c>
      <c r="N1859" s="8" cm="1">
        <f t="array" ref="N1859">_xlfn.SWITCH(Sales[[#This Row],[Subscription Type]],"Basic",10,"Premium",10,"Business",25,"Enterprise",27)</f>
        <v>10</v>
      </c>
      <c r="O1859">
        <f>IF(Sales[[#This Row],[Number of Users]]-Sales[[#This Row],[Licenses Bought]]&lt;0,0,Sales[[#This Row],[Number of Users]]-Sales[[#This Row],[Licenses Bought]])</f>
        <v>2</v>
      </c>
      <c r="P1859" s="8">
        <f>IF(Sales[[#This Row],[Sales Month]]=MAX(Sales[Sales Month]),Sales[[#This Row],[Non-Paying Users]]*Sales[[#This Row],[Upsell $ per Non-Paying User]],0)</f>
        <v>0</v>
      </c>
      <c r="Q1859" t="str" cm="1">
        <f t="array" ref="Q1859">_xlfn.IFS(Sales[[#This Row],[Current Upsell $]]=0,"",Sales[[#This Row],[Current Upsell $]]&gt;=400,"High",Sales[[#This Row],[Current Upsell $]]&gt;=100,"Medium",Sales[[#This Row],[Current Upsell $]]&lt;100,"Low")</f>
        <v/>
      </c>
      <c r="R1859" t="str">
        <f>IF(Sales[[#This Row],[Current Upsell $]]&gt;0,_xlfn.CONCAT(Sales[[#This Row],[Subscription Type]]," ",Sales[[#This Row],[Upsell Priority]]," ",TEXT(Sales[[#This Row],[Current Upsell $]],"$#,#")),"")</f>
        <v/>
      </c>
    </row>
    <row r="1860" spans="1:18" x14ac:dyDescent="0.25">
      <c r="A1860">
        <v>100214</v>
      </c>
      <c r="B1860" t="s">
        <v>0</v>
      </c>
      <c r="D1860" s="1"/>
      <c r="E1860" s="1"/>
      <c r="F1860">
        <v>2</v>
      </c>
      <c r="G1860">
        <v>3</v>
      </c>
      <c r="H1860" s="1">
        <v>44228</v>
      </c>
      <c r="I1860" s="1">
        <v>44378</v>
      </c>
      <c r="J1860">
        <v>5</v>
      </c>
      <c r="K1860">
        <v>0</v>
      </c>
      <c r="L1860" s="1">
        <v>44287</v>
      </c>
      <c r="M1860">
        <v>20</v>
      </c>
      <c r="N1860" s="8" cm="1">
        <f t="array" ref="N1860">_xlfn.SWITCH(Sales[[#This Row],[Subscription Type]],"Basic",10,"Premium",10,"Business",25,"Enterprise",27)</f>
        <v>10</v>
      </c>
      <c r="O1860">
        <f>IF(Sales[[#This Row],[Number of Users]]-Sales[[#This Row],[Licenses Bought]]&lt;0,0,Sales[[#This Row],[Number of Users]]-Sales[[#This Row],[Licenses Bought]])</f>
        <v>1</v>
      </c>
      <c r="P1860" s="8">
        <f>IF(Sales[[#This Row],[Sales Month]]=MAX(Sales[Sales Month]),Sales[[#This Row],[Non-Paying Users]]*Sales[[#This Row],[Upsell $ per Non-Paying User]],0)</f>
        <v>0</v>
      </c>
      <c r="Q1860" t="str" cm="1">
        <f t="array" ref="Q1860">_xlfn.IFS(Sales[[#This Row],[Current Upsell $]]=0,"",Sales[[#This Row],[Current Upsell $]]&gt;=400,"High",Sales[[#This Row],[Current Upsell $]]&gt;=100,"Medium",Sales[[#This Row],[Current Upsell $]]&lt;100,"Low")</f>
        <v/>
      </c>
      <c r="R1860" t="str">
        <f>IF(Sales[[#This Row],[Current Upsell $]]&gt;0,_xlfn.CONCAT(Sales[[#This Row],[Subscription Type]]," ",Sales[[#This Row],[Upsell Priority]]," ",TEXT(Sales[[#This Row],[Current Upsell $]],"$#,#")),"")</f>
        <v/>
      </c>
    </row>
    <row r="1861" spans="1:18" x14ac:dyDescent="0.25">
      <c r="A1861">
        <v>100214</v>
      </c>
      <c r="B1861" t="s">
        <v>0</v>
      </c>
      <c r="D1861" s="1"/>
      <c r="E1861" s="1"/>
      <c r="F1861">
        <v>2</v>
      </c>
      <c r="G1861">
        <v>3</v>
      </c>
      <c r="H1861" s="1">
        <v>44228</v>
      </c>
      <c r="I1861" s="1">
        <v>44378</v>
      </c>
      <c r="J1861">
        <v>5</v>
      </c>
      <c r="K1861">
        <v>0</v>
      </c>
      <c r="L1861" s="1">
        <v>44317</v>
      </c>
      <c r="M1861">
        <v>20</v>
      </c>
      <c r="N1861" s="8" cm="1">
        <f t="array" ref="N1861">_xlfn.SWITCH(Sales[[#This Row],[Subscription Type]],"Basic",10,"Premium",10,"Business",25,"Enterprise",27)</f>
        <v>10</v>
      </c>
      <c r="O1861">
        <f>IF(Sales[[#This Row],[Number of Users]]-Sales[[#This Row],[Licenses Bought]]&lt;0,0,Sales[[#This Row],[Number of Users]]-Sales[[#This Row],[Licenses Bought]])</f>
        <v>1</v>
      </c>
      <c r="P1861" s="8">
        <f>IF(Sales[[#This Row],[Sales Month]]=MAX(Sales[Sales Month]),Sales[[#This Row],[Non-Paying Users]]*Sales[[#This Row],[Upsell $ per Non-Paying User]],0)</f>
        <v>0</v>
      </c>
      <c r="Q1861" t="str" cm="1">
        <f t="array" ref="Q1861">_xlfn.IFS(Sales[[#This Row],[Current Upsell $]]=0,"",Sales[[#This Row],[Current Upsell $]]&gt;=400,"High",Sales[[#This Row],[Current Upsell $]]&gt;=100,"Medium",Sales[[#This Row],[Current Upsell $]]&lt;100,"Low")</f>
        <v/>
      </c>
      <c r="R1861" t="str">
        <f>IF(Sales[[#This Row],[Current Upsell $]]&gt;0,_xlfn.CONCAT(Sales[[#This Row],[Subscription Type]]," ",Sales[[#This Row],[Upsell Priority]]," ",TEXT(Sales[[#This Row],[Current Upsell $]],"$#,#")),"")</f>
        <v/>
      </c>
    </row>
    <row r="1862" spans="1:18" x14ac:dyDescent="0.25">
      <c r="A1862">
        <v>100214</v>
      </c>
      <c r="B1862" t="s">
        <v>0</v>
      </c>
      <c r="D1862" s="1"/>
      <c r="E1862" s="1"/>
      <c r="F1862">
        <v>2</v>
      </c>
      <c r="G1862">
        <v>3</v>
      </c>
      <c r="H1862" s="1">
        <v>44228</v>
      </c>
      <c r="I1862" s="1">
        <v>44378</v>
      </c>
      <c r="J1862">
        <v>5</v>
      </c>
      <c r="K1862">
        <v>0</v>
      </c>
      <c r="L1862" s="1">
        <v>44348</v>
      </c>
      <c r="M1862">
        <v>20</v>
      </c>
      <c r="N1862" s="8" cm="1">
        <f t="array" ref="N1862">_xlfn.SWITCH(Sales[[#This Row],[Subscription Type]],"Basic",10,"Premium",10,"Business",25,"Enterprise",27)</f>
        <v>10</v>
      </c>
      <c r="O1862">
        <f>IF(Sales[[#This Row],[Number of Users]]-Sales[[#This Row],[Licenses Bought]]&lt;0,0,Sales[[#This Row],[Number of Users]]-Sales[[#This Row],[Licenses Bought]])</f>
        <v>1</v>
      </c>
      <c r="P1862" s="8">
        <f>IF(Sales[[#This Row],[Sales Month]]=MAX(Sales[Sales Month]),Sales[[#This Row],[Non-Paying Users]]*Sales[[#This Row],[Upsell $ per Non-Paying User]],0)</f>
        <v>10</v>
      </c>
      <c r="Q1862" t="str" cm="1">
        <f t="array" ref="Q1862">_xlfn.IFS(Sales[[#This Row],[Current Upsell $]]=0,"",Sales[[#This Row],[Current Upsell $]]&gt;=400,"High",Sales[[#This Row],[Current Upsell $]]&gt;=100,"Medium",Sales[[#This Row],[Current Upsell $]]&lt;100,"Low")</f>
        <v>Low</v>
      </c>
      <c r="R1862" t="str">
        <f>IF(Sales[[#This Row],[Current Upsell $]]&gt;0,_xlfn.CONCAT(Sales[[#This Row],[Subscription Type]]," ",Sales[[#This Row],[Upsell Priority]]," ",TEXT(Sales[[#This Row],[Current Upsell $]],"$#,#")),"")</f>
        <v>Premium Low $10</v>
      </c>
    </row>
    <row r="1863" spans="1:18" x14ac:dyDescent="0.25">
      <c r="A1863">
        <v>100215</v>
      </c>
      <c r="B1863" t="s">
        <v>3</v>
      </c>
      <c r="F1863">
        <v>0</v>
      </c>
      <c r="G1863">
        <v>2</v>
      </c>
      <c r="H1863" s="1">
        <v>44228</v>
      </c>
      <c r="I1863" s="1">
        <v>44348</v>
      </c>
      <c r="J1863">
        <v>4</v>
      </c>
      <c r="K1863">
        <v>0</v>
      </c>
      <c r="L1863" s="1">
        <v>44228</v>
      </c>
      <c r="M1863">
        <v>0</v>
      </c>
      <c r="N1863" s="8" cm="1">
        <f t="array" ref="N1863">_xlfn.SWITCH(Sales[[#This Row],[Subscription Type]],"Basic",10,"Premium",10,"Business",25,"Enterprise",27)</f>
        <v>10</v>
      </c>
      <c r="O1863">
        <f>IF(Sales[[#This Row],[Number of Users]]-Sales[[#This Row],[Licenses Bought]]&lt;0,0,Sales[[#This Row],[Number of Users]]-Sales[[#This Row],[Licenses Bought]])</f>
        <v>2</v>
      </c>
      <c r="P1863" s="8">
        <f>IF(Sales[[#This Row],[Sales Month]]=MAX(Sales[Sales Month]),Sales[[#This Row],[Non-Paying Users]]*Sales[[#This Row],[Upsell $ per Non-Paying User]],0)</f>
        <v>0</v>
      </c>
      <c r="Q1863" t="str" cm="1">
        <f t="array" ref="Q1863">_xlfn.IFS(Sales[[#This Row],[Current Upsell $]]=0,"",Sales[[#This Row],[Current Upsell $]]&gt;=400,"High",Sales[[#This Row],[Current Upsell $]]&gt;=100,"Medium",Sales[[#This Row],[Current Upsell $]]&lt;100,"Low")</f>
        <v/>
      </c>
      <c r="R1863" t="str">
        <f>IF(Sales[[#This Row],[Current Upsell $]]&gt;0,_xlfn.CONCAT(Sales[[#This Row],[Subscription Type]]," ",Sales[[#This Row],[Upsell Priority]]," ",TEXT(Sales[[#This Row],[Current Upsell $]],"$#,#")),"")</f>
        <v/>
      </c>
    </row>
    <row r="1864" spans="1:18" x14ac:dyDescent="0.25">
      <c r="A1864">
        <v>100215</v>
      </c>
      <c r="B1864" t="s">
        <v>3</v>
      </c>
      <c r="F1864">
        <v>0</v>
      </c>
      <c r="G1864">
        <v>2</v>
      </c>
      <c r="H1864" s="1">
        <v>44228</v>
      </c>
      <c r="I1864" s="1">
        <v>44348</v>
      </c>
      <c r="J1864">
        <v>4</v>
      </c>
      <c r="K1864">
        <v>0</v>
      </c>
      <c r="L1864" s="1">
        <v>44256</v>
      </c>
      <c r="M1864">
        <v>0</v>
      </c>
      <c r="N1864" s="8" cm="1">
        <f t="array" ref="N1864">_xlfn.SWITCH(Sales[[#This Row],[Subscription Type]],"Basic",10,"Premium",10,"Business",25,"Enterprise",27)</f>
        <v>10</v>
      </c>
      <c r="O1864">
        <f>IF(Sales[[#This Row],[Number of Users]]-Sales[[#This Row],[Licenses Bought]]&lt;0,0,Sales[[#This Row],[Number of Users]]-Sales[[#This Row],[Licenses Bought]])</f>
        <v>2</v>
      </c>
      <c r="P1864" s="8">
        <f>IF(Sales[[#This Row],[Sales Month]]=MAX(Sales[Sales Month]),Sales[[#This Row],[Non-Paying Users]]*Sales[[#This Row],[Upsell $ per Non-Paying User]],0)</f>
        <v>0</v>
      </c>
      <c r="Q1864" t="str" cm="1">
        <f t="array" ref="Q1864">_xlfn.IFS(Sales[[#This Row],[Current Upsell $]]=0,"",Sales[[#This Row],[Current Upsell $]]&gt;=400,"High",Sales[[#This Row],[Current Upsell $]]&gt;=100,"Medium",Sales[[#This Row],[Current Upsell $]]&lt;100,"Low")</f>
        <v/>
      </c>
      <c r="R1864" t="str">
        <f>IF(Sales[[#This Row],[Current Upsell $]]&gt;0,_xlfn.CONCAT(Sales[[#This Row],[Subscription Type]]," ",Sales[[#This Row],[Upsell Priority]]," ",TEXT(Sales[[#This Row],[Current Upsell $]],"$#,#")),"")</f>
        <v/>
      </c>
    </row>
    <row r="1865" spans="1:18" x14ac:dyDescent="0.25">
      <c r="A1865">
        <v>100215</v>
      </c>
      <c r="B1865" t="s">
        <v>3</v>
      </c>
      <c r="F1865">
        <v>0</v>
      </c>
      <c r="G1865">
        <v>2</v>
      </c>
      <c r="H1865" s="1">
        <v>44228</v>
      </c>
      <c r="I1865" s="1">
        <v>44348</v>
      </c>
      <c r="J1865">
        <v>4</v>
      </c>
      <c r="K1865">
        <v>0</v>
      </c>
      <c r="L1865" s="1">
        <v>44287</v>
      </c>
      <c r="M1865">
        <v>0</v>
      </c>
      <c r="N1865" s="8" cm="1">
        <f t="array" ref="N1865">_xlfn.SWITCH(Sales[[#This Row],[Subscription Type]],"Basic",10,"Premium",10,"Business",25,"Enterprise",27)</f>
        <v>10</v>
      </c>
      <c r="O1865">
        <f>IF(Sales[[#This Row],[Number of Users]]-Sales[[#This Row],[Licenses Bought]]&lt;0,0,Sales[[#This Row],[Number of Users]]-Sales[[#This Row],[Licenses Bought]])</f>
        <v>2</v>
      </c>
      <c r="P1865" s="8">
        <f>IF(Sales[[#This Row],[Sales Month]]=MAX(Sales[Sales Month]),Sales[[#This Row],[Non-Paying Users]]*Sales[[#This Row],[Upsell $ per Non-Paying User]],0)</f>
        <v>0</v>
      </c>
      <c r="Q1865" t="str" cm="1">
        <f t="array" ref="Q1865">_xlfn.IFS(Sales[[#This Row],[Current Upsell $]]=0,"",Sales[[#This Row],[Current Upsell $]]&gt;=400,"High",Sales[[#This Row],[Current Upsell $]]&gt;=100,"Medium",Sales[[#This Row],[Current Upsell $]]&lt;100,"Low")</f>
        <v/>
      </c>
      <c r="R1865" t="str">
        <f>IF(Sales[[#This Row],[Current Upsell $]]&gt;0,_xlfn.CONCAT(Sales[[#This Row],[Subscription Type]]," ",Sales[[#This Row],[Upsell Priority]]," ",TEXT(Sales[[#This Row],[Current Upsell $]],"$#,#")),"")</f>
        <v/>
      </c>
    </row>
    <row r="1866" spans="1:18" x14ac:dyDescent="0.25">
      <c r="A1866">
        <v>100215</v>
      </c>
      <c r="B1866" t="s">
        <v>3</v>
      </c>
      <c r="F1866">
        <v>0</v>
      </c>
      <c r="G1866">
        <v>2</v>
      </c>
      <c r="H1866" s="1">
        <v>44228</v>
      </c>
      <c r="I1866" s="1">
        <v>44348</v>
      </c>
      <c r="J1866">
        <v>4</v>
      </c>
      <c r="K1866">
        <v>0</v>
      </c>
      <c r="L1866" s="1">
        <v>44317</v>
      </c>
      <c r="M1866">
        <v>0</v>
      </c>
      <c r="N1866" s="8" cm="1">
        <f t="array" ref="N1866">_xlfn.SWITCH(Sales[[#This Row],[Subscription Type]],"Basic",10,"Premium",10,"Business",25,"Enterprise",27)</f>
        <v>10</v>
      </c>
      <c r="O1866">
        <f>IF(Sales[[#This Row],[Number of Users]]-Sales[[#This Row],[Licenses Bought]]&lt;0,0,Sales[[#This Row],[Number of Users]]-Sales[[#This Row],[Licenses Bought]])</f>
        <v>2</v>
      </c>
      <c r="P1866" s="8">
        <f>IF(Sales[[#This Row],[Sales Month]]=MAX(Sales[Sales Month]),Sales[[#This Row],[Non-Paying Users]]*Sales[[#This Row],[Upsell $ per Non-Paying User]],0)</f>
        <v>0</v>
      </c>
      <c r="Q1866" t="str" cm="1">
        <f t="array" ref="Q1866">_xlfn.IFS(Sales[[#This Row],[Current Upsell $]]=0,"",Sales[[#This Row],[Current Upsell $]]&gt;=400,"High",Sales[[#This Row],[Current Upsell $]]&gt;=100,"Medium",Sales[[#This Row],[Current Upsell $]]&lt;100,"Low")</f>
        <v/>
      </c>
      <c r="R1866" t="str">
        <f>IF(Sales[[#This Row],[Current Upsell $]]&gt;0,_xlfn.CONCAT(Sales[[#This Row],[Subscription Type]]," ",Sales[[#This Row],[Upsell Priority]]," ",TEXT(Sales[[#This Row],[Current Upsell $]],"$#,#")),"")</f>
        <v/>
      </c>
    </row>
    <row r="1867" spans="1:18" x14ac:dyDescent="0.25">
      <c r="A1867">
        <v>100215</v>
      </c>
      <c r="B1867" t="s">
        <v>3</v>
      </c>
      <c r="F1867">
        <v>0</v>
      </c>
      <c r="G1867">
        <v>2</v>
      </c>
      <c r="H1867" s="1">
        <v>44228</v>
      </c>
      <c r="I1867" s="1">
        <v>44348</v>
      </c>
      <c r="J1867">
        <v>4</v>
      </c>
      <c r="K1867">
        <v>0</v>
      </c>
      <c r="L1867" s="1">
        <v>44348</v>
      </c>
      <c r="M1867">
        <v>0</v>
      </c>
      <c r="N1867" s="8" cm="1">
        <f t="array" ref="N1867">_xlfn.SWITCH(Sales[[#This Row],[Subscription Type]],"Basic",10,"Premium",10,"Business",25,"Enterprise",27)</f>
        <v>10</v>
      </c>
      <c r="O1867">
        <f>IF(Sales[[#This Row],[Number of Users]]-Sales[[#This Row],[Licenses Bought]]&lt;0,0,Sales[[#This Row],[Number of Users]]-Sales[[#This Row],[Licenses Bought]])</f>
        <v>2</v>
      </c>
      <c r="P1867" s="8">
        <f>IF(Sales[[#This Row],[Sales Month]]=MAX(Sales[Sales Month]),Sales[[#This Row],[Non-Paying Users]]*Sales[[#This Row],[Upsell $ per Non-Paying User]],0)</f>
        <v>20</v>
      </c>
      <c r="Q1867" t="str" cm="1">
        <f t="array" ref="Q1867">_xlfn.IFS(Sales[[#This Row],[Current Upsell $]]=0,"",Sales[[#This Row],[Current Upsell $]]&gt;=400,"High",Sales[[#This Row],[Current Upsell $]]&gt;=100,"Medium",Sales[[#This Row],[Current Upsell $]]&lt;100,"Low")</f>
        <v>Low</v>
      </c>
      <c r="R1867" t="str">
        <f>IF(Sales[[#This Row],[Current Upsell $]]&gt;0,_xlfn.CONCAT(Sales[[#This Row],[Subscription Type]]," ",Sales[[#This Row],[Upsell Priority]]," ",TEXT(Sales[[#This Row],[Current Upsell $]],"$#,#")),"")</f>
        <v>Basic Low $20</v>
      </c>
    </row>
    <row r="1868" spans="1:18" x14ac:dyDescent="0.25">
      <c r="A1868">
        <v>100216</v>
      </c>
      <c r="B1868" t="s">
        <v>3</v>
      </c>
      <c r="F1868">
        <v>0</v>
      </c>
      <c r="G1868">
        <v>2</v>
      </c>
      <c r="H1868" s="1">
        <v>44228</v>
      </c>
      <c r="I1868" s="1">
        <v>44348</v>
      </c>
      <c r="J1868">
        <v>4</v>
      </c>
      <c r="K1868">
        <v>0</v>
      </c>
      <c r="L1868" s="1">
        <v>44228</v>
      </c>
      <c r="M1868">
        <v>0</v>
      </c>
      <c r="N1868" s="8" cm="1">
        <f t="array" ref="N1868">_xlfn.SWITCH(Sales[[#This Row],[Subscription Type]],"Basic",10,"Premium",10,"Business",25,"Enterprise",27)</f>
        <v>10</v>
      </c>
      <c r="O1868">
        <f>IF(Sales[[#This Row],[Number of Users]]-Sales[[#This Row],[Licenses Bought]]&lt;0,0,Sales[[#This Row],[Number of Users]]-Sales[[#This Row],[Licenses Bought]])</f>
        <v>2</v>
      </c>
      <c r="P1868" s="8">
        <f>IF(Sales[[#This Row],[Sales Month]]=MAX(Sales[Sales Month]),Sales[[#This Row],[Non-Paying Users]]*Sales[[#This Row],[Upsell $ per Non-Paying User]],0)</f>
        <v>0</v>
      </c>
      <c r="Q1868" t="str" cm="1">
        <f t="array" ref="Q1868">_xlfn.IFS(Sales[[#This Row],[Current Upsell $]]=0,"",Sales[[#This Row],[Current Upsell $]]&gt;=400,"High",Sales[[#This Row],[Current Upsell $]]&gt;=100,"Medium",Sales[[#This Row],[Current Upsell $]]&lt;100,"Low")</f>
        <v/>
      </c>
      <c r="R1868" t="str">
        <f>IF(Sales[[#This Row],[Current Upsell $]]&gt;0,_xlfn.CONCAT(Sales[[#This Row],[Subscription Type]]," ",Sales[[#This Row],[Upsell Priority]]," ",TEXT(Sales[[#This Row],[Current Upsell $]],"$#,#")),"")</f>
        <v/>
      </c>
    </row>
    <row r="1869" spans="1:18" x14ac:dyDescent="0.25">
      <c r="A1869">
        <v>100216</v>
      </c>
      <c r="B1869" t="s">
        <v>3</v>
      </c>
      <c r="F1869">
        <v>0</v>
      </c>
      <c r="G1869">
        <v>1</v>
      </c>
      <c r="H1869" s="1">
        <v>44228</v>
      </c>
      <c r="I1869" s="1">
        <v>44348</v>
      </c>
      <c r="J1869">
        <v>4</v>
      </c>
      <c r="K1869">
        <v>0</v>
      </c>
      <c r="L1869" s="1">
        <v>44256</v>
      </c>
      <c r="M1869">
        <v>0</v>
      </c>
      <c r="N1869" s="8" cm="1">
        <f t="array" ref="N1869">_xlfn.SWITCH(Sales[[#This Row],[Subscription Type]],"Basic",10,"Premium",10,"Business",25,"Enterprise",27)</f>
        <v>10</v>
      </c>
      <c r="O1869">
        <f>IF(Sales[[#This Row],[Number of Users]]-Sales[[#This Row],[Licenses Bought]]&lt;0,0,Sales[[#This Row],[Number of Users]]-Sales[[#This Row],[Licenses Bought]])</f>
        <v>1</v>
      </c>
      <c r="P1869" s="8">
        <f>IF(Sales[[#This Row],[Sales Month]]=MAX(Sales[Sales Month]),Sales[[#This Row],[Non-Paying Users]]*Sales[[#This Row],[Upsell $ per Non-Paying User]],0)</f>
        <v>0</v>
      </c>
      <c r="Q1869" t="str" cm="1">
        <f t="array" ref="Q1869">_xlfn.IFS(Sales[[#This Row],[Current Upsell $]]=0,"",Sales[[#This Row],[Current Upsell $]]&gt;=400,"High",Sales[[#This Row],[Current Upsell $]]&gt;=100,"Medium",Sales[[#This Row],[Current Upsell $]]&lt;100,"Low")</f>
        <v/>
      </c>
      <c r="R1869" t="str">
        <f>IF(Sales[[#This Row],[Current Upsell $]]&gt;0,_xlfn.CONCAT(Sales[[#This Row],[Subscription Type]]," ",Sales[[#This Row],[Upsell Priority]]," ",TEXT(Sales[[#This Row],[Current Upsell $]],"$#,#")),"")</f>
        <v/>
      </c>
    </row>
    <row r="1870" spans="1:18" x14ac:dyDescent="0.25">
      <c r="A1870">
        <v>100216</v>
      </c>
      <c r="B1870" t="s">
        <v>3</v>
      </c>
      <c r="F1870">
        <v>0</v>
      </c>
      <c r="G1870">
        <v>2</v>
      </c>
      <c r="H1870" s="1">
        <v>44228</v>
      </c>
      <c r="I1870" s="1">
        <v>44348</v>
      </c>
      <c r="J1870">
        <v>4</v>
      </c>
      <c r="K1870">
        <v>0</v>
      </c>
      <c r="L1870" s="1">
        <v>44287</v>
      </c>
      <c r="M1870">
        <v>0</v>
      </c>
      <c r="N1870" s="8" cm="1">
        <f t="array" ref="N1870">_xlfn.SWITCH(Sales[[#This Row],[Subscription Type]],"Basic",10,"Premium",10,"Business",25,"Enterprise",27)</f>
        <v>10</v>
      </c>
      <c r="O1870">
        <f>IF(Sales[[#This Row],[Number of Users]]-Sales[[#This Row],[Licenses Bought]]&lt;0,0,Sales[[#This Row],[Number of Users]]-Sales[[#This Row],[Licenses Bought]])</f>
        <v>2</v>
      </c>
      <c r="P1870" s="8">
        <f>IF(Sales[[#This Row],[Sales Month]]=MAX(Sales[Sales Month]),Sales[[#This Row],[Non-Paying Users]]*Sales[[#This Row],[Upsell $ per Non-Paying User]],0)</f>
        <v>0</v>
      </c>
      <c r="Q1870" t="str" cm="1">
        <f t="array" ref="Q1870">_xlfn.IFS(Sales[[#This Row],[Current Upsell $]]=0,"",Sales[[#This Row],[Current Upsell $]]&gt;=400,"High",Sales[[#This Row],[Current Upsell $]]&gt;=100,"Medium",Sales[[#This Row],[Current Upsell $]]&lt;100,"Low")</f>
        <v/>
      </c>
      <c r="R1870" t="str">
        <f>IF(Sales[[#This Row],[Current Upsell $]]&gt;0,_xlfn.CONCAT(Sales[[#This Row],[Subscription Type]]," ",Sales[[#This Row],[Upsell Priority]]," ",TEXT(Sales[[#This Row],[Current Upsell $]],"$#,#")),"")</f>
        <v/>
      </c>
    </row>
    <row r="1871" spans="1:18" x14ac:dyDescent="0.25">
      <c r="A1871">
        <v>100216</v>
      </c>
      <c r="B1871" t="s">
        <v>3</v>
      </c>
      <c r="F1871">
        <v>0</v>
      </c>
      <c r="G1871">
        <v>2</v>
      </c>
      <c r="H1871" s="1">
        <v>44228</v>
      </c>
      <c r="I1871" s="1">
        <v>44348</v>
      </c>
      <c r="J1871">
        <v>4</v>
      </c>
      <c r="K1871">
        <v>0</v>
      </c>
      <c r="L1871" s="1">
        <v>44317</v>
      </c>
      <c r="M1871">
        <v>0</v>
      </c>
      <c r="N1871" s="8" cm="1">
        <f t="array" ref="N1871">_xlfn.SWITCH(Sales[[#This Row],[Subscription Type]],"Basic",10,"Premium",10,"Business",25,"Enterprise",27)</f>
        <v>10</v>
      </c>
      <c r="O1871">
        <f>IF(Sales[[#This Row],[Number of Users]]-Sales[[#This Row],[Licenses Bought]]&lt;0,0,Sales[[#This Row],[Number of Users]]-Sales[[#This Row],[Licenses Bought]])</f>
        <v>2</v>
      </c>
      <c r="P1871" s="8">
        <f>IF(Sales[[#This Row],[Sales Month]]=MAX(Sales[Sales Month]),Sales[[#This Row],[Non-Paying Users]]*Sales[[#This Row],[Upsell $ per Non-Paying User]],0)</f>
        <v>0</v>
      </c>
      <c r="Q1871" t="str" cm="1">
        <f t="array" ref="Q1871">_xlfn.IFS(Sales[[#This Row],[Current Upsell $]]=0,"",Sales[[#This Row],[Current Upsell $]]&gt;=400,"High",Sales[[#This Row],[Current Upsell $]]&gt;=100,"Medium",Sales[[#This Row],[Current Upsell $]]&lt;100,"Low")</f>
        <v/>
      </c>
      <c r="R1871" t="str">
        <f>IF(Sales[[#This Row],[Current Upsell $]]&gt;0,_xlfn.CONCAT(Sales[[#This Row],[Subscription Type]]," ",Sales[[#This Row],[Upsell Priority]]," ",TEXT(Sales[[#This Row],[Current Upsell $]],"$#,#")),"")</f>
        <v/>
      </c>
    </row>
    <row r="1872" spans="1:18" x14ac:dyDescent="0.25">
      <c r="A1872">
        <v>100216</v>
      </c>
      <c r="B1872" t="s">
        <v>3</v>
      </c>
      <c r="F1872">
        <v>0</v>
      </c>
      <c r="G1872">
        <v>2</v>
      </c>
      <c r="H1872" s="1">
        <v>44228</v>
      </c>
      <c r="I1872" s="1">
        <v>44348</v>
      </c>
      <c r="J1872">
        <v>4</v>
      </c>
      <c r="K1872">
        <v>0</v>
      </c>
      <c r="L1872" s="1">
        <v>44348</v>
      </c>
      <c r="M1872">
        <v>0</v>
      </c>
      <c r="N1872" s="8" cm="1">
        <f t="array" ref="N1872">_xlfn.SWITCH(Sales[[#This Row],[Subscription Type]],"Basic",10,"Premium",10,"Business",25,"Enterprise",27)</f>
        <v>10</v>
      </c>
      <c r="O1872">
        <f>IF(Sales[[#This Row],[Number of Users]]-Sales[[#This Row],[Licenses Bought]]&lt;0,0,Sales[[#This Row],[Number of Users]]-Sales[[#This Row],[Licenses Bought]])</f>
        <v>2</v>
      </c>
      <c r="P1872" s="8">
        <f>IF(Sales[[#This Row],[Sales Month]]=MAX(Sales[Sales Month]),Sales[[#This Row],[Non-Paying Users]]*Sales[[#This Row],[Upsell $ per Non-Paying User]],0)</f>
        <v>20</v>
      </c>
      <c r="Q1872" t="str" cm="1">
        <f t="array" ref="Q1872">_xlfn.IFS(Sales[[#This Row],[Current Upsell $]]=0,"",Sales[[#This Row],[Current Upsell $]]&gt;=400,"High",Sales[[#This Row],[Current Upsell $]]&gt;=100,"Medium",Sales[[#This Row],[Current Upsell $]]&lt;100,"Low")</f>
        <v>Low</v>
      </c>
      <c r="R1872" t="str">
        <f>IF(Sales[[#This Row],[Current Upsell $]]&gt;0,_xlfn.CONCAT(Sales[[#This Row],[Subscription Type]]," ",Sales[[#This Row],[Upsell Priority]]," ",TEXT(Sales[[#This Row],[Current Upsell $]],"$#,#")),"")</f>
        <v>Basic Low $20</v>
      </c>
    </row>
    <row r="1873" spans="1:18" x14ac:dyDescent="0.25">
      <c r="A1873">
        <v>100217</v>
      </c>
      <c r="B1873" t="s">
        <v>3</v>
      </c>
      <c r="F1873">
        <v>0</v>
      </c>
      <c r="G1873">
        <v>2</v>
      </c>
      <c r="H1873" s="1">
        <v>44228</v>
      </c>
      <c r="I1873" s="1">
        <v>44378</v>
      </c>
      <c r="J1873">
        <v>5</v>
      </c>
      <c r="K1873">
        <v>0</v>
      </c>
      <c r="L1873" s="1">
        <v>44228</v>
      </c>
      <c r="M1873">
        <v>0</v>
      </c>
      <c r="N1873" s="8" cm="1">
        <f t="array" ref="N1873">_xlfn.SWITCH(Sales[[#This Row],[Subscription Type]],"Basic",10,"Premium",10,"Business",25,"Enterprise",27)</f>
        <v>10</v>
      </c>
      <c r="O1873">
        <f>IF(Sales[[#This Row],[Number of Users]]-Sales[[#This Row],[Licenses Bought]]&lt;0,0,Sales[[#This Row],[Number of Users]]-Sales[[#This Row],[Licenses Bought]])</f>
        <v>2</v>
      </c>
      <c r="P1873" s="8">
        <f>IF(Sales[[#This Row],[Sales Month]]=MAX(Sales[Sales Month]),Sales[[#This Row],[Non-Paying Users]]*Sales[[#This Row],[Upsell $ per Non-Paying User]],0)</f>
        <v>0</v>
      </c>
      <c r="Q1873" t="str" cm="1">
        <f t="array" ref="Q1873">_xlfn.IFS(Sales[[#This Row],[Current Upsell $]]=0,"",Sales[[#This Row],[Current Upsell $]]&gt;=400,"High",Sales[[#This Row],[Current Upsell $]]&gt;=100,"Medium",Sales[[#This Row],[Current Upsell $]]&lt;100,"Low")</f>
        <v/>
      </c>
      <c r="R1873" t="str">
        <f>IF(Sales[[#This Row],[Current Upsell $]]&gt;0,_xlfn.CONCAT(Sales[[#This Row],[Subscription Type]]," ",Sales[[#This Row],[Upsell Priority]]," ",TEXT(Sales[[#This Row],[Current Upsell $]],"$#,#")),"")</f>
        <v/>
      </c>
    </row>
    <row r="1874" spans="1:18" x14ac:dyDescent="0.25">
      <c r="A1874">
        <v>100217</v>
      </c>
      <c r="B1874" t="s">
        <v>3</v>
      </c>
      <c r="F1874">
        <v>0</v>
      </c>
      <c r="G1874">
        <v>1</v>
      </c>
      <c r="H1874" s="1">
        <v>44228</v>
      </c>
      <c r="I1874" s="1">
        <v>44378</v>
      </c>
      <c r="J1874">
        <v>5</v>
      </c>
      <c r="K1874">
        <v>0</v>
      </c>
      <c r="L1874" s="1">
        <v>44256</v>
      </c>
      <c r="M1874">
        <v>0</v>
      </c>
      <c r="N1874" s="8" cm="1">
        <f t="array" ref="N1874">_xlfn.SWITCH(Sales[[#This Row],[Subscription Type]],"Basic",10,"Premium",10,"Business",25,"Enterprise",27)</f>
        <v>10</v>
      </c>
      <c r="O1874">
        <f>IF(Sales[[#This Row],[Number of Users]]-Sales[[#This Row],[Licenses Bought]]&lt;0,0,Sales[[#This Row],[Number of Users]]-Sales[[#This Row],[Licenses Bought]])</f>
        <v>1</v>
      </c>
      <c r="P1874" s="8">
        <f>IF(Sales[[#This Row],[Sales Month]]=MAX(Sales[Sales Month]),Sales[[#This Row],[Non-Paying Users]]*Sales[[#This Row],[Upsell $ per Non-Paying User]],0)</f>
        <v>0</v>
      </c>
      <c r="Q1874" t="str" cm="1">
        <f t="array" ref="Q1874">_xlfn.IFS(Sales[[#This Row],[Current Upsell $]]=0,"",Sales[[#This Row],[Current Upsell $]]&gt;=400,"High",Sales[[#This Row],[Current Upsell $]]&gt;=100,"Medium",Sales[[#This Row],[Current Upsell $]]&lt;100,"Low")</f>
        <v/>
      </c>
      <c r="R1874" t="str">
        <f>IF(Sales[[#This Row],[Current Upsell $]]&gt;0,_xlfn.CONCAT(Sales[[#This Row],[Subscription Type]]," ",Sales[[#This Row],[Upsell Priority]]," ",TEXT(Sales[[#This Row],[Current Upsell $]],"$#,#")),"")</f>
        <v/>
      </c>
    </row>
    <row r="1875" spans="1:18" x14ac:dyDescent="0.25">
      <c r="A1875">
        <v>100217</v>
      </c>
      <c r="B1875" t="s">
        <v>3</v>
      </c>
      <c r="F1875">
        <v>0</v>
      </c>
      <c r="G1875">
        <v>2</v>
      </c>
      <c r="H1875" s="1">
        <v>44228</v>
      </c>
      <c r="I1875" s="1">
        <v>44378</v>
      </c>
      <c r="J1875">
        <v>5</v>
      </c>
      <c r="K1875">
        <v>0</v>
      </c>
      <c r="L1875" s="1">
        <v>44287</v>
      </c>
      <c r="M1875">
        <v>0</v>
      </c>
      <c r="N1875" s="8" cm="1">
        <f t="array" ref="N1875">_xlfn.SWITCH(Sales[[#This Row],[Subscription Type]],"Basic",10,"Premium",10,"Business",25,"Enterprise",27)</f>
        <v>10</v>
      </c>
      <c r="O1875">
        <f>IF(Sales[[#This Row],[Number of Users]]-Sales[[#This Row],[Licenses Bought]]&lt;0,0,Sales[[#This Row],[Number of Users]]-Sales[[#This Row],[Licenses Bought]])</f>
        <v>2</v>
      </c>
      <c r="P1875" s="8">
        <f>IF(Sales[[#This Row],[Sales Month]]=MAX(Sales[Sales Month]),Sales[[#This Row],[Non-Paying Users]]*Sales[[#This Row],[Upsell $ per Non-Paying User]],0)</f>
        <v>0</v>
      </c>
      <c r="Q1875" t="str" cm="1">
        <f t="array" ref="Q1875">_xlfn.IFS(Sales[[#This Row],[Current Upsell $]]=0,"",Sales[[#This Row],[Current Upsell $]]&gt;=400,"High",Sales[[#This Row],[Current Upsell $]]&gt;=100,"Medium",Sales[[#This Row],[Current Upsell $]]&lt;100,"Low")</f>
        <v/>
      </c>
      <c r="R1875" t="str">
        <f>IF(Sales[[#This Row],[Current Upsell $]]&gt;0,_xlfn.CONCAT(Sales[[#This Row],[Subscription Type]]," ",Sales[[#This Row],[Upsell Priority]]," ",TEXT(Sales[[#This Row],[Current Upsell $]],"$#,#")),"")</f>
        <v/>
      </c>
    </row>
    <row r="1876" spans="1:18" x14ac:dyDescent="0.25">
      <c r="A1876">
        <v>100217</v>
      </c>
      <c r="B1876" t="s">
        <v>3</v>
      </c>
      <c r="F1876">
        <v>0</v>
      </c>
      <c r="G1876">
        <v>2</v>
      </c>
      <c r="H1876" s="1">
        <v>44228</v>
      </c>
      <c r="I1876" s="1">
        <v>44378</v>
      </c>
      <c r="J1876">
        <v>5</v>
      </c>
      <c r="K1876">
        <v>0</v>
      </c>
      <c r="L1876" s="1">
        <v>44317</v>
      </c>
      <c r="M1876">
        <v>0</v>
      </c>
      <c r="N1876" s="8" cm="1">
        <f t="array" ref="N1876">_xlfn.SWITCH(Sales[[#This Row],[Subscription Type]],"Basic",10,"Premium",10,"Business",25,"Enterprise",27)</f>
        <v>10</v>
      </c>
      <c r="O1876">
        <f>IF(Sales[[#This Row],[Number of Users]]-Sales[[#This Row],[Licenses Bought]]&lt;0,0,Sales[[#This Row],[Number of Users]]-Sales[[#This Row],[Licenses Bought]])</f>
        <v>2</v>
      </c>
      <c r="P1876" s="8">
        <f>IF(Sales[[#This Row],[Sales Month]]=MAX(Sales[Sales Month]),Sales[[#This Row],[Non-Paying Users]]*Sales[[#This Row],[Upsell $ per Non-Paying User]],0)</f>
        <v>0</v>
      </c>
      <c r="Q1876" t="str" cm="1">
        <f t="array" ref="Q1876">_xlfn.IFS(Sales[[#This Row],[Current Upsell $]]=0,"",Sales[[#This Row],[Current Upsell $]]&gt;=400,"High",Sales[[#This Row],[Current Upsell $]]&gt;=100,"Medium",Sales[[#This Row],[Current Upsell $]]&lt;100,"Low")</f>
        <v/>
      </c>
      <c r="R1876" t="str">
        <f>IF(Sales[[#This Row],[Current Upsell $]]&gt;0,_xlfn.CONCAT(Sales[[#This Row],[Subscription Type]]," ",Sales[[#This Row],[Upsell Priority]]," ",TEXT(Sales[[#This Row],[Current Upsell $]],"$#,#")),"")</f>
        <v/>
      </c>
    </row>
    <row r="1877" spans="1:18" x14ac:dyDescent="0.25">
      <c r="A1877">
        <v>100217</v>
      </c>
      <c r="B1877" t="s">
        <v>3</v>
      </c>
      <c r="F1877">
        <v>0</v>
      </c>
      <c r="G1877">
        <v>2</v>
      </c>
      <c r="H1877" s="1">
        <v>44228</v>
      </c>
      <c r="I1877" s="1">
        <v>44378</v>
      </c>
      <c r="J1877">
        <v>5</v>
      </c>
      <c r="K1877">
        <v>0</v>
      </c>
      <c r="L1877" s="1">
        <v>44348</v>
      </c>
      <c r="M1877">
        <v>0</v>
      </c>
      <c r="N1877" s="8" cm="1">
        <f t="array" ref="N1877">_xlfn.SWITCH(Sales[[#This Row],[Subscription Type]],"Basic",10,"Premium",10,"Business",25,"Enterprise",27)</f>
        <v>10</v>
      </c>
      <c r="O1877">
        <f>IF(Sales[[#This Row],[Number of Users]]-Sales[[#This Row],[Licenses Bought]]&lt;0,0,Sales[[#This Row],[Number of Users]]-Sales[[#This Row],[Licenses Bought]])</f>
        <v>2</v>
      </c>
      <c r="P1877" s="8">
        <f>IF(Sales[[#This Row],[Sales Month]]=MAX(Sales[Sales Month]),Sales[[#This Row],[Non-Paying Users]]*Sales[[#This Row],[Upsell $ per Non-Paying User]],0)</f>
        <v>20</v>
      </c>
      <c r="Q1877" t="str" cm="1">
        <f t="array" ref="Q1877">_xlfn.IFS(Sales[[#This Row],[Current Upsell $]]=0,"",Sales[[#This Row],[Current Upsell $]]&gt;=400,"High",Sales[[#This Row],[Current Upsell $]]&gt;=100,"Medium",Sales[[#This Row],[Current Upsell $]]&lt;100,"Low")</f>
        <v>Low</v>
      </c>
      <c r="R1877" t="str">
        <f>IF(Sales[[#This Row],[Current Upsell $]]&gt;0,_xlfn.CONCAT(Sales[[#This Row],[Subscription Type]]," ",Sales[[#This Row],[Upsell Priority]]," ",TEXT(Sales[[#This Row],[Current Upsell $]],"$#,#")),"")</f>
        <v>Basic Low $20</v>
      </c>
    </row>
    <row r="1878" spans="1:18" x14ac:dyDescent="0.25">
      <c r="A1878">
        <v>100218</v>
      </c>
      <c r="B1878" t="s">
        <v>3</v>
      </c>
      <c r="D1878" s="1"/>
      <c r="E1878" s="1"/>
      <c r="F1878">
        <v>0</v>
      </c>
      <c r="G1878">
        <v>2</v>
      </c>
      <c r="H1878" s="1">
        <v>44228</v>
      </c>
      <c r="I1878" s="1">
        <v>44378</v>
      </c>
      <c r="J1878">
        <v>5</v>
      </c>
      <c r="K1878">
        <v>0</v>
      </c>
      <c r="L1878" s="1">
        <v>44228</v>
      </c>
      <c r="M1878">
        <v>0</v>
      </c>
      <c r="N1878" s="8" cm="1">
        <f t="array" ref="N1878">_xlfn.SWITCH(Sales[[#This Row],[Subscription Type]],"Basic",10,"Premium",10,"Business",25,"Enterprise",27)</f>
        <v>10</v>
      </c>
      <c r="O1878">
        <f>IF(Sales[[#This Row],[Number of Users]]-Sales[[#This Row],[Licenses Bought]]&lt;0,0,Sales[[#This Row],[Number of Users]]-Sales[[#This Row],[Licenses Bought]])</f>
        <v>2</v>
      </c>
      <c r="P1878" s="8">
        <f>IF(Sales[[#This Row],[Sales Month]]=MAX(Sales[Sales Month]),Sales[[#This Row],[Non-Paying Users]]*Sales[[#This Row],[Upsell $ per Non-Paying User]],0)</f>
        <v>0</v>
      </c>
      <c r="Q1878" t="str" cm="1">
        <f t="array" ref="Q1878">_xlfn.IFS(Sales[[#This Row],[Current Upsell $]]=0,"",Sales[[#This Row],[Current Upsell $]]&gt;=400,"High",Sales[[#This Row],[Current Upsell $]]&gt;=100,"Medium",Sales[[#This Row],[Current Upsell $]]&lt;100,"Low")</f>
        <v/>
      </c>
      <c r="R1878" t="str">
        <f>IF(Sales[[#This Row],[Current Upsell $]]&gt;0,_xlfn.CONCAT(Sales[[#This Row],[Subscription Type]]," ",Sales[[#This Row],[Upsell Priority]]," ",TEXT(Sales[[#This Row],[Current Upsell $]],"$#,#")),"")</f>
        <v/>
      </c>
    </row>
    <row r="1879" spans="1:18" x14ac:dyDescent="0.25">
      <c r="A1879">
        <v>100218</v>
      </c>
      <c r="B1879" t="s">
        <v>0</v>
      </c>
      <c r="D1879" s="1"/>
      <c r="E1879" s="1"/>
      <c r="F1879">
        <v>1</v>
      </c>
      <c r="G1879">
        <v>2</v>
      </c>
      <c r="H1879" s="1">
        <v>44228</v>
      </c>
      <c r="I1879" s="1">
        <v>44378</v>
      </c>
      <c r="J1879">
        <v>5</v>
      </c>
      <c r="K1879">
        <v>0</v>
      </c>
      <c r="L1879" s="1">
        <v>44256</v>
      </c>
      <c r="M1879">
        <v>10</v>
      </c>
      <c r="N1879" s="8" cm="1">
        <f t="array" ref="N1879">_xlfn.SWITCH(Sales[[#This Row],[Subscription Type]],"Basic",10,"Premium",10,"Business",25,"Enterprise",27)</f>
        <v>10</v>
      </c>
      <c r="O1879">
        <f>IF(Sales[[#This Row],[Number of Users]]-Sales[[#This Row],[Licenses Bought]]&lt;0,0,Sales[[#This Row],[Number of Users]]-Sales[[#This Row],[Licenses Bought]])</f>
        <v>1</v>
      </c>
      <c r="P1879" s="8">
        <f>IF(Sales[[#This Row],[Sales Month]]=MAX(Sales[Sales Month]),Sales[[#This Row],[Non-Paying Users]]*Sales[[#This Row],[Upsell $ per Non-Paying User]],0)</f>
        <v>0</v>
      </c>
      <c r="Q1879" t="str" cm="1">
        <f t="array" ref="Q1879">_xlfn.IFS(Sales[[#This Row],[Current Upsell $]]=0,"",Sales[[#This Row],[Current Upsell $]]&gt;=400,"High",Sales[[#This Row],[Current Upsell $]]&gt;=100,"Medium",Sales[[#This Row],[Current Upsell $]]&lt;100,"Low")</f>
        <v/>
      </c>
      <c r="R1879" t="str">
        <f>IF(Sales[[#This Row],[Current Upsell $]]&gt;0,_xlfn.CONCAT(Sales[[#This Row],[Subscription Type]]," ",Sales[[#This Row],[Upsell Priority]]," ",TEXT(Sales[[#This Row],[Current Upsell $]],"$#,#")),"")</f>
        <v/>
      </c>
    </row>
    <row r="1880" spans="1:18" x14ac:dyDescent="0.25">
      <c r="A1880">
        <v>100218</v>
      </c>
      <c r="B1880" t="s">
        <v>0</v>
      </c>
      <c r="D1880" s="1"/>
      <c r="E1880" s="1"/>
      <c r="F1880">
        <v>1</v>
      </c>
      <c r="G1880">
        <v>2</v>
      </c>
      <c r="H1880" s="1">
        <v>44228</v>
      </c>
      <c r="I1880" s="1">
        <v>44378</v>
      </c>
      <c r="J1880">
        <v>5</v>
      </c>
      <c r="K1880">
        <v>0</v>
      </c>
      <c r="L1880" s="1">
        <v>44287</v>
      </c>
      <c r="M1880">
        <v>10</v>
      </c>
      <c r="N1880" s="8" cm="1">
        <f t="array" ref="N1880">_xlfn.SWITCH(Sales[[#This Row],[Subscription Type]],"Basic",10,"Premium",10,"Business",25,"Enterprise",27)</f>
        <v>10</v>
      </c>
      <c r="O1880">
        <f>IF(Sales[[#This Row],[Number of Users]]-Sales[[#This Row],[Licenses Bought]]&lt;0,0,Sales[[#This Row],[Number of Users]]-Sales[[#This Row],[Licenses Bought]])</f>
        <v>1</v>
      </c>
      <c r="P1880" s="8">
        <f>IF(Sales[[#This Row],[Sales Month]]=MAX(Sales[Sales Month]),Sales[[#This Row],[Non-Paying Users]]*Sales[[#This Row],[Upsell $ per Non-Paying User]],0)</f>
        <v>0</v>
      </c>
      <c r="Q1880" t="str" cm="1">
        <f t="array" ref="Q1880">_xlfn.IFS(Sales[[#This Row],[Current Upsell $]]=0,"",Sales[[#This Row],[Current Upsell $]]&gt;=400,"High",Sales[[#This Row],[Current Upsell $]]&gt;=100,"Medium",Sales[[#This Row],[Current Upsell $]]&lt;100,"Low")</f>
        <v/>
      </c>
      <c r="R1880" t="str">
        <f>IF(Sales[[#This Row],[Current Upsell $]]&gt;0,_xlfn.CONCAT(Sales[[#This Row],[Subscription Type]]," ",Sales[[#This Row],[Upsell Priority]]," ",TEXT(Sales[[#This Row],[Current Upsell $]],"$#,#")),"")</f>
        <v/>
      </c>
    </row>
    <row r="1881" spans="1:18" x14ac:dyDescent="0.25">
      <c r="A1881">
        <v>100218</v>
      </c>
      <c r="B1881" t="s">
        <v>0</v>
      </c>
      <c r="D1881" s="1"/>
      <c r="E1881" s="1"/>
      <c r="F1881">
        <v>1</v>
      </c>
      <c r="G1881">
        <v>2</v>
      </c>
      <c r="H1881" s="1">
        <v>44228</v>
      </c>
      <c r="I1881" s="1">
        <v>44378</v>
      </c>
      <c r="J1881">
        <v>5</v>
      </c>
      <c r="K1881">
        <v>0</v>
      </c>
      <c r="L1881" s="1">
        <v>44317</v>
      </c>
      <c r="M1881">
        <v>10</v>
      </c>
      <c r="N1881" s="8" cm="1">
        <f t="array" ref="N1881">_xlfn.SWITCH(Sales[[#This Row],[Subscription Type]],"Basic",10,"Premium",10,"Business",25,"Enterprise",27)</f>
        <v>10</v>
      </c>
      <c r="O1881">
        <f>IF(Sales[[#This Row],[Number of Users]]-Sales[[#This Row],[Licenses Bought]]&lt;0,0,Sales[[#This Row],[Number of Users]]-Sales[[#This Row],[Licenses Bought]])</f>
        <v>1</v>
      </c>
      <c r="P1881" s="8">
        <f>IF(Sales[[#This Row],[Sales Month]]=MAX(Sales[Sales Month]),Sales[[#This Row],[Non-Paying Users]]*Sales[[#This Row],[Upsell $ per Non-Paying User]],0)</f>
        <v>0</v>
      </c>
      <c r="Q1881" t="str" cm="1">
        <f t="array" ref="Q1881">_xlfn.IFS(Sales[[#This Row],[Current Upsell $]]=0,"",Sales[[#This Row],[Current Upsell $]]&gt;=400,"High",Sales[[#This Row],[Current Upsell $]]&gt;=100,"Medium",Sales[[#This Row],[Current Upsell $]]&lt;100,"Low")</f>
        <v/>
      </c>
      <c r="R1881" t="str">
        <f>IF(Sales[[#This Row],[Current Upsell $]]&gt;0,_xlfn.CONCAT(Sales[[#This Row],[Subscription Type]]," ",Sales[[#This Row],[Upsell Priority]]," ",TEXT(Sales[[#This Row],[Current Upsell $]],"$#,#")),"")</f>
        <v/>
      </c>
    </row>
    <row r="1882" spans="1:18" x14ac:dyDescent="0.25">
      <c r="A1882">
        <v>100218</v>
      </c>
      <c r="B1882" t="s">
        <v>0</v>
      </c>
      <c r="D1882" s="1"/>
      <c r="E1882" s="1"/>
      <c r="F1882">
        <v>1</v>
      </c>
      <c r="G1882">
        <v>2</v>
      </c>
      <c r="H1882" s="1">
        <v>44228</v>
      </c>
      <c r="I1882" s="1">
        <v>44378</v>
      </c>
      <c r="J1882">
        <v>5</v>
      </c>
      <c r="K1882">
        <v>0</v>
      </c>
      <c r="L1882" s="1">
        <v>44348</v>
      </c>
      <c r="M1882">
        <v>10</v>
      </c>
      <c r="N1882" s="8" cm="1">
        <f t="array" ref="N1882">_xlfn.SWITCH(Sales[[#This Row],[Subscription Type]],"Basic",10,"Premium",10,"Business",25,"Enterprise",27)</f>
        <v>10</v>
      </c>
      <c r="O1882">
        <f>IF(Sales[[#This Row],[Number of Users]]-Sales[[#This Row],[Licenses Bought]]&lt;0,0,Sales[[#This Row],[Number of Users]]-Sales[[#This Row],[Licenses Bought]])</f>
        <v>1</v>
      </c>
      <c r="P1882" s="8">
        <f>IF(Sales[[#This Row],[Sales Month]]=MAX(Sales[Sales Month]),Sales[[#This Row],[Non-Paying Users]]*Sales[[#This Row],[Upsell $ per Non-Paying User]],0)</f>
        <v>10</v>
      </c>
      <c r="Q1882" t="str" cm="1">
        <f t="array" ref="Q1882">_xlfn.IFS(Sales[[#This Row],[Current Upsell $]]=0,"",Sales[[#This Row],[Current Upsell $]]&gt;=400,"High",Sales[[#This Row],[Current Upsell $]]&gt;=100,"Medium",Sales[[#This Row],[Current Upsell $]]&lt;100,"Low")</f>
        <v>Low</v>
      </c>
      <c r="R1882" t="str">
        <f>IF(Sales[[#This Row],[Current Upsell $]]&gt;0,_xlfn.CONCAT(Sales[[#This Row],[Subscription Type]]," ",Sales[[#This Row],[Upsell Priority]]," ",TEXT(Sales[[#This Row],[Current Upsell $]],"$#,#")),"")</f>
        <v>Premium Low $10</v>
      </c>
    </row>
    <row r="1883" spans="1:18" x14ac:dyDescent="0.25">
      <c r="A1883">
        <v>100219</v>
      </c>
      <c r="B1883" t="s">
        <v>3</v>
      </c>
      <c r="D1883" s="1"/>
      <c r="E1883" s="1"/>
      <c r="F1883">
        <v>0</v>
      </c>
      <c r="G1883">
        <v>77</v>
      </c>
      <c r="H1883" s="1">
        <v>44256</v>
      </c>
      <c r="I1883" s="1">
        <v>44378</v>
      </c>
      <c r="J1883">
        <v>4</v>
      </c>
      <c r="K1883">
        <v>0</v>
      </c>
      <c r="L1883" s="1">
        <v>44256</v>
      </c>
      <c r="M1883">
        <v>0</v>
      </c>
      <c r="N1883" s="8" cm="1">
        <f t="array" ref="N1883">_xlfn.SWITCH(Sales[[#This Row],[Subscription Type]],"Basic",10,"Premium",10,"Business",25,"Enterprise",27)</f>
        <v>10</v>
      </c>
      <c r="O1883">
        <f>IF(Sales[[#This Row],[Number of Users]]-Sales[[#This Row],[Licenses Bought]]&lt;0,0,Sales[[#This Row],[Number of Users]]-Sales[[#This Row],[Licenses Bought]])</f>
        <v>77</v>
      </c>
      <c r="P1883" s="8">
        <f>IF(Sales[[#This Row],[Sales Month]]=MAX(Sales[Sales Month]),Sales[[#This Row],[Non-Paying Users]]*Sales[[#This Row],[Upsell $ per Non-Paying User]],0)</f>
        <v>0</v>
      </c>
      <c r="Q1883" t="str" cm="1">
        <f t="array" ref="Q1883">_xlfn.IFS(Sales[[#This Row],[Current Upsell $]]=0,"",Sales[[#This Row],[Current Upsell $]]&gt;=400,"High",Sales[[#This Row],[Current Upsell $]]&gt;=100,"Medium",Sales[[#This Row],[Current Upsell $]]&lt;100,"Low")</f>
        <v/>
      </c>
      <c r="R1883" t="str">
        <f>IF(Sales[[#This Row],[Current Upsell $]]&gt;0,_xlfn.CONCAT(Sales[[#This Row],[Subscription Type]]," ",Sales[[#This Row],[Upsell Priority]]," ",TEXT(Sales[[#This Row],[Current Upsell $]],"$#,#")),"")</f>
        <v/>
      </c>
    </row>
    <row r="1884" spans="1:18" x14ac:dyDescent="0.25">
      <c r="A1884">
        <v>100219</v>
      </c>
      <c r="B1884" t="s">
        <v>1</v>
      </c>
      <c r="D1884" s="1"/>
      <c r="E1884" s="1"/>
      <c r="F1884">
        <v>45</v>
      </c>
      <c r="G1884">
        <v>74</v>
      </c>
      <c r="H1884" s="1">
        <v>44256</v>
      </c>
      <c r="I1884" s="1">
        <v>44378</v>
      </c>
      <c r="J1884">
        <v>4</v>
      </c>
      <c r="K1884">
        <v>0</v>
      </c>
      <c r="L1884" s="1">
        <v>44287</v>
      </c>
      <c r="M1884">
        <v>1125</v>
      </c>
      <c r="N1884" s="8" cm="1">
        <f t="array" ref="N1884">_xlfn.SWITCH(Sales[[#This Row],[Subscription Type]],"Basic",10,"Premium",10,"Business",25,"Enterprise",27)</f>
        <v>25</v>
      </c>
      <c r="O1884">
        <f>IF(Sales[[#This Row],[Number of Users]]-Sales[[#This Row],[Licenses Bought]]&lt;0,0,Sales[[#This Row],[Number of Users]]-Sales[[#This Row],[Licenses Bought]])</f>
        <v>29</v>
      </c>
      <c r="P1884" s="8">
        <f>IF(Sales[[#This Row],[Sales Month]]=MAX(Sales[Sales Month]),Sales[[#This Row],[Non-Paying Users]]*Sales[[#This Row],[Upsell $ per Non-Paying User]],0)</f>
        <v>0</v>
      </c>
      <c r="Q1884" t="str" cm="1">
        <f t="array" ref="Q1884">_xlfn.IFS(Sales[[#This Row],[Current Upsell $]]=0,"",Sales[[#This Row],[Current Upsell $]]&gt;=400,"High",Sales[[#This Row],[Current Upsell $]]&gt;=100,"Medium",Sales[[#This Row],[Current Upsell $]]&lt;100,"Low")</f>
        <v/>
      </c>
      <c r="R1884" t="str">
        <f>IF(Sales[[#This Row],[Current Upsell $]]&gt;0,_xlfn.CONCAT(Sales[[#This Row],[Subscription Type]]," ",Sales[[#This Row],[Upsell Priority]]," ",TEXT(Sales[[#This Row],[Current Upsell $]],"$#,#")),"")</f>
        <v/>
      </c>
    </row>
    <row r="1885" spans="1:18" x14ac:dyDescent="0.25">
      <c r="A1885">
        <v>100219</v>
      </c>
      <c r="B1885" t="s">
        <v>1</v>
      </c>
      <c r="D1885" s="1"/>
      <c r="E1885" s="1"/>
      <c r="F1885">
        <v>40</v>
      </c>
      <c r="G1885">
        <v>63</v>
      </c>
      <c r="H1885" s="1">
        <v>44256</v>
      </c>
      <c r="I1885" s="1">
        <v>44378</v>
      </c>
      <c r="J1885">
        <v>4</v>
      </c>
      <c r="K1885">
        <v>0</v>
      </c>
      <c r="L1885" s="1">
        <v>44317</v>
      </c>
      <c r="M1885">
        <v>1000</v>
      </c>
      <c r="N1885" s="8" cm="1">
        <f t="array" ref="N1885">_xlfn.SWITCH(Sales[[#This Row],[Subscription Type]],"Basic",10,"Premium",10,"Business",25,"Enterprise",27)</f>
        <v>25</v>
      </c>
      <c r="O1885">
        <f>IF(Sales[[#This Row],[Number of Users]]-Sales[[#This Row],[Licenses Bought]]&lt;0,0,Sales[[#This Row],[Number of Users]]-Sales[[#This Row],[Licenses Bought]])</f>
        <v>23</v>
      </c>
      <c r="P1885" s="8">
        <f>IF(Sales[[#This Row],[Sales Month]]=MAX(Sales[Sales Month]),Sales[[#This Row],[Non-Paying Users]]*Sales[[#This Row],[Upsell $ per Non-Paying User]],0)</f>
        <v>0</v>
      </c>
      <c r="Q1885" t="str" cm="1">
        <f t="array" ref="Q1885">_xlfn.IFS(Sales[[#This Row],[Current Upsell $]]=0,"",Sales[[#This Row],[Current Upsell $]]&gt;=400,"High",Sales[[#This Row],[Current Upsell $]]&gt;=100,"Medium",Sales[[#This Row],[Current Upsell $]]&lt;100,"Low")</f>
        <v/>
      </c>
      <c r="R1885" t="str">
        <f>IF(Sales[[#This Row],[Current Upsell $]]&gt;0,_xlfn.CONCAT(Sales[[#This Row],[Subscription Type]]," ",Sales[[#This Row],[Upsell Priority]]," ",TEXT(Sales[[#This Row],[Current Upsell $]],"$#,#")),"")</f>
        <v/>
      </c>
    </row>
    <row r="1886" spans="1:18" x14ac:dyDescent="0.25">
      <c r="A1886">
        <v>100219</v>
      </c>
      <c r="B1886" t="s">
        <v>1</v>
      </c>
      <c r="D1886" s="1"/>
      <c r="E1886" s="1"/>
      <c r="F1886">
        <v>55</v>
      </c>
      <c r="G1886">
        <v>67</v>
      </c>
      <c r="H1886" s="1">
        <v>44256</v>
      </c>
      <c r="I1886" s="1">
        <v>44378</v>
      </c>
      <c r="J1886">
        <v>4</v>
      </c>
      <c r="K1886">
        <v>0</v>
      </c>
      <c r="L1886" s="1">
        <v>44348</v>
      </c>
      <c r="M1886">
        <v>1375</v>
      </c>
      <c r="N1886" s="8" cm="1">
        <f t="array" ref="N1886">_xlfn.SWITCH(Sales[[#This Row],[Subscription Type]],"Basic",10,"Premium",10,"Business",25,"Enterprise",27)</f>
        <v>25</v>
      </c>
      <c r="O1886">
        <f>IF(Sales[[#This Row],[Number of Users]]-Sales[[#This Row],[Licenses Bought]]&lt;0,0,Sales[[#This Row],[Number of Users]]-Sales[[#This Row],[Licenses Bought]])</f>
        <v>12</v>
      </c>
      <c r="P1886" s="8">
        <f>IF(Sales[[#This Row],[Sales Month]]=MAX(Sales[Sales Month]),Sales[[#This Row],[Non-Paying Users]]*Sales[[#This Row],[Upsell $ per Non-Paying User]],0)</f>
        <v>300</v>
      </c>
      <c r="Q1886" t="str" cm="1">
        <f t="array" ref="Q1886">_xlfn.IFS(Sales[[#This Row],[Current Upsell $]]=0,"",Sales[[#This Row],[Current Upsell $]]&gt;=400,"High",Sales[[#This Row],[Current Upsell $]]&gt;=100,"Medium",Sales[[#This Row],[Current Upsell $]]&lt;100,"Low")</f>
        <v>Medium</v>
      </c>
      <c r="R1886" t="str">
        <f>IF(Sales[[#This Row],[Current Upsell $]]&gt;0,_xlfn.CONCAT(Sales[[#This Row],[Subscription Type]]," ",Sales[[#This Row],[Upsell Priority]]," ",TEXT(Sales[[#This Row],[Current Upsell $]],"$#,#")),"")</f>
        <v>Business Medium $300</v>
      </c>
    </row>
    <row r="1887" spans="1:18" x14ac:dyDescent="0.25">
      <c r="A1887">
        <v>100220</v>
      </c>
      <c r="B1887" t="s">
        <v>3</v>
      </c>
      <c r="D1887" s="1"/>
      <c r="E1887" s="1"/>
      <c r="F1887">
        <v>0</v>
      </c>
      <c r="G1887">
        <v>51</v>
      </c>
      <c r="H1887" s="1">
        <v>44256</v>
      </c>
      <c r="I1887" s="1">
        <v>44378</v>
      </c>
      <c r="J1887">
        <v>4</v>
      </c>
      <c r="K1887">
        <v>0</v>
      </c>
      <c r="L1887" s="1">
        <v>44256</v>
      </c>
      <c r="M1887">
        <v>0</v>
      </c>
      <c r="N1887" s="8" cm="1">
        <f t="array" ref="N1887">_xlfn.SWITCH(Sales[[#This Row],[Subscription Type]],"Basic",10,"Premium",10,"Business",25,"Enterprise",27)</f>
        <v>10</v>
      </c>
      <c r="O1887">
        <f>IF(Sales[[#This Row],[Number of Users]]-Sales[[#This Row],[Licenses Bought]]&lt;0,0,Sales[[#This Row],[Number of Users]]-Sales[[#This Row],[Licenses Bought]])</f>
        <v>51</v>
      </c>
      <c r="P1887" s="8">
        <f>IF(Sales[[#This Row],[Sales Month]]=MAX(Sales[Sales Month]),Sales[[#This Row],[Non-Paying Users]]*Sales[[#This Row],[Upsell $ per Non-Paying User]],0)</f>
        <v>0</v>
      </c>
      <c r="Q1887" t="str" cm="1">
        <f t="array" ref="Q1887">_xlfn.IFS(Sales[[#This Row],[Current Upsell $]]=0,"",Sales[[#This Row],[Current Upsell $]]&gt;=400,"High",Sales[[#This Row],[Current Upsell $]]&gt;=100,"Medium",Sales[[#This Row],[Current Upsell $]]&lt;100,"Low")</f>
        <v/>
      </c>
      <c r="R1887" t="str">
        <f>IF(Sales[[#This Row],[Current Upsell $]]&gt;0,_xlfn.CONCAT(Sales[[#This Row],[Subscription Type]]," ",Sales[[#This Row],[Upsell Priority]]," ",TEXT(Sales[[#This Row],[Current Upsell $]],"$#,#")),"")</f>
        <v/>
      </c>
    </row>
    <row r="1888" spans="1:18" x14ac:dyDescent="0.25">
      <c r="A1888">
        <v>100220</v>
      </c>
      <c r="B1888" t="s">
        <v>0</v>
      </c>
      <c r="D1888" s="1"/>
      <c r="E1888" s="1"/>
      <c r="F1888">
        <v>20</v>
      </c>
      <c r="G1888">
        <v>46</v>
      </c>
      <c r="H1888" s="1">
        <v>44256</v>
      </c>
      <c r="I1888" s="1">
        <v>44378</v>
      </c>
      <c r="J1888">
        <v>4</v>
      </c>
      <c r="K1888">
        <v>0</v>
      </c>
      <c r="L1888" s="1">
        <v>44287</v>
      </c>
      <c r="M1888">
        <v>200</v>
      </c>
      <c r="N1888" s="8" cm="1">
        <f t="array" ref="N1888">_xlfn.SWITCH(Sales[[#This Row],[Subscription Type]],"Basic",10,"Premium",10,"Business",25,"Enterprise",27)</f>
        <v>10</v>
      </c>
      <c r="O1888">
        <f>IF(Sales[[#This Row],[Number of Users]]-Sales[[#This Row],[Licenses Bought]]&lt;0,0,Sales[[#This Row],[Number of Users]]-Sales[[#This Row],[Licenses Bought]])</f>
        <v>26</v>
      </c>
      <c r="P1888" s="8">
        <f>IF(Sales[[#This Row],[Sales Month]]=MAX(Sales[Sales Month]),Sales[[#This Row],[Non-Paying Users]]*Sales[[#This Row],[Upsell $ per Non-Paying User]],0)</f>
        <v>0</v>
      </c>
      <c r="Q1888" t="str" cm="1">
        <f t="array" ref="Q1888">_xlfn.IFS(Sales[[#This Row],[Current Upsell $]]=0,"",Sales[[#This Row],[Current Upsell $]]&gt;=400,"High",Sales[[#This Row],[Current Upsell $]]&gt;=100,"Medium",Sales[[#This Row],[Current Upsell $]]&lt;100,"Low")</f>
        <v/>
      </c>
      <c r="R1888" t="str">
        <f>IF(Sales[[#This Row],[Current Upsell $]]&gt;0,_xlfn.CONCAT(Sales[[#This Row],[Subscription Type]]," ",Sales[[#This Row],[Upsell Priority]]," ",TEXT(Sales[[#This Row],[Current Upsell $]],"$#,#")),"")</f>
        <v/>
      </c>
    </row>
    <row r="1889" spans="1:18" x14ac:dyDescent="0.25">
      <c r="A1889">
        <v>100220</v>
      </c>
      <c r="B1889" t="s">
        <v>0</v>
      </c>
      <c r="D1889" s="1"/>
      <c r="E1889" s="1"/>
      <c r="F1889">
        <v>46</v>
      </c>
      <c r="G1889">
        <v>67</v>
      </c>
      <c r="H1889" s="1">
        <v>44256</v>
      </c>
      <c r="I1889" s="1">
        <v>44378</v>
      </c>
      <c r="J1889">
        <v>4</v>
      </c>
      <c r="K1889">
        <v>0</v>
      </c>
      <c r="L1889" s="1">
        <v>44317</v>
      </c>
      <c r="M1889">
        <v>460</v>
      </c>
      <c r="N1889" s="8" cm="1">
        <f t="array" ref="N1889">_xlfn.SWITCH(Sales[[#This Row],[Subscription Type]],"Basic",10,"Premium",10,"Business",25,"Enterprise",27)</f>
        <v>10</v>
      </c>
      <c r="O1889">
        <f>IF(Sales[[#This Row],[Number of Users]]-Sales[[#This Row],[Licenses Bought]]&lt;0,0,Sales[[#This Row],[Number of Users]]-Sales[[#This Row],[Licenses Bought]])</f>
        <v>21</v>
      </c>
      <c r="P1889" s="8">
        <f>IF(Sales[[#This Row],[Sales Month]]=MAX(Sales[Sales Month]),Sales[[#This Row],[Non-Paying Users]]*Sales[[#This Row],[Upsell $ per Non-Paying User]],0)</f>
        <v>0</v>
      </c>
      <c r="Q1889" t="str" cm="1">
        <f t="array" ref="Q1889">_xlfn.IFS(Sales[[#This Row],[Current Upsell $]]=0,"",Sales[[#This Row],[Current Upsell $]]&gt;=400,"High",Sales[[#This Row],[Current Upsell $]]&gt;=100,"Medium",Sales[[#This Row],[Current Upsell $]]&lt;100,"Low")</f>
        <v/>
      </c>
      <c r="R1889" t="str">
        <f>IF(Sales[[#This Row],[Current Upsell $]]&gt;0,_xlfn.CONCAT(Sales[[#This Row],[Subscription Type]]," ",Sales[[#This Row],[Upsell Priority]]," ",TEXT(Sales[[#This Row],[Current Upsell $]],"$#,#")),"")</f>
        <v/>
      </c>
    </row>
    <row r="1890" spans="1:18" x14ac:dyDescent="0.25">
      <c r="A1890">
        <v>100220</v>
      </c>
      <c r="B1890" t="s">
        <v>0</v>
      </c>
      <c r="D1890" s="1"/>
      <c r="E1890" s="1"/>
      <c r="F1890">
        <v>46</v>
      </c>
      <c r="G1890">
        <v>60</v>
      </c>
      <c r="H1890" s="1">
        <v>44256</v>
      </c>
      <c r="I1890" s="1">
        <v>44378</v>
      </c>
      <c r="J1890">
        <v>4</v>
      </c>
      <c r="K1890">
        <v>0</v>
      </c>
      <c r="L1890" s="1">
        <v>44348</v>
      </c>
      <c r="M1890">
        <v>460</v>
      </c>
      <c r="N1890" s="8" cm="1">
        <f t="array" ref="N1890">_xlfn.SWITCH(Sales[[#This Row],[Subscription Type]],"Basic",10,"Premium",10,"Business",25,"Enterprise",27)</f>
        <v>10</v>
      </c>
      <c r="O1890">
        <f>IF(Sales[[#This Row],[Number of Users]]-Sales[[#This Row],[Licenses Bought]]&lt;0,0,Sales[[#This Row],[Number of Users]]-Sales[[#This Row],[Licenses Bought]])</f>
        <v>14</v>
      </c>
      <c r="P1890" s="8">
        <f>IF(Sales[[#This Row],[Sales Month]]=MAX(Sales[Sales Month]),Sales[[#This Row],[Non-Paying Users]]*Sales[[#This Row],[Upsell $ per Non-Paying User]],0)</f>
        <v>140</v>
      </c>
      <c r="Q1890" t="str" cm="1">
        <f t="array" ref="Q1890">_xlfn.IFS(Sales[[#This Row],[Current Upsell $]]=0,"",Sales[[#This Row],[Current Upsell $]]&gt;=400,"High",Sales[[#This Row],[Current Upsell $]]&gt;=100,"Medium",Sales[[#This Row],[Current Upsell $]]&lt;100,"Low")</f>
        <v>Medium</v>
      </c>
      <c r="R1890" t="str">
        <f>IF(Sales[[#This Row],[Current Upsell $]]&gt;0,_xlfn.CONCAT(Sales[[#This Row],[Subscription Type]]," ",Sales[[#This Row],[Upsell Priority]]," ",TEXT(Sales[[#This Row],[Current Upsell $]],"$#,#")),"")</f>
        <v>Premium Medium $140</v>
      </c>
    </row>
    <row r="1891" spans="1:18" x14ac:dyDescent="0.25">
      <c r="A1891">
        <v>100221</v>
      </c>
      <c r="B1891" t="s">
        <v>3</v>
      </c>
      <c r="D1891" s="1"/>
      <c r="E1891" s="1"/>
      <c r="F1891">
        <v>0</v>
      </c>
      <c r="G1891">
        <v>50</v>
      </c>
      <c r="H1891" s="1">
        <v>44256</v>
      </c>
      <c r="I1891" s="1">
        <v>44378</v>
      </c>
      <c r="J1891">
        <v>4</v>
      </c>
      <c r="K1891">
        <v>0</v>
      </c>
      <c r="L1891" s="1">
        <v>44256</v>
      </c>
      <c r="M1891">
        <v>0</v>
      </c>
      <c r="N1891" s="8" cm="1">
        <f t="array" ref="N1891">_xlfn.SWITCH(Sales[[#This Row],[Subscription Type]],"Basic",10,"Premium",10,"Business",25,"Enterprise",27)</f>
        <v>10</v>
      </c>
      <c r="O1891">
        <f>IF(Sales[[#This Row],[Number of Users]]-Sales[[#This Row],[Licenses Bought]]&lt;0,0,Sales[[#This Row],[Number of Users]]-Sales[[#This Row],[Licenses Bought]])</f>
        <v>50</v>
      </c>
      <c r="P1891" s="8">
        <f>IF(Sales[[#This Row],[Sales Month]]=MAX(Sales[Sales Month]),Sales[[#This Row],[Non-Paying Users]]*Sales[[#This Row],[Upsell $ per Non-Paying User]],0)</f>
        <v>0</v>
      </c>
      <c r="Q1891" t="str" cm="1">
        <f t="array" ref="Q1891">_xlfn.IFS(Sales[[#This Row],[Current Upsell $]]=0,"",Sales[[#This Row],[Current Upsell $]]&gt;=400,"High",Sales[[#This Row],[Current Upsell $]]&gt;=100,"Medium",Sales[[#This Row],[Current Upsell $]]&lt;100,"Low")</f>
        <v/>
      </c>
      <c r="R1891" t="str">
        <f>IF(Sales[[#This Row],[Current Upsell $]]&gt;0,_xlfn.CONCAT(Sales[[#This Row],[Subscription Type]]," ",Sales[[#This Row],[Upsell Priority]]," ",TEXT(Sales[[#This Row],[Current Upsell $]],"$#,#")),"")</f>
        <v/>
      </c>
    </row>
    <row r="1892" spans="1:18" x14ac:dyDescent="0.25">
      <c r="A1892">
        <v>100221</v>
      </c>
      <c r="B1892" t="s">
        <v>0</v>
      </c>
      <c r="D1892" s="1"/>
      <c r="E1892" s="1"/>
      <c r="F1892">
        <v>13</v>
      </c>
      <c r="G1892">
        <v>38</v>
      </c>
      <c r="H1892" s="1">
        <v>44256</v>
      </c>
      <c r="I1892" s="1">
        <v>44378</v>
      </c>
      <c r="J1892">
        <v>4</v>
      </c>
      <c r="K1892">
        <v>0</v>
      </c>
      <c r="L1892" s="1">
        <v>44287</v>
      </c>
      <c r="M1892">
        <v>130</v>
      </c>
      <c r="N1892" s="8" cm="1">
        <f t="array" ref="N1892">_xlfn.SWITCH(Sales[[#This Row],[Subscription Type]],"Basic",10,"Premium",10,"Business",25,"Enterprise",27)</f>
        <v>10</v>
      </c>
      <c r="O1892">
        <f>IF(Sales[[#This Row],[Number of Users]]-Sales[[#This Row],[Licenses Bought]]&lt;0,0,Sales[[#This Row],[Number of Users]]-Sales[[#This Row],[Licenses Bought]])</f>
        <v>25</v>
      </c>
      <c r="P1892" s="8">
        <f>IF(Sales[[#This Row],[Sales Month]]=MAX(Sales[Sales Month]),Sales[[#This Row],[Non-Paying Users]]*Sales[[#This Row],[Upsell $ per Non-Paying User]],0)</f>
        <v>0</v>
      </c>
      <c r="Q1892" t="str" cm="1">
        <f t="array" ref="Q1892">_xlfn.IFS(Sales[[#This Row],[Current Upsell $]]=0,"",Sales[[#This Row],[Current Upsell $]]&gt;=400,"High",Sales[[#This Row],[Current Upsell $]]&gt;=100,"Medium",Sales[[#This Row],[Current Upsell $]]&lt;100,"Low")</f>
        <v/>
      </c>
      <c r="R1892" t="str">
        <f>IF(Sales[[#This Row],[Current Upsell $]]&gt;0,_xlfn.CONCAT(Sales[[#This Row],[Subscription Type]]," ",Sales[[#This Row],[Upsell Priority]]," ",TEXT(Sales[[#This Row],[Current Upsell $]],"$#,#")),"")</f>
        <v/>
      </c>
    </row>
    <row r="1893" spans="1:18" x14ac:dyDescent="0.25">
      <c r="A1893">
        <v>100221</v>
      </c>
      <c r="B1893" t="s">
        <v>0</v>
      </c>
      <c r="D1893" s="1"/>
      <c r="E1893" s="1"/>
      <c r="F1893">
        <v>34</v>
      </c>
      <c r="G1893">
        <v>55</v>
      </c>
      <c r="H1893" s="1">
        <v>44256</v>
      </c>
      <c r="I1893" s="1">
        <v>44378</v>
      </c>
      <c r="J1893">
        <v>4</v>
      </c>
      <c r="K1893">
        <v>0</v>
      </c>
      <c r="L1893" s="1">
        <v>44317</v>
      </c>
      <c r="M1893">
        <v>340</v>
      </c>
      <c r="N1893" s="8" cm="1">
        <f t="array" ref="N1893">_xlfn.SWITCH(Sales[[#This Row],[Subscription Type]],"Basic",10,"Premium",10,"Business",25,"Enterprise",27)</f>
        <v>10</v>
      </c>
      <c r="O1893">
        <f>IF(Sales[[#This Row],[Number of Users]]-Sales[[#This Row],[Licenses Bought]]&lt;0,0,Sales[[#This Row],[Number of Users]]-Sales[[#This Row],[Licenses Bought]])</f>
        <v>21</v>
      </c>
      <c r="P1893" s="8">
        <f>IF(Sales[[#This Row],[Sales Month]]=MAX(Sales[Sales Month]),Sales[[#This Row],[Non-Paying Users]]*Sales[[#This Row],[Upsell $ per Non-Paying User]],0)</f>
        <v>0</v>
      </c>
      <c r="Q1893" t="str" cm="1">
        <f t="array" ref="Q1893">_xlfn.IFS(Sales[[#This Row],[Current Upsell $]]=0,"",Sales[[#This Row],[Current Upsell $]]&gt;=400,"High",Sales[[#This Row],[Current Upsell $]]&gt;=100,"Medium",Sales[[#This Row],[Current Upsell $]]&lt;100,"Low")</f>
        <v/>
      </c>
      <c r="R1893" t="str">
        <f>IF(Sales[[#This Row],[Current Upsell $]]&gt;0,_xlfn.CONCAT(Sales[[#This Row],[Subscription Type]]," ",Sales[[#This Row],[Upsell Priority]]," ",TEXT(Sales[[#This Row],[Current Upsell $]],"$#,#")),"")</f>
        <v/>
      </c>
    </row>
    <row r="1894" spans="1:18" x14ac:dyDescent="0.25">
      <c r="A1894">
        <v>100221</v>
      </c>
      <c r="B1894" t="s">
        <v>0</v>
      </c>
      <c r="D1894" s="1"/>
      <c r="E1894" s="1"/>
      <c r="F1894">
        <v>45</v>
      </c>
      <c r="G1894">
        <v>51</v>
      </c>
      <c r="H1894" s="1">
        <v>44256</v>
      </c>
      <c r="I1894" s="1">
        <v>44378</v>
      </c>
      <c r="J1894">
        <v>4</v>
      </c>
      <c r="K1894">
        <v>0</v>
      </c>
      <c r="L1894" s="1">
        <v>44348</v>
      </c>
      <c r="M1894">
        <v>450</v>
      </c>
      <c r="N1894" s="8" cm="1">
        <f t="array" ref="N1894">_xlfn.SWITCH(Sales[[#This Row],[Subscription Type]],"Basic",10,"Premium",10,"Business",25,"Enterprise",27)</f>
        <v>10</v>
      </c>
      <c r="O1894">
        <f>IF(Sales[[#This Row],[Number of Users]]-Sales[[#This Row],[Licenses Bought]]&lt;0,0,Sales[[#This Row],[Number of Users]]-Sales[[#This Row],[Licenses Bought]])</f>
        <v>6</v>
      </c>
      <c r="P1894" s="8">
        <f>IF(Sales[[#This Row],[Sales Month]]=MAX(Sales[Sales Month]),Sales[[#This Row],[Non-Paying Users]]*Sales[[#This Row],[Upsell $ per Non-Paying User]],0)</f>
        <v>60</v>
      </c>
      <c r="Q1894" t="str" cm="1">
        <f t="array" ref="Q1894">_xlfn.IFS(Sales[[#This Row],[Current Upsell $]]=0,"",Sales[[#This Row],[Current Upsell $]]&gt;=400,"High",Sales[[#This Row],[Current Upsell $]]&gt;=100,"Medium",Sales[[#This Row],[Current Upsell $]]&lt;100,"Low")</f>
        <v>Low</v>
      </c>
      <c r="R1894" t="str">
        <f>IF(Sales[[#This Row],[Current Upsell $]]&gt;0,_xlfn.CONCAT(Sales[[#This Row],[Subscription Type]]," ",Sales[[#This Row],[Upsell Priority]]," ",TEXT(Sales[[#This Row],[Current Upsell $]],"$#,#")),"")</f>
        <v>Premium Low $60</v>
      </c>
    </row>
    <row r="1895" spans="1:18" x14ac:dyDescent="0.25">
      <c r="A1895">
        <v>100222</v>
      </c>
      <c r="B1895" t="s">
        <v>3</v>
      </c>
      <c r="D1895" s="1"/>
      <c r="E1895" s="1"/>
      <c r="F1895">
        <v>0</v>
      </c>
      <c r="G1895">
        <v>58</v>
      </c>
      <c r="H1895" s="1">
        <v>44256</v>
      </c>
      <c r="I1895" s="1">
        <v>44378</v>
      </c>
      <c r="J1895">
        <v>4</v>
      </c>
      <c r="K1895">
        <v>0</v>
      </c>
      <c r="L1895" s="1">
        <v>44256</v>
      </c>
      <c r="M1895">
        <v>0</v>
      </c>
      <c r="N1895" s="8" cm="1">
        <f t="array" ref="N1895">_xlfn.SWITCH(Sales[[#This Row],[Subscription Type]],"Basic",10,"Premium",10,"Business",25,"Enterprise",27)</f>
        <v>10</v>
      </c>
      <c r="O1895">
        <f>IF(Sales[[#This Row],[Number of Users]]-Sales[[#This Row],[Licenses Bought]]&lt;0,0,Sales[[#This Row],[Number of Users]]-Sales[[#This Row],[Licenses Bought]])</f>
        <v>58</v>
      </c>
      <c r="P1895" s="8">
        <f>IF(Sales[[#This Row],[Sales Month]]=MAX(Sales[Sales Month]),Sales[[#This Row],[Non-Paying Users]]*Sales[[#This Row],[Upsell $ per Non-Paying User]],0)</f>
        <v>0</v>
      </c>
      <c r="Q1895" t="str" cm="1">
        <f t="array" ref="Q1895">_xlfn.IFS(Sales[[#This Row],[Current Upsell $]]=0,"",Sales[[#This Row],[Current Upsell $]]&gt;=400,"High",Sales[[#This Row],[Current Upsell $]]&gt;=100,"Medium",Sales[[#This Row],[Current Upsell $]]&lt;100,"Low")</f>
        <v/>
      </c>
      <c r="R1895" t="str">
        <f>IF(Sales[[#This Row],[Current Upsell $]]&gt;0,_xlfn.CONCAT(Sales[[#This Row],[Subscription Type]]," ",Sales[[#This Row],[Upsell Priority]]," ",TEXT(Sales[[#This Row],[Current Upsell $]],"$#,#")),"")</f>
        <v/>
      </c>
    </row>
    <row r="1896" spans="1:18" x14ac:dyDescent="0.25">
      <c r="A1896">
        <v>100222</v>
      </c>
      <c r="B1896" t="s">
        <v>1</v>
      </c>
      <c r="D1896" s="1"/>
      <c r="E1896" s="1"/>
      <c r="F1896">
        <v>15</v>
      </c>
      <c r="G1896">
        <v>60</v>
      </c>
      <c r="H1896" s="1">
        <v>44256</v>
      </c>
      <c r="I1896" s="1">
        <v>44378</v>
      </c>
      <c r="J1896">
        <v>4</v>
      </c>
      <c r="K1896">
        <v>0</v>
      </c>
      <c r="L1896" s="1">
        <v>44287</v>
      </c>
      <c r="M1896">
        <v>375</v>
      </c>
      <c r="N1896" s="8" cm="1">
        <f t="array" ref="N1896">_xlfn.SWITCH(Sales[[#This Row],[Subscription Type]],"Basic",10,"Premium",10,"Business",25,"Enterprise",27)</f>
        <v>25</v>
      </c>
      <c r="O1896">
        <f>IF(Sales[[#This Row],[Number of Users]]-Sales[[#This Row],[Licenses Bought]]&lt;0,0,Sales[[#This Row],[Number of Users]]-Sales[[#This Row],[Licenses Bought]])</f>
        <v>45</v>
      </c>
      <c r="P1896" s="8">
        <f>IF(Sales[[#This Row],[Sales Month]]=MAX(Sales[Sales Month]),Sales[[#This Row],[Non-Paying Users]]*Sales[[#This Row],[Upsell $ per Non-Paying User]],0)</f>
        <v>0</v>
      </c>
      <c r="Q1896" t="str" cm="1">
        <f t="array" ref="Q1896">_xlfn.IFS(Sales[[#This Row],[Current Upsell $]]=0,"",Sales[[#This Row],[Current Upsell $]]&gt;=400,"High",Sales[[#This Row],[Current Upsell $]]&gt;=100,"Medium",Sales[[#This Row],[Current Upsell $]]&lt;100,"Low")</f>
        <v/>
      </c>
      <c r="R1896" t="str">
        <f>IF(Sales[[#This Row],[Current Upsell $]]&gt;0,_xlfn.CONCAT(Sales[[#This Row],[Subscription Type]]," ",Sales[[#This Row],[Upsell Priority]]," ",TEXT(Sales[[#This Row],[Current Upsell $]],"$#,#")),"")</f>
        <v/>
      </c>
    </row>
    <row r="1897" spans="1:18" x14ac:dyDescent="0.25">
      <c r="A1897">
        <v>100222</v>
      </c>
      <c r="B1897" t="s">
        <v>1</v>
      </c>
      <c r="D1897" s="1"/>
      <c r="E1897" s="1"/>
      <c r="F1897">
        <v>35</v>
      </c>
      <c r="G1897">
        <v>55</v>
      </c>
      <c r="H1897" s="1">
        <v>44256</v>
      </c>
      <c r="I1897" s="1">
        <v>44378</v>
      </c>
      <c r="J1897">
        <v>4</v>
      </c>
      <c r="K1897">
        <v>0</v>
      </c>
      <c r="L1897" s="1">
        <v>44317</v>
      </c>
      <c r="M1897">
        <v>875</v>
      </c>
      <c r="N1897" s="8" cm="1">
        <f t="array" ref="N1897">_xlfn.SWITCH(Sales[[#This Row],[Subscription Type]],"Basic",10,"Premium",10,"Business",25,"Enterprise",27)</f>
        <v>25</v>
      </c>
      <c r="O1897">
        <f>IF(Sales[[#This Row],[Number of Users]]-Sales[[#This Row],[Licenses Bought]]&lt;0,0,Sales[[#This Row],[Number of Users]]-Sales[[#This Row],[Licenses Bought]])</f>
        <v>20</v>
      </c>
      <c r="P1897" s="8">
        <f>IF(Sales[[#This Row],[Sales Month]]=MAX(Sales[Sales Month]),Sales[[#This Row],[Non-Paying Users]]*Sales[[#This Row],[Upsell $ per Non-Paying User]],0)</f>
        <v>0</v>
      </c>
      <c r="Q1897" t="str" cm="1">
        <f t="array" ref="Q1897">_xlfn.IFS(Sales[[#This Row],[Current Upsell $]]=0,"",Sales[[#This Row],[Current Upsell $]]&gt;=400,"High",Sales[[#This Row],[Current Upsell $]]&gt;=100,"Medium",Sales[[#This Row],[Current Upsell $]]&lt;100,"Low")</f>
        <v/>
      </c>
      <c r="R1897" t="str">
        <f>IF(Sales[[#This Row],[Current Upsell $]]&gt;0,_xlfn.CONCAT(Sales[[#This Row],[Subscription Type]]," ",Sales[[#This Row],[Upsell Priority]]," ",TEXT(Sales[[#This Row],[Current Upsell $]],"$#,#")),"")</f>
        <v/>
      </c>
    </row>
    <row r="1898" spans="1:18" x14ac:dyDescent="0.25">
      <c r="A1898">
        <v>100222</v>
      </c>
      <c r="B1898" t="s">
        <v>1</v>
      </c>
      <c r="D1898" s="1"/>
      <c r="E1898" s="1"/>
      <c r="F1898">
        <v>44</v>
      </c>
      <c r="G1898">
        <v>56</v>
      </c>
      <c r="H1898" s="1">
        <v>44256</v>
      </c>
      <c r="I1898" s="1">
        <v>44378</v>
      </c>
      <c r="J1898">
        <v>4</v>
      </c>
      <c r="K1898">
        <v>0</v>
      </c>
      <c r="L1898" s="1">
        <v>44348</v>
      </c>
      <c r="M1898">
        <v>1100</v>
      </c>
      <c r="N1898" s="8" cm="1">
        <f t="array" ref="N1898">_xlfn.SWITCH(Sales[[#This Row],[Subscription Type]],"Basic",10,"Premium",10,"Business",25,"Enterprise",27)</f>
        <v>25</v>
      </c>
      <c r="O1898">
        <f>IF(Sales[[#This Row],[Number of Users]]-Sales[[#This Row],[Licenses Bought]]&lt;0,0,Sales[[#This Row],[Number of Users]]-Sales[[#This Row],[Licenses Bought]])</f>
        <v>12</v>
      </c>
      <c r="P1898" s="8">
        <f>IF(Sales[[#This Row],[Sales Month]]=MAX(Sales[Sales Month]),Sales[[#This Row],[Non-Paying Users]]*Sales[[#This Row],[Upsell $ per Non-Paying User]],0)</f>
        <v>300</v>
      </c>
      <c r="Q1898" t="str" cm="1">
        <f t="array" ref="Q1898">_xlfn.IFS(Sales[[#This Row],[Current Upsell $]]=0,"",Sales[[#This Row],[Current Upsell $]]&gt;=400,"High",Sales[[#This Row],[Current Upsell $]]&gt;=100,"Medium",Sales[[#This Row],[Current Upsell $]]&lt;100,"Low")</f>
        <v>Medium</v>
      </c>
      <c r="R1898" t="str">
        <f>IF(Sales[[#This Row],[Current Upsell $]]&gt;0,_xlfn.CONCAT(Sales[[#This Row],[Subscription Type]]," ",Sales[[#This Row],[Upsell Priority]]," ",TEXT(Sales[[#This Row],[Current Upsell $]],"$#,#")),"")</f>
        <v>Business Medium $300</v>
      </c>
    </row>
    <row r="1899" spans="1:18" x14ac:dyDescent="0.25">
      <c r="A1899">
        <v>100223</v>
      </c>
      <c r="B1899" t="s">
        <v>3</v>
      </c>
      <c r="D1899" s="1"/>
      <c r="E1899" s="1"/>
      <c r="F1899">
        <v>0</v>
      </c>
      <c r="G1899">
        <v>36</v>
      </c>
      <c r="H1899" s="1">
        <v>44256</v>
      </c>
      <c r="I1899" s="1">
        <v>44378</v>
      </c>
      <c r="J1899">
        <v>4</v>
      </c>
      <c r="K1899">
        <v>0</v>
      </c>
      <c r="L1899" s="1">
        <v>44256</v>
      </c>
      <c r="M1899">
        <v>0</v>
      </c>
      <c r="N1899" s="8" cm="1">
        <f t="array" ref="N1899">_xlfn.SWITCH(Sales[[#This Row],[Subscription Type]],"Basic",10,"Premium",10,"Business",25,"Enterprise",27)</f>
        <v>10</v>
      </c>
      <c r="O1899">
        <f>IF(Sales[[#This Row],[Number of Users]]-Sales[[#This Row],[Licenses Bought]]&lt;0,0,Sales[[#This Row],[Number of Users]]-Sales[[#This Row],[Licenses Bought]])</f>
        <v>36</v>
      </c>
      <c r="P1899" s="8">
        <f>IF(Sales[[#This Row],[Sales Month]]=MAX(Sales[Sales Month]),Sales[[#This Row],[Non-Paying Users]]*Sales[[#This Row],[Upsell $ per Non-Paying User]],0)</f>
        <v>0</v>
      </c>
      <c r="Q1899" t="str" cm="1">
        <f t="array" ref="Q1899">_xlfn.IFS(Sales[[#This Row],[Current Upsell $]]=0,"",Sales[[#This Row],[Current Upsell $]]&gt;=400,"High",Sales[[#This Row],[Current Upsell $]]&gt;=100,"Medium",Sales[[#This Row],[Current Upsell $]]&lt;100,"Low")</f>
        <v/>
      </c>
      <c r="R1899" t="str">
        <f>IF(Sales[[#This Row],[Current Upsell $]]&gt;0,_xlfn.CONCAT(Sales[[#This Row],[Subscription Type]]," ",Sales[[#This Row],[Upsell Priority]]," ",TEXT(Sales[[#This Row],[Current Upsell $]],"$#,#")),"")</f>
        <v/>
      </c>
    </row>
    <row r="1900" spans="1:18" x14ac:dyDescent="0.25">
      <c r="A1900">
        <v>100223</v>
      </c>
      <c r="B1900" t="s">
        <v>0</v>
      </c>
      <c r="D1900" s="1"/>
      <c r="E1900" s="1"/>
      <c r="F1900">
        <v>19</v>
      </c>
      <c r="G1900">
        <v>50</v>
      </c>
      <c r="H1900" s="1">
        <v>44256</v>
      </c>
      <c r="I1900" s="1">
        <v>44378</v>
      </c>
      <c r="J1900">
        <v>4</v>
      </c>
      <c r="K1900">
        <v>0</v>
      </c>
      <c r="L1900" s="1">
        <v>44287</v>
      </c>
      <c r="M1900">
        <v>190</v>
      </c>
      <c r="N1900" s="8" cm="1">
        <f t="array" ref="N1900">_xlfn.SWITCH(Sales[[#This Row],[Subscription Type]],"Basic",10,"Premium",10,"Business",25,"Enterprise",27)</f>
        <v>10</v>
      </c>
      <c r="O1900">
        <f>IF(Sales[[#This Row],[Number of Users]]-Sales[[#This Row],[Licenses Bought]]&lt;0,0,Sales[[#This Row],[Number of Users]]-Sales[[#This Row],[Licenses Bought]])</f>
        <v>31</v>
      </c>
      <c r="P1900" s="8">
        <f>IF(Sales[[#This Row],[Sales Month]]=MAX(Sales[Sales Month]),Sales[[#This Row],[Non-Paying Users]]*Sales[[#This Row],[Upsell $ per Non-Paying User]],0)</f>
        <v>0</v>
      </c>
      <c r="Q1900" t="str" cm="1">
        <f t="array" ref="Q1900">_xlfn.IFS(Sales[[#This Row],[Current Upsell $]]=0,"",Sales[[#This Row],[Current Upsell $]]&gt;=400,"High",Sales[[#This Row],[Current Upsell $]]&gt;=100,"Medium",Sales[[#This Row],[Current Upsell $]]&lt;100,"Low")</f>
        <v/>
      </c>
      <c r="R1900" t="str">
        <f>IF(Sales[[#This Row],[Current Upsell $]]&gt;0,_xlfn.CONCAT(Sales[[#This Row],[Subscription Type]]," ",Sales[[#This Row],[Upsell Priority]]," ",TEXT(Sales[[#This Row],[Current Upsell $]],"$#,#")),"")</f>
        <v/>
      </c>
    </row>
    <row r="1901" spans="1:18" x14ac:dyDescent="0.25">
      <c r="A1901">
        <v>100223</v>
      </c>
      <c r="B1901" t="s">
        <v>0</v>
      </c>
      <c r="D1901" s="1"/>
      <c r="E1901" s="1"/>
      <c r="F1901">
        <v>41</v>
      </c>
      <c r="G1901">
        <v>42</v>
      </c>
      <c r="H1901" s="1">
        <v>44256</v>
      </c>
      <c r="I1901" s="1">
        <v>44378</v>
      </c>
      <c r="J1901">
        <v>4</v>
      </c>
      <c r="K1901">
        <v>0</v>
      </c>
      <c r="L1901" s="1">
        <v>44317</v>
      </c>
      <c r="M1901">
        <v>410</v>
      </c>
      <c r="N1901" s="8" cm="1">
        <f t="array" ref="N1901">_xlfn.SWITCH(Sales[[#This Row],[Subscription Type]],"Basic",10,"Premium",10,"Business",25,"Enterprise",27)</f>
        <v>10</v>
      </c>
      <c r="O1901">
        <f>IF(Sales[[#This Row],[Number of Users]]-Sales[[#This Row],[Licenses Bought]]&lt;0,0,Sales[[#This Row],[Number of Users]]-Sales[[#This Row],[Licenses Bought]])</f>
        <v>1</v>
      </c>
      <c r="P1901" s="8">
        <f>IF(Sales[[#This Row],[Sales Month]]=MAX(Sales[Sales Month]),Sales[[#This Row],[Non-Paying Users]]*Sales[[#This Row],[Upsell $ per Non-Paying User]],0)</f>
        <v>0</v>
      </c>
      <c r="Q1901" t="str" cm="1">
        <f t="array" ref="Q1901">_xlfn.IFS(Sales[[#This Row],[Current Upsell $]]=0,"",Sales[[#This Row],[Current Upsell $]]&gt;=400,"High",Sales[[#This Row],[Current Upsell $]]&gt;=100,"Medium",Sales[[#This Row],[Current Upsell $]]&lt;100,"Low")</f>
        <v/>
      </c>
      <c r="R1901" t="str">
        <f>IF(Sales[[#This Row],[Current Upsell $]]&gt;0,_xlfn.CONCAT(Sales[[#This Row],[Subscription Type]]," ",Sales[[#This Row],[Upsell Priority]]," ",TEXT(Sales[[#This Row],[Current Upsell $]],"$#,#")),"")</f>
        <v/>
      </c>
    </row>
    <row r="1902" spans="1:18" x14ac:dyDescent="0.25">
      <c r="A1902">
        <v>100223</v>
      </c>
      <c r="B1902" t="s">
        <v>0</v>
      </c>
      <c r="D1902" s="1"/>
      <c r="E1902" s="1"/>
      <c r="F1902">
        <v>39</v>
      </c>
      <c r="G1902">
        <v>53</v>
      </c>
      <c r="H1902" s="1">
        <v>44256</v>
      </c>
      <c r="I1902" s="1">
        <v>44378</v>
      </c>
      <c r="J1902">
        <v>4</v>
      </c>
      <c r="K1902">
        <v>0</v>
      </c>
      <c r="L1902" s="1">
        <v>44348</v>
      </c>
      <c r="M1902">
        <v>390</v>
      </c>
      <c r="N1902" s="8" cm="1">
        <f t="array" ref="N1902">_xlfn.SWITCH(Sales[[#This Row],[Subscription Type]],"Basic",10,"Premium",10,"Business",25,"Enterprise",27)</f>
        <v>10</v>
      </c>
      <c r="O1902">
        <f>IF(Sales[[#This Row],[Number of Users]]-Sales[[#This Row],[Licenses Bought]]&lt;0,0,Sales[[#This Row],[Number of Users]]-Sales[[#This Row],[Licenses Bought]])</f>
        <v>14</v>
      </c>
      <c r="P1902" s="8">
        <f>IF(Sales[[#This Row],[Sales Month]]=MAX(Sales[Sales Month]),Sales[[#This Row],[Non-Paying Users]]*Sales[[#This Row],[Upsell $ per Non-Paying User]],0)</f>
        <v>140</v>
      </c>
      <c r="Q1902" t="str" cm="1">
        <f t="array" ref="Q1902">_xlfn.IFS(Sales[[#This Row],[Current Upsell $]]=0,"",Sales[[#This Row],[Current Upsell $]]&gt;=400,"High",Sales[[#This Row],[Current Upsell $]]&gt;=100,"Medium",Sales[[#This Row],[Current Upsell $]]&lt;100,"Low")</f>
        <v>Medium</v>
      </c>
      <c r="R1902" t="str">
        <f>IF(Sales[[#This Row],[Current Upsell $]]&gt;0,_xlfn.CONCAT(Sales[[#This Row],[Subscription Type]]," ",Sales[[#This Row],[Upsell Priority]]," ",TEXT(Sales[[#This Row],[Current Upsell $]],"$#,#")),"")</f>
        <v>Premium Medium $140</v>
      </c>
    </row>
    <row r="1903" spans="1:18" x14ac:dyDescent="0.25">
      <c r="A1903">
        <v>100224</v>
      </c>
      <c r="B1903" t="s">
        <v>3</v>
      </c>
      <c r="D1903" s="1"/>
      <c r="E1903" s="1"/>
      <c r="F1903">
        <v>0</v>
      </c>
      <c r="G1903">
        <v>35</v>
      </c>
      <c r="H1903" s="1">
        <v>44256</v>
      </c>
      <c r="I1903" s="1">
        <v>44378</v>
      </c>
      <c r="J1903">
        <v>4</v>
      </c>
      <c r="K1903">
        <v>0</v>
      </c>
      <c r="L1903" s="1">
        <v>44256</v>
      </c>
      <c r="M1903">
        <v>0</v>
      </c>
      <c r="N1903" s="8" cm="1">
        <f t="array" ref="N1903">_xlfn.SWITCH(Sales[[#This Row],[Subscription Type]],"Basic",10,"Premium",10,"Business",25,"Enterprise",27)</f>
        <v>10</v>
      </c>
      <c r="O1903">
        <f>IF(Sales[[#This Row],[Number of Users]]-Sales[[#This Row],[Licenses Bought]]&lt;0,0,Sales[[#This Row],[Number of Users]]-Sales[[#This Row],[Licenses Bought]])</f>
        <v>35</v>
      </c>
      <c r="P1903" s="8">
        <f>IF(Sales[[#This Row],[Sales Month]]=MAX(Sales[Sales Month]),Sales[[#This Row],[Non-Paying Users]]*Sales[[#This Row],[Upsell $ per Non-Paying User]],0)</f>
        <v>0</v>
      </c>
      <c r="Q1903" t="str" cm="1">
        <f t="array" ref="Q1903">_xlfn.IFS(Sales[[#This Row],[Current Upsell $]]=0,"",Sales[[#This Row],[Current Upsell $]]&gt;=400,"High",Sales[[#This Row],[Current Upsell $]]&gt;=100,"Medium",Sales[[#This Row],[Current Upsell $]]&lt;100,"Low")</f>
        <v/>
      </c>
      <c r="R1903" t="str">
        <f>IF(Sales[[#This Row],[Current Upsell $]]&gt;0,_xlfn.CONCAT(Sales[[#This Row],[Subscription Type]]," ",Sales[[#This Row],[Upsell Priority]]," ",TEXT(Sales[[#This Row],[Current Upsell $]],"$#,#")),"")</f>
        <v/>
      </c>
    </row>
    <row r="1904" spans="1:18" x14ac:dyDescent="0.25">
      <c r="A1904">
        <v>100224</v>
      </c>
      <c r="B1904" t="s">
        <v>0</v>
      </c>
      <c r="D1904" s="1"/>
      <c r="E1904" s="1"/>
      <c r="F1904">
        <v>13</v>
      </c>
      <c r="G1904">
        <v>36</v>
      </c>
      <c r="H1904" s="1">
        <v>44256</v>
      </c>
      <c r="I1904" s="1">
        <v>44378</v>
      </c>
      <c r="J1904">
        <v>4</v>
      </c>
      <c r="K1904">
        <v>0</v>
      </c>
      <c r="L1904" s="1">
        <v>44287</v>
      </c>
      <c r="M1904">
        <v>130</v>
      </c>
      <c r="N1904" s="8" cm="1">
        <f t="array" ref="N1904">_xlfn.SWITCH(Sales[[#This Row],[Subscription Type]],"Basic",10,"Premium",10,"Business",25,"Enterprise",27)</f>
        <v>10</v>
      </c>
      <c r="O1904">
        <f>IF(Sales[[#This Row],[Number of Users]]-Sales[[#This Row],[Licenses Bought]]&lt;0,0,Sales[[#This Row],[Number of Users]]-Sales[[#This Row],[Licenses Bought]])</f>
        <v>23</v>
      </c>
      <c r="P1904" s="8">
        <f>IF(Sales[[#This Row],[Sales Month]]=MAX(Sales[Sales Month]),Sales[[#This Row],[Non-Paying Users]]*Sales[[#This Row],[Upsell $ per Non-Paying User]],0)</f>
        <v>0</v>
      </c>
      <c r="Q1904" t="str" cm="1">
        <f t="array" ref="Q1904">_xlfn.IFS(Sales[[#This Row],[Current Upsell $]]=0,"",Sales[[#This Row],[Current Upsell $]]&gt;=400,"High",Sales[[#This Row],[Current Upsell $]]&gt;=100,"Medium",Sales[[#This Row],[Current Upsell $]]&lt;100,"Low")</f>
        <v/>
      </c>
      <c r="R1904" t="str">
        <f>IF(Sales[[#This Row],[Current Upsell $]]&gt;0,_xlfn.CONCAT(Sales[[#This Row],[Subscription Type]]," ",Sales[[#This Row],[Upsell Priority]]," ",TEXT(Sales[[#This Row],[Current Upsell $]],"$#,#")),"")</f>
        <v/>
      </c>
    </row>
    <row r="1905" spans="1:18" x14ac:dyDescent="0.25">
      <c r="A1905">
        <v>100224</v>
      </c>
      <c r="B1905" t="s">
        <v>0</v>
      </c>
      <c r="D1905" s="1"/>
      <c r="E1905" s="1"/>
      <c r="F1905">
        <v>23</v>
      </c>
      <c r="G1905">
        <v>43</v>
      </c>
      <c r="H1905" s="1">
        <v>44256</v>
      </c>
      <c r="I1905" s="1">
        <v>44378</v>
      </c>
      <c r="J1905">
        <v>4</v>
      </c>
      <c r="K1905">
        <v>0</v>
      </c>
      <c r="L1905" s="1">
        <v>44317</v>
      </c>
      <c r="M1905">
        <v>230</v>
      </c>
      <c r="N1905" s="8" cm="1">
        <f t="array" ref="N1905">_xlfn.SWITCH(Sales[[#This Row],[Subscription Type]],"Basic",10,"Premium",10,"Business",25,"Enterprise",27)</f>
        <v>10</v>
      </c>
      <c r="O1905">
        <f>IF(Sales[[#This Row],[Number of Users]]-Sales[[#This Row],[Licenses Bought]]&lt;0,0,Sales[[#This Row],[Number of Users]]-Sales[[#This Row],[Licenses Bought]])</f>
        <v>20</v>
      </c>
      <c r="P1905" s="8">
        <f>IF(Sales[[#This Row],[Sales Month]]=MAX(Sales[Sales Month]),Sales[[#This Row],[Non-Paying Users]]*Sales[[#This Row],[Upsell $ per Non-Paying User]],0)</f>
        <v>0</v>
      </c>
      <c r="Q1905" t="str" cm="1">
        <f t="array" ref="Q1905">_xlfn.IFS(Sales[[#This Row],[Current Upsell $]]=0,"",Sales[[#This Row],[Current Upsell $]]&gt;=400,"High",Sales[[#This Row],[Current Upsell $]]&gt;=100,"Medium",Sales[[#This Row],[Current Upsell $]]&lt;100,"Low")</f>
        <v/>
      </c>
      <c r="R1905" t="str">
        <f>IF(Sales[[#This Row],[Current Upsell $]]&gt;0,_xlfn.CONCAT(Sales[[#This Row],[Subscription Type]]," ",Sales[[#This Row],[Upsell Priority]]," ",TEXT(Sales[[#This Row],[Current Upsell $]],"$#,#")),"")</f>
        <v/>
      </c>
    </row>
    <row r="1906" spans="1:18" x14ac:dyDescent="0.25">
      <c r="A1906">
        <v>100224</v>
      </c>
      <c r="B1906" t="s">
        <v>0</v>
      </c>
      <c r="D1906" s="1"/>
      <c r="E1906" s="1"/>
      <c r="F1906">
        <v>33</v>
      </c>
      <c r="G1906">
        <v>37</v>
      </c>
      <c r="H1906" s="1">
        <v>44256</v>
      </c>
      <c r="I1906" s="1">
        <v>44378</v>
      </c>
      <c r="J1906">
        <v>4</v>
      </c>
      <c r="K1906">
        <v>0</v>
      </c>
      <c r="L1906" s="1">
        <v>44348</v>
      </c>
      <c r="M1906">
        <v>330</v>
      </c>
      <c r="N1906" s="8" cm="1">
        <f t="array" ref="N1906">_xlfn.SWITCH(Sales[[#This Row],[Subscription Type]],"Basic",10,"Premium",10,"Business",25,"Enterprise",27)</f>
        <v>10</v>
      </c>
      <c r="O1906">
        <f>IF(Sales[[#This Row],[Number of Users]]-Sales[[#This Row],[Licenses Bought]]&lt;0,0,Sales[[#This Row],[Number of Users]]-Sales[[#This Row],[Licenses Bought]])</f>
        <v>4</v>
      </c>
      <c r="P1906" s="8">
        <f>IF(Sales[[#This Row],[Sales Month]]=MAX(Sales[Sales Month]),Sales[[#This Row],[Non-Paying Users]]*Sales[[#This Row],[Upsell $ per Non-Paying User]],0)</f>
        <v>40</v>
      </c>
      <c r="Q1906" t="str" cm="1">
        <f t="array" ref="Q1906">_xlfn.IFS(Sales[[#This Row],[Current Upsell $]]=0,"",Sales[[#This Row],[Current Upsell $]]&gt;=400,"High",Sales[[#This Row],[Current Upsell $]]&gt;=100,"Medium",Sales[[#This Row],[Current Upsell $]]&lt;100,"Low")</f>
        <v>Low</v>
      </c>
      <c r="R1906" t="str">
        <f>IF(Sales[[#This Row],[Current Upsell $]]&gt;0,_xlfn.CONCAT(Sales[[#This Row],[Subscription Type]]," ",Sales[[#This Row],[Upsell Priority]]," ",TEXT(Sales[[#This Row],[Current Upsell $]],"$#,#")),"")</f>
        <v>Premium Low $40</v>
      </c>
    </row>
    <row r="1907" spans="1:18" x14ac:dyDescent="0.25">
      <c r="A1907">
        <v>100225</v>
      </c>
      <c r="B1907" t="s">
        <v>3</v>
      </c>
      <c r="D1907" s="1"/>
      <c r="E1907" s="1"/>
      <c r="F1907">
        <v>0</v>
      </c>
      <c r="G1907">
        <v>32</v>
      </c>
      <c r="H1907" s="1">
        <v>44256</v>
      </c>
      <c r="I1907" s="1">
        <v>44378</v>
      </c>
      <c r="J1907">
        <v>4</v>
      </c>
      <c r="K1907">
        <v>0</v>
      </c>
      <c r="L1907" s="1">
        <v>44256</v>
      </c>
      <c r="M1907">
        <v>0</v>
      </c>
      <c r="N1907" s="8" cm="1">
        <f t="array" ref="N1907">_xlfn.SWITCH(Sales[[#This Row],[Subscription Type]],"Basic",10,"Premium",10,"Business",25,"Enterprise",27)</f>
        <v>10</v>
      </c>
      <c r="O1907">
        <f>IF(Sales[[#This Row],[Number of Users]]-Sales[[#This Row],[Licenses Bought]]&lt;0,0,Sales[[#This Row],[Number of Users]]-Sales[[#This Row],[Licenses Bought]])</f>
        <v>32</v>
      </c>
      <c r="P1907" s="8">
        <f>IF(Sales[[#This Row],[Sales Month]]=MAX(Sales[Sales Month]),Sales[[#This Row],[Non-Paying Users]]*Sales[[#This Row],[Upsell $ per Non-Paying User]],0)</f>
        <v>0</v>
      </c>
      <c r="Q1907" t="str" cm="1">
        <f t="array" ref="Q1907">_xlfn.IFS(Sales[[#This Row],[Current Upsell $]]=0,"",Sales[[#This Row],[Current Upsell $]]&gt;=400,"High",Sales[[#This Row],[Current Upsell $]]&gt;=100,"Medium",Sales[[#This Row],[Current Upsell $]]&lt;100,"Low")</f>
        <v/>
      </c>
      <c r="R1907" t="str">
        <f>IF(Sales[[#This Row],[Current Upsell $]]&gt;0,_xlfn.CONCAT(Sales[[#This Row],[Subscription Type]]," ",Sales[[#This Row],[Upsell Priority]]," ",TEXT(Sales[[#This Row],[Current Upsell $]],"$#,#")),"")</f>
        <v/>
      </c>
    </row>
    <row r="1908" spans="1:18" x14ac:dyDescent="0.25">
      <c r="A1908">
        <v>100225</v>
      </c>
      <c r="B1908" t="s">
        <v>0</v>
      </c>
      <c r="D1908" s="1"/>
      <c r="E1908" s="1"/>
      <c r="F1908">
        <v>16</v>
      </c>
      <c r="G1908">
        <v>32</v>
      </c>
      <c r="H1908" s="1">
        <v>44256</v>
      </c>
      <c r="I1908" s="1">
        <v>44378</v>
      </c>
      <c r="J1908">
        <v>4</v>
      </c>
      <c r="K1908">
        <v>0</v>
      </c>
      <c r="L1908" s="1">
        <v>44287</v>
      </c>
      <c r="M1908">
        <v>160</v>
      </c>
      <c r="N1908" s="8" cm="1">
        <f t="array" ref="N1908">_xlfn.SWITCH(Sales[[#This Row],[Subscription Type]],"Basic",10,"Premium",10,"Business",25,"Enterprise",27)</f>
        <v>10</v>
      </c>
      <c r="O1908">
        <f>IF(Sales[[#This Row],[Number of Users]]-Sales[[#This Row],[Licenses Bought]]&lt;0,0,Sales[[#This Row],[Number of Users]]-Sales[[#This Row],[Licenses Bought]])</f>
        <v>16</v>
      </c>
      <c r="P1908" s="8">
        <f>IF(Sales[[#This Row],[Sales Month]]=MAX(Sales[Sales Month]),Sales[[#This Row],[Non-Paying Users]]*Sales[[#This Row],[Upsell $ per Non-Paying User]],0)</f>
        <v>0</v>
      </c>
      <c r="Q1908" t="str" cm="1">
        <f t="array" ref="Q1908">_xlfn.IFS(Sales[[#This Row],[Current Upsell $]]=0,"",Sales[[#This Row],[Current Upsell $]]&gt;=400,"High",Sales[[#This Row],[Current Upsell $]]&gt;=100,"Medium",Sales[[#This Row],[Current Upsell $]]&lt;100,"Low")</f>
        <v/>
      </c>
      <c r="R1908" t="str">
        <f>IF(Sales[[#This Row],[Current Upsell $]]&gt;0,_xlfn.CONCAT(Sales[[#This Row],[Subscription Type]]," ",Sales[[#This Row],[Upsell Priority]]," ",TEXT(Sales[[#This Row],[Current Upsell $]],"$#,#")),"")</f>
        <v/>
      </c>
    </row>
    <row r="1909" spans="1:18" x14ac:dyDescent="0.25">
      <c r="A1909">
        <v>100225</v>
      </c>
      <c r="B1909" t="s">
        <v>0</v>
      </c>
      <c r="D1909" s="1"/>
      <c r="E1909" s="1"/>
      <c r="F1909">
        <v>26</v>
      </c>
      <c r="G1909">
        <v>32</v>
      </c>
      <c r="H1909" s="1">
        <v>44256</v>
      </c>
      <c r="I1909" s="1">
        <v>44378</v>
      </c>
      <c r="J1909">
        <v>4</v>
      </c>
      <c r="K1909">
        <v>0</v>
      </c>
      <c r="L1909" s="1">
        <v>44317</v>
      </c>
      <c r="M1909">
        <v>260</v>
      </c>
      <c r="N1909" s="8" cm="1">
        <f t="array" ref="N1909">_xlfn.SWITCH(Sales[[#This Row],[Subscription Type]],"Basic",10,"Premium",10,"Business",25,"Enterprise",27)</f>
        <v>10</v>
      </c>
      <c r="O1909">
        <f>IF(Sales[[#This Row],[Number of Users]]-Sales[[#This Row],[Licenses Bought]]&lt;0,0,Sales[[#This Row],[Number of Users]]-Sales[[#This Row],[Licenses Bought]])</f>
        <v>6</v>
      </c>
      <c r="P1909" s="8">
        <f>IF(Sales[[#This Row],[Sales Month]]=MAX(Sales[Sales Month]),Sales[[#This Row],[Non-Paying Users]]*Sales[[#This Row],[Upsell $ per Non-Paying User]],0)</f>
        <v>0</v>
      </c>
      <c r="Q1909" t="str" cm="1">
        <f t="array" ref="Q1909">_xlfn.IFS(Sales[[#This Row],[Current Upsell $]]=0,"",Sales[[#This Row],[Current Upsell $]]&gt;=400,"High",Sales[[#This Row],[Current Upsell $]]&gt;=100,"Medium",Sales[[#This Row],[Current Upsell $]]&lt;100,"Low")</f>
        <v/>
      </c>
      <c r="R1909" t="str">
        <f>IF(Sales[[#This Row],[Current Upsell $]]&gt;0,_xlfn.CONCAT(Sales[[#This Row],[Subscription Type]]," ",Sales[[#This Row],[Upsell Priority]]," ",TEXT(Sales[[#This Row],[Current Upsell $]],"$#,#")),"")</f>
        <v/>
      </c>
    </row>
    <row r="1910" spans="1:18" x14ac:dyDescent="0.25">
      <c r="A1910">
        <v>100225</v>
      </c>
      <c r="B1910" t="s">
        <v>0</v>
      </c>
      <c r="D1910" s="1"/>
      <c r="E1910" s="1"/>
      <c r="F1910">
        <v>23</v>
      </c>
      <c r="G1910">
        <v>34</v>
      </c>
      <c r="H1910" s="1">
        <v>44256</v>
      </c>
      <c r="I1910" s="1">
        <v>44378</v>
      </c>
      <c r="J1910">
        <v>4</v>
      </c>
      <c r="K1910">
        <v>0</v>
      </c>
      <c r="L1910" s="1">
        <v>44348</v>
      </c>
      <c r="M1910">
        <v>230</v>
      </c>
      <c r="N1910" s="8" cm="1">
        <f t="array" ref="N1910">_xlfn.SWITCH(Sales[[#This Row],[Subscription Type]],"Basic",10,"Premium",10,"Business",25,"Enterprise",27)</f>
        <v>10</v>
      </c>
      <c r="O1910">
        <f>IF(Sales[[#This Row],[Number of Users]]-Sales[[#This Row],[Licenses Bought]]&lt;0,0,Sales[[#This Row],[Number of Users]]-Sales[[#This Row],[Licenses Bought]])</f>
        <v>11</v>
      </c>
      <c r="P1910" s="8">
        <f>IF(Sales[[#This Row],[Sales Month]]=MAX(Sales[Sales Month]),Sales[[#This Row],[Non-Paying Users]]*Sales[[#This Row],[Upsell $ per Non-Paying User]],0)</f>
        <v>110</v>
      </c>
      <c r="Q1910" t="str" cm="1">
        <f t="array" ref="Q1910">_xlfn.IFS(Sales[[#This Row],[Current Upsell $]]=0,"",Sales[[#This Row],[Current Upsell $]]&gt;=400,"High",Sales[[#This Row],[Current Upsell $]]&gt;=100,"Medium",Sales[[#This Row],[Current Upsell $]]&lt;100,"Low")</f>
        <v>Medium</v>
      </c>
      <c r="R1910" t="str">
        <f>IF(Sales[[#This Row],[Current Upsell $]]&gt;0,_xlfn.CONCAT(Sales[[#This Row],[Subscription Type]]," ",Sales[[#This Row],[Upsell Priority]]," ",TEXT(Sales[[#This Row],[Current Upsell $]],"$#,#")),"")</f>
        <v>Premium Medium $110</v>
      </c>
    </row>
    <row r="1911" spans="1:18" x14ac:dyDescent="0.25">
      <c r="A1911">
        <v>100226</v>
      </c>
      <c r="B1911" t="s">
        <v>3</v>
      </c>
      <c r="D1911" s="1"/>
      <c r="E1911" s="1"/>
      <c r="F1911">
        <v>0</v>
      </c>
      <c r="G1911">
        <v>23</v>
      </c>
      <c r="H1911" s="1">
        <v>44256</v>
      </c>
      <c r="I1911" s="1">
        <v>44378</v>
      </c>
      <c r="J1911">
        <v>4</v>
      </c>
      <c r="K1911">
        <v>0</v>
      </c>
      <c r="L1911" s="1">
        <v>44256</v>
      </c>
      <c r="M1911">
        <v>0</v>
      </c>
      <c r="N1911" s="8" cm="1">
        <f t="array" ref="N1911">_xlfn.SWITCH(Sales[[#This Row],[Subscription Type]],"Basic",10,"Premium",10,"Business",25,"Enterprise",27)</f>
        <v>10</v>
      </c>
      <c r="O1911">
        <f>IF(Sales[[#This Row],[Number of Users]]-Sales[[#This Row],[Licenses Bought]]&lt;0,0,Sales[[#This Row],[Number of Users]]-Sales[[#This Row],[Licenses Bought]])</f>
        <v>23</v>
      </c>
      <c r="P1911" s="8">
        <f>IF(Sales[[#This Row],[Sales Month]]=MAX(Sales[Sales Month]),Sales[[#This Row],[Non-Paying Users]]*Sales[[#This Row],[Upsell $ per Non-Paying User]],0)</f>
        <v>0</v>
      </c>
      <c r="Q1911" t="str" cm="1">
        <f t="array" ref="Q1911">_xlfn.IFS(Sales[[#This Row],[Current Upsell $]]=0,"",Sales[[#This Row],[Current Upsell $]]&gt;=400,"High",Sales[[#This Row],[Current Upsell $]]&gt;=100,"Medium",Sales[[#This Row],[Current Upsell $]]&lt;100,"Low")</f>
        <v/>
      </c>
      <c r="R1911" t="str">
        <f>IF(Sales[[#This Row],[Current Upsell $]]&gt;0,_xlfn.CONCAT(Sales[[#This Row],[Subscription Type]]," ",Sales[[#This Row],[Upsell Priority]]," ",TEXT(Sales[[#This Row],[Current Upsell $]],"$#,#")),"")</f>
        <v/>
      </c>
    </row>
    <row r="1912" spans="1:18" x14ac:dyDescent="0.25">
      <c r="A1912">
        <v>100226</v>
      </c>
      <c r="B1912" t="s">
        <v>0</v>
      </c>
      <c r="D1912" s="1"/>
      <c r="E1912" s="1"/>
      <c r="F1912">
        <v>17</v>
      </c>
      <c r="G1912">
        <v>28</v>
      </c>
      <c r="H1912" s="1">
        <v>44256</v>
      </c>
      <c r="I1912" s="1">
        <v>44378</v>
      </c>
      <c r="J1912">
        <v>4</v>
      </c>
      <c r="K1912">
        <v>0</v>
      </c>
      <c r="L1912" s="1">
        <v>44287</v>
      </c>
      <c r="M1912">
        <v>170</v>
      </c>
      <c r="N1912" s="8" cm="1">
        <f t="array" ref="N1912">_xlfn.SWITCH(Sales[[#This Row],[Subscription Type]],"Basic",10,"Premium",10,"Business",25,"Enterprise",27)</f>
        <v>10</v>
      </c>
      <c r="O1912">
        <f>IF(Sales[[#This Row],[Number of Users]]-Sales[[#This Row],[Licenses Bought]]&lt;0,0,Sales[[#This Row],[Number of Users]]-Sales[[#This Row],[Licenses Bought]])</f>
        <v>11</v>
      </c>
      <c r="P1912" s="8">
        <f>IF(Sales[[#This Row],[Sales Month]]=MAX(Sales[Sales Month]),Sales[[#This Row],[Non-Paying Users]]*Sales[[#This Row],[Upsell $ per Non-Paying User]],0)</f>
        <v>0</v>
      </c>
      <c r="Q1912" t="str" cm="1">
        <f t="array" ref="Q1912">_xlfn.IFS(Sales[[#This Row],[Current Upsell $]]=0,"",Sales[[#This Row],[Current Upsell $]]&gt;=400,"High",Sales[[#This Row],[Current Upsell $]]&gt;=100,"Medium",Sales[[#This Row],[Current Upsell $]]&lt;100,"Low")</f>
        <v/>
      </c>
      <c r="R1912" t="str">
        <f>IF(Sales[[#This Row],[Current Upsell $]]&gt;0,_xlfn.CONCAT(Sales[[#This Row],[Subscription Type]]," ",Sales[[#This Row],[Upsell Priority]]," ",TEXT(Sales[[#This Row],[Current Upsell $]],"$#,#")),"")</f>
        <v/>
      </c>
    </row>
    <row r="1913" spans="1:18" x14ac:dyDescent="0.25">
      <c r="A1913">
        <v>100226</v>
      </c>
      <c r="B1913" t="s">
        <v>0</v>
      </c>
      <c r="D1913" s="1"/>
      <c r="E1913" s="1"/>
      <c r="F1913">
        <v>13</v>
      </c>
      <c r="G1913">
        <v>27</v>
      </c>
      <c r="H1913" s="1">
        <v>44256</v>
      </c>
      <c r="I1913" s="1">
        <v>44378</v>
      </c>
      <c r="J1913">
        <v>4</v>
      </c>
      <c r="K1913">
        <v>0</v>
      </c>
      <c r="L1913" s="1">
        <v>44317</v>
      </c>
      <c r="M1913">
        <v>130</v>
      </c>
      <c r="N1913" s="8" cm="1">
        <f t="array" ref="N1913">_xlfn.SWITCH(Sales[[#This Row],[Subscription Type]],"Basic",10,"Premium",10,"Business",25,"Enterprise",27)</f>
        <v>10</v>
      </c>
      <c r="O1913">
        <f>IF(Sales[[#This Row],[Number of Users]]-Sales[[#This Row],[Licenses Bought]]&lt;0,0,Sales[[#This Row],[Number of Users]]-Sales[[#This Row],[Licenses Bought]])</f>
        <v>14</v>
      </c>
      <c r="P1913" s="8">
        <f>IF(Sales[[#This Row],[Sales Month]]=MAX(Sales[Sales Month]),Sales[[#This Row],[Non-Paying Users]]*Sales[[#This Row],[Upsell $ per Non-Paying User]],0)</f>
        <v>0</v>
      </c>
      <c r="Q1913" t="str" cm="1">
        <f t="array" ref="Q1913">_xlfn.IFS(Sales[[#This Row],[Current Upsell $]]=0,"",Sales[[#This Row],[Current Upsell $]]&gt;=400,"High",Sales[[#This Row],[Current Upsell $]]&gt;=100,"Medium",Sales[[#This Row],[Current Upsell $]]&lt;100,"Low")</f>
        <v/>
      </c>
      <c r="R1913" t="str">
        <f>IF(Sales[[#This Row],[Current Upsell $]]&gt;0,_xlfn.CONCAT(Sales[[#This Row],[Subscription Type]]," ",Sales[[#This Row],[Upsell Priority]]," ",TEXT(Sales[[#This Row],[Current Upsell $]],"$#,#")),"")</f>
        <v/>
      </c>
    </row>
    <row r="1914" spans="1:18" x14ac:dyDescent="0.25">
      <c r="A1914">
        <v>100226</v>
      </c>
      <c r="B1914" t="s">
        <v>0</v>
      </c>
      <c r="D1914" s="1"/>
      <c r="E1914" s="1"/>
      <c r="F1914">
        <v>21</v>
      </c>
      <c r="G1914">
        <v>23</v>
      </c>
      <c r="H1914" s="1">
        <v>44256</v>
      </c>
      <c r="I1914" s="1">
        <v>44378</v>
      </c>
      <c r="J1914">
        <v>4</v>
      </c>
      <c r="K1914">
        <v>0</v>
      </c>
      <c r="L1914" s="1">
        <v>44348</v>
      </c>
      <c r="M1914">
        <v>210</v>
      </c>
      <c r="N1914" s="8" cm="1">
        <f t="array" ref="N1914">_xlfn.SWITCH(Sales[[#This Row],[Subscription Type]],"Basic",10,"Premium",10,"Business",25,"Enterprise",27)</f>
        <v>10</v>
      </c>
      <c r="O1914">
        <f>IF(Sales[[#This Row],[Number of Users]]-Sales[[#This Row],[Licenses Bought]]&lt;0,0,Sales[[#This Row],[Number of Users]]-Sales[[#This Row],[Licenses Bought]])</f>
        <v>2</v>
      </c>
      <c r="P1914" s="8">
        <f>IF(Sales[[#This Row],[Sales Month]]=MAX(Sales[Sales Month]),Sales[[#This Row],[Non-Paying Users]]*Sales[[#This Row],[Upsell $ per Non-Paying User]],0)</f>
        <v>20</v>
      </c>
      <c r="Q1914" t="str" cm="1">
        <f t="array" ref="Q1914">_xlfn.IFS(Sales[[#This Row],[Current Upsell $]]=0,"",Sales[[#This Row],[Current Upsell $]]&gt;=400,"High",Sales[[#This Row],[Current Upsell $]]&gt;=100,"Medium",Sales[[#This Row],[Current Upsell $]]&lt;100,"Low")</f>
        <v>Low</v>
      </c>
      <c r="R1914" t="str">
        <f>IF(Sales[[#This Row],[Current Upsell $]]&gt;0,_xlfn.CONCAT(Sales[[#This Row],[Subscription Type]]," ",Sales[[#This Row],[Upsell Priority]]," ",TEXT(Sales[[#This Row],[Current Upsell $]],"$#,#")),"")</f>
        <v>Premium Low $20</v>
      </c>
    </row>
    <row r="1915" spans="1:18" x14ac:dyDescent="0.25">
      <c r="A1915">
        <v>100227</v>
      </c>
      <c r="B1915" t="s">
        <v>3</v>
      </c>
      <c r="F1915">
        <v>0</v>
      </c>
      <c r="G1915">
        <v>20</v>
      </c>
      <c r="H1915" s="1">
        <v>44256</v>
      </c>
      <c r="I1915" s="1">
        <v>44287</v>
      </c>
      <c r="J1915">
        <v>1</v>
      </c>
      <c r="K1915">
        <v>2</v>
      </c>
      <c r="L1915" s="1">
        <v>44256</v>
      </c>
      <c r="M1915">
        <v>0</v>
      </c>
      <c r="N1915" s="8" cm="1">
        <f t="array" ref="N1915">_xlfn.SWITCH(Sales[[#This Row],[Subscription Type]],"Basic",10,"Premium",10,"Business",25,"Enterprise",27)</f>
        <v>10</v>
      </c>
      <c r="O1915">
        <f>IF(Sales[[#This Row],[Number of Users]]-Sales[[#This Row],[Licenses Bought]]&lt;0,0,Sales[[#This Row],[Number of Users]]-Sales[[#This Row],[Licenses Bought]])</f>
        <v>20</v>
      </c>
      <c r="P1915" s="8">
        <f>IF(Sales[[#This Row],[Sales Month]]=MAX(Sales[Sales Month]),Sales[[#This Row],[Non-Paying Users]]*Sales[[#This Row],[Upsell $ per Non-Paying User]],0)</f>
        <v>0</v>
      </c>
      <c r="Q1915" t="str" cm="1">
        <f t="array" ref="Q1915">_xlfn.IFS(Sales[[#This Row],[Current Upsell $]]=0,"",Sales[[#This Row],[Current Upsell $]]&gt;=400,"High",Sales[[#This Row],[Current Upsell $]]&gt;=100,"Medium",Sales[[#This Row],[Current Upsell $]]&lt;100,"Low")</f>
        <v/>
      </c>
      <c r="R1915" t="str">
        <f>IF(Sales[[#This Row],[Current Upsell $]]&gt;0,_xlfn.CONCAT(Sales[[#This Row],[Subscription Type]]," ",Sales[[#This Row],[Upsell Priority]]," ",TEXT(Sales[[#This Row],[Current Upsell $]],"$#,#")),"")</f>
        <v/>
      </c>
    </row>
    <row r="1916" spans="1:18" x14ac:dyDescent="0.25">
      <c r="A1916">
        <v>100227</v>
      </c>
      <c r="B1916" t="s">
        <v>3</v>
      </c>
      <c r="F1916">
        <v>0</v>
      </c>
      <c r="G1916">
        <v>16</v>
      </c>
      <c r="H1916" s="1">
        <v>44256</v>
      </c>
      <c r="I1916" s="1">
        <v>44287</v>
      </c>
      <c r="J1916">
        <v>1</v>
      </c>
      <c r="K1916">
        <v>2</v>
      </c>
      <c r="L1916" s="1">
        <v>44287</v>
      </c>
      <c r="M1916">
        <v>0</v>
      </c>
      <c r="N1916" s="8" cm="1">
        <f t="array" ref="N1916">_xlfn.SWITCH(Sales[[#This Row],[Subscription Type]],"Basic",10,"Premium",10,"Business",25,"Enterprise",27)</f>
        <v>10</v>
      </c>
      <c r="O1916">
        <f>IF(Sales[[#This Row],[Number of Users]]-Sales[[#This Row],[Licenses Bought]]&lt;0,0,Sales[[#This Row],[Number of Users]]-Sales[[#This Row],[Licenses Bought]])</f>
        <v>16</v>
      </c>
      <c r="P1916" s="8">
        <f>IF(Sales[[#This Row],[Sales Month]]=MAX(Sales[Sales Month]),Sales[[#This Row],[Non-Paying Users]]*Sales[[#This Row],[Upsell $ per Non-Paying User]],0)</f>
        <v>0</v>
      </c>
      <c r="Q1916" t="str" cm="1">
        <f t="array" ref="Q1916">_xlfn.IFS(Sales[[#This Row],[Current Upsell $]]=0,"",Sales[[#This Row],[Current Upsell $]]&gt;=400,"High",Sales[[#This Row],[Current Upsell $]]&gt;=100,"Medium",Sales[[#This Row],[Current Upsell $]]&lt;100,"Low")</f>
        <v/>
      </c>
      <c r="R1916" t="str">
        <f>IF(Sales[[#This Row],[Current Upsell $]]&gt;0,_xlfn.CONCAT(Sales[[#This Row],[Subscription Type]]," ",Sales[[#This Row],[Upsell Priority]]," ",TEXT(Sales[[#This Row],[Current Upsell $]],"$#,#")),"")</f>
        <v/>
      </c>
    </row>
    <row r="1917" spans="1:18" x14ac:dyDescent="0.25">
      <c r="A1917">
        <v>100228</v>
      </c>
      <c r="B1917" t="s">
        <v>3</v>
      </c>
      <c r="F1917">
        <v>0</v>
      </c>
      <c r="G1917">
        <v>12</v>
      </c>
      <c r="H1917" s="1">
        <v>44256</v>
      </c>
      <c r="I1917" s="1">
        <v>44378</v>
      </c>
      <c r="J1917">
        <v>4</v>
      </c>
      <c r="K1917">
        <v>0</v>
      </c>
      <c r="L1917" s="1">
        <v>44256</v>
      </c>
      <c r="M1917">
        <v>0</v>
      </c>
      <c r="N1917" s="8" cm="1">
        <f t="array" ref="N1917">_xlfn.SWITCH(Sales[[#This Row],[Subscription Type]],"Basic",10,"Premium",10,"Business",25,"Enterprise",27)</f>
        <v>10</v>
      </c>
      <c r="O1917">
        <f>IF(Sales[[#This Row],[Number of Users]]-Sales[[#This Row],[Licenses Bought]]&lt;0,0,Sales[[#This Row],[Number of Users]]-Sales[[#This Row],[Licenses Bought]])</f>
        <v>12</v>
      </c>
      <c r="P1917" s="8">
        <f>IF(Sales[[#This Row],[Sales Month]]=MAX(Sales[Sales Month]),Sales[[#This Row],[Non-Paying Users]]*Sales[[#This Row],[Upsell $ per Non-Paying User]],0)</f>
        <v>0</v>
      </c>
      <c r="Q1917" t="str" cm="1">
        <f t="array" ref="Q1917">_xlfn.IFS(Sales[[#This Row],[Current Upsell $]]=0,"",Sales[[#This Row],[Current Upsell $]]&gt;=400,"High",Sales[[#This Row],[Current Upsell $]]&gt;=100,"Medium",Sales[[#This Row],[Current Upsell $]]&lt;100,"Low")</f>
        <v/>
      </c>
      <c r="R1917" t="str">
        <f>IF(Sales[[#This Row],[Current Upsell $]]&gt;0,_xlfn.CONCAT(Sales[[#This Row],[Subscription Type]]," ",Sales[[#This Row],[Upsell Priority]]," ",TEXT(Sales[[#This Row],[Current Upsell $]],"$#,#")),"")</f>
        <v/>
      </c>
    </row>
    <row r="1918" spans="1:18" x14ac:dyDescent="0.25">
      <c r="A1918">
        <v>100228</v>
      </c>
      <c r="B1918" t="s">
        <v>3</v>
      </c>
      <c r="F1918">
        <v>0</v>
      </c>
      <c r="G1918">
        <v>13</v>
      </c>
      <c r="H1918" s="1">
        <v>44256</v>
      </c>
      <c r="I1918" s="1">
        <v>44378</v>
      </c>
      <c r="J1918">
        <v>4</v>
      </c>
      <c r="K1918">
        <v>0</v>
      </c>
      <c r="L1918" s="1">
        <v>44287</v>
      </c>
      <c r="M1918">
        <v>0</v>
      </c>
      <c r="N1918" s="8" cm="1">
        <f t="array" ref="N1918">_xlfn.SWITCH(Sales[[#This Row],[Subscription Type]],"Basic",10,"Premium",10,"Business",25,"Enterprise",27)</f>
        <v>10</v>
      </c>
      <c r="O1918">
        <f>IF(Sales[[#This Row],[Number of Users]]-Sales[[#This Row],[Licenses Bought]]&lt;0,0,Sales[[#This Row],[Number of Users]]-Sales[[#This Row],[Licenses Bought]])</f>
        <v>13</v>
      </c>
      <c r="P1918" s="8">
        <f>IF(Sales[[#This Row],[Sales Month]]=MAX(Sales[Sales Month]),Sales[[#This Row],[Non-Paying Users]]*Sales[[#This Row],[Upsell $ per Non-Paying User]],0)</f>
        <v>0</v>
      </c>
      <c r="Q1918" t="str" cm="1">
        <f t="array" ref="Q1918">_xlfn.IFS(Sales[[#This Row],[Current Upsell $]]=0,"",Sales[[#This Row],[Current Upsell $]]&gt;=400,"High",Sales[[#This Row],[Current Upsell $]]&gt;=100,"Medium",Sales[[#This Row],[Current Upsell $]]&lt;100,"Low")</f>
        <v/>
      </c>
      <c r="R1918" t="str">
        <f>IF(Sales[[#This Row],[Current Upsell $]]&gt;0,_xlfn.CONCAT(Sales[[#This Row],[Subscription Type]]," ",Sales[[#This Row],[Upsell Priority]]," ",TEXT(Sales[[#This Row],[Current Upsell $]],"$#,#")),"")</f>
        <v/>
      </c>
    </row>
    <row r="1919" spans="1:18" x14ac:dyDescent="0.25">
      <c r="A1919">
        <v>100228</v>
      </c>
      <c r="B1919" t="s">
        <v>3</v>
      </c>
      <c r="F1919">
        <v>0</v>
      </c>
      <c r="G1919">
        <v>11</v>
      </c>
      <c r="H1919" s="1">
        <v>44256</v>
      </c>
      <c r="I1919" s="1">
        <v>44378</v>
      </c>
      <c r="J1919">
        <v>4</v>
      </c>
      <c r="K1919">
        <v>0</v>
      </c>
      <c r="L1919" s="1">
        <v>44317</v>
      </c>
      <c r="M1919">
        <v>0</v>
      </c>
      <c r="N1919" s="8" cm="1">
        <f t="array" ref="N1919">_xlfn.SWITCH(Sales[[#This Row],[Subscription Type]],"Basic",10,"Premium",10,"Business",25,"Enterprise",27)</f>
        <v>10</v>
      </c>
      <c r="O1919">
        <f>IF(Sales[[#This Row],[Number of Users]]-Sales[[#This Row],[Licenses Bought]]&lt;0,0,Sales[[#This Row],[Number of Users]]-Sales[[#This Row],[Licenses Bought]])</f>
        <v>11</v>
      </c>
      <c r="P1919" s="8">
        <f>IF(Sales[[#This Row],[Sales Month]]=MAX(Sales[Sales Month]),Sales[[#This Row],[Non-Paying Users]]*Sales[[#This Row],[Upsell $ per Non-Paying User]],0)</f>
        <v>0</v>
      </c>
      <c r="Q1919" t="str" cm="1">
        <f t="array" ref="Q1919">_xlfn.IFS(Sales[[#This Row],[Current Upsell $]]=0,"",Sales[[#This Row],[Current Upsell $]]&gt;=400,"High",Sales[[#This Row],[Current Upsell $]]&gt;=100,"Medium",Sales[[#This Row],[Current Upsell $]]&lt;100,"Low")</f>
        <v/>
      </c>
      <c r="R1919" t="str">
        <f>IF(Sales[[#This Row],[Current Upsell $]]&gt;0,_xlfn.CONCAT(Sales[[#This Row],[Subscription Type]]," ",Sales[[#This Row],[Upsell Priority]]," ",TEXT(Sales[[#This Row],[Current Upsell $]],"$#,#")),"")</f>
        <v/>
      </c>
    </row>
    <row r="1920" spans="1:18" x14ac:dyDescent="0.25">
      <c r="A1920">
        <v>100228</v>
      </c>
      <c r="B1920" t="s">
        <v>3</v>
      </c>
      <c r="F1920">
        <v>0</v>
      </c>
      <c r="G1920">
        <v>11</v>
      </c>
      <c r="H1920" s="1">
        <v>44256</v>
      </c>
      <c r="I1920" s="1">
        <v>44378</v>
      </c>
      <c r="J1920">
        <v>4</v>
      </c>
      <c r="K1920">
        <v>0</v>
      </c>
      <c r="L1920" s="1">
        <v>44348</v>
      </c>
      <c r="M1920">
        <v>0</v>
      </c>
      <c r="N1920" s="8" cm="1">
        <f t="array" ref="N1920">_xlfn.SWITCH(Sales[[#This Row],[Subscription Type]],"Basic",10,"Premium",10,"Business",25,"Enterprise",27)</f>
        <v>10</v>
      </c>
      <c r="O1920">
        <f>IF(Sales[[#This Row],[Number of Users]]-Sales[[#This Row],[Licenses Bought]]&lt;0,0,Sales[[#This Row],[Number of Users]]-Sales[[#This Row],[Licenses Bought]])</f>
        <v>11</v>
      </c>
      <c r="P1920" s="8">
        <f>IF(Sales[[#This Row],[Sales Month]]=MAX(Sales[Sales Month]),Sales[[#This Row],[Non-Paying Users]]*Sales[[#This Row],[Upsell $ per Non-Paying User]],0)</f>
        <v>110</v>
      </c>
      <c r="Q1920" t="str" cm="1">
        <f t="array" ref="Q1920">_xlfn.IFS(Sales[[#This Row],[Current Upsell $]]=0,"",Sales[[#This Row],[Current Upsell $]]&gt;=400,"High",Sales[[#This Row],[Current Upsell $]]&gt;=100,"Medium",Sales[[#This Row],[Current Upsell $]]&lt;100,"Low")</f>
        <v>Medium</v>
      </c>
      <c r="R1920" t="str">
        <f>IF(Sales[[#This Row],[Current Upsell $]]&gt;0,_xlfn.CONCAT(Sales[[#This Row],[Subscription Type]]," ",Sales[[#This Row],[Upsell Priority]]," ",TEXT(Sales[[#This Row],[Current Upsell $]],"$#,#")),"")</f>
        <v>Basic Medium $110</v>
      </c>
    </row>
    <row r="1921" spans="1:18" x14ac:dyDescent="0.25">
      <c r="A1921">
        <v>100229</v>
      </c>
      <c r="B1921" t="s">
        <v>3</v>
      </c>
      <c r="F1921">
        <v>0</v>
      </c>
      <c r="G1921">
        <v>13</v>
      </c>
      <c r="H1921" s="1">
        <v>44256</v>
      </c>
      <c r="I1921" s="1">
        <v>44287</v>
      </c>
      <c r="J1921">
        <v>1</v>
      </c>
      <c r="K1921">
        <v>2</v>
      </c>
      <c r="L1921" s="1">
        <v>44256</v>
      </c>
      <c r="M1921">
        <v>0</v>
      </c>
      <c r="N1921" s="8" cm="1">
        <f t="array" ref="N1921">_xlfn.SWITCH(Sales[[#This Row],[Subscription Type]],"Basic",10,"Premium",10,"Business",25,"Enterprise",27)</f>
        <v>10</v>
      </c>
      <c r="O1921">
        <f>IF(Sales[[#This Row],[Number of Users]]-Sales[[#This Row],[Licenses Bought]]&lt;0,0,Sales[[#This Row],[Number of Users]]-Sales[[#This Row],[Licenses Bought]])</f>
        <v>13</v>
      </c>
      <c r="P1921" s="8">
        <f>IF(Sales[[#This Row],[Sales Month]]=MAX(Sales[Sales Month]),Sales[[#This Row],[Non-Paying Users]]*Sales[[#This Row],[Upsell $ per Non-Paying User]],0)</f>
        <v>0</v>
      </c>
      <c r="Q1921" t="str" cm="1">
        <f t="array" ref="Q1921">_xlfn.IFS(Sales[[#This Row],[Current Upsell $]]=0,"",Sales[[#This Row],[Current Upsell $]]&gt;=400,"High",Sales[[#This Row],[Current Upsell $]]&gt;=100,"Medium",Sales[[#This Row],[Current Upsell $]]&lt;100,"Low")</f>
        <v/>
      </c>
      <c r="R1921" t="str">
        <f>IF(Sales[[#This Row],[Current Upsell $]]&gt;0,_xlfn.CONCAT(Sales[[#This Row],[Subscription Type]]," ",Sales[[#This Row],[Upsell Priority]]," ",TEXT(Sales[[#This Row],[Current Upsell $]],"$#,#")),"")</f>
        <v/>
      </c>
    </row>
    <row r="1922" spans="1:18" x14ac:dyDescent="0.25">
      <c r="A1922">
        <v>100229</v>
      </c>
      <c r="B1922" t="s">
        <v>3</v>
      </c>
      <c r="F1922">
        <v>0</v>
      </c>
      <c r="G1922">
        <v>9</v>
      </c>
      <c r="H1922" s="1">
        <v>44256</v>
      </c>
      <c r="I1922" s="1">
        <v>44287</v>
      </c>
      <c r="J1922">
        <v>1</v>
      </c>
      <c r="K1922">
        <v>2</v>
      </c>
      <c r="L1922" s="1">
        <v>44287</v>
      </c>
      <c r="M1922">
        <v>0</v>
      </c>
      <c r="N1922" s="8" cm="1">
        <f t="array" ref="N1922">_xlfn.SWITCH(Sales[[#This Row],[Subscription Type]],"Basic",10,"Premium",10,"Business",25,"Enterprise",27)</f>
        <v>10</v>
      </c>
      <c r="O1922">
        <f>IF(Sales[[#This Row],[Number of Users]]-Sales[[#This Row],[Licenses Bought]]&lt;0,0,Sales[[#This Row],[Number of Users]]-Sales[[#This Row],[Licenses Bought]])</f>
        <v>9</v>
      </c>
      <c r="P1922" s="8">
        <f>IF(Sales[[#This Row],[Sales Month]]=MAX(Sales[Sales Month]),Sales[[#This Row],[Non-Paying Users]]*Sales[[#This Row],[Upsell $ per Non-Paying User]],0)</f>
        <v>0</v>
      </c>
      <c r="Q1922" t="str" cm="1">
        <f t="array" ref="Q1922">_xlfn.IFS(Sales[[#This Row],[Current Upsell $]]=0,"",Sales[[#This Row],[Current Upsell $]]&gt;=400,"High",Sales[[#This Row],[Current Upsell $]]&gt;=100,"Medium",Sales[[#This Row],[Current Upsell $]]&lt;100,"Low")</f>
        <v/>
      </c>
      <c r="R1922" t="str">
        <f>IF(Sales[[#This Row],[Current Upsell $]]&gt;0,_xlfn.CONCAT(Sales[[#This Row],[Subscription Type]]," ",Sales[[#This Row],[Upsell Priority]]," ",TEXT(Sales[[#This Row],[Current Upsell $]],"$#,#")),"")</f>
        <v/>
      </c>
    </row>
    <row r="1923" spans="1:18" x14ac:dyDescent="0.25">
      <c r="A1923">
        <v>100230</v>
      </c>
      <c r="B1923" t="s">
        <v>3</v>
      </c>
      <c r="F1923">
        <v>0</v>
      </c>
      <c r="G1923">
        <v>11</v>
      </c>
      <c r="H1923" s="1">
        <v>44256</v>
      </c>
      <c r="I1923" s="1">
        <v>44378</v>
      </c>
      <c r="J1923">
        <v>4</v>
      </c>
      <c r="K1923">
        <v>0</v>
      </c>
      <c r="L1923" s="1">
        <v>44256</v>
      </c>
      <c r="M1923">
        <v>0</v>
      </c>
      <c r="N1923" s="8" cm="1">
        <f t="array" ref="N1923">_xlfn.SWITCH(Sales[[#This Row],[Subscription Type]],"Basic",10,"Premium",10,"Business",25,"Enterprise",27)</f>
        <v>10</v>
      </c>
      <c r="O1923">
        <f>IF(Sales[[#This Row],[Number of Users]]-Sales[[#This Row],[Licenses Bought]]&lt;0,0,Sales[[#This Row],[Number of Users]]-Sales[[#This Row],[Licenses Bought]])</f>
        <v>11</v>
      </c>
      <c r="P1923" s="8">
        <f>IF(Sales[[#This Row],[Sales Month]]=MAX(Sales[Sales Month]),Sales[[#This Row],[Non-Paying Users]]*Sales[[#This Row],[Upsell $ per Non-Paying User]],0)</f>
        <v>0</v>
      </c>
      <c r="Q1923" t="str" cm="1">
        <f t="array" ref="Q1923">_xlfn.IFS(Sales[[#This Row],[Current Upsell $]]=0,"",Sales[[#This Row],[Current Upsell $]]&gt;=400,"High",Sales[[#This Row],[Current Upsell $]]&gt;=100,"Medium",Sales[[#This Row],[Current Upsell $]]&lt;100,"Low")</f>
        <v/>
      </c>
      <c r="R1923" t="str">
        <f>IF(Sales[[#This Row],[Current Upsell $]]&gt;0,_xlfn.CONCAT(Sales[[#This Row],[Subscription Type]]," ",Sales[[#This Row],[Upsell Priority]]," ",TEXT(Sales[[#This Row],[Current Upsell $]],"$#,#")),"")</f>
        <v/>
      </c>
    </row>
    <row r="1924" spans="1:18" x14ac:dyDescent="0.25">
      <c r="A1924">
        <v>100230</v>
      </c>
      <c r="B1924" t="s">
        <v>3</v>
      </c>
      <c r="F1924">
        <v>0</v>
      </c>
      <c r="G1924">
        <v>12</v>
      </c>
      <c r="H1924" s="1">
        <v>44256</v>
      </c>
      <c r="I1924" s="1">
        <v>44378</v>
      </c>
      <c r="J1924">
        <v>4</v>
      </c>
      <c r="K1924">
        <v>0</v>
      </c>
      <c r="L1924" s="1">
        <v>44287</v>
      </c>
      <c r="M1924">
        <v>0</v>
      </c>
      <c r="N1924" s="8" cm="1">
        <f t="array" ref="N1924">_xlfn.SWITCH(Sales[[#This Row],[Subscription Type]],"Basic",10,"Premium",10,"Business",25,"Enterprise",27)</f>
        <v>10</v>
      </c>
      <c r="O1924">
        <f>IF(Sales[[#This Row],[Number of Users]]-Sales[[#This Row],[Licenses Bought]]&lt;0,0,Sales[[#This Row],[Number of Users]]-Sales[[#This Row],[Licenses Bought]])</f>
        <v>12</v>
      </c>
      <c r="P1924" s="8">
        <f>IF(Sales[[#This Row],[Sales Month]]=MAX(Sales[Sales Month]),Sales[[#This Row],[Non-Paying Users]]*Sales[[#This Row],[Upsell $ per Non-Paying User]],0)</f>
        <v>0</v>
      </c>
      <c r="Q1924" t="str" cm="1">
        <f t="array" ref="Q1924">_xlfn.IFS(Sales[[#This Row],[Current Upsell $]]=0,"",Sales[[#This Row],[Current Upsell $]]&gt;=400,"High",Sales[[#This Row],[Current Upsell $]]&gt;=100,"Medium",Sales[[#This Row],[Current Upsell $]]&lt;100,"Low")</f>
        <v/>
      </c>
      <c r="R1924" t="str">
        <f>IF(Sales[[#This Row],[Current Upsell $]]&gt;0,_xlfn.CONCAT(Sales[[#This Row],[Subscription Type]]," ",Sales[[#This Row],[Upsell Priority]]," ",TEXT(Sales[[#This Row],[Current Upsell $]],"$#,#")),"")</f>
        <v/>
      </c>
    </row>
    <row r="1925" spans="1:18" x14ac:dyDescent="0.25">
      <c r="A1925">
        <v>100230</v>
      </c>
      <c r="B1925" t="s">
        <v>3</v>
      </c>
      <c r="F1925">
        <v>0</v>
      </c>
      <c r="G1925">
        <v>8</v>
      </c>
      <c r="H1925" s="1">
        <v>44256</v>
      </c>
      <c r="I1925" s="1">
        <v>44378</v>
      </c>
      <c r="J1925">
        <v>4</v>
      </c>
      <c r="K1925">
        <v>0</v>
      </c>
      <c r="L1925" s="1">
        <v>44317</v>
      </c>
      <c r="M1925">
        <v>0</v>
      </c>
      <c r="N1925" s="8" cm="1">
        <f t="array" ref="N1925">_xlfn.SWITCH(Sales[[#This Row],[Subscription Type]],"Basic",10,"Premium",10,"Business",25,"Enterprise",27)</f>
        <v>10</v>
      </c>
      <c r="O1925">
        <f>IF(Sales[[#This Row],[Number of Users]]-Sales[[#This Row],[Licenses Bought]]&lt;0,0,Sales[[#This Row],[Number of Users]]-Sales[[#This Row],[Licenses Bought]])</f>
        <v>8</v>
      </c>
      <c r="P1925" s="8">
        <f>IF(Sales[[#This Row],[Sales Month]]=MAX(Sales[Sales Month]),Sales[[#This Row],[Non-Paying Users]]*Sales[[#This Row],[Upsell $ per Non-Paying User]],0)</f>
        <v>0</v>
      </c>
      <c r="Q1925" t="str" cm="1">
        <f t="array" ref="Q1925">_xlfn.IFS(Sales[[#This Row],[Current Upsell $]]=0,"",Sales[[#This Row],[Current Upsell $]]&gt;=400,"High",Sales[[#This Row],[Current Upsell $]]&gt;=100,"Medium",Sales[[#This Row],[Current Upsell $]]&lt;100,"Low")</f>
        <v/>
      </c>
      <c r="R1925" t="str">
        <f>IF(Sales[[#This Row],[Current Upsell $]]&gt;0,_xlfn.CONCAT(Sales[[#This Row],[Subscription Type]]," ",Sales[[#This Row],[Upsell Priority]]," ",TEXT(Sales[[#This Row],[Current Upsell $]],"$#,#")),"")</f>
        <v/>
      </c>
    </row>
    <row r="1926" spans="1:18" x14ac:dyDescent="0.25">
      <c r="A1926">
        <v>100230</v>
      </c>
      <c r="B1926" t="s">
        <v>3</v>
      </c>
      <c r="F1926">
        <v>0</v>
      </c>
      <c r="G1926">
        <v>10</v>
      </c>
      <c r="H1926" s="1">
        <v>44256</v>
      </c>
      <c r="I1926" s="1">
        <v>44378</v>
      </c>
      <c r="J1926">
        <v>4</v>
      </c>
      <c r="K1926">
        <v>0</v>
      </c>
      <c r="L1926" s="1">
        <v>44348</v>
      </c>
      <c r="M1926">
        <v>0</v>
      </c>
      <c r="N1926" s="8" cm="1">
        <f t="array" ref="N1926">_xlfn.SWITCH(Sales[[#This Row],[Subscription Type]],"Basic",10,"Premium",10,"Business",25,"Enterprise",27)</f>
        <v>10</v>
      </c>
      <c r="O1926">
        <f>IF(Sales[[#This Row],[Number of Users]]-Sales[[#This Row],[Licenses Bought]]&lt;0,0,Sales[[#This Row],[Number of Users]]-Sales[[#This Row],[Licenses Bought]])</f>
        <v>10</v>
      </c>
      <c r="P1926" s="8">
        <f>IF(Sales[[#This Row],[Sales Month]]=MAX(Sales[Sales Month]),Sales[[#This Row],[Non-Paying Users]]*Sales[[#This Row],[Upsell $ per Non-Paying User]],0)</f>
        <v>100</v>
      </c>
      <c r="Q1926" t="str" cm="1">
        <f t="array" ref="Q1926">_xlfn.IFS(Sales[[#This Row],[Current Upsell $]]=0,"",Sales[[#This Row],[Current Upsell $]]&gt;=400,"High",Sales[[#This Row],[Current Upsell $]]&gt;=100,"Medium",Sales[[#This Row],[Current Upsell $]]&lt;100,"Low")</f>
        <v>Medium</v>
      </c>
      <c r="R1926" t="str">
        <f>IF(Sales[[#This Row],[Current Upsell $]]&gt;0,_xlfn.CONCAT(Sales[[#This Row],[Subscription Type]]," ",Sales[[#This Row],[Upsell Priority]]," ",TEXT(Sales[[#This Row],[Current Upsell $]],"$#,#")),"")</f>
        <v>Basic Medium $100</v>
      </c>
    </row>
    <row r="1927" spans="1:18" x14ac:dyDescent="0.25">
      <c r="A1927">
        <v>100231</v>
      </c>
      <c r="B1927" t="s">
        <v>3</v>
      </c>
      <c r="F1927">
        <v>0</v>
      </c>
      <c r="G1927">
        <v>10</v>
      </c>
      <c r="H1927" s="1">
        <v>44256</v>
      </c>
      <c r="I1927" s="1">
        <v>44348</v>
      </c>
      <c r="J1927">
        <v>3</v>
      </c>
      <c r="K1927">
        <v>0</v>
      </c>
      <c r="L1927" s="1">
        <v>44256</v>
      </c>
      <c r="M1927">
        <v>0</v>
      </c>
      <c r="N1927" s="8" cm="1">
        <f t="array" ref="N1927">_xlfn.SWITCH(Sales[[#This Row],[Subscription Type]],"Basic",10,"Premium",10,"Business",25,"Enterprise",27)</f>
        <v>10</v>
      </c>
      <c r="O1927">
        <f>IF(Sales[[#This Row],[Number of Users]]-Sales[[#This Row],[Licenses Bought]]&lt;0,0,Sales[[#This Row],[Number of Users]]-Sales[[#This Row],[Licenses Bought]])</f>
        <v>10</v>
      </c>
      <c r="P1927" s="8">
        <f>IF(Sales[[#This Row],[Sales Month]]=MAX(Sales[Sales Month]),Sales[[#This Row],[Non-Paying Users]]*Sales[[#This Row],[Upsell $ per Non-Paying User]],0)</f>
        <v>0</v>
      </c>
      <c r="Q1927" t="str" cm="1">
        <f t="array" ref="Q1927">_xlfn.IFS(Sales[[#This Row],[Current Upsell $]]=0,"",Sales[[#This Row],[Current Upsell $]]&gt;=400,"High",Sales[[#This Row],[Current Upsell $]]&gt;=100,"Medium",Sales[[#This Row],[Current Upsell $]]&lt;100,"Low")</f>
        <v/>
      </c>
      <c r="R1927" t="str">
        <f>IF(Sales[[#This Row],[Current Upsell $]]&gt;0,_xlfn.CONCAT(Sales[[#This Row],[Subscription Type]]," ",Sales[[#This Row],[Upsell Priority]]," ",TEXT(Sales[[#This Row],[Current Upsell $]],"$#,#")),"")</f>
        <v/>
      </c>
    </row>
    <row r="1928" spans="1:18" x14ac:dyDescent="0.25">
      <c r="A1928">
        <v>100231</v>
      </c>
      <c r="B1928" t="s">
        <v>3</v>
      </c>
      <c r="F1928">
        <v>0</v>
      </c>
      <c r="G1928">
        <v>9</v>
      </c>
      <c r="H1928" s="1">
        <v>44256</v>
      </c>
      <c r="I1928" s="1">
        <v>44348</v>
      </c>
      <c r="J1928">
        <v>3</v>
      </c>
      <c r="K1928">
        <v>0</v>
      </c>
      <c r="L1928" s="1">
        <v>44287</v>
      </c>
      <c r="M1928">
        <v>0</v>
      </c>
      <c r="N1928" s="8" cm="1">
        <f t="array" ref="N1928">_xlfn.SWITCH(Sales[[#This Row],[Subscription Type]],"Basic",10,"Premium",10,"Business",25,"Enterprise",27)</f>
        <v>10</v>
      </c>
      <c r="O1928">
        <f>IF(Sales[[#This Row],[Number of Users]]-Sales[[#This Row],[Licenses Bought]]&lt;0,0,Sales[[#This Row],[Number of Users]]-Sales[[#This Row],[Licenses Bought]])</f>
        <v>9</v>
      </c>
      <c r="P1928" s="8">
        <f>IF(Sales[[#This Row],[Sales Month]]=MAX(Sales[Sales Month]),Sales[[#This Row],[Non-Paying Users]]*Sales[[#This Row],[Upsell $ per Non-Paying User]],0)</f>
        <v>0</v>
      </c>
      <c r="Q1928" t="str" cm="1">
        <f t="array" ref="Q1928">_xlfn.IFS(Sales[[#This Row],[Current Upsell $]]=0,"",Sales[[#This Row],[Current Upsell $]]&gt;=400,"High",Sales[[#This Row],[Current Upsell $]]&gt;=100,"Medium",Sales[[#This Row],[Current Upsell $]]&lt;100,"Low")</f>
        <v/>
      </c>
      <c r="R1928" t="str">
        <f>IF(Sales[[#This Row],[Current Upsell $]]&gt;0,_xlfn.CONCAT(Sales[[#This Row],[Subscription Type]]," ",Sales[[#This Row],[Upsell Priority]]," ",TEXT(Sales[[#This Row],[Current Upsell $]],"$#,#")),"")</f>
        <v/>
      </c>
    </row>
    <row r="1929" spans="1:18" x14ac:dyDescent="0.25">
      <c r="A1929">
        <v>100231</v>
      </c>
      <c r="B1929" t="s">
        <v>3</v>
      </c>
      <c r="F1929">
        <v>0</v>
      </c>
      <c r="G1929">
        <v>8</v>
      </c>
      <c r="H1929" s="1">
        <v>44256</v>
      </c>
      <c r="I1929" s="1">
        <v>44348</v>
      </c>
      <c r="J1929">
        <v>3</v>
      </c>
      <c r="K1929">
        <v>0</v>
      </c>
      <c r="L1929" s="1">
        <v>44317</v>
      </c>
      <c r="M1929">
        <v>0</v>
      </c>
      <c r="N1929" s="8" cm="1">
        <f t="array" ref="N1929">_xlfn.SWITCH(Sales[[#This Row],[Subscription Type]],"Basic",10,"Premium",10,"Business",25,"Enterprise",27)</f>
        <v>10</v>
      </c>
      <c r="O1929">
        <f>IF(Sales[[#This Row],[Number of Users]]-Sales[[#This Row],[Licenses Bought]]&lt;0,0,Sales[[#This Row],[Number of Users]]-Sales[[#This Row],[Licenses Bought]])</f>
        <v>8</v>
      </c>
      <c r="P1929" s="8">
        <f>IF(Sales[[#This Row],[Sales Month]]=MAX(Sales[Sales Month]),Sales[[#This Row],[Non-Paying Users]]*Sales[[#This Row],[Upsell $ per Non-Paying User]],0)</f>
        <v>0</v>
      </c>
      <c r="Q1929" t="str" cm="1">
        <f t="array" ref="Q1929">_xlfn.IFS(Sales[[#This Row],[Current Upsell $]]=0,"",Sales[[#This Row],[Current Upsell $]]&gt;=400,"High",Sales[[#This Row],[Current Upsell $]]&gt;=100,"Medium",Sales[[#This Row],[Current Upsell $]]&lt;100,"Low")</f>
        <v/>
      </c>
      <c r="R1929" t="str">
        <f>IF(Sales[[#This Row],[Current Upsell $]]&gt;0,_xlfn.CONCAT(Sales[[#This Row],[Subscription Type]]," ",Sales[[#This Row],[Upsell Priority]]," ",TEXT(Sales[[#This Row],[Current Upsell $]],"$#,#")),"")</f>
        <v/>
      </c>
    </row>
    <row r="1930" spans="1:18" x14ac:dyDescent="0.25">
      <c r="A1930">
        <v>100231</v>
      </c>
      <c r="B1930" t="s">
        <v>3</v>
      </c>
      <c r="F1930">
        <v>0</v>
      </c>
      <c r="G1930">
        <v>11</v>
      </c>
      <c r="H1930" s="1">
        <v>44256</v>
      </c>
      <c r="I1930" s="1">
        <v>44348</v>
      </c>
      <c r="J1930">
        <v>3</v>
      </c>
      <c r="K1930">
        <v>0</v>
      </c>
      <c r="L1930" s="1">
        <v>44348</v>
      </c>
      <c r="M1930">
        <v>0</v>
      </c>
      <c r="N1930" s="8" cm="1">
        <f t="array" ref="N1930">_xlfn.SWITCH(Sales[[#This Row],[Subscription Type]],"Basic",10,"Premium",10,"Business",25,"Enterprise",27)</f>
        <v>10</v>
      </c>
      <c r="O1930">
        <f>IF(Sales[[#This Row],[Number of Users]]-Sales[[#This Row],[Licenses Bought]]&lt;0,0,Sales[[#This Row],[Number of Users]]-Sales[[#This Row],[Licenses Bought]])</f>
        <v>11</v>
      </c>
      <c r="P1930" s="8">
        <f>IF(Sales[[#This Row],[Sales Month]]=MAX(Sales[Sales Month]),Sales[[#This Row],[Non-Paying Users]]*Sales[[#This Row],[Upsell $ per Non-Paying User]],0)</f>
        <v>110</v>
      </c>
      <c r="Q1930" t="str" cm="1">
        <f t="array" ref="Q1930">_xlfn.IFS(Sales[[#This Row],[Current Upsell $]]=0,"",Sales[[#This Row],[Current Upsell $]]&gt;=400,"High",Sales[[#This Row],[Current Upsell $]]&gt;=100,"Medium",Sales[[#This Row],[Current Upsell $]]&lt;100,"Low")</f>
        <v>Medium</v>
      </c>
      <c r="R1930" t="str">
        <f>IF(Sales[[#This Row],[Current Upsell $]]&gt;0,_xlfn.CONCAT(Sales[[#This Row],[Subscription Type]]," ",Sales[[#This Row],[Upsell Priority]]," ",TEXT(Sales[[#This Row],[Current Upsell $]],"$#,#")),"")</f>
        <v>Basic Medium $110</v>
      </c>
    </row>
    <row r="1931" spans="1:18" x14ac:dyDescent="0.25">
      <c r="A1931">
        <v>100232</v>
      </c>
      <c r="B1931" t="s">
        <v>3</v>
      </c>
      <c r="F1931">
        <v>0</v>
      </c>
      <c r="G1931">
        <v>9</v>
      </c>
      <c r="H1931" s="1">
        <v>44256</v>
      </c>
      <c r="I1931" s="1">
        <v>44348</v>
      </c>
      <c r="J1931">
        <v>3</v>
      </c>
      <c r="K1931">
        <v>0</v>
      </c>
      <c r="L1931" s="1">
        <v>44256</v>
      </c>
      <c r="M1931">
        <v>0</v>
      </c>
      <c r="N1931" s="8" cm="1">
        <f t="array" ref="N1931">_xlfn.SWITCH(Sales[[#This Row],[Subscription Type]],"Basic",10,"Premium",10,"Business",25,"Enterprise",27)</f>
        <v>10</v>
      </c>
      <c r="O1931">
        <f>IF(Sales[[#This Row],[Number of Users]]-Sales[[#This Row],[Licenses Bought]]&lt;0,0,Sales[[#This Row],[Number of Users]]-Sales[[#This Row],[Licenses Bought]])</f>
        <v>9</v>
      </c>
      <c r="P1931" s="8">
        <f>IF(Sales[[#This Row],[Sales Month]]=MAX(Sales[Sales Month]),Sales[[#This Row],[Non-Paying Users]]*Sales[[#This Row],[Upsell $ per Non-Paying User]],0)</f>
        <v>0</v>
      </c>
      <c r="Q1931" t="str" cm="1">
        <f t="array" ref="Q1931">_xlfn.IFS(Sales[[#This Row],[Current Upsell $]]=0,"",Sales[[#This Row],[Current Upsell $]]&gt;=400,"High",Sales[[#This Row],[Current Upsell $]]&gt;=100,"Medium",Sales[[#This Row],[Current Upsell $]]&lt;100,"Low")</f>
        <v/>
      </c>
      <c r="R1931" t="str">
        <f>IF(Sales[[#This Row],[Current Upsell $]]&gt;0,_xlfn.CONCAT(Sales[[#This Row],[Subscription Type]]," ",Sales[[#This Row],[Upsell Priority]]," ",TEXT(Sales[[#This Row],[Current Upsell $]],"$#,#")),"")</f>
        <v/>
      </c>
    </row>
    <row r="1932" spans="1:18" x14ac:dyDescent="0.25">
      <c r="A1932">
        <v>100232</v>
      </c>
      <c r="B1932" t="s">
        <v>3</v>
      </c>
      <c r="F1932">
        <v>0</v>
      </c>
      <c r="G1932">
        <v>10</v>
      </c>
      <c r="H1932" s="1">
        <v>44256</v>
      </c>
      <c r="I1932" s="1">
        <v>44348</v>
      </c>
      <c r="J1932">
        <v>3</v>
      </c>
      <c r="K1932">
        <v>0</v>
      </c>
      <c r="L1932" s="1">
        <v>44287</v>
      </c>
      <c r="M1932">
        <v>0</v>
      </c>
      <c r="N1932" s="8" cm="1">
        <f t="array" ref="N1932">_xlfn.SWITCH(Sales[[#This Row],[Subscription Type]],"Basic",10,"Premium",10,"Business",25,"Enterprise",27)</f>
        <v>10</v>
      </c>
      <c r="O1932">
        <f>IF(Sales[[#This Row],[Number of Users]]-Sales[[#This Row],[Licenses Bought]]&lt;0,0,Sales[[#This Row],[Number of Users]]-Sales[[#This Row],[Licenses Bought]])</f>
        <v>10</v>
      </c>
      <c r="P1932" s="8">
        <f>IF(Sales[[#This Row],[Sales Month]]=MAX(Sales[Sales Month]),Sales[[#This Row],[Non-Paying Users]]*Sales[[#This Row],[Upsell $ per Non-Paying User]],0)</f>
        <v>0</v>
      </c>
      <c r="Q1932" t="str" cm="1">
        <f t="array" ref="Q1932">_xlfn.IFS(Sales[[#This Row],[Current Upsell $]]=0,"",Sales[[#This Row],[Current Upsell $]]&gt;=400,"High",Sales[[#This Row],[Current Upsell $]]&gt;=100,"Medium",Sales[[#This Row],[Current Upsell $]]&lt;100,"Low")</f>
        <v/>
      </c>
      <c r="R1932" t="str">
        <f>IF(Sales[[#This Row],[Current Upsell $]]&gt;0,_xlfn.CONCAT(Sales[[#This Row],[Subscription Type]]," ",Sales[[#This Row],[Upsell Priority]]," ",TEXT(Sales[[#This Row],[Current Upsell $]],"$#,#")),"")</f>
        <v/>
      </c>
    </row>
    <row r="1933" spans="1:18" x14ac:dyDescent="0.25">
      <c r="A1933">
        <v>100232</v>
      </c>
      <c r="B1933" t="s">
        <v>3</v>
      </c>
      <c r="F1933">
        <v>0</v>
      </c>
      <c r="G1933">
        <v>9</v>
      </c>
      <c r="H1933" s="1">
        <v>44256</v>
      </c>
      <c r="I1933" s="1">
        <v>44348</v>
      </c>
      <c r="J1933">
        <v>3</v>
      </c>
      <c r="K1933">
        <v>0</v>
      </c>
      <c r="L1933" s="1">
        <v>44317</v>
      </c>
      <c r="M1933">
        <v>0</v>
      </c>
      <c r="N1933" s="8" cm="1">
        <f t="array" ref="N1933">_xlfn.SWITCH(Sales[[#This Row],[Subscription Type]],"Basic",10,"Premium",10,"Business",25,"Enterprise",27)</f>
        <v>10</v>
      </c>
      <c r="O1933">
        <f>IF(Sales[[#This Row],[Number of Users]]-Sales[[#This Row],[Licenses Bought]]&lt;0,0,Sales[[#This Row],[Number of Users]]-Sales[[#This Row],[Licenses Bought]])</f>
        <v>9</v>
      </c>
      <c r="P1933" s="8">
        <f>IF(Sales[[#This Row],[Sales Month]]=MAX(Sales[Sales Month]),Sales[[#This Row],[Non-Paying Users]]*Sales[[#This Row],[Upsell $ per Non-Paying User]],0)</f>
        <v>0</v>
      </c>
      <c r="Q1933" t="str" cm="1">
        <f t="array" ref="Q1933">_xlfn.IFS(Sales[[#This Row],[Current Upsell $]]=0,"",Sales[[#This Row],[Current Upsell $]]&gt;=400,"High",Sales[[#This Row],[Current Upsell $]]&gt;=100,"Medium",Sales[[#This Row],[Current Upsell $]]&lt;100,"Low")</f>
        <v/>
      </c>
      <c r="R1933" t="str">
        <f>IF(Sales[[#This Row],[Current Upsell $]]&gt;0,_xlfn.CONCAT(Sales[[#This Row],[Subscription Type]]," ",Sales[[#This Row],[Upsell Priority]]," ",TEXT(Sales[[#This Row],[Current Upsell $]],"$#,#")),"")</f>
        <v/>
      </c>
    </row>
    <row r="1934" spans="1:18" x14ac:dyDescent="0.25">
      <c r="A1934">
        <v>100232</v>
      </c>
      <c r="B1934" t="s">
        <v>3</v>
      </c>
      <c r="F1934">
        <v>0</v>
      </c>
      <c r="G1934">
        <v>8</v>
      </c>
      <c r="H1934" s="1">
        <v>44256</v>
      </c>
      <c r="I1934" s="1">
        <v>44348</v>
      </c>
      <c r="J1934">
        <v>3</v>
      </c>
      <c r="K1934">
        <v>0</v>
      </c>
      <c r="L1934" s="1">
        <v>44348</v>
      </c>
      <c r="M1934">
        <v>0</v>
      </c>
      <c r="N1934" s="8" cm="1">
        <f t="array" ref="N1934">_xlfn.SWITCH(Sales[[#This Row],[Subscription Type]],"Basic",10,"Premium",10,"Business",25,"Enterprise",27)</f>
        <v>10</v>
      </c>
      <c r="O1934">
        <f>IF(Sales[[#This Row],[Number of Users]]-Sales[[#This Row],[Licenses Bought]]&lt;0,0,Sales[[#This Row],[Number of Users]]-Sales[[#This Row],[Licenses Bought]])</f>
        <v>8</v>
      </c>
      <c r="P1934" s="8">
        <f>IF(Sales[[#This Row],[Sales Month]]=MAX(Sales[Sales Month]),Sales[[#This Row],[Non-Paying Users]]*Sales[[#This Row],[Upsell $ per Non-Paying User]],0)</f>
        <v>80</v>
      </c>
      <c r="Q1934" t="str" cm="1">
        <f t="array" ref="Q1934">_xlfn.IFS(Sales[[#This Row],[Current Upsell $]]=0,"",Sales[[#This Row],[Current Upsell $]]&gt;=400,"High",Sales[[#This Row],[Current Upsell $]]&gt;=100,"Medium",Sales[[#This Row],[Current Upsell $]]&lt;100,"Low")</f>
        <v>Low</v>
      </c>
      <c r="R1934" t="str">
        <f>IF(Sales[[#This Row],[Current Upsell $]]&gt;0,_xlfn.CONCAT(Sales[[#This Row],[Subscription Type]]," ",Sales[[#This Row],[Upsell Priority]]," ",TEXT(Sales[[#This Row],[Current Upsell $]],"$#,#")),"")</f>
        <v>Basic Low $80</v>
      </c>
    </row>
    <row r="1935" spans="1:18" x14ac:dyDescent="0.25">
      <c r="A1935">
        <v>100233</v>
      </c>
      <c r="B1935" t="s">
        <v>3</v>
      </c>
      <c r="F1935">
        <v>0</v>
      </c>
      <c r="G1935">
        <v>9</v>
      </c>
      <c r="H1935" s="1">
        <v>44256</v>
      </c>
      <c r="I1935" s="1">
        <v>44378</v>
      </c>
      <c r="J1935">
        <v>4</v>
      </c>
      <c r="K1935">
        <v>0</v>
      </c>
      <c r="L1935" s="1">
        <v>44256</v>
      </c>
      <c r="M1935">
        <v>0</v>
      </c>
      <c r="N1935" s="8" cm="1">
        <f t="array" ref="N1935">_xlfn.SWITCH(Sales[[#This Row],[Subscription Type]],"Basic",10,"Premium",10,"Business",25,"Enterprise",27)</f>
        <v>10</v>
      </c>
      <c r="O1935">
        <f>IF(Sales[[#This Row],[Number of Users]]-Sales[[#This Row],[Licenses Bought]]&lt;0,0,Sales[[#This Row],[Number of Users]]-Sales[[#This Row],[Licenses Bought]])</f>
        <v>9</v>
      </c>
      <c r="P1935" s="8">
        <f>IF(Sales[[#This Row],[Sales Month]]=MAX(Sales[Sales Month]),Sales[[#This Row],[Non-Paying Users]]*Sales[[#This Row],[Upsell $ per Non-Paying User]],0)</f>
        <v>0</v>
      </c>
      <c r="Q1935" t="str" cm="1">
        <f t="array" ref="Q1935">_xlfn.IFS(Sales[[#This Row],[Current Upsell $]]=0,"",Sales[[#This Row],[Current Upsell $]]&gt;=400,"High",Sales[[#This Row],[Current Upsell $]]&gt;=100,"Medium",Sales[[#This Row],[Current Upsell $]]&lt;100,"Low")</f>
        <v/>
      </c>
      <c r="R1935" t="str">
        <f>IF(Sales[[#This Row],[Current Upsell $]]&gt;0,_xlfn.CONCAT(Sales[[#This Row],[Subscription Type]]," ",Sales[[#This Row],[Upsell Priority]]," ",TEXT(Sales[[#This Row],[Current Upsell $]],"$#,#")),"")</f>
        <v/>
      </c>
    </row>
    <row r="1936" spans="1:18" x14ac:dyDescent="0.25">
      <c r="A1936">
        <v>100233</v>
      </c>
      <c r="B1936" t="s">
        <v>3</v>
      </c>
      <c r="F1936">
        <v>0</v>
      </c>
      <c r="G1936">
        <v>7</v>
      </c>
      <c r="H1936" s="1">
        <v>44256</v>
      </c>
      <c r="I1936" s="1">
        <v>44378</v>
      </c>
      <c r="J1936">
        <v>4</v>
      </c>
      <c r="K1936">
        <v>0</v>
      </c>
      <c r="L1936" s="1">
        <v>44287</v>
      </c>
      <c r="M1936">
        <v>0</v>
      </c>
      <c r="N1936" s="8" cm="1">
        <f t="array" ref="N1936">_xlfn.SWITCH(Sales[[#This Row],[Subscription Type]],"Basic",10,"Premium",10,"Business",25,"Enterprise",27)</f>
        <v>10</v>
      </c>
      <c r="O1936">
        <f>IF(Sales[[#This Row],[Number of Users]]-Sales[[#This Row],[Licenses Bought]]&lt;0,0,Sales[[#This Row],[Number of Users]]-Sales[[#This Row],[Licenses Bought]])</f>
        <v>7</v>
      </c>
      <c r="P1936" s="8">
        <f>IF(Sales[[#This Row],[Sales Month]]=MAX(Sales[Sales Month]),Sales[[#This Row],[Non-Paying Users]]*Sales[[#This Row],[Upsell $ per Non-Paying User]],0)</f>
        <v>0</v>
      </c>
      <c r="Q1936" t="str" cm="1">
        <f t="array" ref="Q1936">_xlfn.IFS(Sales[[#This Row],[Current Upsell $]]=0,"",Sales[[#This Row],[Current Upsell $]]&gt;=400,"High",Sales[[#This Row],[Current Upsell $]]&gt;=100,"Medium",Sales[[#This Row],[Current Upsell $]]&lt;100,"Low")</f>
        <v/>
      </c>
      <c r="R1936" t="str">
        <f>IF(Sales[[#This Row],[Current Upsell $]]&gt;0,_xlfn.CONCAT(Sales[[#This Row],[Subscription Type]]," ",Sales[[#This Row],[Upsell Priority]]," ",TEXT(Sales[[#This Row],[Current Upsell $]],"$#,#")),"")</f>
        <v/>
      </c>
    </row>
    <row r="1937" spans="1:18" x14ac:dyDescent="0.25">
      <c r="A1937">
        <v>100233</v>
      </c>
      <c r="B1937" t="s">
        <v>3</v>
      </c>
      <c r="F1937">
        <v>0</v>
      </c>
      <c r="G1937">
        <v>7</v>
      </c>
      <c r="H1937" s="1">
        <v>44256</v>
      </c>
      <c r="I1937" s="1">
        <v>44378</v>
      </c>
      <c r="J1937">
        <v>4</v>
      </c>
      <c r="K1937">
        <v>0</v>
      </c>
      <c r="L1937" s="1">
        <v>44317</v>
      </c>
      <c r="M1937">
        <v>0</v>
      </c>
      <c r="N1937" s="8" cm="1">
        <f t="array" ref="N1937">_xlfn.SWITCH(Sales[[#This Row],[Subscription Type]],"Basic",10,"Premium",10,"Business",25,"Enterprise",27)</f>
        <v>10</v>
      </c>
      <c r="O1937">
        <f>IF(Sales[[#This Row],[Number of Users]]-Sales[[#This Row],[Licenses Bought]]&lt;0,0,Sales[[#This Row],[Number of Users]]-Sales[[#This Row],[Licenses Bought]])</f>
        <v>7</v>
      </c>
      <c r="P1937" s="8">
        <f>IF(Sales[[#This Row],[Sales Month]]=MAX(Sales[Sales Month]),Sales[[#This Row],[Non-Paying Users]]*Sales[[#This Row],[Upsell $ per Non-Paying User]],0)</f>
        <v>0</v>
      </c>
      <c r="Q1937" t="str" cm="1">
        <f t="array" ref="Q1937">_xlfn.IFS(Sales[[#This Row],[Current Upsell $]]=0,"",Sales[[#This Row],[Current Upsell $]]&gt;=400,"High",Sales[[#This Row],[Current Upsell $]]&gt;=100,"Medium",Sales[[#This Row],[Current Upsell $]]&lt;100,"Low")</f>
        <v/>
      </c>
      <c r="R1937" t="str">
        <f>IF(Sales[[#This Row],[Current Upsell $]]&gt;0,_xlfn.CONCAT(Sales[[#This Row],[Subscription Type]]," ",Sales[[#This Row],[Upsell Priority]]," ",TEXT(Sales[[#This Row],[Current Upsell $]],"$#,#")),"")</f>
        <v/>
      </c>
    </row>
    <row r="1938" spans="1:18" x14ac:dyDescent="0.25">
      <c r="A1938">
        <v>100233</v>
      </c>
      <c r="B1938" t="s">
        <v>3</v>
      </c>
      <c r="F1938">
        <v>0</v>
      </c>
      <c r="G1938">
        <v>8</v>
      </c>
      <c r="H1938" s="1">
        <v>44256</v>
      </c>
      <c r="I1938" s="1">
        <v>44378</v>
      </c>
      <c r="J1938">
        <v>4</v>
      </c>
      <c r="K1938">
        <v>0</v>
      </c>
      <c r="L1938" s="1">
        <v>44348</v>
      </c>
      <c r="M1938">
        <v>0</v>
      </c>
      <c r="N1938" s="8" cm="1">
        <f t="array" ref="N1938">_xlfn.SWITCH(Sales[[#This Row],[Subscription Type]],"Basic",10,"Premium",10,"Business",25,"Enterprise",27)</f>
        <v>10</v>
      </c>
      <c r="O1938">
        <f>IF(Sales[[#This Row],[Number of Users]]-Sales[[#This Row],[Licenses Bought]]&lt;0,0,Sales[[#This Row],[Number of Users]]-Sales[[#This Row],[Licenses Bought]])</f>
        <v>8</v>
      </c>
      <c r="P1938" s="8">
        <f>IF(Sales[[#This Row],[Sales Month]]=MAX(Sales[Sales Month]),Sales[[#This Row],[Non-Paying Users]]*Sales[[#This Row],[Upsell $ per Non-Paying User]],0)</f>
        <v>80</v>
      </c>
      <c r="Q1938" t="str" cm="1">
        <f t="array" ref="Q1938">_xlfn.IFS(Sales[[#This Row],[Current Upsell $]]=0,"",Sales[[#This Row],[Current Upsell $]]&gt;=400,"High",Sales[[#This Row],[Current Upsell $]]&gt;=100,"Medium",Sales[[#This Row],[Current Upsell $]]&lt;100,"Low")</f>
        <v>Low</v>
      </c>
      <c r="R1938" t="str">
        <f>IF(Sales[[#This Row],[Current Upsell $]]&gt;0,_xlfn.CONCAT(Sales[[#This Row],[Subscription Type]]," ",Sales[[#This Row],[Upsell Priority]]," ",TEXT(Sales[[#This Row],[Current Upsell $]],"$#,#")),"")</f>
        <v>Basic Low $80</v>
      </c>
    </row>
    <row r="1939" spans="1:18" x14ac:dyDescent="0.25">
      <c r="A1939">
        <v>100234</v>
      </c>
      <c r="B1939" t="s">
        <v>3</v>
      </c>
      <c r="F1939">
        <v>0</v>
      </c>
      <c r="G1939">
        <v>8</v>
      </c>
      <c r="H1939" s="1">
        <v>44256</v>
      </c>
      <c r="I1939" s="1">
        <v>44378</v>
      </c>
      <c r="J1939">
        <v>4</v>
      </c>
      <c r="K1939">
        <v>0</v>
      </c>
      <c r="L1939" s="1">
        <v>44256</v>
      </c>
      <c r="M1939">
        <v>0</v>
      </c>
      <c r="N1939" s="8" cm="1">
        <f t="array" ref="N1939">_xlfn.SWITCH(Sales[[#This Row],[Subscription Type]],"Basic",10,"Premium",10,"Business",25,"Enterprise",27)</f>
        <v>10</v>
      </c>
      <c r="O1939">
        <f>IF(Sales[[#This Row],[Number of Users]]-Sales[[#This Row],[Licenses Bought]]&lt;0,0,Sales[[#This Row],[Number of Users]]-Sales[[#This Row],[Licenses Bought]])</f>
        <v>8</v>
      </c>
      <c r="P1939" s="8">
        <f>IF(Sales[[#This Row],[Sales Month]]=MAX(Sales[Sales Month]),Sales[[#This Row],[Non-Paying Users]]*Sales[[#This Row],[Upsell $ per Non-Paying User]],0)</f>
        <v>0</v>
      </c>
      <c r="Q1939" t="str" cm="1">
        <f t="array" ref="Q1939">_xlfn.IFS(Sales[[#This Row],[Current Upsell $]]=0,"",Sales[[#This Row],[Current Upsell $]]&gt;=400,"High",Sales[[#This Row],[Current Upsell $]]&gt;=100,"Medium",Sales[[#This Row],[Current Upsell $]]&lt;100,"Low")</f>
        <v/>
      </c>
      <c r="R1939" t="str">
        <f>IF(Sales[[#This Row],[Current Upsell $]]&gt;0,_xlfn.CONCAT(Sales[[#This Row],[Subscription Type]]," ",Sales[[#This Row],[Upsell Priority]]," ",TEXT(Sales[[#This Row],[Current Upsell $]],"$#,#")),"")</f>
        <v/>
      </c>
    </row>
    <row r="1940" spans="1:18" x14ac:dyDescent="0.25">
      <c r="A1940">
        <v>100234</v>
      </c>
      <c r="B1940" t="s">
        <v>3</v>
      </c>
      <c r="F1940">
        <v>0</v>
      </c>
      <c r="G1940">
        <v>6</v>
      </c>
      <c r="H1940" s="1">
        <v>44256</v>
      </c>
      <c r="I1940" s="1">
        <v>44378</v>
      </c>
      <c r="J1940">
        <v>4</v>
      </c>
      <c r="K1940">
        <v>0</v>
      </c>
      <c r="L1940" s="1">
        <v>44287</v>
      </c>
      <c r="M1940">
        <v>0</v>
      </c>
      <c r="N1940" s="8" cm="1">
        <f t="array" ref="N1940">_xlfn.SWITCH(Sales[[#This Row],[Subscription Type]],"Basic",10,"Premium",10,"Business",25,"Enterprise",27)</f>
        <v>10</v>
      </c>
      <c r="O1940">
        <f>IF(Sales[[#This Row],[Number of Users]]-Sales[[#This Row],[Licenses Bought]]&lt;0,0,Sales[[#This Row],[Number of Users]]-Sales[[#This Row],[Licenses Bought]])</f>
        <v>6</v>
      </c>
      <c r="P1940" s="8">
        <f>IF(Sales[[#This Row],[Sales Month]]=MAX(Sales[Sales Month]),Sales[[#This Row],[Non-Paying Users]]*Sales[[#This Row],[Upsell $ per Non-Paying User]],0)</f>
        <v>0</v>
      </c>
      <c r="Q1940" t="str" cm="1">
        <f t="array" ref="Q1940">_xlfn.IFS(Sales[[#This Row],[Current Upsell $]]=0,"",Sales[[#This Row],[Current Upsell $]]&gt;=400,"High",Sales[[#This Row],[Current Upsell $]]&gt;=100,"Medium",Sales[[#This Row],[Current Upsell $]]&lt;100,"Low")</f>
        <v/>
      </c>
      <c r="R1940" t="str">
        <f>IF(Sales[[#This Row],[Current Upsell $]]&gt;0,_xlfn.CONCAT(Sales[[#This Row],[Subscription Type]]," ",Sales[[#This Row],[Upsell Priority]]," ",TEXT(Sales[[#This Row],[Current Upsell $]],"$#,#")),"")</f>
        <v/>
      </c>
    </row>
    <row r="1941" spans="1:18" x14ac:dyDescent="0.25">
      <c r="A1941">
        <v>100234</v>
      </c>
      <c r="B1941" t="s">
        <v>3</v>
      </c>
      <c r="F1941">
        <v>0</v>
      </c>
      <c r="G1941">
        <v>8</v>
      </c>
      <c r="H1941" s="1">
        <v>44256</v>
      </c>
      <c r="I1941" s="1">
        <v>44378</v>
      </c>
      <c r="J1941">
        <v>4</v>
      </c>
      <c r="K1941">
        <v>0</v>
      </c>
      <c r="L1941" s="1">
        <v>44317</v>
      </c>
      <c r="M1941">
        <v>0</v>
      </c>
      <c r="N1941" s="8" cm="1">
        <f t="array" ref="N1941">_xlfn.SWITCH(Sales[[#This Row],[Subscription Type]],"Basic",10,"Premium",10,"Business",25,"Enterprise",27)</f>
        <v>10</v>
      </c>
      <c r="O1941">
        <f>IF(Sales[[#This Row],[Number of Users]]-Sales[[#This Row],[Licenses Bought]]&lt;0,0,Sales[[#This Row],[Number of Users]]-Sales[[#This Row],[Licenses Bought]])</f>
        <v>8</v>
      </c>
      <c r="P1941" s="8">
        <f>IF(Sales[[#This Row],[Sales Month]]=MAX(Sales[Sales Month]),Sales[[#This Row],[Non-Paying Users]]*Sales[[#This Row],[Upsell $ per Non-Paying User]],0)</f>
        <v>0</v>
      </c>
      <c r="Q1941" t="str" cm="1">
        <f t="array" ref="Q1941">_xlfn.IFS(Sales[[#This Row],[Current Upsell $]]=0,"",Sales[[#This Row],[Current Upsell $]]&gt;=400,"High",Sales[[#This Row],[Current Upsell $]]&gt;=100,"Medium",Sales[[#This Row],[Current Upsell $]]&lt;100,"Low")</f>
        <v/>
      </c>
      <c r="R1941" t="str">
        <f>IF(Sales[[#This Row],[Current Upsell $]]&gt;0,_xlfn.CONCAT(Sales[[#This Row],[Subscription Type]]," ",Sales[[#This Row],[Upsell Priority]]," ",TEXT(Sales[[#This Row],[Current Upsell $]],"$#,#")),"")</f>
        <v/>
      </c>
    </row>
    <row r="1942" spans="1:18" x14ac:dyDescent="0.25">
      <c r="A1942">
        <v>100234</v>
      </c>
      <c r="B1942" t="s">
        <v>3</v>
      </c>
      <c r="F1942">
        <v>0</v>
      </c>
      <c r="G1942">
        <v>8</v>
      </c>
      <c r="H1942" s="1">
        <v>44256</v>
      </c>
      <c r="I1942" s="1">
        <v>44378</v>
      </c>
      <c r="J1942">
        <v>4</v>
      </c>
      <c r="K1942">
        <v>0</v>
      </c>
      <c r="L1942" s="1">
        <v>44348</v>
      </c>
      <c r="M1942">
        <v>0</v>
      </c>
      <c r="N1942" s="8" cm="1">
        <f t="array" ref="N1942">_xlfn.SWITCH(Sales[[#This Row],[Subscription Type]],"Basic",10,"Premium",10,"Business",25,"Enterprise",27)</f>
        <v>10</v>
      </c>
      <c r="O1942">
        <f>IF(Sales[[#This Row],[Number of Users]]-Sales[[#This Row],[Licenses Bought]]&lt;0,0,Sales[[#This Row],[Number of Users]]-Sales[[#This Row],[Licenses Bought]])</f>
        <v>8</v>
      </c>
      <c r="P1942" s="8">
        <f>IF(Sales[[#This Row],[Sales Month]]=MAX(Sales[Sales Month]),Sales[[#This Row],[Non-Paying Users]]*Sales[[#This Row],[Upsell $ per Non-Paying User]],0)</f>
        <v>80</v>
      </c>
      <c r="Q1942" t="str" cm="1">
        <f t="array" ref="Q1942">_xlfn.IFS(Sales[[#This Row],[Current Upsell $]]=0,"",Sales[[#This Row],[Current Upsell $]]&gt;=400,"High",Sales[[#This Row],[Current Upsell $]]&gt;=100,"Medium",Sales[[#This Row],[Current Upsell $]]&lt;100,"Low")</f>
        <v>Low</v>
      </c>
      <c r="R1942" t="str">
        <f>IF(Sales[[#This Row],[Current Upsell $]]&gt;0,_xlfn.CONCAT(Sales[[#This Row],[Subscription Type]]," ",Sales[[#This Row],[Upsell Priority]]," ",TEXT(Sales[[#This Row],[Current Upsell $]],"$#,#")),"")</f>
        <v>Basic Low $80</v>
      </c>
    </row>
    <row r="1943" spans="1:18" x14ac:dyDescent="0.25">
      <c r="A1943">
        <v>100235</v>
      </c>
      <c r="B1943" t="s">
        <v>3</v>
      </c>
      <c r="F1943">
        <v>0</v>
      </c>
      <c r="G1943">
        <v>7</v>
      </c>
      <c r="H1943" s="1">
        <v>44256</v>
      </c>
      <c r="I1943" s="1">
        <v>44348</v>
      </c>
      <c r="J1943">
        <v>3</v>
      </c>
      <c r="K1943">
        <v>0</v>
      </c>
      <c r="L1943" s="1">
        <v>44256</v>
      </c>
      <c r="M1943">
        <v>0</v>
      </c>
      <c r="N1943" s="8" cm="1">
        <f t="array" ref="N1943">_xlfn.SWITCH(Sales[[#This Row],[Subscription Type]],"Basic",10,"Premium",10,"Business",25,"Enterprise",27)</f>
        <v>10</v>
      </c>
      <c r="O1943">
        <f>IF(Sales[[#This Row],[Number of Users]]-Sales[[#This Row],[Licenses Bought]]&lt;0,0,Sales[[#This Row],[Number of Users]]-Sales[[#This Row],[Licenses Bought]])</f>
        <v>7</v>
      </c>
      <c r="P1943" s="8">
        <f>IF(Sales[[#This Row],[Sales Month]]=MAX(Sales[Sales Month]),Sales[[#This Row],[Non-Paying Users]]*Sales[[#This Row],[Upsell $ per Non-Paying User]],0)</f>
        <v>0</v>
      </c>
      <c r="Q1943" t="str" cm="1">
        <f t="array" ref="Q1943">_xlfn.IFS(Sales[[#This Row],[Current Upsell $]]=0,"",Sales[[#This Row],[Current Upsell $]]&gt;=400,"High",Sales[[#This Row],[Current Upsell $]]&gt;=100,"Medium",Sales[[#This Row],[Current Upsell $]]&lt;100,"Low")</f>
        <v/>
      </c>
      <c r="R1943" t="str">
        <f>IF(Sales[[#This Row],[Current Upsell $]]&gt;0,_xlfn.CONCAT(Sales[[#This Row],[Subscription Type]]," ",Sales[[#This Row],[Upsell Priority]]," ",TEXT(Sales[[#This Row],[Current Upsell $]],"$#,#")),"")</f>
        <v/>
      </c>
    </row>
    <row r="1944" spans="1:18" x14ac:dyDescent="0.25">
      <c r="A1944">
        <v>100235</v>
      </c>
      <c r="B1944" t="s">
        <v>3</v>
      </c>
      <c r="F1944">
        <v>0</v>
      </c>
      <c r="G1944">
        <v>7</v>
      </c>
      <c r="H1944" s="1">
        <v>44256</v>
      </c>
      <c r="I1944" s="1">
        <v>44348</v>
      </c>
      <c r="J1944">
        <v>3</v>
      </c>
      <c r="K1944">
        <v>0</v>
      </c>
      <c r="L1944" s="1">
        <v>44287</v>
      </c>
      <c r="M1944">
        <v>0</v>
      </c>
      <c r="N1944" s="8" cm="1">
        <f t="array" ref="N1944">_xlfn.SWITCH(Sales[[#This Row],[Subscription Type]],"Basic",10,"Premium",10,"Business",25,"Enterprise",27)</f>
        <v>10</v>
      </c>
      <c r="O1944">
        <f>IF(Sales[[#This Row],[Number of Users]]-Sales[[#This Row],[Licenses Bought]]&lt;0,0,Sales[[#This Row],[Number of Users]]-Sales[[#This Row],[Licenses Bought]])</f>
        <v>7</v>
      </c>
      <c r="P1944" s="8">
        <f>IF(Sales[[#This Row],[Sales Month]]=MAX(Sales[Sales Month]),Sales[[#This Row],[Non-Paying Users]]*Sales[[#This Row],[Upsell $ per Non-Paying User]],0)</f>
        <v>0</v>
      </c>
      <c r="Q1944" t="str" cm="1">
        <f t="array" ref="Q1944">_xlfn.IFS(Sales[[#This Row],[Current Upsell $]]=0,"",Sales[[#This Row],[Current Upsell $]]&gt;=400,"High",Sales[[#This Row],[Current Upsell $]]&gt;=100,"Medium",Sales[[#This Row],[Current Upsell $]]&lt;100,"Low")</f>
        <v/>
      </c>
      <c r="R1944" t="str">
        <f>IF(Sales[[#This Row],[Current Upsell $]]&gt;0,_xlfn.CONCAT(Sales[[#This Row],[Subscription Type]]," ",Sales[[#This Row],[Upsell Priority]]," ",TEXT(Sales[[#This Row],[Current Upsell $]],"$#,#")),"")</f>
        <v/>
      </c>
    </row>
    <row r="1945" spans="1:18" x14ac:dyDescent="0.25">
      <c r="A1945">
        <v>100235</v>
      </c>
      <c r="B1945" t="s">
        <v>3</v>
      </c>
      <c r="F1945">
        <v>0</v>
      </c>
      <c r="G1945">
        <v>5</v>
      </c>
      <c r="H1945" s="1">
        <v>44256</v>
      </c>
      <c r="I1945" s="1">
        <v>44348</v>
      </c>
      <c r="J1945">
        <v>3</v>
      </c>
      <c r="K1945">
        <v>0</v>
      </c>
      <c r="L1945" s="1">
        <v>44317</v>
      </c>
      <c r="M1945">
        <v>0</v>
      </c>
      <c r="N1945" s="8" cm="1">
        <f t="array" ref="N1945">_xlfn.SWITCH(Sales[[#This Row],[Subscription Type]],"Basic",10,"Premium",10,"Business",25,"Enterprise",27)</f>
        <v>10</v>
      </c>
      <c r="O1945">
        <f>IF(Sales[[#This Row],[Number of Users]]-Sales[[#This Row],[Licenses Bought]]&lt;0,0,Sales[[#This Row],[Number of Users]]-Sales[[#This Row],[Licenses Bought]])</f>
        <v>5</v>
      </c>
      <c r="P1945" s="8">
        <f>IF(Sales[[#This Row],[Sales Month]]=MAX(Sales[Sales Month]),Sales[[#This Row],[Non-Paying Users]]*Sales[[#This Row],[Upsell $ per Non-Paying User]],0)</f>
        <v>0</v>
      </c>
      <c r="Q1945" t="str" cm="1">
        <f t="array" ref="Q1945">_xlfn.IFS(Sales[[#This Row],[Current Upsell $]]=0,"",Sales[[#This Row],[Current Upsell $]]&gt;=400,"High",Sales[[#This Row],[Current Upsell $]]&gt;=100,"Medium",Sales[[#This Row],[Current Upsell $]]&lt;100,"Low")</f>
        <v/>
      </c>
      <c r="R1945" t="str">
        <f>IF(Sales[[#This Row],[Current Upsell $]]&gt;0,_xlfn.CONCAT(Sales[[#This Row],[Subscription Type]]," ",Sales[[#This Row],[Upsell Priority]]," ",TEXT(Sales[[#This Row],[Current Upsell $]],"$#,#")),"")</f>
        <v/>
      </c>
    </row>
    <row r="1946" spans="1:18" x14ac:dyDescent="0.25">
      <c r="A1946">
        <v>100235</v>
      </c>
      <c r="B1946" t="s">
        <v>3</v>
      </c>
      <c r="F1946">
        <v>0</v>
      </c>
      <c r="G1946">
        <v>7</v>
      </c>
      <c r="H1946" s="1">
        <v>44256</v>
      </c>
      <c r="I1946" s="1">
        <v>44348</v>
      </c>
      <c r="J1946">
        <v>3</v>
      </c>
      <c r="K1946">
        <v>0</v>
      </c>
      <c r="L1946" s="1">
        <v>44348</v>
      </c>
      <c r="M1946">
        <v>0</v>
      </c>
      <c r="N1946" s="8" cm="1">
        <f t="array" ref="N1946">_xlfn.SWITCH(Sales[[#This Row],[Subscription Type]],"Basic",10,"Premium",10,"Business",25,"Enterprise",27)</f>
        <v>10</v>
      </c>
      <c r="O1946">
        <f>IF(Sales[[#This Row],[Number of Users]]-Sales[[#This Row],[Licenses Bought]]&lt;0,0,Sales[[#This Row],[Number of Users]]-Sales[[#This Row],[Licenses Bought]])</f>
        <v>7</v>
      </c>
      <c r="P1946" s="8">
        <f>IF(Sales[[#This Row],[Sales Month]]=MAX(Sales[Sales Month]),Sales[[#This Row],[Non-Paying Users]]*Sales[[#This Row],[Upsell $ per Non-Paying User]],0)</f>
        <v>70</v>
      </c>
      <c r="Q1946" t="str" cm="1">
        <f t="array" ref="Q1946">_xlfn.IFS(Sales[[#This Row],[Current Upsell $]]=0,"",Sales[[#This Row],[Current Upsell $]]&gt;=400,"High",Sales[[#This Row],[Current Upsell $]]&gt;=100,"Medium",Sales[[#This Row],[Current Upsell $]]&lt;100,"Low")</f>
        <v>Low</v>
      </c>
      <c r="R1946" t="str">
        <f>IF(Sales[[#This Row],[Current Upsell $]]&gt;0,_xlfn.CONCAT(Sales[[#This Row],[Subscription Type]]," ",Sales[[#This Row],[Upsell Priority]]," ",TEXT(Sales[[#This Row],[Current Upsell $]],"$#,#")),"")</f>
        <v>Basic Low $70</v>
      </c>
    </row>
    <row r="1947" spans="1:18" x14ac:dyDescent="0.25">
      <c r="A1947">
        <v>100236</v>
      </c>
      <c r="B1947" t="s">
        <v>3</v>
      </c>
      <c r="F1947">
        <v>0</v>
      </c>
      <c r="G1947">
        <v>7</v>
      </c>
      <c r="H1947" s="1">
        <v>44256</v>
      </c>
      <c r="I1947" s="1">
        <v>44378</v>
      </c>
      <c r="J1947">
        <v>4</v>
      </c>
      <c r="K1947">
        <v>0</v>
      </c>
      <c r="L1947" s="1">
        <v>44256</v>
      </c>
      <c r="M1947">
        <v>0</v>
      </c>
      <c r="N1947" s="8" cm="1">
        <f t="array" ref="N1947">_xlfn.SWITCH(Sales[[#This Row],[Subscription Type]],"Basic",10,"Premium",10,"Business",25,"Enterprise",27)</f>
        <v>10</v>
      </c>
      <c r="O1947">
        <f>IF(Sales[[#This Row],[Number of Users]]-Sales[[#This Row],[Licenses Bought]]&lt;0,0,Sales[[#This Row],[Number of Users]]-Sales[[#This Row],[Licenses Bought]])</f>
        <v>7</v>
      </c>
      <c r="P1947" s="8">
        <f>IF(Sales[[#This Row],[Sales Month]]=MAX(Sales[Sales Month]),Sales[[#This Row],[Non-Paying Users]]*Sales[[#This Row],[Upsell $ per Non-Paying User]],0)</f>
        <v>0</v>
      </c>
      <c r="Q1947" t="str" cm="1">
        <f t="array" ref="Q1947">_xlfn.IFS(Sales[[#This Row],[Current Upsell $]]=0,"",Sales[[#This Row],[Current Upsell $]]&gt;=400,"High",Sales[[#This Row],[Current Upsell $]]&gt;=100,"Medium",Sales[[#This Row],[Current Upsell $]]&lt;100,"Low")</f>
        <v/>
      </c>
      <c r="R1947" t="str">
        <f>IF(Sales[[#This Row],[Current Upsell $]]&gt;0,_xlfn.CONCAT(Sales[[#This Row],[Subscription Type]]," ",Sales[[#This Row],[Upsell Priority]]," ",TEXT(Sales[[#This Row],[Current Upsell $]],"$#,#")),"")</f>
        <v/>
      </c>
    </row>
    <row r="1948" spans="1:18" x14ac:dyDescent="0.25">
      <c r="A1948">
        <v>100236</v>
      </c>
      <c r="B1948" t="s">
        <v>3</v>
      </c>
      <c r="F1948">
        <v>0</v>
      </c>
      <c r="G1948">
        <v>6</v>
      </c>
      <c r="H1948" s="1">
        <v>44256</v>
      </c>
      <c r="I1948" s="1">
        <v>44378</v>
      </c>
      <c r="J1948">
        <v>4</v>
      </c>
      <c r="K1948">
        <v>0</v>
      </c>
      <c r="L1948" s="1">
        <v>44287</v>
      </c>
      <c r="M1948">
        <v>0</v>
      </c>
      <c r="N1948" s="8" cm="1">
        <f t="array" ref="N1948">_xlfn.SWITCH(Sales[[#This Row],[Subscription Type]],"Basic",10,"Premium",10,"Business",25,"Enterprise",27)</f>
        <v>10</v>
      </c>
      <c r="O1948">
        <f>IF(Sales[[#This Row],[Number of Users]]-Sales[[#This Row],[Licenses Bought]]&lt;0,0,Sales[[#This Row],[Number of Users]]-Sales[[#This Row],[Licenses Bought]])</f>
        <v>6</v>
      </c>
      <c r="P1948" s="8">
        <f>IF(Sales[[#This Row],[Sales Month]]=MAX(Sales[Sales Month]),Sales[[#This Row],[Non-Paying Users]]*Sales[[#This Row],[Upsell $ per Non-Paying User]],0)</f>
        <v>0</v>
      </c>
      <c r="Q1948" t="str" cm="1">
        <f t="array" ref="Q1948">_xlfn.IFS(Sales[[#This Row],[Current Upsell $]]=0,"",Sales[[#This Row],[Current Upsell $]]&gt;=400,"High",Sales[[#This Row],[Current Upsell $]]&gt;=100,"Medium",Sales[[#This Row],[Current Upsell $]]&lt;100,"Low")</f>
        <v/>
      </c>
      <c r="R1948" t="str">
        <f>IF(Sales[[#This Row],[Current Upsell $]]&gt;0,_xlfn.CONCAT(Sales[[#This Row],[Subscription Type]]," ",Sales[[#This Row],[Upsell Priority]]," ",TEXT(Sales[[#This Row],[Current Upsell $]],"$#,#")),"")</f>
        <v/>
      </c>
    </row>
    <row r="1949" spans="1:18" x14ac:dyDescent="0.25">
      <c r="A1949">
        <v>100236</v>
      </c>
      <c r="B1949" t="s">
        <v>3</v>
      </c>
      <c r="F1949">
        <v>0</v>
      </c>
      <c r="G1949">
        <v>6</v>
      </c>
      <c r="H1949" s="1">
        <v>44256</v>
      </c>
      <c r="I1949" s="1">
        <v>44378</v>
      </c>
      <c r="J1949">
        <v>4</v>
      </c>
      <c r="K1949">
        <v>0</v>
      </c>
      <c r="L1949" s="1">
        <v>44317</v>
      </c>
      <c r="M1949">
        <v>0</v>
      </c>
      <c r="N1949" s="8" cm="1">
        <f t="array" ref="N1949">_xlfn.SWITCH(Sales[[#This Row],[Subscription Type]],"Basic",10,"Premium",10,"Business",25,"Enterprise",27)</f>
        <v>10</v>
      </c>
      <c r="O1949">
        <f>IF(Sales[[#This Row],[Number of Users]]-Sales[[#This Row],[Licenses Bought]]&lt;0,0,Sales[[#This Row],[Number of Users]]-Sales[[#This Row],[Licenses Bought]])</f>
        <v>6</v>
      </c>
      <c r="P1949" s="8">
        <f>IF(Sales[[#This Row],[Sales Month]]=MAX(Sales[Sales Month]),Sales[[#This Row],[Non-Paying Users]]*Sales[[#This Row],[Upsell $ per Non-Paying User]],0)</f>
        <v>0</v>
      </c>
      <c r="Q1949" t="str" cm="1">
        <f t="array" ref="Q1949">_xlfn.IFS(Sales[[#This Row],[Current Upsell $]]=0,"",Sales[[#This Row],[Current Upsell $]]&gt;=400,"High",Sales[[#This Row],[Current Upsell $]]&gt;=100,"Medium",Sales[[#This Row],[Current Upsell $]]&lt;100,"Low")</f>
        <v/>
      </c>
      <c r="R1949" t="str">
        <f>IF(Sales[[#This Row],[Current Upsell $]]&gt;0,_xlfn.CONCAT(Sales[[#This Row],[Subscription Type]]," ",Sales[[#This Row],[Upsell Priority]]," ",TEXT(Sales[[#This Row],[Current Upsell $]],"$#,#")),"")</f>
        <v/>
      </c>
    </row>
    <row r="1950" spans="1:18" x14ac:dyDescent="0.25">
      <c r="A1950">
        <v>100236</v>
      </c>
      <c r="B1950" t="s">
        <v>3</v>
      </c>
      <c r="F1950">
        <v>0</v>
      </c>
      <c r="G1950">
        <v>6</v>
      </c>
      <c r="H1950" s="1">
        <v>44256</v>
      </c>
      <c r="I1950" s="1">
        <v>44378</v>
      </c>
      <c r="J1950">
        <v>4</v>
      </c>
      <c r="K1950">
        <v>0</v>
      </c>
      <c r="L1950" s="1">
        <v>44348</v>
      </c>
      <c r="M1950">
        <v>0</v>
      </c>
      <c r="N1950" s="8" cm="1">
        <f t="array" ref="N1950">_xlfn.SWITCH(Sales[[#This Row],[Subscription Type]],"Basic",10,"Premium",10,"Business",25,"Enterprise",27)</f>
        <v>10</v>
      </c>
      <c r="O1950">
        <f>IF(Sales[[#This Row],[Number of Users]]-Sales[[#This Row],[Licenses Bought]]&lt;0,0,Sales[[#This Row],[Number of Users]]-Sales[[#This Row],[Licenses Bought]])</f>
        <v>6</v>
      </c>
      <c r="P1950" s="8">
        <f>IF(Sales[[#This Row],[Sales Month]]=MAX(Sales[Sales Month]),Sales[[#This Row],[Non-Paying Users]]*Sales[[#This Row],[Upsell $ per Non-Paying User]],0)</f>
        <v>60</v>
      </c>
      <c r="Q1950" t="str" cm="1">
        <f t="array" ref="Q1950">_xlfn.IFS(Sales[[#This Row],[Current Upsell $]]=0,"",Sales[[#This Row],[Current Upsell $]]&gt;=400,"High",Sales[[#This Row],[Current Upsell $]]&gt;=100,"Medium",Sales[[#This Row],[Current Upsell $]]&lt;100,"Low")</f>
        <v>Low</v>
      </c>
      <c r="R1950" t="str">
        <f>IF(Sales[[#This Row],[Current Upsell $]]&gt;0,_xlfn.CONCAT(Sales[[#This Row],[Subscription Type]]," ",Sales[[#This Row],[Upsell Priority]]," ",TEXT(Sales[[#This Row],[Current Upsell $]],"$#,#")),"")</f>
        <v>Basic Low $60</v>
      </c>
    </row>
    <row r="1951" spans="1:18" x14ac:dyDescent="0.25">
      <c r="A1951">
        <v>100237</v>
      </c>
      <c r="B1951" t="s">
        <v>3</v>
      </c>
      <c r="F1951">
        <v>0</v>
      </c>
      <c r="G1951">
        <v>6</v>
      </c>
      <c r="H1951" s="1">
        <v>44256</v>
      </c>
      <c r="I1951" s="1">
        <v>44287</v>
      </c>
      <c r="J1951">
        <v>1</v>
      </c>
      <c r="K1951">
        <v>2</v>
      </c>
      <c r="L1951" s="1">
        <v>44256</v>
      </c>
      <c r="M1951">
        <v>0</v>
      </c>
      <c r="N1951" s="8" cm="1">
        <f t="array" ref="N1951">_xlfn.SWITCH(Sales[[#This Row],[Subscription Type]],"Basic",10,"Premium",10,"Business",25,"Enterprise",27)</f>
        <v>10</v>
      </c>
      <c r="O1951">
        <f>IF(Sales[[#This Row],[Number of Users]]-Sales[[#This Row],[Licenses Bought]]&lt;0,0,Sales[[#This Row],[Number of Users]]-Sales[[#This Row],[Licenses Bought]])</f>
        <v>6</v>
      </c>
      <c r="P1951" s="8">
        <f>IF(Sales[[#This Row],[Sales Month]]=MAX(Sales[Sales Month]),Sales[[#This Row],[Non-Paying Users]]*Sales[[#This Row],[Upsell $ per Non-Paying User]],0)</f>
        <v>0</v>
      </c>
      <c r="Q1951" t="str" cm="1">
        <f t="array" ref="Q1951">_xlfn.IFS(Sales[[#This Row],[Current Upsell $]]=0,"",Sales[[#This Row],[Current Upsell $]]&gt;=400,"High",Sales[[#This Row],[Current Upsell $]]&gt;=100,"Medium",Sales[[#This Row],[Current Upsell $]]&lt;100,"Low")</f>
        <v/>
      </c>
      <c r="R1951" t="str">
        <f>IF(Sales[[#This Row],[Current Upsell $]]&gt;0,_xlfn.CONCAT(Sales[[#This Row],[Subscription Type]]," ",Sales[[#This Row],[Upsell Priority]]," ",TEXT(Sales[[#This Row],[Current Upsell $]],"$#,#")),"")</f>
        <v/>
      </c>
    </row>
    <row r="1952" spans="1:18" x14ac:dyDescent="0.25">
      <c r="A1952">
        <v>100237</v>
      </c>
      <c r="B1952" t="s">
        <v>3</v>
      </c>
      <c r="F1952">
        <v>0</v>
      </c>
      <c r="G1952">
        <v>6</v>
      </c>
      <c r="H1952" s="1">
        <v>44256</v>
      </c>
      <c r="I1952" s="1">
        <v>44287</v>
      </c>
      <c r="J1952">
        <v>1</v>
      </c>
      <c r="K1952">
        <v>2</v>
      </c>
      <c r="L1952" s="1">
        <v>44287</v>
      </c>
      <c r="M1952">
        <v>0</v>
      </c>
      <c r="N1952" s="8" cm="1">
        <f t="array" ref="N1952">_xlfn.SWITCH(Sales[[#This Row],[Subscription Type]],"Basic",10,"Premium",10,"Business",25,"Enterprise",27)</f>
        <v>10</v>
      </c>
      <c r="O1952">
        <f>IF(Sales[[#This Row],[Number of Users]]-Sales[[#This Row],[Licenses Bought]]&lt;0,0,Sales[[#This Row],[Number of Users]]-Sales[[#This Row],[Licenses Bought]])</f>
        <v>6</v>
      </c>
      <c r="P1952" s="8">
        <f>IF(Sales[[#This Row],[Sales Month]]=MAX(Sales[Sales Month]),Sales[[#This Row],[Non-Paying Users]]*Sales[[#This Row],[Upsell $ per Non-Paying User]],0)</f>
        <v>0</v>
      </c>
      <c r="Q1952" t="str" cm="1">
        <f t="array" ref="Q1952">_xlfn.IFS(Sales[[#This Row],[Current Upsell $]]=0,"",Sales[[#This Row],[Current Upsell $]]&gt;=400,"High",Sales[[#This Row],[Current Upsell $]]&gt;=100,"Medium",Sales[[#This Row],[Current Upsell $]]&lt;100,"Low")</f>
        <v/>
      </c>
      <c r="R1952" t="str">
        <f>IF(Sales[[#This Row],[Current Upsell $]]&gt;0,_xlfn.CONCAT(Sales[[#This Row],[Subscription Type]]," ",Sales[[#This Row],[Upsell Priority]]," ",TEXT(Sales[[#This Row],[Current Upsell $]],"$#,#")),"")</f>
        <v/>
      </c>
    </row>
    <row r="1953" spans="1:18" x14ac:dyDescent="0.25">
      <c r="A1953">
        <v>100238</v>
      </c>
      <c r="B1953" t="s">
        <v>3</v>
      </c>
      <c r="F1953">
        <v>0</v>
      </c>
      <c r="G1953">
        <v>5</v>
      </c>
      <c r="H1953" s="1">
        <v>44256</v>
      </c>
      <c r="I1953" s="1">
        <v>44317</v>
      </c>
      <c r="J1953">
        <v>2</v>
      </c>
      <c r="K1953">
        <v>1</v>
      </c>
      <c r="L1953" s="1">
        <v>44256</v>
      </c>
      <c r="M1953">
        <v>0</v>
      </c>
      <c r="N1953" s="8" cm="1">
        <f t="array" ref="N1953">_xlfn.SWITCH(Sales[[#This Row],[Subscription Type]],"Basic",10,"Premium",10,"Business",25,"Enterprise",27)</f>
        <v>10</v>
      </c>
      <c r="O1953">
        <f>IF(Sales[[#This Row],[Number of Users]]-Sales[[#This Row],[Licenses Bought]]&lt;0,0,Sales[[#This Row],[Number of Users]]-Sales[[#This Row],[Licenses Bought]])</f>
        <v>5</v>
      </c>
      <c r="P1953" s="8">
        <f>IF(Sales[[#This Row],[Sales Month]]=MAX(Sales[Sales Month]),Sales[[#This Row],[Non-Paying Users]]*Sales[[#This Row],[Upsell $ per Non-Paying User]],0)</f>
        <v>0</v>
      </c>
      <c r="Q1953" t="str" cm="1">
        <f t="array" ref="Q1953">_xlfn.IFS(Sales[[#This Row],[Current Upsell $]]=0,"",Sales[[#This Row],[Current Upsell $]]&gt;=400,"High",Sales[[#This Row],[Current Upsell $]]&gt;=100,"Medium",Sales[[#This Row],[Current Upsell $]]&lt;100,"Low")</f>
        <v/>
      </c>
      <c r="R1953" t="str">
        <f>IF(Sales[[#This Row],[Current Upsell $]]&gt;0,_xlfn.CONCAT(Sales[[#This Row],[Subscription Type]]," ",Sales[[#This Row],[Upsell Priority]]," ",TEXT(Sales[[#This Row],[Current Upsell $]],"$#,#")),"")</f>
        <v/>
      </c>
    </row>
    <row r="1954" spans="1:18" x14ac:dyDescent="0.25">
      <c r="A1954">
        <v>100238</v>
      </c>
      <c r="B1954" t="s">
        <v>0</v>
      </c>
      <c r="F1954">
        <v>3</v>
      </c>
      <c r="G1954">
        <v>6</v>
      </c>
      <c r="H1954" s="1">
        <v>44256</v>
      </c>
      <c r="I1954" s="1">
        <v>44317</v>
      </c>
      <c r="J1954">
        <v>2</v>
      </c>
      <c r="K1954">
        <v>1</v>
      </c>
      <c r="L1954" s="1">
        <v>44287</v>
      </c>
      <c r="M1954">
        <v>30</v>
      </c>
      <c r="N1954" s="8" cm="1">
        <f t="array" ref="N1954">_xlfn.SWITCH(Sales[[#This Row],[Subscription Type]],"Basic",10,"Premium",10,"Business",25,"Enterprise",27)</f>
        <v>10</v>
      </c>
      <c r="O1954">
        <f>IF(Sales[[#This Row],[Number of Users]]-Sales[[#This Row],[Licenses Bought]]&lt;0,0,Sales[[#This Row],[Number of Users]]-Sales[[#This Row],[Licenses Bought]])</f>
        <v>3</v>
      </c>
      <c r="P1954" s="8">
        <f>IF(Sales[[#This Row],[Sales Month]]=MAX(Sales[Sales Month]),Sales[[#This Row],[Non-Paying Users]]*Sales[[#This Row],[Upsell $ per Non-Paying User]],0)</f>
        <v>0</v>
      </c>
      <c r="Q1954" t="str" cm="1">
        <f t="array" ref="Q1954">_xlfn.IFS(Sales[[#This Row],[Current Upsell $]]=0,"",Sales[[#This Row],[Current Upsell $]]&gt;=400,"High",Sales[[#This Row],[Current Upsell $]]&gt;=100,"Medium",Sales[[#This Row],[Current Upsell $]]&lt;100,"Low")</f>
        <v/>
      </c>
      <c r="R1954" t="str">
        <f>IF(Sales[[#This Row],[Current Upsell $]]&gt;0,_xlfn.CONCAT(Sales[[#This Row],[Subscription Type]]," ",Sales[[#This Row],[Upsell Priority]]," ",TEXT(Sales[[#This Row],[Current Upsell $]],"$#,#")),"")</f>
        <v/>
      </c>
    </row>
    <row r="1955" spans="1:18" x14ac:dyDescent="0.25">
      <c r="A1955">
        <v>100238</v>
      </c>
      <c r="B1955" t="s">
        <v>0</v>
      </c>
      <c r="F1955">
        <v>4</v>
      </c>
      <c r="G1955">
        <v>5</v>
      </c>
      <c r="H1955" s="1">
        <v>44256</v>
      </c>
      <c r="I1955" s="1">
        <v>44317</v>
      </c>
      <c r="J1955">
        <v>2</v>
      </c>
      <c r="K1955">
        <v>1</v>
      </c>
      <c r="L1955" s="1">
        <v>44317</v>
      </c>
      <c r="M1955">
        <v>40</v>
      </c>
      <c r="N1955" s="8" cm="1">
        <f t="array" ref="N1955">_xlfn.SWITCH(Sales[[#This Row],[Subscription Type]],"Basic",10,"Premium",10,"Business",25,"Enterprise",27)</f>
        <v>10</v>
      </c>
      <c r="O1955">
        <f>IF(Sales[[#This Row],[Number of Users]]-Sales[[#This Row],[Licenses Bought]]&lt;0,0,Sales[[#This Row],[Number of Users]]-Sales[[#This Row],[Licenses Bought]])</f>
        <v>1</v>
      </c>
      <c r="P1955" s="8">
        <f>IF(Sales[[#This Row],[Sales Month]]=MAX(Sales[Sales Month]),Sales[[#This Row],[Non-Paying Users]]*Sales[[#This Row],[Upsell $ per Non-Paying User]],0)</f>
        <v>0</v>
      </c>
      <c r="Q1955" t="str" cm="1">
        <f t="array" ref="Q1955">_xlfn.IFS(Sales[[#This Row],[Current Upsell $]]=0,"",Sales[[#This Row],[Current Upsell $]]&gt;=400,"High",Sales[[#This Row],[Current Upsell $]]&gt;=100,"Medium",Sales[[#This Row],[Current Upsell $]]&lt;100,"Low")</f>
        <v/>
      </c>
      <c r="R1955" t="str">
        <f>IF(Sales[[#This Row],[Current Upsell $]]&gt;0,_xlfn.CONCAT(Sales[[#This Row],[Subscription Type]]," ",Sales[[#This Row],[Upsell Priority]]," ",TEXT(Sales[[#This Row],[Current Upsell $]],"$#,#")),"")</f>
        <v/>
      </c>
    </row>
    <row r="1956" spans="1:18" x14ac:dyDescent="0.25">
      <c r="A1956">
        <v>100239</v>
      </c>
      <c r="B1956" t="s">
        <v>3</v>
      </c>
      <c r="F1956">
        <v>0</v>
      </c>
      <c r="G1956">
        <v>5</v>
      </c>
      <c r="H1956" s="1">
        <v>44256</v>
      </c>
      <c r="I1956" s="1">
        <v>44348</v>
      </c>
      <c r="J1956">
        <v>3</v>
      </c>
      <c r="K1956">
        <v>0</v>
      </c>
      <c r="L1956" s="1">
        <v>44256</v>
      </c>
      <c r="M1956">
        <v>0</v>
      </c>
      <c r="N1956" s="8" cm="1">
        <f t="array" ref="N1956">_xlfn.SWITCH(Sales[[#This Row],[Subscription Type]],"Basic",10,"Premium",10,"Business",25,"Enterprise",27)</f>
        <v>10</v>
      </c>
      <c r="O1956">
        <f>IF(Sales[[#This Row],[Number of Users]]-Sales[[#This Row],[Licenses Bought]]&lt;0,0,Sales[[#This Row],[Number of Users]]-Sales[[#This Row],[Licenses Bought]])</f>
        <v>5</v>
      </c>
      <c r="P1956" s="8">
        <f>IF(Sales[[#This Row],[Sales Month]]=MAX(Sales[Sales Month]),Sales[[#This Row],[Non-Paying Users]]*Sales[[#This Row],[Upsell $ per Non-Paying User]],0)</f>
        <v>0</v>
      </c>
      <c r="Q1956" t="str" cm="1">
        <f t="array" ref="Q1956">_xlfn.IFS(Sales[[#This Row],[Current Upsell $]]=0,"",Sales[[#This Row],[Current Upsell $]]&gt;=400,"High",Sales[[#This Row],[Current Upsell $]]&gt;=100,"Medium",Sales[[#This Row],[Current Upsell $]]&lt;100,"Low")</f>
        <v/>
      </c>
      <c r="R1956" t="str">
        <f>IF(Sales[[#This Row],[Current Upsell $]]&gt;0,_xlfn.CONCAT(Sales[[#This Row],[Subscription Type]]," ",Sales[[#This Row],[Upsell Priority]]," ",TEXT(Sales[[#This Row],[Current Upsell $]],"$#,#")),"")</f>
        <v/>
      </c>
    </row>
    <row r="1957" spans="1:18" x14ac:dyDescent="0.25">
      <c r="A1957">
        <v>100239</v>
      </c>
      <c r="B1957" t="s">
        <v>3</v>
      </c>
      <c r="F1957">
        <v>0</v>
      </c>
      <c r="G1957">
        <v>4</v>
      </c>
      <c r="H1957" s="1">
        <v>44256</v>
      </c>
      <c r="I1957" s="1">
        <v>44348</v>
      </c>
      <c r="J1957">
        <v>3</v>
      </c>
      <c r="K1957">
        <v>0</v>
      </c>
      <c r="L1957" s="1">
        <v>44287</v>
      </c>
      <c r="M1957">
        <v>0</v>
      </c>
      <c r="N1957" s="8" cm="1">
        <f t="array" ref="N1957">_xlfn.SWITCH(Sales[[#This Row],[Subscription Type]],"Basic",10,"Premium",10,"Business",25,"Enterprise",27)</f>
        <v>10</v>
      </c>
      <c r="O1957">
        <f>IF(Sales[[#This Row],[Number of Users]]-Sales[[#This Row],[Licenses Bought]]&lt;0,0,Sales[[#This Row],[Number of Users]]-Sales[[#This Row],[Licenses Bought]])</f>
        <v>4</v>
      </c>
      <c r="P1957" s="8">
        <f>IF(Sales[[#This Row],[Sales Month]]=MAX(Sales[Sales Month]),Sales[[#This Row],[Non-Paying Users]]*Sales[[#This Row],[Upsell $ per Non-Paying User]],0)</f>
        <v>0</v>
      </c>
      <c r="Q1957" t="str" cm="1">
        <f t="array" ref="Q1957">_xlfn.IFS(Sales[[#This Row],[Current Upsell $]]=0,"",Sales[[#This Row],[Current Upsell $]]&gt;=400,"High",Sales[[#This Row],[Current Upsell $]]&gt;=100,"Medium",Sales[[#This Row],[Current Upsell $]]&lt;100,"Low")</f>
        <v/>
      </c>
      <c r="R1957" t="str">
        <f>IF(Sales[[#This Row],[Current Upsell $]]&gt;0,_xlfn.CONCAT(Sales[[#This Row],[Subscription Type]]," ",Sales[[#This Row],[Upsell Priority]]," ",TEXT(Sales[[#This Row],[Current Upsell $]],"$#,#")),"")</f>
        <v/>
      </c>
    </row>
    <row r="1958" spans="1:18" x14ac:dyDescent="0.25">
      <c r="A1958">
        <v>100239</v>
      </c>
      <c r="B1958" t="s">
        <v>3</v>
      </c>
      <c r="F1958">
        <v>0</v>
      </c>
      <c r="G1958">
        <v>4</v>
      </c>
      <c r="H1958" s="1">
        <v>44256</v>
      </c>
      <c r="I1958" s="1">
        <v>44348</v>
      </c>
      <c r="J1958">
        <v>3</v>
      </c>
      <c r="K1958">
        <v>0</v>
      </c>
      <c r="L1958" s="1">
        <v>44317</v>
      </c>
      <c r="M1958">
        <v>0</v>
      </c>
      <c r="N1958" s="8" cm="1">
        <f t="array" ref="N1958">_xlfn.SWITCH(Sales[[#This Row],[Subscription Type]],"Basic",10,"Premium",10,"Business",25,"Enterprise",27)</f>
        <v>10</v>
      </c>
      <c r="O1958">
        <f>IF(Sales[[#This Row],[Number of Users]]-Sales[[#This Row],[Licenses Bought]]&lt;0,0,Sales[[#This Row],[Number of Users]]-Sales[[#This Row],[Licenses Bought]])</f>
        <v>4</v>
      </c>
      <c r="P1958" s="8">
        <f>IF(Sales[[#This Row],[Sales Month]]=MAX(Sales[Sales Month]),Sales[[#This Row],[Non-Paying Users]]*Sales[[#This Row],[Upsell $ per Non-Paying User]],0)</f>
        <v>0</v>
      </c>
      <c r="Q1958" t="str" cm="1">
        <f t="array" ref="Q1958">_xlfn.IFS(Sales[[#This Row],[Current Upsell $]]=0,"",Sales[[#This Row],[Current Upsell $]]&gt;=400,"High",Sales[[#This Row],[Current Upsell $]]&gt;=100,"Medium",Sales[[#This Row],[Current Upsell $]]&lt;100,"Low")</f>
        <v/>
      </c>
      <c r="R1958" t="str">
        <f>IF(Sales[[#This Row],[Current Upsell $]]&gt;0,_xlfn.CONCAT(Sales[[#This Row],[Subscription Type]]," ",Sales[[#This Row],[Upsell Priority]]," ",TEXT(Sales[[#This Row],[Current Upsell $]],"$#,#")),"")</f>
        <v/>
      </c>
    </row>
    <row r="1959" spans="1:18" x14ac:dyDescent="0.25">
      <c r="A1959">
        <v>100239</v>
      </c>
      <c r="B1959" t="s">
        <v>3</v>
      </c>
      <c r="F1959">
        <v>0</v>
      </c>
      <c r="G1959">
        <v>4</v>
      </c>
      <c r="H1959" s="1">
        <v>44256</v>
      </c>
      <c r="I1959" s="1">
        <v>44348</v>
      </c>
      <c r="J1959">
        <v>3</v>
      </c>
      <c r="K1959">
        <v>0</v>
      </c>
      <c r="L1959" s="1">
        <v>44348</v>
      </c>
      <c r="M1959">
        <v>0</v>
      </c>
      <c r="N1959" s="8" cm="1">
        <f t="array" ref="N1959">_xlfn.SWITCH(Sales[[#This Row],[Subscription Type]],"Basic",10,"Premium",10,"Business",25,"Enterprise",27)</f>
        <v>10</v>
      </c>
      <c r="O1959">
        <f>IF(Sales[[#This Row],[Number of Users]]-Sales[[#This Row],[Licenses Bought]]&lt;0,0,Sales[[#This Row],[Number of Users]]-Sales[[#This Row],[Licenses Bought]])</f>
        <v>4</v>
      </c>
      <c r="P1959" s="8">
        <f>IF(Sales[[#This Row],[Sales Month]]=MAX(Sales[Sales Month]),Sales[[#This Row],[Non-Paying Users]]*Sales[[#This Row],[Upsell $ per Non-Paying User]],0)</f>
        <v>40</v>
      </c>
      <c r="Q1959" t="str" cm="1">
        <f t="array" ref="Q1959">_xlfn.IFS(Sales[[#This Row],[Current Upsell $]]=0,"",Sales[[#This Row],[Current Upsell $]]&gt;=400,"High",Sales[[#This Row],[Current Upsell $]]&gt;=100,"Medium",Sales[[#This Row],[Current Upsell $]]&lt;100,"Low")</f>
        <v>Low</v>
      </c>
      <c r="R1959" t="str">
        <f>IF(Sales[[#This Row],[Current Upsell $]]&gt;0,_xlfn.CONCAT(Sales[[#This Row],[Subscription Type]]," ",Sales[[#This Row],[Upsell Priority]]," ",TEXT(Sales[[#This Row],[Current Upsell $]],"$#,#")),"")</f>
        <v>Basic Low $40</v>
      </c>
    </row>
    <row r="1960" spans="1:18" x14ac:dyDescent="0.25">
      <c r="A1960">
        <v>100240</v>
      </c>
      <c r="B1960" t="s">
        <v>3</v>
      </c>
      <c r="D1960" s="1"/>
      <c r="E1960" s="1"/>
      <c r="F1960">
        <v>0</v>
      </c>
      <c r="G1960">
        <v>2</v>
      </c>
      <c r="H1960" s="1">
        <v>44256</v>
      </c>
      <c r="I1960" s="1">
        <v>44378</v>
      </c>
      <c r="J1960">
        <v>4</v>
      </c>
      <c r="K1960">
        <v>0</v>
      </c>
      <c r="L1960" s="1">
        <v>44256</v>
      </c>
      <c r="M1960">
        <v>0</v>
      </c>
      <c r="N1960" s="8" cm="1">
        <f t="array" ref="N1960">_xlfn.SWITCH(Sales[[#This Row],[Subscription Type]],"Basic",10,"Premium",10,"Business",25,"Enterprise",27)</f>
        <v>10</v>
      </c>
      <c r="O1960">
        <f>IF(Sales[[#This Row],[Number of Users]]-Sales[[#This Row],[Licenses Bought]]&lt;0,0,Sales[[#This Row],[Number of Users]]-Sales[[#This Row],[Licenses Bought]])</f>
        <v>2</v>
      </c>
      <c r="P1960" s="8">
        <f>IF(Sales[[#This Row],[Sales Month]]=MAX(Sales[Sales Month]),Sales[[#This Row],[Non-Paying Users]]*Sales[[#This Row],[Upsell $ per Non-Paying User]],0)</f>
        <v>0</v>
      </c>
      <c r="Q1960" t="str" cm="1">
        <f t="array" ref="Q1960">_xlfn.IFS(Sales[[#This Row],[Current Upsell $]]=0,"",Sales[[#This Row],[Current Upsell $]]&gt;=400,"High",Sales[[#This Row],[Current Upsell $]]&gt;=100,"Medium",Sales[[#This Row],[Current Upsell $]]&lt;100,"Low")</f>
        <v/>
      </c>
      <c r="R1960" t="str">
        <f>IF(Sales[[#This Row],[Current Upsell $]]&gt;0,_xlfn.CONCAT(Sales[[#This Row],[Subscription Type]]," ",Sales[[#This Row],[Upsell Priority]]," ",TEXT(Sales[[#This Row],[Current Upsell $]],"$#,#")),"")</f>
        <v/>
      </c>
    </row>
    <row r="1961" spans="1:18" x14ac:dyDescent="0.25">
      <c r="A1961">
        <v>100240</v>
      </c>
      <c r="B1961" t="s">
        <v>0</v>
      </c>
      <c r="D1961" s="1"/>
      <c r="E1961" s="1"/>
      <c r="F1961">
        <v>1</v>
      </c>
      <c r="G1961">
        <v>2</v>
      </c>
      <c r="H1961" s="1">
        <v>44256</v>
      </c>
      <c r="I1961" s="1">
        <v>44378</v>
      </c>
      <c r="J1961">
        <v>4</v>
      </c>
      <c r="K1961">
        <v>0</v>
      </c>
      <c r="L1961" s="1">
        <v>44287</v>
      </c>
      <c r="M1961">
        <v>10</v>
      </c>
      <c r="N1961" s="8" cm="1">
        <f t="array" ref="N1961">_xlfn.SWITCH(Sales[[#This Row],[Subscription Type]],"Basic",10,"Premium",10,"Business",25,"Enterprise",27)</f>
        <v>10</v>
      </c>
      <c r="O1961">
        <f>IF(Sales[[#This Row],[Number of Users]]-Sales[[#This Row],[Licenses Bought]]&lt;0,0,Sales[[#This Row],[Number of Users]]-Sales[[#This Row],[Licenses Bought]])</f>
        <v>1</v>
      </c>
      <c r="P1961" s="8">
        <f>IF(Sales[[#This Row],[Sales Month]]=MAX(Sales[Sales Month]),Sales[[#This Row],[Non-Paying Users]]*Sales[[#This Row],[Upsell $ per Non-Paying User]],0)</f>
        <v>0</v>
      </c>
      <c r="Q1961" t="str" cm="1">
        <f t="array" ref="Q1961">_xlfn.IFS(Sales[[#This Row],[Current Upsell $]]=0,"",Sales[[#This Row],[Current Upsell $]]&gt;=400,"High",Sales[[#This Row],[Current Upsell $]]&gt;=100,"Medium",Sales[[#This Row],[Current Upsell $]]&lt;100,"Low")</f>
        <v/>
      </c>
      <c r="R1961" t="str">
        <f>IF(Sales[[#This Row],[Current Upsell $]]&gt;0,_xlfn.CONCAT(Sales[[#This Row],[Subscription Type]]," ",Sales[[#This Row],[Upsell Priority]]," ",TEXT(Sales[[#This Row],[Current Upsell $]],"$#,#")),"")</f>
        <v/>
      </c>
    </row>
    <row r="1962" spans="1:18" x14ac:dyDescent="0.25">
      <c r="A1962">
        <v>100240</v>
      </c>
      <c r="B1962" t="s">
        <v>0</v>
      </c>
      <c r="D1962" s="1"/>
      <c r="E1962" s="1"/>
      <c r="F1962">
        <v>1</v>
      </c>
      <c r="G1962">
        <v>2</v>
      </c>
      <c r="H1962" s="1">
        <v>44256</v>
      </c>
      <c r="I1962" s="1">
        <v>44378</v>
      </c>
      <c r="J1962">
        <v>4</v>
      </c>
      <c r="K1962">
        <v>0</v>
      </c>
      <c r="L1962" s="1">
        <v>44317</v>
      </c>
      <c r="M1962">
        <v>10</v>
      </c>
      <c r="N1962" s="8" cm="1">
        <f t="array" ref="N1962">_xlfn.SWITCH(Sales[[#This Row],[Subscription Type]],"Basic",10,"Premium",10,"Business",25,"Enterprise",27)</f>
        <v>10</v>
      </c>
      <c r="O1962">
        <f>IF(Sales[[#This Row],[Number of Users]]-Sales[[#This Row],[Licenses Bought]]&lt;0,0,Sales[[#This Row],[Number of Users]]-Sales[[#This Row],[Licenses Bought]])</f>
        <v>1</v>
      </c>
      <c r="P1962" s="8">
        <f>IF(Sales[[#This Row],[Sales Month]]=MAX(Sales[Sales Month]),Sales[[#This Row],[Non-Paying Users]]*Sales[[#This Row],[Upsell $ per Non-Paying User]],0)</f>
        <v>0</v>
      </c>
      <c r="Q1962" t="str" cm="1">
        <f t="array" ref="Q1962">_xlfn.IFS(Sales[[#This Row],[Current Upsell $]]=0,"",Sales[[#This Row],[Current Upsell $]]&gt;=400,"High",Sales[[#This Row],[Current Upsell $]]&gt;=100,"Medium",Sales[[#This Row],[Current Upsell $]]&lt;100,"Low")</f>
        <v/>
      </c>
      <c r="R1962" t="str">
        <f>IF(Sales[[#This Row],[Current Upsell $]]&gt;0,_xlfn.CONCAT(Sales[[#This Row],[Subscription Type]]," ",Sales[[#This Row],[Upsell Priority]]," ",TEXT(Sales[[#This Row],[Current Upsell $]],"$#,#")),"")</f>
        <v/>
      </c>
    </row>
    <row r="1963" spans="1:18" x14ac:dyDescent="0.25">
      <c r="A1963">
        <v>100240</v>
      </c>
      <c r="B1963" t="s">
        <v>0</v>
      </c>
      <c r="D1963" s="1"/>
      <c r="E1963" s="1"/>
      <c r="F1963">
        <v>1</v>
      </c>
      <c r="G1963">
        <v>2</v>
      </c>
      <c r="H1963" s="1">
        <v>44256</v>
      </c>
      <c r="I1963" s="1">
        <v>44378</v>
      </c>
      <c r="J1963">
        <v>4</v>
      </c>
      <c r="K1963">
        <v>0</v>
      </c>
      <c r="L1963" s="1">
        <v>44348</v>
      </c>
      <c r="M1963">
        <v>10</v>
      </c>
      <c r="N1963" s="8" cm="1">
        <f t="array" ref="N1963">_xlfn.SWITCH(Sales[[#This Row],[Subscription Type]],"Basic",10,"Premium",10,"Business",25,"Enterprise",27)</f>
        <v>10</v>
      </c>
      <c r="O1963">
        <f>IF(Sales[[#This Row],[Number of Users]]-Sales[[#This Row],[Licenses Bought]]&lt;0,0,Sales[[#This Row],[Number of Users]]-Sales[[#This Row],[Licenses Bought]])</f>
        <v>1</v>
      </c>
      <c r="P1963" s="8">
        <f>IF(Sales[[#This Row],[Sales Month]]=MAX(Sales[Sales Month]),Sales[[#This Row],[Non-Paying Users]]*Sales[[#This Row],[Upsell $ per Non-Paying User]],0)</f>
        <v>10</v>
      </c>
      <c r="Q1963" t="str" cm="1">
        <f t="array" ref="Q1963">_xlfn.IFS(Sales[[#This Row],[Current Upsell $]]=0,"",Sales[[#This Row],[Current Upsell $]]&gt;=400,"High",Sales[[#This Row],[Current Upsell $]]&gt;=100,"Medium",Sales[[#This Row],[Current Upsell $]]&lt;100,"Low")</f>
        <v>Low</v>
      </c>
      <c r="R1963" t="str">
        <f>IF(Sales[[#This Row],[Current Upsell $]]&gt;0,_xlfn.CONCAT(Sales[[#This Row],[Subscription Type]]," ",Sales[[#This Row],[Upsell Priority]]," ",TEXT(Sales[[#This Row],[Current Upsell $]],"$#,#")),"")</f>
        <v>Premium Low $10</v>
      </c>
    </row>
    <row r="1964" spans="1:18" x14ac:dyDescent="0.25">
      <c r="A1964">
        <v>100241</v>
      </c>
      <c r="B1964" t="s">
        <v>3</v>
      </c>
      <c r="D1964" s="1"/>
      <c r="E1964" s="1"/>
      <c r="F1964">
        <v>0</v>
      </c>
      <c r="G1964">
        <v>2</v>
      </c>
      <c r="H1964" s="1">
        <v>44256</v>
      </c>
      <c r="I1964" s="1">
        <v>44378</v>
      </c>
      <c r="J1964">
        <v>4</v>
      </c>
      <c r="K1964">
        <v>0</v>
      </c>
      <c r="L1964" s="1">
        <v>44256</v>
      </c>
      <c r="M1964">
        <v>0</v>
      </c>
      <c r="N1964" s="8" cm="1">
        <f t="array" ref="N1964">_xlfn.SWITCH(Sales[[#This Row],[Subscription Type]],"Basic",10,"Premium",10,"Business",25,"Enterprise",27)</f>
        <v>10</v>
      </c>
      <c r="O1964">
        <f>IF(Sales[[#This Row],[Number of Users]]-Sales[[#This Row],[Licenses Bought]]&lt;0,0,Sales[[#This Row],[Number of Users]]-Sales[[#This Row],[Licenses Bought]])</f>
        <v>2</v>
      </c>
      <c r="P1964" s="8">
        <f>IF(Sales[[#This Row],[Sales Month]]=MAX(Sales[Sales Month]),Sales[[#This Row],[Non-Paying Users]]*Sales[[#This Row],[Upsell $ per Non-Paying User]],0)</f>
        <v>0</v>
      </c>
      <c r="Q1964" t="str" cm="1">
        <f t="array" ref="Q1964">_xlfn.IFS(Sales[[#This Row],[Current Upsell $]]=0,"",Sales[[#This Row],[Current Upsell $]]&gt;=400,"High",Sales[[#This Row],[Current Upsell $]]&gt;=100,"Medium",Sales[[#This Row],[Current Upsell $]]&lt;100,"Low")</f>
        <v/>
      </c>
      <c r="R1964" t="str">
        <f>IF(Sales[[#This Row],[Current Upsell $]]&gt;0,_xlfn.CONCAT(Sales[[#This Row],[Subscription Type]]," ",Sales[[#This Row],[Upsell Priority]]," ",TEXT(Sales[[#This Row],[Current Upsell $]],"$#,#")),"")</f>
        <v/>
      </c>
    </row>
    <row r="1965" spans="1:18" x14ac:dyDescent="0.25">
      <c r="A1965">
        <v>100241</v>
      </c>
      <c r="B1965" t="s">
        <v>0</v>
      </c>
      <c r="D1965" s="1"/>
      <c r="E1965" s="1"/>
      <c r="F1965">
        <v>1</v>
      </c>
      <c r="G1965">
        <v>2</v>
      </c>
      <c r="H1965" s="1">
        <v>44256</v>
      </c>
      <c r="I1965" s="1">
        <v>44378</v>
      </c>
      <c r="J1965">
        <v>4</v>
      </c>
      <c r="K1965">
        <v>0</v>
      </c>
      <c r="L1965" s="1">
        <v>44287</v>
      </c>
      <c r="M1965">
        <v>10</v>
      </c>
      <c r="N1965" s="8" cm="1">
        <f t="array" ref="N1965">_xlfn.SWITCH(Sales[[#This Row],[Subscription Type]],"Basic",10,"Premium",10,"Business",25,"Enterprise",27)</f>
        <v>10</v>
      </c>
      <c r="O1965">
        <f>IF(Sales[[#This Row],[Number of Users]]-Sales[[#This Row],[Licenses Bought]]&lt;0,0,Sales[[#This Row],[Number of Users]]-Sales[[#This Row],[Licenses Bought]])</f>
        <v>1</v>
      </c>
      <c r="P1965" s="8">
        <f>IF(Sales[[#This Row],[Sales Month]]=MAX(Sales[Sales Month]),Sales[[#This Row],[Non-Paying Users]]*Sales[[#This Row],[Upsell $ per Non-Paying User]],0)</f>
        <v>0</v>
      </c>
      <c r="Q1965" t="str" cm="1">
        <f t="array" ref="Q1965">_xlfn.IFS(Sales[[#This Row],[Current Upsell $]]=0,"",Sales[[#This Row],[Current Upsell $]]&gt;=400,"High",Sales[[#This Row],[Current Upsell $]]&gt;=100,"Medium",Sales[[#This Row],[Current Upsell $]]&lt;100,"Low")</f>
        <v/>
      </c>
      <c r="R1965" t="str">
        <f>IF(Sales[[#This Row],[Current Upsell $]]&gt;0,_xlfn.CONCAT(Sales[[#This Row],[Subscription Type]]," ",Sales[[#This Row],[Upsell Priority]]," ",TEXT(Sales[[#This Row],[Current Upsell $]],"$#,#")),"")</f>
        <v/>
      </c>
    </row>
    <row r="1966" spans="1:18" x14ac:dyDescent="0.25">
      <c r="A1966">
        <v>100241</v>
      </c>
      <c r="B1966" t="s">
        <v>0</v>
      </c>
      <c r="D1966" s="1"/>
      <c r="E1966" s="1"/>
      <c r="F1966">
        <v>1</v>
      </c>
      <c r="G1966">
        <v>2</v>
      </c>
      <c r="H1966" s="1">
        <v>44256</v>
      </c>
      <c r="I1966" s="1">
        <v>44378</v>
      </c>
      <c r="J1966">
        <v>4</v>
      </c>
      <c r="K1966">
        <v>0</v>
      </c>
      <c r="L1966" s="1">
        <v>44317</v>
      </c>
      <c r="M1966">
        <v>10</v>
      </c>
      <c r="N1966" s="8" cm="1">
        <f t="array" ref="N1966">_xlfn.SWITCH(Sales[[#This Row],[Subscription Type]],"Basic",10,"Premium",10,"Business",25,"Enterprise",27)</f>
        <v>10</v>
      </c>
      <c r="O1966">
        <f>IF(Sales[[#This Row],[Number of Users]]-Sales[[#This Row],[Licenses Bought]]&lt;0,0,Sales[[#This Row],[Number of Users]]-Sales[[#This Row],[Licenses Bought]])</f>
        <v>1</v>
      </c>
      <c r="P1966" s="8">
        <f>IF(Sales[[#This Row],[Sales Month]]=MAX(Sales[Sales Month]),Sales[[#This Row],[Non-Paying Users]]*Sales[[#This Row],[Upsell $ per Non-Paying User]],0)</f>
        <v>0</v>
      </c>
      <c r="Q1966" t="str" cm="1">
        <f t="array" ref="Q1966">_xlfn.IFS(Sales[[#This Row],[Current Upsell $]]=0,"",Sales[[#This Row],[Current Upsell $]]&gt;=400,"High",Sales[[#This Row],[Current Upsell $]]&gt;=100,"Medium",Sales[[#This Row],[Current Upsell $]]&lt;100,"Low")</f>
        <v/>
      </c>
      <c r="R1966" t="str">
        <f>IF(Sales[[#This Row],[Current Upsell $]]&gt;0,_xlfn.CONCAT(Sales[[#This Row],[Subscription Type]]," ",Sales[[#This Row],[Upsell Priority]]," ",TEXT(Sales[[#This Row],[Current Upsell $]],"$#,#")),"")</f>
        <v/>
      </c>
    </row>
    <row r="1967" spans="1:18" x14ac:dyDescent="0.25">
      <c r="A1967">
        <v>100241</v>
      </c>
      <c r="B1967" t="s">
        <v>0</v>
      </c>
      <c r="D1967" s="1"/>
      <c r="E1967" s="1"/>
      <c r="F1967">
        <v>1</v>
      </c>
      <c r="G1967">
        <v>2</v>
      </c>
      <c r="H1967" s="1">
        <v>44256</v>
      </c>
      <c r="I1967" s="1">
        <v>44378</v>
      </c>
      <c r="J1967">
        <v>4</v>
      </c>
      <c r="K1967">
        <v>0</v>
      </c>
      <c r="L1967" s="1">
        <v>44348</v>
      </c>
      <c r="M1967">
        <v>10</v>
      </c>
      <c r="N1967" s="8" cm="1">
        <f t="array" ref="N1967">_xlfn.SWITCH(Sales[[#This Row],[Subscription Type]],"Basic",10,"Premium",10,"Business",25,"Enterprise",27)</f>
        <v>10</v>
      </c>
      <c r="O1967">
        <f>IF(Sales[[#This Row],[Number of Users]]-Sales[[#This Row],[Licenses Bought]]&lt;0,0,Sales[[#This Row],[Number of Users]]-Sales[[#This Row],[Licenses Bought]])</f>
        <v>1</v>
      </c>
      <c r="P1967" s="8">
        <f>IF(Sales[[#This Row],[Sales Month]]=MAX(Sales[Sales Month]),Sales[[#This Row],[Non-Paying Users]]*Sales[[#This Row],[Upsell $ per Non-Paying User]],0)</f>
        <v>10</v>
      </c>
      <c r="Q1967" t="str" cm="1">
        <f t="array" ref="Q1967">_xlfn.IFS(Sales[[#This Row],[Current Upsell $]]=0,"",Sales[[#This Row],[Current Upsell $]]&gt;=400,"High",Sales[[#This Row],[Current Upsell $]]&gt;=100,"Medium",Sales[[#This Row],[Current Upsell $]]&lt;100,"Low")</f>
        <v>Low</v>
      </c>
      <c r="R1967" t="str">
        <f>IF(Sales[[#This Row],[Current Upsell $]]&gt;0,_xlfn.CONCAT(Sales[[#This Row],[Subscription Type]]," ",Sales[[#This Row],[Upsell Priority]]," ",TEXT(Sales[[#This Row],[Current Upsell $]],"$#,#")),"")</f>
        <v>Premium Low $10</v>
      </c>
    </row>
    <row r="1968" spans="1:18" x14ac:dyDescent="0.25">
      <c r="A1968">
        <v>100242</v>
      </c>
      <c r="B1968" t="s">
        <v>3</v>
      </c>
      <c r="D1968" s="1"/>
      <c r="E1968" s="1"/>
      <c r="F1968">
        <v>0</v>
      </c>
      <c r="G1968">
        <v>2</v>
      </c>
      <c r="H1968" s="1">
        <v>44256</v>
      </c>
      <c r="I1968" s="1">
        <v>44378</v>
      </c>
      <c r="J1968">
        <v>4</v>
      </c>
      <c r="K1968">
        <v>0</v>
      </c>
      <c r="L1968" s="1">
        <v>44256</v>
      </c>
      <c r="M1968">
        <v>0</v>
      </c>
      <c r="N1968" s="8" cm="1">
        <f t="array" ref="N1968">_xlfn.SWITCH(Sales[[#This Row],[Subscription Type]],"Basic",10,"Premium",10,"Business",25,"Enterprise",27)</f>
        <v>10</v>
      </c>
      <c r="O1968">
        <f>IF(Sales[[#This Row],[Number of Users]]-Sales[[#This Row],[Licenses Bought]]&lt;0,0,Sales[[#This Row],[Number of Users]]-Sales[[#This Row],[Licenses Bought]])</f>
        <v>2</v>
      </c>
      <c r="P1968" s="8">
        <f>IF(Sales[[#This Row],[Sales Month]]=MAX(Sales[Sales Month]),Sales[[#This Row],[Non-Paying Users]]*Sales[[#This Row],[Upsell $ per Non-Paying User]],0)</f>
        <v>0</v>
      </c>
      <c r="Q1968" t="str" cm="1">
        <f t="array" ref="Q1968">_xlfn.IFS(Sales[[#This Row],[Current Upsell $]]=0,"",Sales[[#This Row],[Current Upsell $]]&gt;=400,"High",Sales[[#This Row],[Current Upsell $]]&gt;=100,"Medium",Sales[[#This Row],[Current Upsell $]]&lt;100,"Low")</f>
        <v/>
      </c>
      <c r="R1968" t="str">
        <f>IF(Sales[[#This Row],[Current Upsell $]]&gt;0,_xlfn.CONCAT(Sales[[#This Row],[Subscription Type]]," ",Sales[[#This Row],[Upsell Priority]]," ",TEXT(Sales[[#This Row],[Current Upsell $]],"$#,#")),"")</f>
        <v/>
      </c>
    </row>
    <row r="1969" spans="1:18" x14ac:dyDescent="0.25">
      <c r="A1969">
        <v>100242</v>
      </c>
      <c r="B1969" t="s">
        <v>0</v>
      </c>
      <c r="D1969" s="1"/>
      <c r="E1969" s="1"/>
      <c r="F1969">
        <v>1</v>
      </c>
      <c r="G1969">
        <v>2</v>
      </c>
      <c r="H1969" s="1">
        <v>44256</v>
      </c>
      <c r="I1969" s="1">
        <v>44378</v>
      </c>
      <c r="J1969">
        <v>4</v>
      </c>
      <c r="K1969">
        <v>0</v>
      </c>
      <c r="L1969" s="1">
        <v>44287</v>
      </c>
      <c r="M1969">
        <v>10</v>
      </c>
      <c r="N1969" s="8" cm="1">
        <f t="array" ref="N1969">_xlfn.SWITCH(Sales[[#This Row],[Subscription Type]],"Basic",10,"Premium",10,"Business",25,"Enterprise",27)</f>
        <v>10</v>
      </c>
      <c r="O1969">
        <f>IF(Sales[[#This Row],[Number of Users]]-Sales[[#This Row],[Licenses Bought]]&lt;0,0,Sales[[#This Row],[Number of Users]]-Sales[[#This Row],[Licenses Bought]])</f>
        <v>1</v>
      </c>
      <c r="P1969" s="8">
        <f>IF(Sales[[#This Row],[Sales Month]]=MAX(Sales[Sales Month]),Sales[[#This Row],[Non-Paying Users]]*Sales[[#This Row],[Upsell $ per Non-Paying User]],0)</f>
        <v>0</v>
      </c>
      <c r="Q1969" t="str" cm="1">
        <f t="array" ref="Q1969">_xlfn.IFS(Sales[[#This Row],[Current Upsell $]]=0,"",Sales[[#This Row],[Current Upsell $]]&gt;=400,"High",Sales[[#This Row],[Current Upsell $]]&gt;=100,"Medium",Sales[[#This Row],[Current Upsell $]]&lt;100,"Low")</f>
        <v/>
      </c>
      <c r="R1969" t="str">
        <f>IF(Sales[[#This Row],[Current Upsell $]]&gt;0,_xlfn.CONCAT(Sales[[#This Row],[Subscription Type]]," ",Sales[[#This Row],[Upsell Priority]]," ",TEXT(Sales[[#This Row],[Current Upsell $]],"$#,#")),"")</f>
        <v/>
      </c>
    </row>
    <row r="1970" spans="1:18" x14ac:dyDescent="0.25">
      <c r="A1970">
        <v>100242</v>
      </c>
      <c r="B1970" t="s">
        <v>0</v>
      </c>
      <c r="D1970" s="1"/>
      <c r="E1970" s="1"/>
      <c r="F1970">
        <v>1</v>
      </c>
      <c r="G1970">
        <v>2</v>
      </c>
      <c r="H1970" s="1">
        <v>44256</v>
      </c>
      <c r="I1970" s="1">
        <v>44378</v>
      </c>
      <c r="J1970">
        <v>4</v>
      </c>
      <c r="K1970">
        <v>0</v>
      </c>
      <c r="L1970" s="1">
        <v>44317</v>
      </c>
      <c r="M1970">
        <v>10</v>
      </c>
      <c r="N1970" s="8" cm="1">
        <f t="array" ref="N1970">_xlfn.SWITCH(Sales[[#This Row],[Subscription Type]],"Basic",10,"Premium",10,"Business",25,"Enterprise",27)</f>
        <v>10</v>
      </c>
      <c r="O1970">
        <f>IF(Sales[[#This Row],[Number of Users]]-Sales[[#This Row],[Licenses Bought]]&lt;0,0,Sales[[#This Row],[Number of Users]]-Sales[[#This Row],[Licenses Bought]])</f>
        <v>1</v>
      </c>
      <c r="P1970" s="8">
        <f>IF(Sales[[#This Row],[Sales Month]]=MAX(Sales[Sales Month]),Sales[[#This Row],[Non-Paying Users]]*Sales[[#This Row],[Upsell $ per Non-Paying User]],0)</f>
        <v>0</v>
      </c>
      <c r="Q1970" t="str" cm="1">
        <f t="array" ref="Q1970">_xlfn.IFS(Sales[[#This Row],[Current Upsell $]]=0,"",Sales[[#This Row],[Current Upsell $]]&gt;=400,"High",Sales[[#This Row],[Current Upsell $]]&gt;=100,"Medium",Sales[[#This Row],[Current Upsell $]]&lt;100,"Low")</f>
        <v/>
      </c>
      <c r="R1970" t="str">
        <f>IF(Sales[[#This Row],[Current Upsell $]]&gt;0,_xlfn.CONCAT(Sales[[#This Row],[Subscription Type]]," ",Sales[[#This Row],[Upsell Priority]]," ",TEXT(Sales[[#This Row],[Current Upsell $]],"$#,#")),"")</f>
        <v/>
      </c>
    </row>
    <row r="1971" spans="1:18" x14ac:dyDescent="0.25">
      <c r="A1971">
        <v>100242</v>
      </c>
      <c r="B1971" t="s">
        <v>0</v>
      </c>
      <c r="D1971" s="1"/>
      <c r="E1971" s="1"/>
      <c r="F1971">
        <v>1</v>
      </c>
      <c r="G1971">
        <v>2</v>
      </c>
      <c r="H1971" s="1">
        <v>44256</v>
      </c>
      <c r="I1971" s="1">
        <v>44378</v>
      </c>
      <c r="J1971">
        <v>4</v>
      </c>
      <c r="K1971">
        <v>0</v>
      </c>
      <c r="L1971" s="1">
        <v>44348</v>
      </c>
      <c r="M1971">
        <v>10</v>
      </c>
      <c r="N1971" s="8" cm="1">
        <f t="array" ref="N1971">_xlfn.SWITCH(Sales[[#This Row],[Subscription Type]],"Basic",10,"Premium",10,"Business",25,"Enterprise",27)</f>
        <v>10</v>
      </c>
      <c r="O1971">
        <f>IF(Sales[[#This Row],[Number of Users]]-Sales[[#This Row],[Licenses Bought]]&lt;0,0,Sales[[#This Row],[Number of Users]]-Sales[[#This Row],[Licenses Bought]])</f>
        <v>1</v>
      </c>
      <c r="P1971" s="8">
        <f>IF(Sales[[#This Row],[Sales Month]]=MAX(Sales[Sales Month]),Sales[[#This Row],[Non-Paying Users]]*Sales[[#This Row],[Upsell $ per Non-Paying User]],0)</f>
        <v>10</v>
      </c>
      <c r="Q1971" t="str" cm="1">
        <f t="array" ref="Q1971">_xlfn.IFS(Sales[[#This Row],[Current Upsell $]]=0,"",Sales[[#This Row],[Current Upsell $]]&gt;=400,"High",Sales[[#This Row],[Current Upsell $]]&gt;=100,"Medium",Sales[[#This Row],[Current Upsell $]]&lt;100,"Low")</f>
        <v>Low</v>
      </c>
      <c r="R1971" t="str">
        <f>IF(Sales[[#This Row],[Current Upsell $]]&gt;0,_xlfn.CONCAT(Sales[[#This Row],[Subscription Type]]," ",Sales[[#This Row],[Upsell Priority]]," ",TEXT(Sales[[#This Row],[Current Upsell $]],"$#,#")),"")</f>
        <v>Premium Low $10</v>
      </c>
    </row>
    <row r="1972" spans="1:18" x14ac:dyDescent="0.25">
      <c r="A1972">
        <v>100243</v>
      </c>
      <c r="B1972" t="s">
        <v>3</v>
      </c>
      <c r="D1972" s="1"/>
      <c r="E1972" s="1"/>
      <c r="F1972">
        <v>0</v>
      </c>
      <c r="G1972">
        <v>2</v>
      </c>
      <c r="H1972" s="1">
        <v>44256</v>
      </c>
      <c r="I1972" s="1">
        <v>44378</v>
      </c>
      <c r="J1972">
        <v>4</v>
      </c>
      <c r="K1972">
        <v>0</v>
      </c>
      <c r="L1972" s="1">
        <v>44256</v>
      </c>
      <c r="M1972">
        <v>0</v>
      </c>
      <c r="N1972" s="8" cm="1">
        <f t="array" ref="N1972">_xlfn.SWITCH(Sales[[#This Row],[Subscription Type]],"Basic",10,"Premium",10,"Business",25,"Enterprise",27)</f>
        <v>10</v>
      </c>
      <c r="O1972">
        <f>IF(Sales[[#This Row],[Number of Users]]-Sales[[#This Row],[Licenses Bought]]&lt;0,0,Sales[[#This Row],[Number of Users]]-Sales[[#This Row],[Licenses Bought]])</f>
        <v>2</v>
      </c>
      <c r="P1972" s="8">
        <f>IF(Sales[[#This Row],[Sales Month]]=MAX(Sales[Sales Month]),Sales[[#This Row],[Non-Paying Users]]*Sales[[#This Row],[Upsell $ per Non-Paying User]],0)</f>
        <v>0</v>
      </c>
      <c r="Q1972" t="str" cm="1">
        <f t="array" ref="Q1972">_xlfn.IFS(Sales[[#This Row],[Current Upsell $]]=0,"",Sales[[#This Row],[Current Upsell $]]&gt;=400,"High",Sales[[#This Row],[Current Upsell $]]&gt;=100,"Medium",Sales[[#This Row],[Current Upsell $]]&lt;100,"Low")</f>
        <v/>
      </c>
      <c r="R1972" t="str">
        <f>IF(Sales[[#This Row],[Current Upsell $]]&gt;0,_xlfn.CONCAT(Sales[[#This Row],[Subscription Type]]," ",Sales[[#This Row],[Upsell Priority]]," ",TEXT(Sales[[#This Row],[Current Upsell $]],"$#,#")),"")</f>
        <v/>
      </c>
    </row>
    <row r="1973" spans="1:18" x14ac:dyDescent="0.25">
      <c r="A1973">
        <v>100243</v>
      </c>
      <c r="B1973" t="s">
        <v>0</v>
      </c>
      <c r="D1973" s="1"/>
      <c r="E1973" s="1"/>
      <c r="F1973">
        <v>1</v>
      </c>
      <c r="G1973">
        <v>2</v>
      </c>
      <c r="H1973" s="1">
        <v>44256</v>
      </c>
      <c r="I1973" s="1">
        <v>44378</v>
      </c>
      <c r="J1973">
        <v>4</v>
      </c>
      <c r="K1973">
        <v>0</v>
      </c>
      <c r="L1973" s="1">
        <v>44287</v>
      </c>
      <c r="M1973">
        <v>10</v>
      </c>
      <c r="N1973" s="8" cm="1">
        <f t="array" ref="N1973">_xlfn.SWITCH(Sales[[#This Row],[Subscription Type]],"Basic",10,"Premium",10,"Business",25,"Enterprise",27)</f>
        <v>10</v>
      </c>
      <c r="O1973">
        <f>IF(Sales[[#This Row],[Number of Users]]-Sales[[#This Row],[Licenses Bought]]&lt;0,0,Sales[[#This Row],[Number of Users]]-Sales[[#This Row],[Licenses Bought]])</f>
        <v>1</v>
      </c>
      <c r="P1973" s="8">
        <f>IF(Sales[[#This Row],[Sales Month]]=MAX(Sales[Sales Month]),Sales[[#This Row],[Non-Paying Users]]*Sales[[#This Row],[Upsell $ per Non-Paying User]],0)</f>
        <v>0</v>
      </c>
      <c r="Q1973" t="str" cm="1">
        <f t="array" ref="Q1973">_xlfn.IFS(Sales[[#This Row],[Current Upsell $]]=0,"",Sales[[#This Row],[Current Upsell $]]&gt;=400,"High",Sales[[#This Row],[Current Upsell $]]&gt;=100,"Medium",Sales[[#This Row],[Current Upsell $]]&lt;100,"Low")</f>
        <v/>
      </c>
      <c r="R1973" t="str">
        <f>IF(Sales[[#This Row],[Current Upsell $]]&gt;0,_xlfn.CONCAT(Sales[[#This Row],[Subscription Type]]," ",Sales[[#This Row],[Upsell Priority]]," ",TEXT(Sales[[#This Row],[Current Upsell $]],"$#,#")),"")</f>
        <v/>
      </c>
    </row>
    <row r="1974" spans="1:18" x14ac:dyDescent="0.25">
      <c r="A1974">
        <v>100243</v>
      </c>
      <c r="B1974" t="s">
        <v>0</v>
      </c>
      <c r="D1974" s="1"/>
      <c r="E1974" s="1"/>
      <c r="F1974">
        <v>1</v>
      </c>
      <c r="G1974">
        <v>2</v>
      </c>
      <c r="H1974" s="1">
        <v>44256</v>
      </c>
      <c r="I1974" s="1">
        <v>44378</v>
      </c>
      <c r="J1974">
        <v>4</v>
      </c>
      <c r="K1974">
        <v>0</v>
      </c>
      <c r="L1974" s="1">
        <v>44317</v>
      </c>
      <c r="M1974">
        <v>10</v>
      </c>
      <c r="N1974" s="8" cm="1">
        <f t="array" ref="N1974">_xlfn.SWITCH(Sales[[#This Row],[Subscription Type]],"Basic",10,"Premium",10,"Business",25,"Enterprise",27)</f>
        <v>10</v>
      </c>
      <c r="O1974">
        <f>IF(Sales[[#This Row],[Number of Users]]-Sales[[#This Row],[Licenses Bought]]&lt;0,0,Sales[[#This Row],[Number of Users]]-Sales[[#This Row],[Licenses Bought]])</f>
        <v>1</v>
      </c>
      <c r="P1974" s="8">
        <f>IF(Sales[[#This Row],[Sales Month]]=MAX(Sales[Sales Month]),Sales[[#This Row],[Non-Paying Users]]*Sales[[#This Row],[Upsell $ per Non-Paying User]],0)</f>
        <v>0</v>
      </c>
      <c r="Q1974" t="str" cm="1">
        <f t="array" ref="Q1974">_xlfn.IFS(Sales[[#This Row],[Current Upsell $]]=0,"",Sales[[#This Row],[Current Upsell $]]&gt;=400,"High",Sales[[#This Row],[Current Upsell $]]&gt;=100,"Medium",Sales[[#This Row],[Current Upsell $]]&lt;100,"Low")</f>
        <v/>
      </c>
      <c r="R1974" t="str">
        <f>IF(Sales[[#This Row],[Current Upsell $]]&gt;0,_xlfn.CONCAT(Sales[[#This Row],[Subscription Type]]," ",Sales[[#This Row],[Upsell Priority]]," ",TEXT(Sales[[#This Row],[Current Upsell $]],"$#,#")),"")</f>
        <v/>
      </c>
    </row>
    <row r="1975" spans="1:18" x14ac:dyDescent="0.25">
      <c r="A1975">
        <v>100243</v>
      </c>
      <c r="B1975" t="s">
        <v>0</v>
      </c>
      <c r="D1975" s="1"/>
      <c r="E1975" s="1"/>
      <c r="F1975">
        <v>1</v>
      </c>
      <c r="G1975">
        <v>2</v>
      </c>
      <c r="H1975" s="1">
        <v>44256</v>
      </c>
      <c r="I1975" s="1">
        <v>44378</v>
      </c>
      <c r="J1975">
        <v>4</v>
      </c>
      <c r="K1975">
        <v>0</v>
      </c>
      <c r="L1975" s="1">
        <v>44348</v>
      </c>
      <c r="M1975">
        <v>10</v>
      </c>
      <c r="N1975" s="8" cm="1">
        <f t="array" ref="N1975">_xlfn.SWITCH(Sales[[#This Row],[Subscription Type]],"Basic",10,"Premium",10,"Business",25,"Enterprise",27)</f>
        <v>10</v>
      </c>
      <c r="O1975">
        <f>IF(Sales[[#This Row],[Number of Users]]-Sales[[#This Row],[Licenses Bought]]&lt;0,0,Sales[[#This Row],[Number of Users]]-Sales[[#This Row],[Licenses Bought]])</f>
        <v>1</v>
      </c>
      <c r="P1975" s="8">
        <f>IF(Sales[[#This Row],[Sales Month]]=MAX(Sales[Sales Month]),Sales[[#This Row],[Non-Paying Users]]*Sales[[#This Row],[Upsell $ per Non-Paying User]],0)</f>
        <v>10</v>
      </c>
      <c r="Q1975" t="str" cm="1">
        <f t="array" ref="Q1975">_xlfn.IFS(Sales[[#This Row],[Current Upsell $]]=0,"",Sales[[#This Row],[Current Upsell $]]&gt;=400,"High",Sales[[#This Row],[Current Upsell $]]&gt;=100,"Medium",Sales[[#This Row],[Current Upsell $]]&lt;100,"Low")</f>
        <v>Low</v>
      </c>
      <c r="R1975" t="str">
        <f>IF(Sales[[#This Row],[Current Upsell $]]&gt;0,_xlfn.CONCAT(Sales[[#This Row],[Subscription Type]]," ",Sales[[#This Row],[Upsell Priority]]," ",TEXT(Sales[[#This Row],[Current Upsell $]],"$#,#")),"")</f>
        <v>Premium Low $10</v>
      </c>
    </row>
    <row r="1976" spans="1:18" x14ac:dyDescent="0.25">
      <c r="A1976">
        <v>100244</v>
      </c>
      <c r="B1976" t="s">
        <v>3</v>
      </c>
      <c r="D1976" s="1"/>
      <c r="E1976" s="1"/>
      <c r="F1976">
        <v>0</v>
      </c>
      <c r="G1976">
        <v>2</v>
      </c>
      <c r="H1976" s="1">
        <v>44256</v>
      </c>
      <c r="I1976" s="1">
        <v>44378</v>
      </c>
      <c r="J1976">
        <v>4</v>
      </c>
      <c r="K1976">
        <v>0</v>
      </c>
      <c r="L1976" s="1">
        <v>44256</v>
      </c>
      <c r="M1976">
        <v>0</v>
      </c>
      <c r="N1976" s="8" cm="1">
        <f t="array" ref="N1976">_xlfn.SWITCH(Sales[[#This Row],[Subscription Type]],"Basic",10,"Premium",10,"Business",25,"Enterprise",27)</f>
        <v>10</v>
      </c>
      <c r="O1976">
        <f>IF(Sales[[#This Row],[Number of Users]]-Sales[[#This Row],[Licenses Bought]]&lt;0,0,Sales[[#This Row],[Number of Users]]-Sales[[#This Row],[Licenses Bought]])</f>
        <v>2</v>
      </c>
      <c r="P1976" s="8">
        <f>IF(Sales[[#This Row],[Sales Month]]=MAX(Sales[Sales Month]),Sales[[#This Row],[Non-Paying Users]]*Sales[[#This Row],[Upsell $ per Non-Paying User]],0)</f>
        <v>0</v>
      </c>
      <c r="Q1976" t="str" cm="1">
        <f t="array" ref="Q1976">_xlfn.IFS(Sales[[#This Row],[Current Upsell $]]=0,"",Sales[[#This Row],[Current Upsell $]]&gt;=400,"High",Sales[[#This Row],[Current Upsell $]]&gt;=100,"Medium",Sales[[#This Row],[Current Upsell $]]&lt;100,"Low")</f>
        <v/>
      </c>
      <c r="R1976" t="str">
        <f>IF(Sales[[#This Row],[Current Upsell $]]&gt;0,_xlfn.CONCAT(Sales[[#This Row],[Subscription Type]]," ",Sales[[#This Row],[Upsell Priority]]," ",TEXT(Sales[[#This Row],[Current Upsell $]],"$#,#")),"")</f>
        <v/>
      </c>
    </row>
    <row r="1977" spans="1:18" x14ac:dyDescent="0.25">
      <c r="A1977">
        <v>100244</v>
      </c>
      <c r="B1977" t="s">
        <v>0</v>
      </c>
      <c r="D1977" s="1"/>
      <c r="E1977" s="1"/>
      <c r="F1977">
        <v>1</v>
      </c>
      <c r="G1977">
        <v>2</v>
      </c>
      <c r="H1977" s="1">
        <v>44256</v>
      </c>
      <c r="I1977" s="1">
        <v>44378</v>
      </c>
      <c r="J1977">
        <v>4</v>
      </c>
      <c r="K1977">
        <v>0</v>
      </c>
      <c r="L1977" s="1">
        <v>44287</v>
      </c>
      <c r="M1977">
        <v>10</v>
      </c>
      <c r="N1977" s="8" cm="1">
        <f t="array" ref="N1977">_xlfn.SWITCH(Sales[[#This Row],[Subscription Type]],"Basic",10,"Premium",10,"Business",25,"Enterprise",27)</f>
        <v>10</v>
      </c>
      <c r="O1977">
        <f>IF(Sales[[#This Row],[Number of Users]]-Sales[[#This Row],[Licenses Bought]]&lt;0,0,Sales[[#This Row],[Number of Users]]-Sales[[#This Row],[Licenses Bought]])</f>
        <v>1</v>
      </c>
      <c r="P1977" s="8">
        <f>IF(Sales[[#This Row],[Sales Month]]=MAX(Sales[Sales Month]),Sales[[#This Row],[Non-Paying Users]]*Sales[[#This Row],[Upsell $ per Non-Paying User]],0)</f>
        <v>0</v>
      </c>
      <c r="Q1977" t="str" cm="1">
        <f t="array" ref="Q1977">_xlfn.IFS(Sales[[#This Row],[Current Upsell $]]=0,"",Sales[[#This Row],[Current Upsell $]]&gt;=400,"High",Sales[[#This Row],[Current Upsell $]]&gt;=100,"Medium",Sales[[#This Row],[Current Upsell $]]&lt;100,"Low")</f>
        <v/>
      </c>
      <c r="R1977" t="str">
        <f>IF(Sales[[#This Row],[Current Upsell $]]&gt;0,_xlfn.CONCAT(Sales[[#This Row],[Subscription Type]]," ",Sales[[#This Row],[Upsell Priority]]," ",TEXT(Sales[[#This Row],[Current Upsell $]],"$#,#")),"")</f>
        <v/>
      </c>
    </row>
    <row r="1978" spans="1:18" x14ac:dyDescent="0.25">
      <c r="A1978">
        <v>100244</v>
      </c>
      <c r="B1978" t="s">
        <v>0</v>
      </c>
      <c r="D1978" s="1"/>
      <c r="E1978" s="1"/>
      <c r="F1978">
        <v>1</v>
      </c>
      <c r="G1978">
        <v>2</v>
      </c>
      <c r="H1978" s="1">
        <v>44256</v>
      </c>
      <c r="I1978" s="1">
        <v>44378</v>
      </c>
      <c r="J1978">
        <v>4</v>
      </c>
      <c r="K1978">
        <v>0</v>
      </c>
      <c r="L1978" s="1">
        <v>44317</v>
      </c>
      <c r="M1978">
        <v>10</v>
      </c>
      <c r="N1978" s="8" cm="1">
        <f t="array" ref="N1978">_xlfn.SWITCH(Sales[[#This Row],[Subscription Type]],"Basic",10,"Premium",10,"Business",25,"Enterprise",27)</f>
        <v>10</v>
      </c>
      <c r="O1978">
        <f>IF(Sales[[#This Row],[Number of Users]]-Sales[[#This Row],[Licenses Bought]]&lt;0,0,Sales[[#This Row],[Number of Users]]-Sales[[#This Row],[Licenses Bought]])</f>
        <v>1</v>
      </c>
      <c r="P1978" s="8">
        <f>IF(Sales[[#This Row],[Sales Month]]=MAX(Sales[Sales Month]),Sales[[#This Row],[Non-Paying Users]]*Sales[[#This Row],[Upsell $ per Non-Paying User]],0)</f>
        <v>0</v>
      </c>
      <c r="Q1978" t="str" cm="1">
        <f t="array" ref="Q1978">_xlfn.IFS(Sales[[#This Row],[Current Upsell $]]=0,"",Sales[[#This Row],[Current Upsell $]]&gt;=400,"High",Sales[[#This Row],[Current Upsell $]]&gt;=100,"Medium",Sales[[#This Row],[Current Upsell $]]&lt;100,"Low")</f>
        <v/>
      </c>
      <c r="R1978" t="str">
        <f>IF(Sales[[#This Row],[Current Upsell $]]&gt;0,_xlfn.CONCAT(Sales[[#This Row],[Subscription Type]]," ",Sales[[#This Row],[Upsell Priority]]," ",TEXT(Sales[[#This Row],[Current Upsell $]],"$#,#")),"")</f>
        <v/>
      </c>
    </row>
    <row r="1979" spans="1:18" x14ac:dyDescent="0.25">
      <c r="A1979">
        <v>100244</v>
      </c>
      <c r="B1979" t="s">
        <v>0</v>
      </c>
      <c r="D1979" s="1"/>
      <c r="E1979" s="1"/>
      <c r="F1979">
        <v>1</v>
      </c>
      <c r="G1979">
        <v>2</v>
      </c>
      <c r="H1979" s="1">
        <v>44256</v>
      </c>
      <c r="I1979" s="1">
        <v>44378</v>
      </c>
      <c r="J1979">
        <v>4</v>
      </c>
      <c r="K1979">
        <v>0</v>
      </c>
      <c r="L1979" s="1">
        <v>44348</v>
      </c>
      <c r="M1979">
        <v>10</v>
      </c>
      <c r="N1979" s="8" cm="1">
        <f t="array" ref="N1979">_xlfn.SWITCH(Sales[[#This Row],[Subscription Type]],"Basic",10,"Premium",10,"Business",25,"Enterprise",27)</f>
        <v>10</v>
      </c>
      <c r="O1979">
        <f>IF(Sales[[#This Row],[Number of Users]]-Sales[[#This Row],[Licenses Bought]]&lt;0,0,Sales[[#This Row],[Number of Users]]-Sales[[#This Row],[Licenses Bought]])</f>
        <v>1</v>
      </c>
      <c r="P1979" s="8">
        <f>IF(Sales[[#This Row],[Sales Month]]=MAX(Sales[Sales Month]),Sales[[#This Row],[Non-Paying Users]]*Sales[[#This Row],[Upsell $ per Non-Paying User]],0)</f>
        <v>10</v>
      </c>
      <c r="Q1979" t="str" cm="1">
        <f t="array" ref="Q1979">_xlfn.IFS(Sales[[#This Row],[Current Upsell $]]=0,"",Sales[[#This Row],[Current Upsell $]]&gt;=400,"High",Sales[[#This Row],[Current Upsell $]]&gt;=100,"Medium",Sales[[#This Row],[Current Upsell $]]&lt;100,"Low")</f>
        <v>Low</v>
      </c>
      <c r="R1979" t="str">
        <f>IF(Sales[[#This Row],[Current Upsell $]]&gt;0,_xlfn.CONCAT(Sales[[#This Row],[Subscription Type]]," ",Sales[[#This Row],[Upsell Priority]]," ",TEXT(Sales[[#This Row],[Current Upsell $]],"$#,#")),"")</f>
        <v>Premium Low $10</v>
      </c>
    </row>
    <row r="1980" spans="1:18" x14ac:dyDescent="0.25">
      <c r="A1980">
        <v>100245</v>
      </c>
      <c r="B1980" t="s">
        <v>3</v>
      </c>
      <c r="D1980" s="1"/>
      <c r="E1980" s="1"/>
      <c r="F1980">
        <v>0</v>
      </c>
      <c r="G1980">
        <v>80</v>
      </c>
      <c r="H1980" s="1">
        <v>44287</v>
      </c>
      <c r="I1980" s="1">
        <v>44378</v>
      </c>
      <c r="J1980">
        <v>3</v>
      </c>
      <c r="K1980">
        <v>0</v>
      </c>
      <c r="L1980" s="1">
        <v>44287</v>
      </c>
      <c r="M1980">
        <v>0</v>
      </c>
      <c r="N1980" s="8" cm="1">
        <f t="array" ref="N1980">_xlfn.SWITCH(Sales[[#This Row],[Subscription Type]],"Basic",10,"Premium",10,"Business",25,"Enterprise",27)</f>
        <v>10</v>
      </c>
      <c r="O1980">
        <f>IF(Sales[[#This Row],[Number of Users]]-Sales[[#This Row],[Licenses Bought]]&lt;0,0,Sales[[#This Row],[Number of Users]]-Sales[[#This Row],[Licenses Bought]])</f>
        <v>80</v>
      </c>
      <c r="P1980" s="8">
        <f>IF(Sales[[#This Row],[Sales Month]]=MAX(Sales[Sales Month]),Sales[[#This Row],[Non-Paying Users]]*Sales[[#This Row],[Upsell $ per Non-Paying User]],0)</f>
        <v>0</v>
      </c>
      <c r="Q1980" t="str" cm="1">
        <f t="array" ref="Q1980">_xlfn.IFS(Sales[[#This Row],[Current Upsell $]]=0,"",Sales[[#This Row],[Current Upsell $]]&gt;=400,"High",Sales[[#This Row],[Current Upsell $]]&gt;=100,"Medium",Sales[[#This Row],[Current Upsell $]]&lt;100,"Low")</f>
        <v/>
      </c>
      <c r="R1980" t="str">
        <f>IF(Sales[[#This Row],[Current Upsell $]]&gt;0,_xlfn.CONCAT(Sales[[#This Row],[Subscription Type]]," ",Sales[[#This Row],[Upsell Priority]]," ",TEXT(Sales[[#This Row],[Current Upsell $]],"$#,#")),"")</f>
        <v/>
      </c>
    </row>
    <row r="1981" spans="1:18" x14ac:dyDescent="0.25">
      <c r="A1981">
        <v>100245</v>
      </c>
      <c r="B1981" t="s">
        <v>1</v>
      </c>
      <c r="D1981" s="1"/>
      <c r="E1981" s="1"/>
      <c r="F1981">
        <v>44</v>
      </c>
      <c r="G1981">
        <v>72</v>
      </c>
      <c r="H1981" s="1">
        <v>44287</v>
      </c>
      <c r="I1981" s="1">
        <v>44378</v>
      </c>
      <c r="J1981">
        <v>3</v>
      </c>
      <c r="K1981">
        <v>0</v>
      </c>
      <c r="L1981" s="1">
        <v>44317</v>
      </c>
      <c r="M1981">
        <v>1100</v>
      </c>
      <c r="N1981" s="8" cm="1">
        <f t="array" ref="N1981">_xlfn.SWITCH(Sales[[#This Row],[Subscription Type]],"Basic",10,"Premium",10,"Business",25,"Enterprise",27)</f>
        <v>25</v>
      </c>
      <c r="O1981">
        <f>IF(Sales[[#This Row],[Number of Users]]-Sales[[#This Row],[Licenses Bought]]&lt;0,0,Sales[[#This Row],[Number of Users]]-Sales[[#This Row],[Licenses Bought]])</f>
        <v>28</v>
      </c>
      <c r="P1981" s="8">
        <f>IF(Sales[[#This Row],[Sales Month]]=MAX(Sales[Sales Month]),Sales[[#This Row],[Non-Paying Users]]*Sales[[#This Row],[Upsell $ per Non-Paying User]],0)</f>
        <v>0</v>
      </c>
      <c r="Q1981" t="str" cm="1">
        <f t="array" ref="Q1981">_xlfn.IFS(Sales[[#This Row],[Current Upsell $]]=0,"",Sales[[#This Row],[Current Upsell $]]&gt;=400,"High",Sales[[#This Row],[Current Upsell $]]&gt;=100,"Medium",Sales[[#This Row],[Current Upsell $]]&lt;100,"Low")</f>
        <v/>
      </c>
      <c r="R1981" t="str">
        <f>IF(Sales[[#This Row],[Current Upsell $]]&gt;0,_xlfn.CONCAT(Sales[[#This Row],[Subscription Type]]," ",Sales[[#This Row],[Upsell Priority]]," ",TEXT(Sales[[#This Row],[Current Upsell $]],"$#,#")),"")</f>
        <v/>
      </c>
    </row>
    <row r="1982" spans="1:18" x14ac:dyDescent="0.25">
      <c r="A1982">
        <v>100245</v>
      </c>
      <c r="B1982" t="s">
        <v>1</v>
      </c>
      <c r="D1982" s="1"/>
      <c r="E1982" s="1"/>
      <c r="F1982">
        <v>35</v>
      </c>
      <c r="G1982">
        <v>64</v>
      </c>
      <c r="H1982" s="1">
        <v>44287</v>
      </c>
      <c r="I1982" s="1">
        <v>44378</v>
      </c>
      <c r="J1982">
        <v>3</v>
      </c>
      <c r="K1982">
        <v>0</v>
      </c>
      <c r="L1982" s="1">
        <v>44348</v>
      </c>
      <c r="M1982">
        <v>875</v>
      </c>
      <c r="N1982" s="8" cm="1">
        <f t="array" ref="N1982">_xlfn.SWITCH(Sales[[#This Row],[Subscription Type]],"Basic",10,"Premium",10,"Business",25,"Enterprise",27)</f>
        <v>25</v>
      </c>
      <c r="O1982">
        <f>IF(Sales[[#This Row],[Number of Users]]-Sales[[#This Row],[Licenses Bought]]&lt;0,0,Sales[[#This Row],[Number of Users]]-Sales[[#This Row],[Licenses Bought]])</f>
        <v>29</v>
      </c>
      <c r="P1982" s="8">
        <f>IF(Sales[[#This Row],[Sales Month]]=MAX(Sales[Sales Month]),Sales[[#This Row],[Non-Paying Users]]*Sales[[#This Row],[Upsell $ per Non-Paying User]],0)</f>
        <v>725</v>
      </c>
      <c r="Q1982" t="str" cm="1">
        <f t="array" ref="Q1982">_xlfn.IFS(Sales[[#This Row],[Current Upsell $]]=0,"",Sales[[#This Row],[Current Upsell $]]&gt;=400,"High",Sales[[#This Row],[Current Upsell $]]&gt;=100,"Medium",Sales[[#This Row],[Current Upsell $]]&lt;100,"Low")</f>
        <v>High</v>
      </c>
      <c r="R1982" t="str">
        <f>IF(Sales[[#This Row],[Current Upsell $]]&gt;0,_xlfn.CONCAT(Sales[[#This Row],[Subscription Type]]," ",Sales[[#This Row],[Upsell Priority]]," ",TEXT(Sales[[#This Row],[Current Upsell $]],"$#,#")),"")</f>
        <v>Business High $725</v>
      </c>
    </row>
    <row r="1983" spans="1:18" x14ac:dyDescent="0.25">
      <c r="A1983">
        <v>100246</v>
      </c>
      <c r="B1983" t="s">
        <v>3</v>
      </c>
      <c r="D1983" s="1"/>
      <c r="E1983" s="1"/>
      <c r="F1983">
        <v>0</v>
      </c>
      <c r="G1983">
        <v>42</v>
      </c>
      <c r="H1983" s="1">
        <v>44287</v>
      </c>
      <c r="I1983" s="1">
        <v>44378</v>
      </c>
      <c r="J1983">
        <v>3</v>
      </c>
      <c r="K1983">
        <v>0</v>
      </c>
      <c r="L1983" s="1">
        <v>44287</v>
      </c>
      <c r="M1983">
        <v>0</v>
      </c>
      <c r="N1983" s="8" cm="1">
        <f t="array" ref="N1983">_xlfn.SWITCH(Sales[[#This Row],[Subscription Type]],"Basic",10,"Premium",10,"Business",25,"Enterprise",27)</f>
        <v>10</v>
      </c>
      <c r="O1983">
        <f>IF(Sales[[#This Row],[Number of Users]]-Sales[[#This Row],[Licenses Bought]]&lt;0,0,Sales[[#This Row],[Number of Users]]-Sales[[#This Row],[Licenses Bought]])</f>
        <v>42</v>
      </c>
      <c r="P1983" s="8">
        <f>IF(Sales[[#This Row],[Sales Month]]=MAX(Sales[Sales Month]),Sales[[#This Row],[Non-Paying Users]]*Sales[[#This Row],[Upsell $ per Non-Paying User]],0)</f>
        <v>0</v>
      </c>
      <c r="Q1983" t="str" cm="1">
        <f t="array" ref="Q1983">_xlfn.IFS(Sales[[#This Row],[Current Upsell $]]=0,"",Sales[[#This Row],[Current Upsell $]]&gt;=400,"High",Sales[[#This Row],[Current Upsell $]]&gt;=100,"Medium",Sales[[#This Row],[Current Upsell $]]&lt;100,"Low")</f>
        <v/>
      </c>
      <c r="R1983" t="str">
        <f>IF(Sales[[#This Row],[Current Upsell $]]&gt;0,_xlfn.CONCAT(Sales[[#This Row],[Subscription Type]]," ",Sales[[#This Row],[Upsell Priority]]," ",TEXT(Sales[[#This Row],[Current Upsell $]],"$#,#")),"")</f>
        <v/>
      </c>
    </row>
    <row r="1984" spans="1:18" x14ac:dyDescent="0.25">
      <c r="A1984">
        <v>100246</v>
      </c>
      <c r="B1984" t="s">
        <v>0</v>
      </c>
      <c r="D1984" s="1"/>
      <c r="E1984" s="1"/>
      <c r="F1984">
        <v>32</v>
      </c>
      <c r="G1984">
        <v>53</v>
      </c>
      <c r="H1984" s="1">
        <v>44287</v>
      </c>
      <c r="I1984" s="1">
        <v>44378</v>
      </c>
      <c r="J1984">
        <v>3</v>
      </c>
      <c r="K1984">
        <v>0</v>
      </c>
      <c r="L1984" s="1">
        <v>44317</v>
      </c>
      <c r="M1984">
        <v>320</v>
      </c>
      <c r="N1984" s="8" cm="1">
        <f t="array" ref="N1984">_xlfn.SWITCH(Sales[[#This Row],[Subscription Type]],"Basic",10,"Premium",10,"Business",25,"Enterprise",27)</f>
        <v>10</v>
      </c>
      <c r="O1984">
        <f>IF(Sales[[#This Row],[Number of Users]]-Sales[[#This Row],[Licenses Bought]]&lt;0,0,Sales[[#This Row],[Number of Users]]-Sales[[#This Row],[Licenses Bought]])</f>
        <v>21</v>
      </c>
      <c r="P1984" s="8">
        <f>IF(Sales[[#This Row],[Sales Month]]=MAX(Sales[Sales Month]),Sales[[#This Row],[Non-Paying Users]]*Sales[[#This Row],[Upsell $ per Non-Paying User]],0)</f>
        <v>0</v>
      </c>
      <c r="Q1984" t="str" cm="1">
        <f t="array" ref="Q1984">_xlfn.IFS(Sales[[#This Row],[Current Upsell $]]=0,"",Sales[[#This Row],[Current Upsell $]]&gt;=400,"High",Sales[[#This Row],[Current Upsell $]]&gt;=100,"Medium",Sales[[#This Row],[Current Upsell $]]&lt;100,"Low")</f>
        <v/>
      </c>
      <c r="R1984" t="str">
        <f>IF(Sales[[#This Row],[Current Upsell $]]&gt;0,_xlfn.CONCAT(Sales[[#This Row],[Subscription Type]]," ",Sales[[#This Row],[Upsell Priority]]," ",TEXT(Sales[[#This Row],[Current Upsell $]],"$#,#")),"")</f>
        <v/>
      </c>
    </row>
    <row r="1985" spans="1:18" x14ac:dyDescent="0.25">
      <c r="A1985">
        <v>100246</v>
      </c>
      <c r="B1985" t="s">
        <v>0</v>
      </c>
      <c r="D1985" s="1"/>
      <c r="E1985" s="1"/>
      <c r="F1985">
        <v>23</v>
      </c>
      <c r="G1985">
        <v>41</v>
      </c>
      <c r="H1985" s="1">
        <v>44287</v>
      </c>
      <c r="I1985" s="1">
        <v>44378</v>
      </c>
      <c r="J1985">
        <v>3</v>
      </c>
      <c r="K1985">
        <v>0</v>
      </c>
      <c r="L1985" s="1">
        <v>44348</v>
      </c>
      <c r="M1985">
        <v>230</v>
      </c>
      <c r="N1985" s="8" cm="1">
        <f t="array" ref="N1985">_xlfn.SWITCH(Sales[[#This Row],[Subscription Type]],"Basic",10,"Premium",10,"Business",25,"Enterprise",27)</f>
        <v>10</v>
      </c>
      <c r="O1985">
        <f>IF(Sales[[#This Row],[Number of Users]]-Sales[[#This Row],[Licenses Bought]]&lt;0,0,Sales[[#This Row],[Number of Users]]-Sales[[#This Row],[Licenses Bought]])</f>
        <v>18</v>
      </c>
      <c r="P1985" s="8">
        <f>IF(Sales[[#This Row],[Sales Month]]=MAX(Sales[Sales Month]),Sales[[#This Row],[Non-Paying Users]]*Sales[[#This Row],[Upsell $ per Non-Paying User]],0)</f>
        <v>180</v>
      </c>
      <c r="Q1985" t="str" cm="1">
        <f t="array" ref="Q1985">_xlfn.IFS(Sales[[#This Row],[Current Upsell $]]=0,"",Sales[[#This Row],[Current Upsell $]]&gt;=400,"High",Sales[[#This Row],[Current Upsell $]]&gt;=100,"Medium",Sales[[#This Row],[Current Upsell $]]&lt;100,"Low")</f>
        <v>Medium</v>
      </c>
      <c r="R1985" t="str">
        <f>IF(Sales[[#This Row],[Current Upsell $]]&gt;0,_xlfn.CONCAT(Sales[[#This Row],[Subscription Type]]," ",Sales[[#This Row],[Upsell Priority]]," ",TEXT(Sales[[#This Row],[Current Upsell $]],"$#,#")),"")</f>
        <v>Premium Medium $180</v>
      </c>
    </row>
    <row r="1986" spans="1:18" x14ac:dyDescent="0.25">
      <c r="A1986">
        <v>100247</v>
      </c>
      <c r="B1986" t="s">
        <v>3</v>
      </c>
      <c r="D1986" s="1"/>
      <c r="E1986" s="1"/>
      <c r="F1986">
        <v>0</v>
      </c>
      <c r="G1986">
        <v>43</v>
      </c>
      <c r="H1986" s="1">
        <v>44287</v>
      </c>
      <c r="I1986" s="1">
        <v>44378</v>
      </c>
      <c r="J1986">
        <v>3</v>
      </c>
      <c r="K1986">
        <v>0</v>
      </c>
      <c r="L1986" s="1">
        <v>44287</v>
      </c>
      <c r="M1986">
        <v>0</v>
      </c>
      <c r="N1986" s="8" cm="1">
        <f t="array" ref="N1986">_xlfn.SWITCH(Sales[[#This Row],[Subscription Type]],"Basic",10,"Premium",10,"Business",25,"Enterprise",27)</f>
        <v>10</v>
      </c>
      <c r="O1986">
        <f>IF(Sales[[#This Row],[Number of Users]]-Sales[[#This Row],[Licenses Bought]]&lt;0,0,Sales[[#This Row],[Number of Users]]-Sales[[#This Row],[Licenses Bought]])</f>
        <v>43</v>
      </c>
      <c r="P1986" s="8">
        <f>IF(Sales[[#This Row],[Sales Month]]=MAX(Sales[Sales Month]),Sales[[#This Row],[Non-Paying Users]]*Sales[[#This Row],[Upsell $ per Non-Paying User]],0)</f>
        <v>0</v>
      </c>
      <c r="Q1986" t="str" cm="1">
        <f t="array" ref="Q1986">_xlfn.IFS(Sales[[#This Row],[Current Upsell $]]=0,"",Sales[[#This Row],[Current Upsell $]]&gt;=400,"High",Sales[[#This Row],[Current Upsell $]]&gt;=100,"Medium",Sales[[#This Row],[Current Upsell $]]&lt;100,"Low")</f>
        <v/>
      </c>
      <c r="R1986" t="str">
        <f>IF(Sales[[#This Row],[Current Upsell $]]&gt;0,_xlfn.CONCAT(Sales[[#This Row],[Subscription Type]]," ",Sales[[#This Row],[Upsell Priority]]," ",TEXT(Sales[[#This Row],[Current Upsell $]],"$#,#")),"")</f>
        <v/>
      </c>
    </row>
    <row r="1987" spans="1:18" x14ac:dyDescent="0.25">
      <c r="A1987">
        <v>100247</v>
      </c>
      <c r="B1987" t="s">
        <v>0</v>
      </c>
      <c r="D1987" s="1"/>
      <c r="E1987" s="1"/>
      <c r="F1987">
        <v>11</v>
      </c>
      <c r="G1987">
        <v>38</v>
      </c>
      <c r="H1987" s="1">
        <v>44287</v>
      </c>
      <c r="I1987" s="1">
        <v>44378</v>
      </c>
      <c r="J1987">
        <v>3</v>
      </c>
      <c r="K1987">
        <v>0</v>
      </c>
      <c r="L1987" s="1">
        <v>44317</v>
      </c>
      <c r="M1987">
        <v>110</v>
      </c>
      <c r="N1987" s="8" cm="1">
        <f t="array" ref="N1987">_xlfn.SWITCH(Sales[[#This Row],[Subscription Type]],"Basic",10,"Premium",10,"Business",25,"Enterprise",27)</f>
        <v>10</v>
      </c>
      <c r="O1987">
        <f>IF(Sales[[#This Row],[Number of Users]]-Sales[[#This Row],[Licenses Bought]]&lt;0,0,Sales[[#This Row],[Number of Users]]-Sales[[#This Row],[Licenses Bought]])</f>
        <v>27</v>
      </c>
      <c r="P1987" s="8">
        <f>IF(Sales[[#This Row],[Sales Month]]=MAX(Sales[Sales Month]),Sales[[#This Row],[Non-Paying Users]]*Sales[[#This Row],[Upsell $ per Non-Paying User]],0)</f>
        <v>0</v>
      </c>
      <c r="Q1987" t="str" cm="1">
        <f t="array" ref="Q1987">_xlfn.IFS(Sales[[#This Row],[Current Upsell $]]=0,"",Sales[[#This Row],[Current Upsell $]]&gt;=400,"High",Sales[[#This Row],[Current Upsell $]]&gt;=100,"Medium",Sales[[#This Row],[Current Upsell $]]&lt;100,"Low")</f>
        <v/>
      </c>
      <c r="R1987" t="str">
        <f>IF(Sales[[#This Row],[Current Upsell $]]&gt;0,_xlfn.CONCAT(Sales[[#This Row],[Subscription Type]]," ",Sales[[#This Row],[Upsell Priority]]," ",TEXT(Sales[[#This Row],[Current Upsell $]],"$#,#")),"")</f>
        <v/>
      </c>
    </row>
    <row r="1988" spans="1:18" x14ac:dyDescent="0.25">
      <c r="A1988">
        <v>100247</v>
      </c>
      <c r="B1988" t="s">
        <v>0</v>
      </c>
      <c r="D1988" s="1"/>
      <c r="E1988" s="1"/>
      <c r="F1988">
        <v>29</v>
      </c>
      <c r="G1988">
        <v>42</v>
      </c>
      <c r="H1988" s="1">
        <v>44287</v>
      </c>
      <c r="I1988" s="1">
        <v>44378</v>
      </c>
      <c r="J1988">
        <v>3</v>
      </c>
      <c r="K1988">
        <v>0</v>
      </c>
      <c r="L1988" s="1">
        <v>44348</v>
      </c>
      <c r="M1988">
        <v>290</v>
      </c>
      <c r="N1988" s="8" cm="1">
        <f t="array" ref="N1988">_xlfn.SWITCH(Sales[[#This Row],[Subscription Type]],"Basic",10,"Premium",10,"Business",25,"Enterprise",27)</f>
        <v>10</v>
      </c>
      <c r="O1988">
        <f>IF(Sales[[#This Row],[Number of Users]]-Sales[[#This Row],[Licenses Bought]]&lt;0,0,Sales[[#This Row],[Number of Users]]-Sales[[#This Row],[Licenses Bought]])</f>
        <v>13</v>
      </c>
      <c r="P1988" s="8">
        <f>IF(Sales[[#This Row],[Sales Month]]=MAX(Sales[Sales Month]),Sales[[#This Row],[Non-Paying Users]]*Sales[[#This Row],[Upsell $ per Non-Paying User]],0)</f>
        <v>130</v>
      </c>
      <c r="Q1988" t="str" cm="1">
        <f t="array" ref="Q1988">_xlfn.IFS(Sales[[#This Row],[Current Upsell $]]=0,"",Sales[[#This Row],[Current Upsell $]]&gt;=400,"High",Sales[[#This Row],[Current Upsell $]]&gt;=100,"Medium",Sales[[#This Row],[Current Upsell $]]&lt;100,"Low")</f>
        <v>Medium</v>
      </c>
      <c r="R1988" t="str">
        <f>IF(Sales[[#This Row],[Current Upsell $]]&gt;0,_xlfn.CONCAT(Sales[[#This Row],[Subscription Type]]," ",Sales[[#This Row],[Upsell Priority]]," ",TEXT(Sales[[#This Row],[Current Upsell $]],"$#,#")),"")</f>
        <v>Premium Medium $130</v>
      </c>
    </row>
    <row r="1989" spans="1:18" x14ac:dyDescent="0.25">
      <c r="A1989">
        <v>100248</v>
      </c>
      <c r="B1989" t="s">
        <v>3</v>
      </c>
      <c r="D1989" s="1"/>
      <c r="E1989" s="1"/>
      <c r="F1989">
        <v>0</v>
      </c>
      <c r="G1989">
        <v>38</v>
      </c>
      <c r="H1989" s="1">
        <v>44287</v>
      </c>
      <c r="I1989" s="1">
        <v>44378</v>
      </c>
      <c r="J1989">
        <v>3</v>
      </c>
      <c r="K1989">
        <v>0</v>
      </c>
      <c r="L1989" s="1">
        <v>44287</v>
      </c>
      <c r="M1989">
        <v>0</v>
      </c>
      <c r="N1989" s="8" cm="1">
        <f t="array" ref="N1989">_xlfn.SWITCH(Sales[[#This Row],[Subscription Type]],"Basic",10,"Premium",10,"Business",25,"Enterprise",27)</f>
        <v>10</v>
      </c>
      <c r="O1989">
        <f>IF(Sales[[#This Row],[Number of Users]]-Sales[[#This Row],[Licenses Bought]]&lt;0,0,Sales[[#This Row],[Number of Users]]-Sales[[#This Row],[Licenses Bought]])</f>
        <v>38</v>
      </c>
      <c r="P1989" s="8">
        <f>IF(Sales[[#This Row],[Sales Month]]=MAX(Sales[Sales Month]),Sales[[#This Row],[Non-Paying Users]]*Sales[[#This Row],[Upsell $ per Non-Paying User]],0)</f>
        <v>0</v>
      </c>
      <c r="Q1989" t="str" cm="1">
        <f t="array" ref="Q1989">_xlfn.IFS(Sales[[#This Row],[Current Upsell $]]=0,"",Sales[[#This Row],[Current Upsell $]]&gt;=400,"High",Sales[[#This Row],[Current Upsell $]]&gt;=100,"Medium",Sales[[#This Row],[Current Upsell $]]&lt;100,"Low")</f>
        <v/>
      </c>
      <c r="R1989" t="str">
        <f>IF(Sales[[#This Row],[Current Upsell $]]&gt;0,_xlfn.CONCAT(Sales[[#This Row],[Subscription Type]]," ",Sales[[#This Row],[Upsell Priority]]," ",TEXT(Sales[[#This Row],[Current Upsell $]],"$#,#")),"")</f>
        <v/>
      </c>
    </row>
    <row r="1990" spans="1:18" x14ac:dyDescent="0.25">
      <c r="A1990">
        <v>100248</v>
      </c>
      <c r="B1990" t="s">
        <v>0</v>
      </c>
      <c r="D1990" s="1"/>
      <c r="E1990" s="1"/>
      <c r="F1990">
        <v>13</v>
      </c>
      <c r="G1990">
        <v>36</v>
      </c>
      <c r="H1990" s="1">
        <v>44287</v>
      </c>
      <c r="I1990" s="1">
        <v>44378</v>
      </c>
      <c r="J1990">
        <v>3</v>
      </c>
      <c r="K1990">
        <v>0</v>
      </c>
      <c r="L1990" s="1">
        <v>44317</v>
      </c>
      <c r="M1990">
        <v>130</v>
      </c>
      <c r="N1990" s="8" cm="1">
        <f t="array" ref="N1990">_xlfn.SWITCH(Sales[[#This Row],[Subscription Type]],"Basic",10,"Premium",10,"Business",25,"Enterprise",27)</f>
        <v>10</v>
      </c>
      <c r="O1990">
        <f>IF(Sales[[#This Row],[Number of Users]]-Sales[[#This Row],[Licenses Bought]]&lt;0,0,Sales[[#This Row],[Number of Users]]-Sales[[#This Row],[Licenses Bought]])</f>
        <v>23</v>
      </c>
      <c r="P1990" s="8">
        <f>IF(Sales[[#This Row],[Sales Month]]=MAX(Sales[Sales Month]),Sales[[#This Row],[Non-Paying Users]]*Sales[[#This Row],[Upsell $ per Non-Paying User]],0)</f>
        <v>0</v>
      </c>
      <c r="Q1990" t="str" cm="1">
        <f t="array" ref="Q1990">_xlfn.IFS(Sales[[#This Row],[Current Upsell $]]=0,"",Sales[[#This Row],[Current Upsell $]]&gt;=400,"High",Sales[[#This Row],[Current Upsell $]]&gt;=100,"Medium",Sales[[#This Row],[Current Upsell $]]&lt;100,"Low")</f>
        <v/>
      </c>
      <c r="R1990" t="str">
        <f>IF(Sales[[#This Row],[Current Upsell $]]&gt;0,_xlfn.CONCAT(Sales[[#This Row],[Subscription Type]]," ",Sales[[#This Row],[Upsell Priority]]," ",TEXT(Sales[[#This Row],[Current Upsell $]],"$#,#")),"")</f>
        <v/>
      </c>
    </row>
    <row r="1991" spans="1:18" x14ac:dyDescent="0.25">
      <c r="A1991">
        <v>100248</v>
      </c>
      <c r="B1991" t="s">
        <v>0</v>
      </c>
      <c r="D1991" s="1"/>
      <c r="E1991" s="1"/>
      <c r="F1991">
        <v>19</v>
      </c>
      <c r="G1991">
        <v>36</v>
      </c>
      <c r="H1991" s="1">
        <v>44287</v>
      </c>
      <c r="I1991" s="1">
        <v>44378</v>
      </c>
      <c r="J1991">
        <v>3</v>
      </c>
      <c r="K1991">
        <v>0</v>
      </c>
      <c r="L1991" s="1">
        <v>44348</v>
      </c>
      <c r="M1991">
        <v>190</v>
      </c>
      <c r="N1991" s="8" cm="1">
        <f t="array" ref="N1991">_xlfn.SWITCH(Sales[[#This Row],[Subscription Type]],"Basic",10,"Premium",10,"Business",25,"Enterprise",27)</f>
        <v>10</v>
      </c>
      <c r="O1991">
        <f>IF(Sales[[#This Row],[Number of Users]]-Sales[[#This Row],[Licenses Bought]]&lt;0,0,Sales[[#This Row],[Number of Users]]-Sales[[#This Row],[Licenses Bought]])</f>
        <v>17</v>
      </c>
      <c r="P1991" s="8">
        <f>IF(Sales[[#This Row],[Sales Month]]=MAX(Sales[Sales Month]),Sales[[#This Row],[Non-Paying Users]]*Sales[[#This Row],[Upsell $ per Non-Paying User]],0)</f>
        <v>170</v>
      </c>
      <c r="Q1991" t="str" cm="1">
        <f t="array" ref="Q1991">_xlfn.IFS(Sales[[#This Row],[Current Upsell $]]=0,"",Sales[[#This Row],[Current Upsell $]]&gt;=400,"High",Sales[[#This Row],[Current Upsell $]]&gt;=100,"Medium",Sales[[#This Row],[Current Upsell $]]&lt;100,"Low")</f>
        <v>Medium</v>
      </c>
      <c r="R1991" t="str">
        <f>IF(Sales[[#This Row],[Current Upsell $]]&gt;0,_xlfn.CONCAT(Sales[[#This Row],[Subscription Type]]," ",Sales[[#This Row],[Upsell Priority]]," ",TEXT(Sales[[#This Row],[Current Upsell $]],"$#,#")),"")</f>
        <v>Premium Medium $170</v>
      </c>
    </row>
    <row r="1992" spans="1:18" x14ac:dyDescent="0.25">
      <c r="A1992">
        <v>100249</v>
      </c>
      <c r="B1992" t="s">
        <v>3</v>
      </c>
      <c r="D1992" s="1"/>
      <c r="E1992" s="1"/>
      <c r="F1992">
        <v>0</v>
      </c>
      <c r="G1992">
        <v>39</v>
      </c>
      <c r="H1992" s="1">
        <v>44287</v>
      </c>
      <c r="I1992" s="1">
        <v>44378</v>
      </c>
      <c r="J1992">
        <v>3</v>
      </c>
      <c r="K1992">
        <v>0</v>
      </c>
      <c r="L1992" s="1">
        <v>44287</v>
      </c>
      <c r="M1992">
        <v>0</v>
      </c>
      <c r="N1992" s="8" cm="1">
        <f t="array" ref="N1992">_xlfn.SWITCH(Sales[[#This Row],[Subscription Type]],"Basic",10,"Premium",10,"Business",25,"Enterprise",27)</f>
        <v>10</v>
      </c>
      <c r="O1992">
        <f>IF(Sales[[#This Row],[Number of Users]]-Sales[[#This Row],[Licenses Bought]]&lt;0,0,Sales[[#This Row],[Number of Users]]-Sales[[#This Row],[Licenses Bought]])</f>
        <v>39</v>
      </c>
      <c r="P1992" s="8">
        <f>IF(Sales[[#This Row],[Sales Month]]=MAX(Sales[Sales Month]),Sales[[#This Row],[Non-Paying Users]]*Sales[[#This Row],[Upsell $ per Non-Paying User]],0)</f>
        <v>0</v>
      </c>
      <c r="Q1992" t="str" cm="1">
        <f t="array" ref="Q1992">_xlfn.IFS(Sales[[#This Row],[Current Upsell $]]=0,"",Sales[[#This Row],[Current Upsell $]]&gt;=400,"High",Sales[[#This Row],[Current Upsell $]]&gt;=100,"Medium",Sales[[#This Row],[Current Upsell $]]&lt;100,"Low")</f>
        <v/>
      </c>
      <c r="R1992" t="str">
        <f>IF(Sales[[#This Row],[Current Upsell $]]&gt;0,_xlfn.CONCAT(Sales[[#This Row],[Subscription Type]]," ",Sales[[#This Row],[Upsell Priority]]," ",TEXT(Sales[[#This Row],[Current Upsell $]],"$#,#")),"")</f>
        <v/>
      </c>
    </row>
    <row r="1993" spans="1:18" x14ac:dyDescent="0.25">
      <c r="A1993">
        <v>100249</v>
      </c>
      <c r="B1993" t="s">
        <v>1</v>
      </c>
      <c r="D1993" s="1"/>
      <c r="E1993" s="1"/>
      <c r="F1993">
        <v>17</v>
      </c>
      <c r="G1993">
        <v>44</v>
      </c>
      <c r="H1993" s="1">
        <v>44287</v>
      </c>
      <c r="I1993" s="1">
        <v>44378</v>
      </c>
      <c r="J1993">
        <v>3</v>
      </c>
      <c r="K1993">
        <v>0</v>
      </c>
      <c r="L1993" s="1">
        <v>44317</v>
      </c>
      <c r="M1993">
        <v>425</v>
      </c>
      <c r="N1993" s="8" cm="1">
        <f t="array" ref="N1993">_xlfn.SWITCH(Sales[[#This Row],[Subscription Type]],"Basic",10,"Premium",10,"Business",25,"Enterprise",27)</f>
        <v>25</v>
      </c>
      <c r="O1993">
        <f>IF(Sales[[#This Row],[Number of Users]]-Sales[[#This Row],[Licenses Bought]]&lt;0,0,Sales[[#This Row],[Number of Users]]-Sales[[#This Row],[Licenses Bought]])</f>
        <v>27</v>
      </c>
      <c r="P1993" s="8">
        <f>IF(Sales[[#This Row],[Sales Month]]=MAX(Sales[Sales Month]),Sales[[#This Row],[Non-Paying Users]]*Sales[[#This Row],[Upsell $ per Non-Paying User]],0)</f>
        <v>0</v>
      </c>
      <c r="Q1993" t="str" cm="1">
        <f t="array" ref="Q1993">_xlfn.IFS(Sales[[#This Row],[Current Upsell $]]=0,"",Sales[[#This Row],[Current Upsell $]]&gt;=400,"High",Sales[[#This Row],[Current Upsell $]]&gt;=100,"Medium",Sales[[#This Row],[Current Upsell $]]&lt;100,"Low")</f>
        <v/>
      </c>
      <c r="R1993" t="str">
        <f>IF(Sales[[#This Row],[Current Upsell $]]&gt;0,_xlfn.CONCAT(Sales[[#This Row],[Subscription Type]]," ",Sales[[#This Row],[Upsell Priority]]," ",TEXT(Sales[[#This Row],[Current Upsell $]],"$#,#")),"")</f>
        <v/>
      </c>
    </row>
    <row r="1994" spans="1:18" x14ac:dyDescent="0.25">
      <c r="A1994">
        <v>100249</v>
      </c>
      <c r="B1994" t="s">
        <v>1</v>
      </c>
      <c r="D1994" s="1"/>
      <c r="E1994" s="1"/>
      <c r="F1994">
        <v>19</v>
      </c>
      <c r="G1994">
        <v>33</v>
      </c>
      <c r="H1994" s="1">
        <v>44287</v>
      </c>
      <c r="I1994" s="1">
        <v>44378</v>
      </c>
      <c r="J1994">
        <v>3</v>
      </c>
      <c r="K1994">
        <v>0</v>
      </c>
      <c r="L1994" s="1">
        <v>44348</v>
      </c>
      <c r="M1994">
        <v>475</v>
      </c>
      <c r="N1994" s="8" cm="1">
        <f t="array" ref="N1994">_xlfn.SWITCH(Sales[[#This Row],[Subscription Type]],"Basic",10,"Premium",10,"Business",25,"Enterprise",27)</f>
        <v>25</v>
      </c>
      <c r="O1994">
        <f>IF(Sales[[#This Row],[Number of Users]]-Sales[[#This Row],[Licenses Bought]]&lt;0,0,Sales[[#This Row],[Number of Users]]-Sales[[#This Row],[Licenses Bought]])</f>
        <v>14</v>
      </c>
      <c r="P1994" s="8">
        <f>IF(Sales[[#This Row],[Sales Month]]=MAX(Sales[Sales Month]),Sales[[#This Row],[Non-Paying Users]]*Sales[[#This Row],[Upsell $ per Non-Paying User]],0)</f>
        <v>350</v>
      </c>
      <c r="Q1994" t="str" cm="1">
        <f t="array" ref="Q1994">_xlfn.IFS(Sales[[#This Row],[Current Upsell $]]=0,"",Sales[[#This Row],[Current Upsell $]]&gt;=400,"High",Sales[[#This Row],[Current Upsell $]]&gt;=100,"Medium",Sales[[#This Row],[Current Upsell $]]&lt;100,"Low")</f>
        <v>Medium</v>
      </c>
      <c r="R1994" t="str">
        <f>IF(Sales[[#This Row],[Current Upsell $]]&gt;0,_xlfn.CONCAT(Sales[[#This Row],[Subscription Type]]," ",Sales[[#This Row],[Upsell Priority]]," ",TEXT(Sales[[#This Row],[Current Upsell $]],"$#,#")),"")</f>
        <v>Business Medium $350</v>
      </c>
    </row>
    <row r="1995" spans="1:18" x14ac:dyDescent="0.25">
      <c r="A1995">
        <v>100250</v>
      </c>
      <c r="B1995" t="s">
        <v>3</v>
      </c>
      <c r="D1995" s="1"/>
      <c r="E1995" s="1"/>
      <c r="F1995">
        <v>0</v>
      </c>
      <c r="G1995">
        <v>33</v>
      </c>
      <c r="H1995" s="1">
        <v>44287</v>
      </c>
      <c r="I1995" s="1">
        <v>44378</v>
      </c>
      <c r="J1995">
        <v>3</v>
      </c>
      <c r="K1995">
        <v>0</v>
      </c>
      <c r="L1995" s="1">
        <v>44287</v>
      </c>
      <c r="M1995">
        <v>0</v>
      </c>
      <c r="N1995" s="8" cm="1">
        <f t="array" ref="N1995">_xlfn.SWITCH(Sales[[#This Row],[Subscription Type]],"Basic",10,"Premium",10,"Business",25,"Enterprise",27)</f>
        <v>10</v>
      </c>
      <c r="O1995">
        <f>IF(Sales[[#This Row],[Number of Users]]-Sales[[#This Row],[Licenses Bought]]&lt;0,0,Sales[[#This Row],[Number of Users]]-Sales[[#This Row],[Licenses Bought]])</f>
        <v>33</v>
      </c>
      <c r="P1995" s="8">
        <f>IF(Sales[[#This Row],[Sales Month]]=MAX(Sales[Sales Month]),Sales[[#This Row],[Non-Paying Users]]*Sales[[#This Row],[Upsell $ per Non-Paying User]],0)</f>
        <v>0</v>
      </c>
      <c r="Q1995" t="str" cm="1">
        <f t="array" ref="Q1995">_xlfn.IFS(Sales[[#This Row],[Current Upsell $]]=0,"",Sales[[#This Row],[Current Upsell $]]&gt;=400,"High",Sales[[#This Row],[Current Upsell $]]&gt;=100,"Medium",Sales[[#This Row],[Current Upsell $]]&lt;100,"Low")</f>
        <v/>
      </c>
      <c r="R1995" t="str">
        <f>IF(Sales[[#This Row],[Current Upsell $]]&gt;0,_xlfn.CONCAT(Sales[[#This Row],[Subscription Type]]," ",Sales[[#This Row],[Upsell Priority]]," ",TEXT(Sales[[#This Row],[Current Upsell $]],"$#,#")),"")</f>
        <v/>
      </c>
    </row>
    <row r="1996" spans="1:18" x14ac:dyDescent="0.25">
      <c r="A1996">
        <v>100250</v>
      </c>
      <c r="B1996" t="s">
        <v>1</v>
      </c>
      <c r="D1996" s="1"/>
      <c r="E1996" s="1"/>
      <c r="F1996">
        <v>7</v>
      </c>
      <c r="G1996">
        <v>30</v>
      </c>
      <c r="H1996" s="1">
        <v>44287</v>
      </c>
      <c r="I1996" s="1">
        <v>44378</v>
      </c>
      <c r="J1996">
        <v>3</v>
      </c>
      <c r="K1996">
        <v>0</v>
      </c>
      <c r="L1996" s="1">
        <v>44317</v>
      </c>
      <c r="M1996">
        <v>175</v>
      </c>
      <c r="N1996" s="8" cm="1">
        <f t="array" ref="N1996">_xlfn.SWITCH(Sales[[#This Row],[Subscription Type]],"Basic",10,"Premium",10,"Business",25,"Enterprise",27)</f>
        <v>25</v>
      </c>
      <c r="O1996">
        <f>IF(Sales[[#This Row],[Number of Users]]-Sales[[#This Row],[Licenses Bought]]&lt;0,0,Sales[[#This Row],[Number of Users]]-Sales[[#This Row],[Licenses Bought]])</f>
        <v>23</v>
      </c>
      <c r="P1996" s="8">
        <f>IF(Sales[[#This Row],[Sales Month]]=MAX(Sales[Sales Month]),Sales[[#This Row],[Non-Paying Users]]*Sales[[#This Row],[Upsell $ per Non-Paying User]],0)</f>
        <v>0</v>
      </c>
      <c r="Q1996" t="str" cm="1">
        <f t="array" ref="Q1996">_xlfn.IFS(Sales[[#This Row],[Current Upsell $]]=0,"",Sales[[#This Row],[Current Upsell $]]&gt;=400,"High",Sales[[#This Row],[Current Upsell $]]&gt;=100,"Medium",Sales[[#This Row],[Current Upsell $]]&lt;100,"Low")</f>
        <v/>
      </c>
      <c r="R1996" t="str">
        <f>IF(Sales[[#This Row],[Current Upsell $]]&gt;0,_xlfn.CONCAT(Sales[[#This Row],[Subscription Type]]," ",Sales[[#This Row],[Upsell Priority]]," ",TEXT(Sales[[#This Row],[Current Upsell $]],"$#,#")),"")</f>
        <v/>
      </c>
    </row>
    <row r="1997" spans="1:18" x14ac:dyDescent="0.25">
      <c r="A1997">
        <v>100250</v>
      </c>
      <c r="B1997" t="s">
        <v>1</v>
      </c>
      <c r="D1997" s="1"/>
      <c r="E1997" s="1"/>
      <c r="F1997">
        <v>14</v>
      </c>
      <c r="G1997">
        <v>28</v>
      </c>
      <c r="H1997" s="1">
        <v>44287</v>
      </c>
      <c r="I1997" s="1">
        <v>44378</v>
      </c>
      <c r="J1997">
        <v>3</v>
      </c>
      <c r="K1997">
        <v>0</v>
      </c>
      <c r="L1997" s="1">
        <v>44348</v>
      </c>
      <c r="M1997">
        <v>350</v>
      </c>
      <c r="N1997" s="8" cm="1">
        <f t="array" ref="N1997">_xlfn.SWITCH(Sales[[#This Row],[Subscription Type]],"Basic",10,"Premium",10,"Business",25,"Enterprise",27)</f>
        <v>25</v>
      </c>
      <c r="O1997">
        <f>IF(Sales[[#This Row],[Number of Users]]-Sales[[#This Row],[Licenses Bought]]&lt;0,0,Sales[[#This Row],[Number of Users]]-Sales[[#This Row],[Licenses Bought]])</f>
        <v>14</v>
      </c>
      <c r="P1997" s="8">
        <f>IF(Sales[[#This Row],[Sales Month]]=MAX(Sales[Sales Month]),Sales[[#This Row],[Non-Paying Users]]*Sales[[#This Row],[Upsell $ per Non-Paying User]],0)</f>
        <v>350</v>
      </c>
      <c r="Q1997" t="str" cm="1">
        <f t="array" ref="Q1997">_xlfn.IFS(Sales[[#This Row],[Current Upsell $]]=0,"",Sales[[#This Row],[Current Upsell $]]&gt;=400,"High",Sales[[#This Row],[Current Upsell $]]&gt;=100,"Medium",Sales[[#This Row],[Current Upsell $]]&lt;100,"Low")</f>
        <v>Medium</v>
      </c>
      <c r="R1997" t="str">
        <f>IF(Sales[[#This Row],[Current Upsell $]]&gt;0,_xlfn.CONCAT(Sales[[#This Row],[Subscription Type]]," ",Sales[[#This Row],[Upsell Priority]]," ",TEXT(Sales[[#This Row],[Current Upsell $]],"$#,#")),"")</f>
        <v>Business Medium $350</v>
      </c>
    </row>
    <row r="1998" spans="1:18" x14ac:dyDescent="0.25">
      <c r="A1998">
        <v>100251</v>
      </c>
      <c r="B1998" t="s">
        <v>3</v>
      </c>
      <c r="D1998" s="1"/>
      <c r="E1998" s="1"/>
      <c r="F1998">
        <v>0</v>
      </c>
      <c r="G1998">
        <v>34</v>
      </c>
      <c r="H1998" s="1">
        <v>44287</v>
      </c>
      <c r="I1998" s="1">
        <v>44378</v>
      </c>
      <c r="J1998">
        <v>3</v>
      </c>
      <c r="K1998">
        <v>0</v>
      </c>
      <c r="L1998" s="1">
        <v>44287</v>
      </c>
      <c r="M1998">
        <v>0</v>
      </c>
      <c r="N1998" s="8" cm="1">
        <f t="array" ref="N1998">_xlfn.SWITCH(Sales[[#This Row],[Subscription Type]],"Basic",10,"Premium",10,"Business",25,"Enterprise",27)</f>
        <v>10</v>
      </c>
      <c r="O1998">
        <f>IF(Sales[[#This Row],[Number of Users]]-Sales[[#This Row],[Licenses Bought]]&lt;0,0,Sales[[#This Row],[Number of Users]]-Sales[[#This Row],[Licenses Bought]])</f>
        <v>34</v>
      </c>
      <c r="P1998" s="8">
        <f>IF(Sales[[#This Row],[Sales Month]]=MAX(Sales[Sales Month]),Sales[[#This Row],[Non-Paying Users]]*Sales[[#This Row],[Upsell $ per Non-Paying User]],0)</f>
        <v>0</v>
      </c>
      <c r="Q1998" t="str" cm="1">
        <f t="array" ref="Q1998">_xlfn.IFS(Sales[[#This Row],[Current Upsell $]]=0,"",Sales[[#This Row],[Current Upsell $]]&gt;=400,"High",Sales[[#This Row],[Current Upsell $]]&gt;=100,"Medium",Sales[[#This Row],[Current Upsell $]]&lt;100,"Low")</f>
        <v/>
      </c>
      <c r="R1998" t="str">
        <f>IF(Sales[[#This Row],[Current Upsell $]]&gt;0,_xlfn.CONCAT(Sales[[#This Row],[Subscription Type]]," ",Sales[[#This Row],[Upsell Priority]]," ",TEXT(Sales[[#This Row],[Current Upsell $]],"$#,#")),"")</f>
        <v/>
      </c>
    </row>
    <row r="1999" spans="1:18" x14ac:dyDescent="0.25">
      <c r="A1999">
        <v>100251</v>
      </c>
      <c r="B1999" t="s">
        <v>0</v>
      </c>
      <c r="D1999" s="1"/>
      <c r="E1999" s="1"/>
      <c r="F1999">
        <v>9</v>
      </c>
      <c r="G1999">
        <v>28</v>
      </c>
      <c r="H1999" s="1">
        <v>44287</v>
      </c>
      <c r="I1999" s="1">
        <v>44378</v>
      </c>
      <c r="J1999">
        <v>3</v>
      </c>
      <c r="K1999">
        <v>0</v>
      </c>
      <c r="L1999" s="1">
        <v>44317</v>
      </c>
      <c r="M1999">
        <v>90</v>
      </c>
      <c r="N1999" s="8" cm="1">
        <f t="array" ref="N1999">_xlfn.SWITCH(Sales[[#This Row],[Subscription Type]],"Basic",10,"Premium",10,"Business",25,"Enterprise",27)</f>
        <v>10</v>
      </c>
      <c r="O1999">
        <f>IF(Sales[[#This Row],[Number of Users]]-Sales[[#This Row],[Licenses Bought]]&lt;0,0,Sales[[#This Row],[Number of Users]]-Sales[[#This Row],[Licenses Bought]])</f>
        <v>19</v>
      </c>
      <c r="P1999" s="8">
        <f>IF(Sales[[#This Row],[Sales Month]]=MAX(Sales[Sales Month]),Sales[[#This Row],[Non-Paying Users]]*Sales[[#This Row],[Upsell $ per Non-Paying User]],0)</f>
        <v>0</v>
      </c>
      <c r="Q1999" t="str" cm="1">
        <f t="array" ref="Q1999">_xlfn.IFS(Sales[[#This Row],[Current Upsell $]]=0,"",Sales[[#This Row],[Current Upsell $]]&gt;=400,"High",Sales[[#This Row],[Current Upsell $]]&gt;=100,"Medium",Sales[[#This Row],[Current Upsell $]]&lt;100,"Low")</f>
        <v/>
      </c>
      <c r="R1999" t="str">
        <f>IF(Sales[[#This Row],[Current Upsell $]]&gt;0,_xlfn.CONCAT(Sales[[#This Row],[Subscription Type]]," ",Sales[[#This Row],[Upsell Priority]]," ",TEXT(Sales[[#This Row],[Current Upsell $]],"$#,#")),"")</f>
        <v/>
      </c>
    </row>
    <row r="2000" spans="1:18" x14ac:dyDescent="0.25">
      <c r="A2000">
        <v>100251</v>
      </c>
      <c r="B2000" t="s">
        <v>0</v>
      </c>
      <c r="D2000" s="1"/>
      <c r="E2000" s="1"/>
      <c r="F2000">
        <v>13</v>
      </c>
      <c r="G2000">
        <v>26</v>
      </c>
      <c r="H2000" s="1">
        <v>44287</v>
      </c>
      <c r="I2000" s="1">
        <v>44378</v>
      </c>
      <c r="J2000">
        <v>3</v>
      </c>
      <c r="K2000">
        <v>0</v>
      </c>
      <c r="L2000" s="1">
        <v>44348</v>
      </c>
      <c r="M2000">
        <v>130</v>
      </c>
      <c r="N2000" s="8" cm="1">
        <f t="array" ref="N2000">_xlfn.SWITCH(Sales[[#This Row],[Subscription Type]],"Basic",10,"Premium",10,"Business",25,"Enterprise",27)</f>
        <v>10</v>
      </c>
      <c r="O2000">
        <f>IF(Sales[[#This Row],[Number of Users]]-Sales[[#This Row],[Licenses Bought]]&lt;0,0,Sales[[#This Row],[Number of Users]]-Sales[[#This Row],[Licenses Bought]])</f>
        <v>13</v>
      </c>
      <c r="P2000" s="8">
        <f>IF(Sales[[#This Row],[Sales Month]]=MAX(Sales[Sales Month]),Sales[[#This Row],[Non-Paying Users]]*Sales[[#This Row],[Upsell $ per Non-Paying User]],0)</f>
        <v>130</v>
      </c>
      <c r="Q2000" t="str" cm="1">
        <f t="array" ref="Q2000">_xlfn.IFS(Sales[[#This Row],[Current Upsell $]]=0,"",Sales[[#This Row],[Current Upsell $]]&gt;=400,"High",Sales[[#This Row],[Current Upsell $]]&gt;=100,"Medium",Sales[[#This Row],[Current Upsell $]]&lt;100,"Low")</f>
        <v>Medium</v>
      </c>
      <c r="R2000" t="str">
        <f>IF(Sales[[#This Row],[Current Upsell $]]&gt;0,_xlfn.CONCAT(Sales[[#This Row],[Subscription Type]]," ",Sales[[#This Row],[Upsell Priority]]," ",TEXT(Sales[[#This Row],[Current Upsell $]],"$#,#")),"")</f>
        <v>Premium Medium $130</v>
      </c>
    </row>
    <row r="2001" spans="1:18" x14ac:dyDescent="0.25">
      <c r="A2001">
        <v>100252</v>
      </c>
      <c r="B2001" t="s">
        <v>3</v>
      </c>
      <c r="D2001" s="1"/>
      <c r="E2001" s="1"/>
      <c r="F2001">
        <v>0</v>
      </c>
      <c r="G2001">
        <v>27</v>
      </c>
      <c r="H2001" s="1">
        <v>44287</v>
      </c>
      <c r="I2001" s="1">
        <v>44378</v>
      </c>
      <c r="J2001">
        <v>3</v>
      </c>
      <c r="K2001">
        <v>0</v>
      </c>
      <c r="L2001" s="1">
        <v>44287</v>
      </c>
      <c r="M2001">
        <v>0</v>
      </c>
      <c r="N2001" s="8" cm="1">
        <f t="array" ref="N2001">_xlfn.SWITCH(Sales[[#This Row],[Subscription Type]],"Basic",10,"Premium",10,"Business",25,"Enterprise",27)</f>
        <v>10</v>
      </c>
      <c r="O2001">
        <f>IF(Sales[[#This Row],[Number of Users]]-Sales[[#This Row],[Licenses Bought]]&lt;0,0,Sales[[#This Row],[Number of Users]]-Sales[[#This Row],[Licenses Bought]])</f>
        <v>27</v>
      </c>
      <c r="P2001" s="8">
        <f>IF(Sales[[#This Row],[Sales Month]]=MAX(Sales[Sales Month]),Sales[[#This Row],[Non-Paying Users]]*Sales[[#This Row],[Upsell $ per Non-Paying User]],0)</f>
        <v>0</v>
      </c>
      <c r="Q2001" t="str" cm="1">
        <f t="array" ref="Q2001">_xlfn.IFS(Sales[[#This Row],[Current Upsell $]]=0,"",Sales[[#This Row],[Current Upsell $]]&gt;=400,"High",Sales[[#This Row],[Current Upsell $]]&gt;=100,"Medium",Sales[[#This Row],[Current Upsell $]]&lt;100,"Low")</f>
        <v/>
      </c>
      <c r="R2001" t="str">
        <f>IF(Sales[[#This Row],[Current Upsell $]]&gt;0,_xlfn.CONCAT(Sales[[#This Row],[Subscription Type]]," ",Sales[[#This Row],[Upsell Priority]]," ",TEXT(Sales[[#This Row],[Current Upsell $]],"$#,#")),"")</f>
        <v/>
      </c>
    </row>
    <row r="2002" spans="1:18" x14ac:dyDescent="0.25">
      <c r="A2002">
        <v>100252</v>
      </c>
      <c r="B2002" t="s">
        <v>0</v>
      </c>
      <c r="D2002" s="1"/>
      <c r="E2002" s="1"/>
      <c r="F2002">
        <v>6</v>
      </c>
      <c r="G2002">
        <v>24</v>
      </c>
      <c r="H2002" s="1">
        <v>44287</v>
      </c>
      <c r="I2002" s="1">
        <v>44378</v>
      </c>
      <c r="J2002">
        <v>3</v>
      </c>
      <c r="K2002">
        <v>0</v>
      </c>
      <c r="L2002" s="1">
        <v>44317</v>
      </c>
      <c r="M2002">
        <v>60</v>
      </c>
      <c r="N2002" s="8" cm="1">
        <f t="array" ref="N2002">_xlfn.SWITCH(Sales[[#This Row],[Subscription Type]],"Basic",10,"Premium",10,"Business",25,"Enterprise",27)</f>
        <v>10</v>
      </c>
      <c r="O2002">
        <f>IF(Sales[[#This Row],[Number of Users]]-Sales[[#This Row],[Licenses Bought]]&lt;0,0,Sales[[#This Row],[Number of Users]]-Sales[[#This Row],[Licenses Bought]])</f>
        <v>18</v>
      </c>
      <c r="P2002" s="8">
        <f>IF(Sales[[#This Row],[Sales Month]]=MAX(Sales[Sales Month]),Sales[[#This Row],[Non-Paying Users]]*Sales[[#This Row],[Upsell $ per Non-Paying User]],0)</f>
        <v>0</v>
      </c>
      <c r="Q2002" t="str" cm="1">
        <f t="array" ref="Q2002">_xlfn.IFS(Sales[[#This Row],[Current Upsell $]]=0,"",Sales[[#This Row],[Current Upsell $]]&gt;=400,"High",Sales[[#This Row],[Current Upsell $]]&gt;=100,"Medium",Sales[[#This Row],[Current Upsell $]]&lt;100,"Low")</f>
        <v/>
      </c>
      <c r="R2002" t="str">
        <f>IF(Sales[[#This Row],[Current Upsell $]]&gt;0,_xlfn.CONCAT(Sales[[#This Row],[Subscription Type]]," ",Sales[[#This Row],[Upsell Priority]]," ",TEXT(Sales[[#This Row],[Current Upsell $]],"$#,#")),"")</f>
        <v/>
      </c>
    </row>
    <row r="2003" spans="1:18" x14ac:dyDescent="0.25">
      <c r="A2003">
        <v>100252</v>
      </c>
      <c r="B2003" t="s">
        <v>0</v>
      </c>
      <c r="D2003" s="1"/>
      <c r="E2003" s="1"/>
      <c r="F2003">
        <v>20</v>
      </c>
      <c r="G2003">
        <v>21</v>
      </c>
      <c r="H2003" s="1">
        <v>44287</v>
      </c>
      <c r="I2003" s="1">
        <v>44378</v>
      </c>
      <c r="J2003">
        <v>3</v>
      </c>
      <c r="K2003">
        <v>0</v>
      </c>
      <c r="L2003" s="1">
        <v>44348</v>
      </c>
      <c r="M2003">
        <v>200</v>
      </c>
      <c r="N2003" s="8" cm="1">
        <f t="array" ref="N2003">_xlfn.SWITCH(Sales[[#This Row],[Subscription Type]],"Basic",10,"Premium",10,"Business",25,"Enterprise",27)</f>
        <v>10</v>
      </c>
      <c r="O2003">
        <f>IF(Sales[[#This Row],[Number of Users]]-Sales[[#This Row],[Licenses Bought]]&lt;0,0,Sales[[#This Row],[Number of Users]]-Sales[[#This Row],[Licenses Bought]])</f>
        <v>1</v>
      </c>
      <c r="P2003" s="8">
        <f>IF(Sales[[#This Row],[Sales Month]]=MAX(Sales[Sales Month]),Sales[[#This Row],[Non-Paying Users]]*Sales[[#This Row],[Upsell $ per Non-Paying User]],0)</f>
        <v>10</v>
      </c>
      <c r="Q2003" t="str" cm="1">
        <f t="array" ref="Q2003">_xlfn.IFS(Sales[[#This Row],[Current Upsell $]]=0,"",Sales[[#This Row],[Current Upsell $]]&gt;=400,"High",Sales[[#This Row],[Current Upsell $]]&gt;=100,"Medium",Sales[[#This Row],[Current Upsell $]]&lt;100,"Low")</f>
        <v>Low</v>
      </c>
      <c r="R2003" t="str">
        <f>IF(Sales[[#This Row],[Current Upsell $]]&gt;0,_xlfn.CONCAT(Sales[[#This Row],[Subscription Type]]," ",Sales[[#This Row],[Upsell Priority]]," ",TEXT(Sales[[#This Row],[Current Upsell $]],"$#,#")),"")</f>
        <v>Premium Low $10</v>
      </c>
    </row>
    <row r="2004" spans="1:18" x14ac:dyDescent="0.25">
      <c r="A2004">
        <v>100253</v>
      </c>
      <c r="B2004" t="s">
        <v>3</v>
      </c>
      <c r="F2004">
        <v>0</v>
      </c>
      <c r="G2004">
        <v>17</v>
      </c>
      <c r="H2004" s="1">
        <v>44287</v>
      </c>
      <c r="I2004" s="1">
        <v>44348</v>
      </c>
      <c r="J2004">
        <v>2</v>
      </c>
      <c r="K2004">
        <v>0</v>
      </c>
      <c r="L2004" s="1">
        <v>44287</v>
      </c>
      <c r="M2004">
        <v>0</v>
      </c>
      <c r="N2004" s="8" cm="1">
        <f t="array" ref="N2004">_xlfn.SWITCH(Sales[[#This Row],[Subscription Type]],"Basic",10,"Premium",10,"Business",25,"Enterprise",27)</f>
        <v>10</v>
      </c>
      <c r="O2004">
        <f>IF(Sales[[#This Row],[Number of Users]]-Sales[[#This Row],[Licenses Bought]]&lt;0,0,Sales[[#This Row],[Number of Users]]-Sales[[#This Row],[Licenses Bought]])</f>
        <v>17</v>
      </c>
      <c r="P2004" s="8">
        <f>IF(Sales[[#This Row],[Sales Month]]=MAX(Sales[Sales Month]),Sales[[#This Row],[Non-Paying Users]]*Sales[[#This Row],[Upsell $ per Non-Paying User]],0)</f>
        <v>0</v>
      </c>
      <c r="Q2004" t="str" cm="1">
        <f t="array" ref="Q2004">_xlfn.IFS(Sales[[#This Row],[Current Upsell $]]=0,"",Sales[[#This Row],[Current Upsell $]]&gt;=400,"High",Sales[[#This Row],[Current Upsell $]]&gt;=100,"Medium",Sales[[#This Row],[Current Upsell $]]&lt;100,"Low")</f>
        <v/>
      </c>
      <c r="R2004" t="str">
        <f>IF(Sales[[#This Row],[Current Upsell $]]&gt;0,_xlfn.CONCAT(Sales[[#This Row],[Subscription Type]]," ",Sales[[#This Row],[Upsell Priority]]," ",TEXT(Sales[[#This Row],[Current Upsell $]],"$#,#")),"")</f>
        <v/>
      </c>
    </row>
    <row r="2005" spans="1:18" x14ac:dyDescent="0.25">
      <c r="A2005">
        <v>100253</v>
      </c>
      <c r="B2005" t="s">
        <v>3</v>
      </c>
      <c r="F2005">
        <v>0</v>
      </c>
      <c r="G2005">
        <v>17</v>
      </c>
      <c r="H2005" s="1">
        <v>44287</v>
      </c>
      <c r="I2005" s="1">
        <v>44348</v>
      </c>
      <c r="J2005">
        <v>2</v>
      </c>
      <c r="K2005">
        <v>0</v>
      </c>
      <c r="L2005" s="1">
        <v>44317</v>
      </c>
      <c r="M2005">
        <v>0</v>
      </c>
      <c r="N2005" s="8" cm="1">
        <f t="array" ref="N2005">_xlfn.SWITCH(Sales[[#This Row],[Subscription Type]],"Basic",10,"Premium",10,"Business",25,"Enterprise",27)</f>
        <v>10</v>
      </c>
      <c r="O2005">
        <f>IF(Sales[[#This Row],[Number of Users]]-Sales[[#This Row],[Licenses Bought]]&lt;0,0,Sales[[#This Row],[Number of Users]]-Sales[[#This Row],[Licenses Bought]])</f>
        <v>17</v>
      </c>
      <c r="P2005" s="8">
        <f>IF(Sales[[#This Row],[Sales Month]]=MAX(Sales[Sales Month]),Sales[[#This Row],[Non-Paying Users]]*Sales[[#This Row],[Upsell $ per Non-Paying User]],0)</f>
        <v>0</v>
      </c>
      <c r="Q2005" t="str" cm="1">
        <f t="array" ref="Q2005">_xlfn.IFS(Sales[[#This Row],[Current Upsell $]]=0,"",Sales[[#This Row],[Current Upsell $]]&gt;=400,"High",Sales[[#This Row],[Current Upsell $]]&gt;=100,"Medium",Sales[[#This Row],[Current Upsell $]]&lt;100,"Low")</f>
        <v/>
      </c>
      <c r="R2005" t="str">
        <f>IF(Sales[[#This Row],[Current Upsell $]]&gt;0,_xlfn.CONCAT(Sales[[#This Row],[Subscription Type]]," ",Sales[[#This Row],[Upsell Priority]]," ",TEXT(Sales[[#This Row],[Current Upsell $]],"$#,#")),"")</f>
        <v/>
      </c>
    </row>
    <row r="2006" spans="1:18" x14ac:dyDescent="0.25">
      <c r="A2006">
        <v>100253</v>
      </c>
      <c r="B2006" t="s">
        <v>3</v>
      </c>
      <c r="F2006">
        <v>0</v>
      </c>
      <c r="G2006">
        <v>18</v>
      </c>
      <c r="H2006" s="1">
        <v>44287</v>
      </c>
      <c r="I2006" s="1">
        <v>44348</v>
      </c>
      <c r="J2006">
        <v>2</v>
      </c>
      <c r="K2006">
        <v>0</v>
      </c>
      <c r="L2006" s="1">
        <v>44348</v>
      </c>
      <c r="M2006">
        <v>0</v>
      </c>
      <c r="N2006" s="8" cm="1">
        <f t="array" ref="N2006">_xlfn.SWITCH(Sales[[#This Row],[Subscription Type]],"Basic",10,"Premium",10,"Business",25,"Enterprise",27)</f>
        <v>10</v>
      </c>
      <c r="O2006">
        <f>IF(Sales[[#This Row],[Number of Users]]-Sales[[#This Row],[Licenses Bought]]&lt;0,0,Sales[[#This Row],[Number of Users]]-Sales[[#This Row],[Licenses Bought]])</f>
        <v>18</v>
      </c>
      <c r="P2006" s="8">
        <f>IF(Sales[[#This Row],[Sales Month]]=MAX(Sales[Sales Month]),Sales[[#This Row],[Non-Paying Users]]*Sales[[#This Row],[Upsell $ per Non-Paying User]],0)</f>
        <v>180</v>
      </c>
      <c r="Q2006" t="str" cm="1">
        <f t="array" ref="Q2006">_xlfn.IFS(Sales[[#This Row],[Current Upsell $]]=0,"",Sales[[#This Row],[Current Upsell $]]&gt;=400,"High",Sales[[#This Row],[Current Upsell $]]&gt;=100,"Medium",Sales[[#This Row],[Current Upsell $]]&lt;100,"Low")</f>
        <v>Medium</v>
      </c>
      <c r="R2006" t="str">
        <f>IF(Sales[[#This Row],[Current Upsell $]]&gt;0,_xlfn.CONCAT(Sales[[#This Row],[Subscription Type]]," ",Sales[[#This Row],[Upsell Priority]]," ",TEXT(Sales[[#This Row],[Current Upsell $]],"$#,#")),"")</f>
        <v>Basic Medium $180</v>
      </c>
    </row>
    <row r="2007" spans="1:18" x14ac:dyDescent="0.25">
      <c r="A2007">
        <v>100254</v>
      </c>
      <c r="B2007" t="s">
        <v>3</v>
      </c>
      <c r="D2007" s="1"/>
      <c r="E2007" s="1"/>
      <c r="F2007">
        <v>0</v>
      </c>
      <c r="G2007">
        <v>18</v>
      </c>
      <c r="H2007" s="1">
        <v>44287</v>
      </c>
      <c r="I2007" s="1">
        <v>44378</v>
      </c>
      <c r="J2007">
        <v>3</v>
      </c>
      <c r="K2007">
        <v>0</v>
      </c>
      <c r="L2007" s="1">
        <v>44287</v>
      </c>
      <c r="M2007">
        <v>0</v>
      </c>
      <c r="N2007" s="8" cm="1">
        <f t="array" ref="N2007">_xlfn.SWITCH(Sales[[#This Row],[Subscription Type]],"Basic",10,"Premium",10,"Business",25,"Enterprise",27)</f>
        <v>10</v>
      </c>
      <c r="O2007">
        <f>IF(Sales[[#This Row],[Number of Users]]-Sales[[#This Row],[Licenses Bought]]&lt;0,0,Sales[[#This Row],[Number of Users]]-Sales[[#This Row],[Licenses Bought]])</f>
        <v>18</v>
      </c>
      <c r="P2007" s="8">
        <f>IF(Sales[[#This Row],[Sales Month]]=MAX(Sales[Sales Month]),Sales[[#This Row],[Non-Paying Users]]*Sales[[#This Row],[Upsell $ per Non-Paying User]],0)</f>
        <v>0</v>
      </c>
      <c r="Q2007" t="str" cm="1">
        <f t="array" ref="Q2007">_xlfn.IFS(Sales[[#This Row],[Current Upsell $]]=0,"",Sales[[#This Row],[Current Upsell $]]&gt;=400,"High",Sales[[#This Row],[Current Upsell $]]&gt;=100,"Medium",Sales[[#This Row],[Current Upsell $]]&lt;100,"Low")</f>
        <v/>
      </c>
      <c r="R2007" t="str">
        <f>IF(Sales[[#This Row],[Current Upsell $]]&gt;0,_xlfn.CONCAT(Sales[[#This Row],[Subscription Type]]," ",Sales[[#This Row],[Upsell Priority]]," ",TEXT(Sales[[#This Row],[Current Upsell $]],"$#,#")),"")</f>
        <v/>
      </c>
    </row>
    <row r="2008" spans="1:18" x14ac:dyDescent="0.25">
      <c r="A2008">
        <v>100254</v>
      </c>
      <c r="B2008" t="s">
        <v>0</v>
      </c>
      <c r="D2008" s="1"/>
      <c r="E2008" s="1"/>
      <c r="F2008">
        <v>7</v>
      </c>
      <c r="G2008">
        <v>16</v>
      </c>
      <c r="H2008" s="1">
        <v>44287</v>
      </c>
      <c r="I2008" s="1">
        <v>44378</v>
      </c>
      <c r="J2008">
        <v>3</v>
      </c>
      <c r="K2008">
        <v>0</v>
      </c>
      <c r="L2008" s="1">
        <v>44317</v>
      </c>
      <c r="M2008">
        <v>70</v>
      </c>
      <c r="N2008" s="8" cm="1">
        <f t="array" ref="N2008">_xlfn.SWITCH(Sales[[#This Row],[Subscription Type]],"Basic",10,"Premium",10,"Business",25,"Enterprise",27)</f>
        <v>10</v>
      </c>
      <c r="O2008">
        <f>IF(Sales[[#This Row],[Number of Users]]-Sales[[#This Row],[Licenses Bought]]&lt;0,0,Sales[[#This Row],[Number of Users]]-Sales[[#This Row],[Licenses Bought]])</f>
        <v>9</v>
      </c>
      <c r="P2008" s="8">
        <f>IF(Sales[[#This Row],[Sales Month]]=MAX(Sales[Sales Month]),Sales[[#This Row],[Non-Paying Users]]*Sales[[#This Row],[Upsell $ per Non-Paying User]],0)</f>
        <v>0</v>
      </c>
      <c r="Q2008" t="str" cm="1">
        <f t="array" ref="Q2008">_xlfn.IFS(Sales[[#This Row],[Current Upsell $]]=0,"",Sales[[#This Row],[Current Upsell $]]&gt;=400,"High",Sales[[#This Row],[Current Upsell $]]&gt;=100,"Medium",Sales[[#This Row],[Current Upsell $]]&lt;100,"Low")</f>
        <v/>
      </c>
      <c r="R2008" t="str">
        <f>IF(Sales[[#This Row],[Current Upsell $]]&gt;0,_xlfn.CONCAT(Sales[[#This Row],[Subscription Type]]," ",Sales[[#This Row],[Upsell Priority]]," ",TEXT(Sales[[#This Row],[Current Upsell $]],"$#,#")),"")</f>
        <v/>
      </c>
    </row>
    <row r="2009" spans="1:18" x14ac:dyDescent="0.25">
      <c r="A2009">
        <v>100254</v>
      </c>
      <c r="B2009" t="s">
        <v>0</v>
      </c>
      <c r="D2009" s="1"/>
      <c r="E2009" s="1"/>
      <c r="F2009">
        <v>10</v>
      </c>
      <c r="G2009">
        <v>15</v>
      </c>
      <c r="H2009" s="1">
        <v>44287</v>
      </c>
      <c r="I2009" s="1">
        <v>44378</v>
      </c>
      <c r="J2009">
        <v>3</v>
      </c>
      <c r="K2009">
        <v>0</v>
      </c>
      <c r="L2009" s="1">
        <v>44348</v>
      </c>
      <c r="M2009">
        <v>100</v>
      </c>
      <c r="N2009" s="8" cm="1">
        <f t="array" ref="N2009">_xlfn.SWITCH(Sales[[#This Row],[Subscription Type]],"Basic",10,"Premium",10,"Business",25,"Enterprise",27)</f>
        <v>10</v>
      </c>
      <c r="O2009">
        <f>IF(Sales[[#This Row],[Number of Users]]-Sales[[#This Row],[Licenses Bought]]&lt;0,0,Sales[[#This Row],[Number of Users]]-Sales[[#This Row],[Licenses Bought]])</f>
        <v>5</v>
      </c>
      <c r="P2009" s="8">
        <f>IF(Sales[[#This Row],[Sales Month]]=MAX(Sales[Sales Month]),Sales[[#This Row],[Non-Paying Users]]*Sales[[#This Row],[Upsell $ per Non-Paying User]],0)</f>
        <v>50</v>
      </c>
      <c r="Q2009" t="str" cm="1">
        <f t="array" ref="Q2009">_xlfn.IFS(Sales[[#This Row],[Current Upsell $]]=0,"",Sales[[#This Row],[Current Upsell $]]&gt;=400,"High",Sales[[#This Row],[Current Upsell $]]&gt;=100,"Medium",Sales[[#This Row],[Current Upsell $]]&lt;100,"Low")</f>
        <v>Low</v>
      </c>
      <c r="R2009" t="str">
        <f>IF(Sales[[#This Row],[Current Upsell $]]&gt;0,_xlfn.CONCAT(Sales[[#This Row],[Subscription Type]]," ",Sales[[#This Row],[Upsell Priority]]," ",TEXT(Sales[[#This Row],[Current Upsell $]],"$#,#")),"")</f>
        <v>Premium Low $50</v>
      </c>
    </row>
    <row r="2010" spans="1:18" x14ac:dyDescent="0.25">
      <c r="A2010">
        <v>100255</v>
      </c>
      <c r="B2010" t="s">
        <v>3</v>
      </c>
      <c r="F2010">
        <v>0</v>
      </c>
      <c r="G2010">
        <v>15</v>
      </c>
      <c r="H2010" s="1">
        <v>44287</v>
      </c>
      <c r="I2010" s="1">
        <v>44317</v>
      </c>
      <c r="J2010">
        <v>1</v>
      </c>
      <c r="K2010">
        <v>1</v>
      </c>
      <c r="L2010" s="1">
        <v>44287</v>
      </c>
      <c r="M2010">
        <v>0</v>
      </c>
      <c r="N2010" s="8" cm="1">
        <f t="array" ref="N2010">_xlfn.SWITCH(Sales[[#This Row],[Subscription Type]],"Basic",10,"Premium",10,"Business",25,"Enterprise",27)</f>
        <v>10</v>
      </c>
      <c r="O2010">
        <f>IF(Sales[[#This Row],[Number of Users]]-Sales[[#This Row],[Licenses Bought]]&lt;0,0,Sales[[#This Row],[Number of Users]]-Sales[[#This Row],[Licenses Bought]])</f>
        <v>15</v>
      </c>
      <c r="P2010" s="8">
        <f>IF(Sales[[#This Row],[Sales Month]]=MAX(Sales[Sales Month]),Sales[[#This Row],[Non-Paying Users]]*Sales[[#This Row],[Upsell $ per Non-Paying User]],0)</f>
        <v>0</v>
      </c>
      <c r="Q2010" t="str" cm="1">
        <f t="array" ref="Q2010">_xlfn.IFS(Sales[[#This Row],[Current Upsell $]]=0,"",Sales[[#This Row],[Current Upsell $]]&gt;=400,"High",Sales[[#This Row],[Current Upsell $]]&gt;=100,"Medium",Sales[[#This Row],[Current Upsell $]]&lt;100,"Low")</f>
        <v/>
      </c>
      <c r="R2010" t="str">
        <f>IF(Sales[[#This Row],[Current Upsell $]]&gt;0,_xlfn.CONCAT(Sales[[#This Row],[Subscription Type]]," ",Sales[[#This Row],[Upsell Priority]]," ",TEXT(Sales[[#This Row],[Current Upsell $]],"$#,#")),"")</f>
        <v/>
      </c>
    </row>
    <row r="2011" spans="1:18" x14ac:dyDescent="0.25">
      <c r="A2011">
        <v>100255</v>
      </c>
      <c r="B2011" t="s">
        <v>1</v>
      </c>
      <c r="F2011">
        <v>3</v>
      </c>
      <c r="G2011">
        <v>14</v>
      </c>
      <c r="H2011" s="1">
        <v>44287</v>
      </c>
      <c r="I2011" s="1">
        <v>44317</v>
      </c>
      <c r="J2011">
        <v>1</v>
      </c>
      <c r="K2011">
        <v>1</v>
      </c>
      <c r="L2011" s="1">
        <v>44317</v>
      </c>
      <c r="M2011">
        <v>75</v>
      </c>
      <c r="N2011" s="8" cm="1">
        <f t="array" ref="N2011">_xlfn.SWITCH(Sales[[#This Row],[Subscription Type]],"Basic",10,"Premium",10,"Business",25,"Enterprise",27)</f>
        <v>25</v>
      </c>
      <c r="O2011">
        <f>IF(Sales[[#This Row],[Number of Users]]-Sales[[#This Row],[Licenses Bought]]&lt;0,0,Sales[[#This Row],[Number of Users]]-Sales[[#This Row],[Licenses Bought]])</f>
        <v>11</v>
      </c>
      <c r="P2011" s="8">
        <f>IF(Sales[[#This Row],[Sales Month]]=MAX(Sales[Sales Month]),Sales[[#This Row],[Non-Paying Users]]*Sales[[#This Row],[Upsell $ per Non-Paying User]],0)</f>
        <v>0</v>
      </c>
      <c r="Q2011" t="str" cm="1">
        <f t="array" ref="Q2011">_xlfn.IFS(Sales[[#This Row],[Current Upsell $]]=0,"",Sales[[#This Row],[Current Upsell $]]&gt;=400,"High",Sales[[#This Row],[Current Upsell $]]&gt;=100,"Medium",Sales[[#This Row],[Current Upsell $]]&lt;100,"Low")</f>
        <v/>
      </c>
      <c r="R2011" t="str">
        <f>IF(Sales[[#This Row],[Current Upsell $]]&gt;0,_xlfn.CONCAT(Sales[[#This Row],[Subscription Type]]," ",Sales[[#This Row],[Upsell Priority]]," ",TEXT(Sales[[#This Row],[Current Upsell $]],"$#,#")),"")</f>
        <v/>
      </c>
    </row>
    <row r="2012" spans="1:18" x14ac:dyDescent="0.25">
      <c r="A2012">
        <v>100256</v>
      </c>
      <c r="B2012" t="s">
        <v>3</v>
      </c>
      <c r="F2012">
        <v>0</v>
      </c>
      <c r="G2012">
        <v>12</v>
      </c>
      <c r="H2012" s="1">
        <v>44287</v>
      </c>
      <c r="I2012" s="1">
        <v>44317</v>
      </c>
      <c r="J2012">
        <v>1</v>
      </c>
      <c r="K2012">
        <v>1</v>
      </c>
      <c r="L2012" s="1">
        <v>44287</v>
      </c>
      <c r="M2012">
        <v>0</v>
      </c>
      <c r="N2012" s="8" cm="1">
        <f t="array" ref="N2012">_xlfn.SWITCH(Sales[[#This Row],[Subscription Type]],"Basic",10,"Premium",10,"Business",25,"Enterprise",27)</f>
        <v>10</v>
      </c>
      <c r="O2012">
        <f>IF(Sales[[#This Row],[Number of Users]]-Sales[[#This Row],[Licenses Bought]]&lt;0,0,Sales[[#This Row],[Number of Users]]-Sales[[#This Row],[Licenses Bought]])</f>
        <v>12</v>
      </c>
      <c r="P2012" s="8">
        <f>IF(Sales[[#This Row],[Sales Month]]=MAX(Sales[Sales Month]),Sales[[#This Row],[Non-Paying Users]]*Sales[[#This Row],[Upsell $ per Non-Paying User]],0)</f>
        <v>0</v>
      </c>
      <c r="Q2012" t="str" cm="1">
        <f t="array" ref="Q2012">_xlfn.IFS(Sales[[#This Row],[Current Upsell $]]=0,"",Sales[[#This Row],[Current Upsell $]]&gt;=400,"High",Sales[[#This Row],[Current Upsell $]]&gt;=100,"Medium",Sales[[#This Row],[Current Upsell $]]&lt;100,"Low")</f>
        <v/>
      </c>
      <c r="R2012" t="str">
        <f>IF(Sales[[#This Row],[Current Upsell $]]&gt;0,_xlfn.CONCAT(Sales[[#This Row],[Subscription Type]]," ",Sales[[#This Row],[Upsell Priority]]," ",TEXT(Sales[[#This Row],[Current Upsell $]],"$#,#")),"")</f>
        <v/>
      </c>
    </row>
    <row r="2013" spans="1:18" x14ac:dyDescent="0.25">
      <c r="A2013">
        <v>100256</v>
      </c>
      <c r="B2013" t="s">
        <v>3</v>
      </c>
      <c r="F2013">
        <v>0</v>
      </c>
      <c r="G2013">
        <v>13</v>
      </c>
      <c r="H2013" s="1">
        <v>44287</v>
      </c>
      <c r="I2013" s="1">
        <v>44317</v>
      </c>
      <c r="J2013">
        <v>1</v>
      </c>
      <c r="K2013">
        <v>1</v>
      </c>
      <c r="L2013" s="1">
        <v>44317</v>
      </c>
      <c r="M2013">
        <v>0</v>
      </c>
      <c r="N2013" s="8" cm="1">
        <f t="array" ref="N2013">_xlfn.SWITCH(Sales[[#This Row],[Subscription Type]],"Basic",10,"Premium",10,"Business",25,"Enterprise",27)</f>
        <v>10</v>
      </c>
      <c r="O2013">
        <f>IF(Sales[[#This Row],[Number of Users]]-Sales[[#This Row],[Licenses Bought]]&lt;0,0,Sales[[#This Row],[Number of Users]]-Sales[[#This Row],[Licenses Bought]])</f>
        <v>13</v>
      </c>
      <c r="P2013" s="8">
        <f>IF(Sales[[#This Row],[Sales Month]]=MAX(Sales[Sales Month]),Sales[[#This Row],[Non-Paying Users]]*Sales[[#This Row],[Upsell $ per Non-Paying User]],0)</f>
        <v>0</v>
      </c>
      <c r="Q2013" t="str" cm="1">
        <f t="array" ref="Q2013">_xlfn.IFS(Sales[[#This Row],[Current Upsell $]]=0,"",Sales[[#This Row],[Current Upsell $]]&gt;=400,"High",Sales[[#This Row],[Current Upsell $]]&gt;=100,"Medium",Sales[[#This Row],[Current Upsell $]]&lt;100,"Low")</f>
        <v/>
      </c>
      <c r="R2013" t="str">
        <f>IF(Sales[[#This Row],[Current Upsell $]]&gt;0,_xlfn.CONCAT(Sales[[#This Row],[Subscription Type]]," ",Sales[[#This Row],[Upsell Priority]]," ",TEXT(Sales[[#This Row],[Current Upsell $]],"$#,#")),"")</f>
        <v/>
      </c>
    </row>
    <row r="2014" spans="1:18" x14ac:dyDescent="0.25">
      <c r="A2014">
        <v>100257</v>
      </c>
      <c r="B2014" t="s">
        <v>3</v>
      </c>
      <c r="D2014" s="1"/>
      <c r="E2014" s="1"/>
      <c r="F2014">
        <v>0</v>
      </c>
      <c r="G2014">
        <v>12</v>
      </c>
      <c r="H2014" s="1">
        <v>44287</v>
      </c>
      <c r="I2014" s="1">
        <v>44378</v>
      </c>
      <c r="J2014">
        <v>3</v>
      </c>
      <c r="K2014">
        <v>0</v>
      </c>
      <c r="L2014" s="1">
        <v>44287</v>
      </c>
      <c r="M2014">
        <v>0</v>
      </c>
      <c r="N2014" s="8" cm="1">
        <f t="array" ref="N2014">_xlfn.SWITCH(Sales[[#This Row],[Subscription Type]],"Basic",10,"Premium",10,"Business",25,"Enterprise",27)</f>
        <v>10</v>
      </c>
      <c r="O2014">
        <f>IF(Sales[[#This Row],[Number of Users]]-Sales[[#This Row],[Licenses Bought]]&lt;0,0,Sales[[#This Row],[Number of Users]]-Sales[[#This Row],[Licenses Bought]])</f>
        <v>12</v>
      </c>
      <c r="P2014" s="8">
        <f>IF(Sales[[#This Row],[Sales Month]]=MAX(Sales[Sales Month]),Sales[[#This Row],[Non-Paying Users]]*Sales[[#This Row],[Upsell $ per Non-Paying User]],0)</f>
        <v>0</v>
      </c>
      <c r="Q2014" t="str" cm="1">
        <f t="array" ref="Q2014">_xlfn.IFS(Sales[[#This Row],[Current Upsell $]]=0,"",Sales[[#This Row],[Current Upsell $]]&gt;=400,"High",Sales[[#This Row],[Current Upsell $]]&gt;=100,"Medium",Sales[[#This Row],[Current Upsell $]]&lt;100,"Low")</f>
        <v/>
      </c>
      <c r="R2014" t="str">
        <f>IF(Sales[[#This Row],[Current Upsell $]]&gt;0,_xlfn.CONCAT(Sales[[#This Row],[Subscription Type]]," ",Sales[[#This Row],[Upsell Priority]]," ",TEXT(Sales[[#This Row],[Current Upsell $]],"$#,#")),"")</f>
        <v/>
      </c>
    </row>
    <row r="2015" spans="1:18" x14ac:dyDescent="0.25">
      <c r="A2015">
        <v>100257</v>
      </c>
      <c r="B2015" t="s">
        <v>0</v>
      </c>
      <c r="D2015" s="1"/>
      <c r="E2015" s="1"/>
      <c r="F2015">
        <v>7</v>
      </c>
      <c r="G2015">
        <v>12</v>
      </c>
      <c r="H2015" s="1">
        <v>44287</v>
      </c>
      <c r="I2015" s="1">
        <v>44378</v>
      </c>
      <c r="J2015">
        <v>3</v>
      </c>
      <c r="K2015">
        <v>0</v>
      </c>
      <c r="L2015" s="1">
        <v>44317</v>
      </c>
      <c r="M2015">
        <v>70</v>
      </c>
      <c r="N2015" s="8" cm="1">
        <f t="array" ref="N2015">_xlfn.SWITCH(Sales[[#This Row],[Subscription Type]],"Basic",10,"Premium",10,"Business",25,"Enterprise",27)</f>
        <v>10</v>
      </c>
      <c r="O2015">
        <f>IF(Sales[[#This Row],[Number of Users]]-Sales[[#This Row],[Licenses Bought]]&lt;0,0,Sales[[#This Row],[Number of Users]]-Sales[[#This Row],[Licenses Bought]])</f>
        <v>5</v>
      </c>
      <c r="P2015" s="8">
        <f>IF(Sales[[#This Row],[Sales Month]]=MAX(Sales[Sales Month]),Sales[[#This Row],[Non-Paying Users]]*Sales[[#This Row],[Upsell $ per Non-Paying User]],0)</f>
        <v>0</v>
      </c>
      <c r="Q2015" t="str" cm="1">
        <f t="array" ref="Q2015">_xlfn.IFS(Sales[[#This Row],[Current Upsell $]]=0,"",Sales[[#This Row],[Current Upsell $]]&gt;=400,"High",Sales[[#This Row],[Current Upsell $]]&gt;=100,"Medium",Sales[[#This Row],[Current Upsell $]]&lt;100,"Low")</f>
        <v/>
      </c>
      <c r="R2015" t="str">
        <f>IF(Sales[[#This Row],[Current Upsell $]]&gt;0,_xlfn.CONCAT(Sales[[#This Row],[Subscription Type]]," ",Sales[[#This Row],[Upsell Priority]]," ",TEXT(Sales[[#This Row],[Current Upsell $]],"$#,#")),"")</f>
        <v/>
      </c>
    </row>
    <row r="2016" spans="1:18" x14ac:dyDescent="0.25">
      <c r="A2016">
        <v>100257</v>
      </c>
      <c r="B2016" t="s">
        <v>0</v>
      </c>
      <c r="D2016" s="1"/>
      <c r="E2016" s="1"/>
      <c r="F2016">
        <v>10</v>
      </c>
      <c r="G2016">
        <v>12</v>
      </c>
      <c r="H2016" s="1">
        <v>44287</v>
      </c>
      <c r="I2016" s="1">
        <v>44378</v>
      </c>
      <c r="J2016">
        <v>3</v>
      </c>
      <c r="K2016">
        <v>0</v>
      </c>
      <c r="L2016" s="1">
        <v>44348</v>
      </c>
      <c r="M2016">
        <v>100</v>
      </c>
      <c r="N2016" s="8" cm="1">
        <f t="array" ref="N2016">_xlfn.SWITCH(Sales[[#This Row],[Subscription Type]],"Basic",10,"Premium",10,"Business",25,"Enterprise",27)</f>
        <v>10</v>
      </c>
      <c r="O2016">
        <f>IF(Sales[[#This Row],[Number of Users]]-Sales[[#This Row],[Licenses Bought]]&lt;0,0,Sales[[#This Row],[Number of Users]]-Sales[[#This Row],[Licenses Bought]])</f>
        <v>2</v>
      </c>
      <c r="P2016" s="8">
        <f>IF(Sales[[#This Row],[Sales Month]]=MAX(Sales[Sales Month]),Sales[[#This Row],[Non-Paying Users]]*Sales[[#This Row],[Upsell $ per Non-Paying User]],0)</f>
        <v>20</v>
      </c>
      <c r="Q2016" t="str" cm="1">
        <f t="array" ref="Q2016">_xlfn.IFS(Sales[[#This Row],[Current Upsell $]]=0,"",Sales[[#This Row],[Current Upsell $]]&gt;=400,"High",Sales[[#This Row],[Current Upsell $]]&gt;=100,"Medium",Sales[[#This Row],[Current Upsell $]]&lt;100,"Low")</f>
        <v>Low</v>
      </c>
      <c r="R2016" t="str">
        <f>IF(Sales[[#This Row],[Current Upsell $]]&gt;0,_xlfn.CONCAT(Sales[[#This Row],[Subscription Type]]," ",Sales[[#This Row],[Upsell Priority]]," ",TEXT(Sales[[#This Row],[Current Upsell $]],"$#,#")),"")</f>
        <v>Premium Low $20</v>
      </c>
    </row>
    <row r="2017" spans="1:18" x14ac:dyDescent="0.25">
      <c r="A2017">
        <v>100258</v>
      </c>
      <c r="B2017" t="s">
        <v>3</v>
      </c>
      <c r="D2017" s="1"/>
      <c r="E2017" s="1"/>
      <c r="F2017">
        <v>0</v>
      </c>
      <c r="G2017">
        <v>11</v>
      </c>
      <c r="H2017" s="1">
        <v>44287</v>
      </c>
      <c r="I2017" s="1">
        <v>44378</v>
      </c>
      <c r="J2017">
        <v>3</v>
      </c>
      <c r="K2017">
        <v>0</v>
      </c>
      <c r="L2017" s="1">
        <v>44287</v>
      </c>
      <c r="M2017">
        <v>0</v>
      </c>
      <c r="N2017" s="8" cm="1">
        <f t="array" ref="N2017">_xlfn.SWITCH(Sales[[#This Row],[Subscription Type]],"Basic",10,"Premium",10,"Business",25,"Enterprise",27)</f>
        <v>10</v>
      </c>
      <c r="O2017">
        <f>IF(Sales[[#This Row],[Number of Users]]-Sales[[#This Row],[Licenses Bought]]&lt;0,0,Sales[[#This Row],[Number of Users]]-Sales[[#This Row],[Licenses Bought]])</f>
        <v>11</v>
      </c>
      <c r="P2017" s="8">
        <f>IF(Sales[[#This Row],[Sales Month]]=MAX(Sales[Sales Month]),Sales[[#This Row],[Non-Paying Users]]*Sales[[#This Row],[Upsell $ per Non-Paying User]],0)</f>
        <v>0</v>
      </c>
      <c r="Q2017" t="str" cm="1">
        <f t="array" ref="Q2017">_xlfn.IFS(Sales[[#This Row],[Current Upsell $]]=0,"",Sales[[#This Row],[Current Upsell $]]&gt;=400,"High",Sales[[#This Row],[Current Upsell $]]&gt;=100,"Medium",Sales[[#This Row],[Current Upsell $]]&lt;100,"Low")</f>
        <v/>
      </c>
      <c r="R2017" t="str">
        <f>IF(Sales[[#This Row],[Current Upsell $]]&gt;0,_xlfn.CONCAT(Sales[[#This Row],[Subscription Type]]," ",Sales[[#This Row],[Upsell Priority]]," ",TEXT(Sales[[#This Row],[Current Upsell $]],"$#,#")),"")</f>
        <v/>
      </c>
    </row>
    <row r="2018" spans="1:18" x14ac:dyDescent="0.25">
      <c r="A2018">
        <v>100258</v>
      </c>
      <c r="B2018" t="s">
        <v>1</v>
      </c>
      <c r="D2018" s="1"/>
      <c r="E2018" s="1"/>
      <c r="F2018">
        <v>3</v>
      </c>
      <c r="G2018">
        <v>14</v>
      </c>
      <c r="H2018" s="1">
        <v>44287</v>
      </c>
      <c r="I2018" s="1">
        <v>44378</v>
      </c>
      <c r="J2018">
        <v>3</v>
      </c>
      <c r="K2018">
        <v>0</v>
      </c>
      <c r="L2018" s="1">
        <v>44317</v>
      </c>
      <c r="M2018">
        <v>75</v>
      </c>
      <c r="N2018" s="8" cm="1">
        <f t="array" ref="N2018">_xlfn.SWITCH(Sales[[#This Row],[Subscription Type]],"Basic",10,"Premium",10,"Business",25,"Enterprise",27)</f>
        <v>25</v>
      </c>
      <c r="O2018">
        <f>IF(Sales[[#This Row],[Number of Users]]-Sales[[#This Row],[Licenses Bought]]&lt;0,0,Sales[[#This Row],[Number of Users]]-Sales[[#This Row],[Licenses Bought]])</f>
        <v>11</v>
      </c>
      <c r="P2018" s="8">
        <f>IF(Sales[[#This Row],[Sales Month]]=MAX(Sales[Sales Month]),Sales[[#This Row],[Non-Paying Users]]*Sales[[#This Row],[Upsell $ per Non-Paying User]],0)</f>
        <v>0</v>
      </c>
      <c r="Q2018" t="str" cm="1">
        <f t="array" ref="Q2018">_xlfn.IFS(Sales[[#This Row],[Current Upsell $]]=0,"",Sales[[#This Row],[Current Upsell $]]&gt;=400,"High",Sales[[#This Row],[Current Upsell $]]&gt;=100,"Medium",Sales[[#This Row],[Current Upsell $]]&lt;100,"Low")</f>
        <v/>
      </c>
      <c r="R2018" t="str">
        <f>IF(Sales[[#This Row],[Current Upsell $]]&gt;0,_xlfn.CONCAT(Sales[[#This Row],[Subscription Type]]," ",Sales[[#This Row],[Upsell Priority]]," ",TEXT(Sales[[#This Row],[Current Upsell $]],"$#,#")),"")</f>
        <v/>
      </c>
    </row>
    <row r="2019" spans="1:18" x14ac:dyDescent="0.25">
      <c r="A2019">
        <v>100258</v>
      </c>
      <c r="B2019" t="s">
        <v>1</v>
      </c>
      <c r="D2019" s="1"/>
      <c r="E2019" s="1"/>
      <c r="F2019">
        <v>7</v>
      </c>
      <c r="G2019">
        <v>9</v>
      </c>
      <c r="H2019" s="1">
        <v>44287</v>
      </c>
      <c r="I2019" s="1">
        <v>44378</v>
      </c>
      <c r="J2019">
        <v>3</v>
      </c>
      <c r="K2019">
        <v>0</v>
      </c>
      <c r="L2019" s="1">
        <v>44348</v>
      </c>
      <c r="M2019">
        <v>175</v>
      </c>
      <c r="N2019" s="8" cm="1">
        <f t="array" ref="N2019">_xlfn.SWITCH(Sales[[#This Row],[Subscription Type]],"Basic",10,"Premium",10,"Business",25,"Enterprise",27)</f>
        <v>25</v>
      </c>
      <c r="O2019">
        <f>IF(Sales[[#This Row],[Number of Users]]-Sales[[#This Row],[Licenses Bought]]&lt;0,0,Sales[[#This Row],[Number of Users]]-Sales[[#This Row],[Licenses Bought]])</f>
        <v>2</v>
      </c>
      <c r="P2019" s="8">
        <f>IF(Sales[[#This Row],[Sales Month]]=MAX(Sales[Sales Month]),Sales[[#This Row],[Non-Paying Users]]*Sales[[#This Row],[Upsell $ per Non-Paying User]],0)</f>
        <v>50</v>
      </c>
      <c r="Q2019" t="str" cm="1">
        <f t="array" ref="Q2019">_xlfn.IFS(Sales[[#This Row],[Current Upsell $]]=0,"",Sales[[#This Row],[Current Upsell $]]&gt;=400,"High",Sales[[#This Row],[Current Upsell $]]&gt;=100,"Medium",Sales[[#This Row],[Current Upsell $]]&lt;100,"Low")</f>
        <v>Low</v>
      </c>
      <c r="R2019" t="str">
        <f>IF(Sales[[#This Row],[Current Upsell $]]&gt;0,_xlfn.CONCAT(Sales[[#This Row],[Subscription Type]]," ",Sales[[#This Row],[Upsell Priority]]," ",TEXT(Sales[[#This Row],[Current Upsell $]],"$#,#")),"")</f>
        <v>Business Low $50</v>
      </c>
    </row>
    <row r="2020" spans="1:18" x14ac:dyDescent="0.25">
      <c r="A2020">
        <v>100259</v>
      </c>
      <c r="B2020" t="s">
        <v>3</v>
      </c>
      <c r="D2020" s="1"/>
      <c r="E2020" s="1"/>
      <c r="F2020">
        <v>0</v>
      </c>
      <c r="G2020">
        <v>11</v>
      </c>
      <c r="H2020" s="1">
        <v>44287</v>
      </c>
      <c r="I2020" s="1">
        <v>44378</v>
      </c>
      <c r="J2020">
        <v>3</v>
      </c>
      <c r="K2020">
        <v>0</v>
      </c>
      <c r="L2020" s="1">
        <v>44287</v>
      </c>
      <c r="M2020">
        <v>0</v>
      </c>
      <c r="N2020" s="8" cm="1">
        <f t="array" ref="N2020">_xlfn.SWITCH(Sales[[#This Row],[Subscription Type]],"Basic",10,"Premium",10,"Business",25,"Enterprise",27)</f>
        <v>10</v>
      </c>
      <c r="O2020">
        <f>IF(Sales[[#This Row],[Number of Users]]-Sales[[#This Row],[Licenses Bought]]&lt;0,0,Sales[[#This Row],[Number of Users]]-Sales[[#This Row],[Licenses Bought]])</f>
        <v>11</v>
      </c>
      <c r="P2020" s="8">
        <f>IF(Sales[[#This Row],[Sales Month]]=MAX(Sales[Sales Month]),Sales[[#This Row],[Non-Paying Users]]*Sales[[#This Row],[Upsell $ per Non-Paying User]],0)</f>
        <v>0</v>
      </c>
      <c r="Q2020" t="str" cm="1">
        <f t="array" ref="Q2020">_xlfn.IFS(Sales[[#This Row],[Current Upsell $]]=0,"",Sales[[#This Row],[Current Upsell $]]&gt;=400,"High",Sales[[#This Row],[Current Upsell $]]&gt;=100,"Medium",Sales[[#This Row],[Current Upsell $]]&lt;100,"Low")</f>
        <v/>
      </c>
      <c r="R2020" t="str">
        <f>IF(Sales[[#This Row],[Current Upsell $]]&gt;0,_xlfn.CONCAT(Sales[[#This Row],[Subscription Type]]," ",Sales[[#This Row],[Upsell Priority]]," ",TEXT(Sales[[#This Row],[Current Upsell $]],"$#,#")),"")</f>
        <v/>
      </c>
    </row>
    <row r="2021" spans="1:18" x14ac:dyDescent="0.25">
      <c r="A2021">
        <v>100259</v>
      </c>
      <c r="B2021" t="s">
        <v>1</v>
      </c>
      <c r="D2021" s="1"/>
      <c r="E2021" s="1"/>
      <c r="F2021">
        <v>4</v>
      </c>
      <c r="G2021">
        <v>11</v>
      </c>
      <c r="H2021" s="1">
        <v>44287</v>
      </c>
      <c r="I2021" s="1">
        <v>44378</v>
      </c>
      <c r="J2021">
        <v>3</v>
      </c>
      <c r="K2021">
        <v>0</v>
      </c>
      <c r="L2021" s="1">
        <v>44317</v>
      </c>
      <c r="M2021">
        <v>100</v>
      </c>
      <c r="N2021" s="8" cm="1">
        <f t="array" ref="N2021">_xlfn.SWITCH(Sales[[#This Row],[Subscription Type]],"Basic",10,"Premium",10,"Business",25,"Enterprise",27)</f>
        <v>25</v>
      </c>
      <c r="O2021">
        <f>IF(Sales[[#This Row],[Number of Users]]-Sales[[#This Row],[Licenses Bought]]&lt;0,0,Sales[[#This Row],[Number of Users]]-Sales[[#This Row],[Licenses Bought]])</f>
        <v>7</v>
      </c>
      <c r="P2021" s="8">
        <f>IF(Sales[[#This Row],[Sales Month]]=MAX(Sales[Sales Month]),Sales[[#This Row],[Non-Paying Users]]*Sales[[#This Row],[Upsell $ per Non-Paying User]],0)</f>
        <v>0</v>
      </c>
      <c r="Q2021" t="str" cm="1">
        <f t="array" ref="Q2021">_xlfn.IFS(Sales[[#This Row],[Current Upsell $]]=0,"",Sales[[#This Row],[Current Upsell $]]&gt;=400,"High",Sales[[#This Row],[Current Upsell $]]&gt;=100,"Medium",Sales[[#This Row],[Current Upsell $]]&lt;100,"Low")</f>
        <v/>
      </c>
      <c r="R2021" t="str">
        <f>IF(Sales[[#This Row],[Current Upsell $]]&gt;0,_xlfn.CONCAT(Sales[[#This Row],[Subscription Type]]," ",Sales[[#This Row],[Upsell Priority]]," ",TEXT(Sales[[#This Row],[Current Upsell $]],"$#,#")),"")</f>
        <v/>
      </c>
    </row>
    <row r="2022" spans="1:18" x14ac:dyDescent="0.25">
      <c r="A2022">
        <v>100259</v>
      </c>
      <c r="B2022" t="s">
        <v>1</v>
      </c>
      <c r="D2022" s="1"/>
      <c r="E2022" s="1"/>
      <c r="F2022">
        <v>6</v>
      </c>
      <c r="G2022">
        <v>12</v>
      </c>
      <c r="H2022" s="1">
        <v>44287</v>
      </c>
      <c r="I2022" s="1">
        <v>44378</v>
      </c>
      <c r="J2022">
        <v>3</v>
      </c>
      <c r="K2022">
        <v>0</v>
      </c>
      <c r="L2022" s="1">
        <v>44348</v>
      </c>
      <c r="M2022">
        <v>150</v>
      </c>
      <c r="N2022" s="8" cm="1">
        <f t="array" ref="N2022">_xlfn.SWITCH(Sales[[#This Row],[Subscription Type]],"Basic",10,"Premium",10,"Business",25,"Enterprise",27)</f>
        <v>25</v>
      </c>
      <c r="O2022">
        <f>IF(Sales[[#This Row],[Number of Users]]-Sales[[#This Row],[Licenses Bought]]&lt;0,0,Sales[[#This Row],[Number of Users]]-Sales[[#This Row],[Licenses Bought]])</f>
        <v>6</v>
      </c>
      <c r="P2022" s="8">
        <f>IF(Sales[[#This Row],[Sales Month]]=MAX(Sales[Sales Month]),Sales[[#This Row],[Non-Paying Users]]*Sales[[#This Row],[Upsell $ per Non-Paying User]],0)</f>
        <v>150</v>
      </c>
      <c r="Q2022" t="str" cm="1">
        <f t="array" ref="Q2022">_xlfn.IFS(Sales[[#This Row],[Current Upsell $]]=0,"",Sales[[#This Row],[Current Upsell $]]&gt;=400,"High",Sales[[#This Row],[Current Upsell $]]&gt;=100,"Medium",Sales[[#This Row],[Current Upsell $]]&lt;100,"Low")</f>
        <v>Medium</v>
      </c>
      <c r="R2022" t="str">
        <f>IF(Sales[[#This Row],[Current Upsell $]]&gt;0,_xlfn.CONCAT(Sales[[#This Row],[Subscription Type]]," ",Sales[[#This Row],[Upsell Priority]]," ",TEXT(Sales[[#This Row],[Current Upsell $]],"$#,#")),"")</f>
        <v>Business Medium $150</v>
      </c>
    </row>
    <row r="2023" spans="1:18" x14ac:dyDescent="0.25">
      <c r="A2023">
        <v>100260</v>
      </c>
      <c r="B2023" t="s">
        <v>3</v>
      </c>
      <c r="F2023">
        <v>0</v>
      </c>
      <c r="G2023">
        <v>9</v>
      </c>
      <c r="H2023" s="1">
        <v>44287</v>
      </c>
      <c r="I2023" s="1">
        <v>44378</v>
      </c>
      <c r="J2023">
        <v>3</v>
      </c>
      <c r="K2023">
        <v>0</v>
      </c>
      <c r="L2023" s="1">
        <v>44287</v>
      </c>
      <c r="M2023">
        <v>0</v>
      </c>
      <c r="N2023" s="8" cm="1">
        <f t="array" ref="N2023">_xlfn.SWITCH(Sales[[#This Row],[Subscription Type]],"Basic",10,"Premium",10,"Business",25,"Enterprise",27)</f>
        <v>10</v>
      </c>
      <c r="O2023">
        <f>IF(Sales[[#This Row],[Number of Users]]-Sales[[#This Row],[Licenses Bought]]&lt;0,0,Sales[[#This Row],[Number of Users]]-Sales[[#This Row],[Licenses Bought]])</f>
        <v>9</v>
      </c>
      <c r="P2023" s="8">
        <f>IF(Sales[[#This Row],[Sales Month]]=MAX(Sales[Sales Month]),Sales[[#This Row],[Non-Paying Users]]*Sales[[#This Row],[Upsell $ per Non-Paying User]],0)</f>
        <v>0</v>
      </c>
      <c r="Q2023" t="str" cm="1">
        <f t="array" ref="Q2023">_xlfn.IFS(Sales[[#This Row],[Current Upsell $]]=0,"",Sales[[#This Row],[Current Upsell $]]&gt;=400,"High",Sales[[#This Row],[Current Upsell $]]&gt;=100,"Medium",Sales[[#This Row],[Current Upsell $]]&lt;100,"Low")</f>
        <v/>
      </c>
      <c r="R2023" t="str">
        <f>IF(Sales[[#This Row],[Current Upsell $]]&gt;0,_xlfn.CONCAT(Sales[[#This Row],[Subscription Type]]," ",Sales[[#This Row],[Upsell Priority]]," ",TEXT(Sales[[#This Row],[Current Upsell $]],"$#,#")),"")</f>
        <v/>
      </c>
    </row>
    <row r="2024" spans="1:18" x14ac:dyDescent="0.25">
      <c r="A2024">
        <v>100260</v>
      </c>
      <c r="B2024" t="s">
        <v>3</v>
      </c>
      <c r="F2024">
        <v>0</v>
      </c>
      <c r="G2024">
        <v>6</v>
      </c>
      <c r="H2024" s="1">
        <v>44287</v>
      </c>
      <c r="I2024" s="1">
        <v>44378</v>
      </c>
      <c r="J2024">
        <v>3</v>
      </c>
      <c r="K2024">
        <v>0</v>
      </c>
      <c r="L2024" s="1">
        <v>44317</v>
      </c>
      <c r="M2024">
        <v>0</v>
      </c>
      <c r="N2024" s="8" cm="1">
        <f t="array" ref="N2024">_xlfn.SWITCH(Sales[[#This Row],[Subscription Type]],"Basic",10,"Premium",10,"Business",25,"Enterprise",27)</f>
        <v>10</v>
      </c>
      <c r="O2024">
        <f>IF(Sales[[#This Row],[Number of Users]]-Sales[[#This Row],[Licenses Bought]]&lt;0,0,Sales[[#This Row],[Number of Users]]-Sales[[#This Row],[Licenses Bought]])</f>
        <v>6</v>
      </c>
      <c r="P2024" s="8">
        <f>IF(Sales[[#This Row],[Sales Month]]=MAX(Sales[Sales Month]),Sales[[#This Row],[Non-Paying Users]]*Sales[[#This Row],[Upsell $ per Non-Paying User]],0)</f>
        <v>0</v>
      </c>
      <c r="Q2024" t="str" cm="1">
        <f t="array" ref="Q2024">_xlfn.IFS(Sales[[#This Row],[Current Upsell $]]=0,"",Sales[[#This Row],[Current Upsell $]]&gt;=400,"High",Sales[[#This Row],[Current Upsell $]]&gt;=100,"Medium",Sales[[#This Row],[Current Upsell $]]&lt;100,"Low")</f>
        <v/>
      </c>
      <c r="R2024" t="str">
        <f>IF(Sales[[#This Row],[Current Upsell $]]&gt;0,_xlfn.CONCAT(Sales[[#This Row],[Subscription Type]]," ",Sales[[#This Row],[Upsell Priority]]," ",TEXT(Sales[[#This Row],[Current Upsell $]],"$#,#")),"")</f>
        <v/>
      </c>
    </row>
    <row r="2025" spans="1:18" x14ac:dyDescent="0.25">
      <c r="A2025">
        <v>100260</v>
      </c>
      <c r="B2025" t="s">
        <v>3</v>
      </c>
      <c r="F2025">
        <v>0</v>
      </c>
      <c r="G2025">
        <v>7</v>
      </c>
      <c r="H2025" s="1">
        <v>44287</v>
      </c>
      <c r="I2025" s="1">
        <v>44378</v>
      </c>
      <c r="J2025">
        <v>3</v>
      </c>
      <c r="K2025">
        <v>0</v>
      </c>
      <c r="L2025" s="1">
        <v>44348</v>
      </c>
      <c r="M2025">
        <v>0</v>
      </c>
      <c r="N2025" s="8" cm="1">
        <f t="array" ref="N2025">_xlfn.SWITCH(Sales[[#This Row],[Subscription Type]],"Basic",10,"Premium",10,"Business",25,"Enterprise",27)</f>
        <v>10</v>
      </c>
      <c r="O2025">
        <f>IF(Sales[[#This Row],[Number of Users]]-Sales[[#This Row],[Licenses Bought]]&lt;0,0,Sales[[#This Row],[Number of Users]]-Sales[[#This Row],[Licenses Bought]])</f>
        <v>7</v>
      </c>
      <c r="P2025" s="8">
        <f>IF(Sales[[#This Row],[Sales Month]]=MAX(Sales[Sales Month]),Sales[[#This Row],[Non-Paying Users]]*Sales[[#This Row],[Upsell $ per Non-Paying User]],0)</f>
        <v>70</v>
      </c>
      <c r="Q2025" t="str" cm="1">
        <f t="array" ref="Q2025">_xlfn.IFS(Sales[[#This Row],[Current Upsell $]]=0,"",Sales[[#This Row],[Current Upsell $]]&gt;=400,"High",Sales[[#This Row],[Current Upsell $]]&gt;=100,"Medium",Sales[[#This Row],[Current Upsell $]]&lt;100,"Low")</f>
        <v>Low</v>
      </c>
      <c r="R2025" t="str">
        <f>IF(Sales[[#This Row],[Current Upsell $]]&gt;0,_xlfn.CONCAT(Sales[[#This Row],[Subscription Type]]," ",Sales[[#This Row],[Upsell Priority]]," ",TEXT(Sales[[#This Row],[Current Upsell $]],"$#,#")),"")</f>
        <v>Basic Low $70</v>
      </c>
    </row>
    <row r="2026" spans="1:18" x14ac:dyDescent="0.25">
      <c r="A2026">
        <v>100261</v>
      </c>
      <c r="B2026" t="s">
        <v>3</v>
      </c>
      <c r="D2026" s="1"/>
      <c r="E2026" s="1"/>
      <c r="F2026">
        <v>0</v>
      </c>
      <c r="G2026">
        <v>6</v>
      </c>
      <c r="H2026" s="1">
        <v>44287</v>
      </c>
      <c r="I2026" s="1">
        <v>44378</v>
      </c>
      <c r="J2026">
        <v>3</v>
      </c>
      <c r="K2026">
        <v>0</v>
      </c>
      <c r="L2026" s="1">
        <v>44287</v>
      </c>
      <c r="M2026">
        <v>0</v>
      </c>
      <c r="N2026" s="8" cm="1">
        <f t="array" ref="N2026">_xlfn.SWITCH(Sales[[#This Row],[Subscription Type]],"Basic",10,"Premium",10,"Business",25,"Enterprise",27)</f>
        <v>10</v>
      </c>
      <c r="O2026">
        <f>IF(Sales[[#This Row],[Number of Users]]-Sales[[#This Row],[Licenses Bought]]&lt;0,0,Sales[[#This Row],[Number of Users]]-Sales[[#This Row],[Licenses Bought]])</f>
        <v>6</v>
      </c>
      <c r="P2026" s="8">
        <f>IF(Sales[[#This Row],[Sales Month]]=MAX(Sales[Sales Month]),Sales[[#This Row],[Non-Paying Users]]*Sales[[#This Row],[Upsell $ per Non-Paying User]],0)</f>
        <v>0</v>
      </c>
      <c r="Q2026" t="str" cm="1">
        <f t="array" ref="Q2026">_xlfn.IFS(Sales[[#This Row],[Current Upsell $]]=0,"",Sales[[#This Row],[Current Upsell $]]&gt;=400,"High",Sales[[#This Row],[Current Upsell $]]&gt;=100,"Medium",Sales[[#This Row],[Current Upsell $]]&lt;100,"Low")</f>
        <v/>
      </c>
      <c r="R2026" t="str">
        <f>IF(Sales[[#This Row],[Current Upsell $]]&gt;0,_xlfn.CONCAT(Sales[[#This Row],[Subscription Type]]," ",Sales[[#This Row],[Upsell Priority]]," ",TEXT(Sales[[#This Row],[Current Upsell $]],"$#,#")),"")</f>
        <v/>
      </c>
    </row>
    <row r="2027" spans="1:18" x14ac:dyDescent="0.25">
      <c r="A2027">
        <v>100261</v>
      </c>
      <c r="B2027" t="s">
        <v>0</v>
      </c>
      <c r="D2027" s="1"/>
      <c r="E2027" s="1"/>
      <c r="F2027">
        <v>2</v>
      </c>
      <c r="G2027">
        <v>4</v>
      </c>
      <c r="H2027" s="1">
        <v>44287</v>
      </c>
      <c r="I2027" s="1">
        <v>44378</v>
      </c>
      <c r="J2027">
        <v>3</v>
      </c>
      <c r="K2027">
        <v>0</v>
      </c>
      <c r="L2027" s="1">
        <v>44317</v>
      </c>
      <c r="M2027">
        <v>20</v>
      </c>
      <c r="N2027" s="8" cm="1">
        <f t="array" ref="N2027">_xlfn.SWITCH(Sales[[#This Row],[Subscription Type]],"Basic",10,"Premium",10,"Business",25,"Enterprise",27)</f>
        <v>10</v>
      </c>
      <c r="O2027">
        <f>IF(Sales[[#This Row],[Number of Users]]-Sales[[#This Row],[Licenses Bought]]&lt;0,0,Sales[[#This Row],[Number of Users]]-Sales[[#This Row],[Licenses Bought]])</f>
        <v>2</v>
      </c>
      <c r="P2027" s="8">
        <f>IF(Sales[[#This Row],[Sales Month]]=MAX(Sales[Sales Month]),Sales[[#This Row],[Non-Paying Users]]*Sales[[#This Row],[Upsell $ per Non-Paying User]],0)</f>
        <v>0</v>
      </c>
      <c r="Q2027" t="str" cm="1">
        <f t="array" ref="Q2027">_xlfn.IFS(Sales[[#This Row],[Current Upsell $]]=0,"",Sales[[#This Row],[Current Upsell $]]&gt;=400,"High",Sales[[#This Row],[Current Upsell $]]&gt;=100,"Medium",Sales[[#This Row],[Current Upsell $]]&lt;100,"Low")</f>
        <v/>
      </c>
      <c r="R2027" t="str">
        <f>IF(Sales[[#This Row],[Current Upsell $]]&gt;0,_xlfn.CONCAT(Sales[[#This Row],[Subscription Type]]," ",Sales[[#This Row],[Upsell Priority]]," ",TEXT(Sales[[#This Row],[Current Upsell $]],"$#,#")),"")</f>
        <v/>
      </c>
    </row>
    <row r="2028" spans="1:18" x14ac:dyDescent="0.25">
      <c r="A2028">
        <v>100261</v>
      </c>
      <c r="B2028" t="s">
        <v>0</v>
      </c>
      <c r="D2028" s="1"/>
      <c r="E2028" s="1"/>
      <c r="F2028">
        <v>3</v>
      </c>
      <c r="G2028">
        <v>5</v>
      </c>
      <c r="H2028" s="1">
        <v>44287</v>
      </c>
      <c r="I2028" s="1">
        <v>44378</v>
      </c>
      <c r="J2028">
        <v>3</v>
      </c>
      <c r="K2028">
        <v>0</v>
      </c>
      <c r="L2028" s="1">
        <v>44348</v>
      </c>
      <c r="M2028">
        <v>30</v>
      </c>
      <c r="N2028" s="8" cm="1">
        <f t="array" ref="N2028">_xlfn.SWITCH(Sales[[#This Row],[Subscription Type]],"Basic",10,"Premium",10,"Business",25,"Enterprise",27)</f>
        <v>10</v>
      </c>
      <c r="O2028">
        <f>IF(Sales[[#This Row],[Number of Users]]-Sales[[#This Row],[Licenses Bought]]&lt;0,0,Sales[[#This Row],[Number of Users]]-Sales[[#This Row],[Licenses Bought]])</f>
        <v>2</v>
      </c>
      <c r="P2028" s="8">
        <f>IF(Sales[[#This Row],[Sales Month]]=MAX(Sales[Sales Month]),Sales[[#This Row],[Non-Paying Users]]*Sales[[#This Row],[Upsell $ per Non-Paying User]],0)</f>
        <v>20</v>
      </c>
      <c r="Q2028" t="str" cm="1">
        <f t="array" ref="Q2028">_xlfn.IFS(Sales[[#This Row],[Current Upsell $]]=0,"",Sales[[#This Row],[Current Upsell $]]&gt;=400,"High",Sales[[#This Row],[Current Upsell $]]&gt;=100,"Medium",Sales[[#This Row],[Current Upsell $]]&lt;100,"Low")</f>
        <v>Low</v>
      </c>
      <c r="R2028" t="str">
        <f>IF(Sales[[#This Row],[Current Upsell $]]&gt;0,_xlfn.CONCAT(Sales[[#This Row],[Subscription Type]]," ",Sales[[#This Row],[Upsell Priority]]," ",TEXT(Sales[[#This Row],[Current Upsell $]],"$#,#")),"")</f>
        <v>Premium Low $20</v>
      </c>
    </row>
    <row r="2029" spans="1:18" x14ac:dyDescent="0.25">
      <c r="A2029">
        <v>100262</v>
      </c>
      <c r="B2029" t="s">
        <v>3</v>
      </c>
      <c r="F2029">
        <v>0</v>
      </c>
      <c r="G2029">
        <v>3</v>
      </c>
      <c r="H2029" s="1">
        <v>44287</v>
      </c>
      <c r="I2029" s="1">
        <v>44378</v>
      </c>
      <c r="J2029">
        <v>3</v>
      </c>
      <c r="K2029">
        <v>0</v>
      </c>
      <c r="L2029" s="1">
        <v>44287</v>
      </c>
      <c r="M2029">
        <v>0</v>
      </c>
      <c r="N2029" s="8" cm="1">
        <f t="array" ref="N2029">_xlfn.SWITCH(Sales[[#This Row],[Subscription Type]],"Basic",10,"Premium",10,"Business",25,"Enterprise",27)</f>
        <v>10</v>
      </c>
      <c r="O2029">
        <f>IF(Sales[[#This Row],[Number of Users]]-Sales[[#This Row],[Licenses Bought]]&lt;0,0,Sales[[#This Row],[Number of Users]]-Sales[[#This Row],[Licenses Bought]])</f>
        <v>3</v>
      </c>
      <c r="P2029" s="8">
        <f>IF(Sales[[#This Row],[Sales Month]]=MAX(Sales[Sales Month]),Sales[[#This Row],[Non-Paying Users]]*Sales[[#This Row],[Upsell $ per Non-Paying User]],0)</f>
        <v>0</v>
      </c>
      <c r="Q2029" t="str" cm="1">
        <f t="array" ref="Q2029">_xlfn.IFS(Sales[[#This Row],[Current Upsell $]]=0,"",Sales[[#This Row],[Current Upsell $]]&gt;=400,"High",Sales[[#This Row],[Current Upsell $]]&gt;=100,"Medium",Sales[[#This Row],[Current Upsell $]]&lt;100,"Low")</f>
        <v/>
      </c>
      <c r="R2029" t="str">
        <f>IF(Sales[[#This Row],[Current Upsell $]]&gt;0,_xlfn.CONCAT(Sales[[#This Row],[Subscription Type]]," ",Sales[[#This Row],[Upsell Priority]]," ",TEXT(Sales[[#This Row],[Current Upsell $]],"$#,#")),"")</f>
        <v/>
      </c>
    </row>
    <row r="2030" spans="1:18" x14ac:dyDescent="0.25">
      <c r="A2030">
        <v>100262</v>
      </c>
      <c r="B2030" t="s">
        <v>0</v>
      </c>
      <c r="F2030">
        <v>1</v>
      </c>
      <c r="G2030">
        <v>3</v>
      </c>
      <c r="H2030" s="1">
        <v>44287</v>
      </c>
      <c r="I2030" s="1">
        <v>44378</v>
      </c>
      <c r="J2030">
        <v>3</v>
      </c>
      <c r="K2030">
        <v>0</v>
      </c>
      <c r="L2030" s="1">
        <v>44317</v>
      </c>
      <c r="M2030">
        <v>10</v>
      </c>
      <c r="N2030" s="8" cm="1">
        <f t="array" ref="N2030">_xlfn.SWITCH(Sales[[#This Row],[Subscription Type]],"Basic",10,"Premium",10,"Business",25,"Enterprise",27)</f>
        <v>10</v>
      </c>
      <c r="O2030">
        <f>IF(Sales[[#This Row],[Number of Users]]-Sales[[#This Row],[Licenses Bought]]&lt;0,0,Sales[[#This Row],[Number of Users]]-Sales[[#This Row],[Licenses Bought]])</f>
        <v>2</v>
      </c>
      <c r="P2030" s="8">
        <f>IF(Sales[[#This Row],[Sales Month]]=MAX(Sales[Sales Month]),Sales[[#This Row],[Non-Paying Users]]*Sales[[#This Row],[Upsell $ per Non-Paying User]],0)</f>
        <v>0</v>
      </c>
      <c r="Q2030" t="str" cm="1">
        <f t="array" ref="Q2030">_xlfn.IFS(Sales[[#This Row],[Current Upsell $]]=0,"",Sales[[#This Row],[Current Upsell $]]&gt;=400,"High",Sales[[#This Row],[Current Upsell $]]&gt;=100,"Medium",Sales[[#This Row],[Current Upsell $]]&lt;100,"Low")</f>
        <v/>
      </c>
      <c r="R2030" t="str">
        <f>IF(Sales[[#This Row],[Current Upsell $]]&gt;0,_xlfn.CONCAT(Sales[[#This Row],[Subscription Type]]," ",Sales[[#This Row],[Upsell Priority]]," ",TEXT(Sales[[#This Row],[Current Upsell $]],"$#,#")),"")</f>
        <v/>
      </c>
    </row>
    <row r="2031" spans="1:18" x14ac:dyDescent="0.25">
      <c r="A2031">
        <v>100262</v>
      </c>
      <c r="B2031" t="s">
        <v>0</v>
      </c>
      <c r="F2031">
        <v>2</v>
      </c>
      <c r="G2031">
        <v>3</v>
      </c>
      <c r="H2031" s="1">
        <v>44287</v>
      </c>
      <c r="I2031" s="1">
        <v>44378</v>
      </c>
      <c r="J2031">
        <v>3</v>
      </c>
      <c r="K2031">
        <v>0</v>
      </c>
      <c r="L2031" s="1">
        <v>44348</v>
      </c>
      <c r="M2031">
        <v>20</v>
      </c>
      <c r="N2031" s="8" cm="1">
        <f t="array" ref="N2031">_xlfn.SWITCH(Sales[[#This Row],[Subscription Type]],"Basic",10,"Premium",10,"Business",25,"Enterprise",27)</f>
        <v>10</v>
      </c>
      <c r="O2031">
        <f>IF(Sales[[#This Row],[Number of Users]]-Sales[[#This Row],[Licenses Bought]]&lt;0,0,Sales[[#This Row],[Number of Users]]-Sales[[#This Row],[Licenses Bought]])</f>
        <v>1</v>
      </c>
      <c r="P2031" s="8">
        <f>IF(Sales[[#This Row],[Sales Month]]=MAX(Sales[Sales Month]),Sales[[#This Row],[Non-Paying Users]]*Sales[[#This Row],[Upsell $ per Non-Paying User]],0)</f>
        <v>10</v>
      </c>
      <c r="Q2031" t="str" cm="1">
        <f t="array" ref="Q2031">_xlfn.IFS(Sales[[#This Row],[Current Upsell $]]=0,"",Sales[[#This Row],[Current Upsell $]]&gt;=400,"High",Sales[[#This Row],[Current Upsell $]]&gt;=100,"Medium",Sales[[#This Row],[Current Upsell $]]&lt;100,"Low")</f>
        <v>Low</v>
      </c>
      <c r="R2031" t="str">
        <f>IF(Sales[[#This Row],[Current Upsell $]]&gt;0,_xlfn.CONCAT(Sales[[#This Row],[Subscription Type]]," ",Sales[[#This Row],[Upsell Priority]]," ",TEXT(Sales[[#This Row],[Current Upsell $]],"$#,#")),"")</f>
        <v>Premium Low $10</v>
      </c>
    </row>
    <row r="2032" spans="1:18" x14ac:dyDescent="0.25">
      <c r="A2032">
        <v>100263</v>
      </c>
      <c r="B2032" t="s">
        <v>3</v>
      </c>
      <c r="F2032">
        <v>0</v>
      </c>
      <c r="G2032">
        <v>3</v>
      </c>
      <c r="H2032" s="1">
        <v>44287</v>
      </c>
      <c r="I2032" s="1">
        <v>44378</v>
      </c>
      <c r="J2032">
        <v>3</v>
      </c>
      <c r="K2032">
        <v>0</v>
      </c>
      <c r="L2032" s="1">
        <v>44287</v>
      </c>
      <c r="M2032">
        <v>0</v>
      </c>
      <c r="N2032" s="8" cm="1">
        <f t="array" ref="N2032">_xlfn.SWITCH(Sales[[#This Row],[Subscription Type]],"Basic",10,"Premium",10,"Business",25,"Enterprise",27)</f>
        <v>10</v>
      </c>
      <c r="O2032">
        <f>IF(Sales[[#This Row],[Number of Users]]-Sales[[#This Row],[Licenses Bought]]&lt;0,0,Sales[[#This Row],[Number of Users]]-Sales[[#This Row],[Licenses Bought]])</f>
        <v>3</v>
      </c>
      <c r="P2032" s="8">
        <f>IF(Sales[[#This Row],[Sales Month]]=MAX(Sales[Sales Month]),Sales[[#This Row],[Non-Paying Users]]*Sales[[#This Row],[Upsell $ per Non-Paying User]],0)</f>
        <v>0</v>
      </c>
      <c r="Q2032" t="str" cm="1">
        <f t="array" ref="Q2032">_xlfn.IFS(Sales[[#This Row],[Current Upsell $]]=0,"",Sales[[#This Row],[Current Upsell $]]&gt;=400,"High",Sales[[#This Row],[Current Upsell $]]&gt;=100,"Medium",Sales[[#This Row],[Current Upsell $]]&lt;100,"Low")</f>
        <v/>
      </c>
      <c r="R2032" t="str">
        <f>IF(Sales[[#This Row],[Current Upsell $]]&gt;0,_xlfn.CONCAT(Sales[[#This Row],[Subscription Type]]," ",Sales[[#This Row],[Upsell Priority]]," ",TEXT(Sales[[#This Row],[Current Upsell $]],"$#,#")),"")</f>
        <v/>
      </c>
    </row>
    <row r="2033" spans="1:18" x14ac:dyDescent="0.25">
      <c r="A2033">
        <v>100263</v>
      </c>
      <c r="B2033" t="s">
        <v>3</v>
      </c>
      <c r="F2033">
        <v>0</v>
      </c>
      <c r="G2033">
        <v>4</v>
      </c>
      <c r="H2033" s="1">
        <v>44287</v>
      </c>
      <c r="I2033" s="1">
        <v>44378</v>
      </c>
      <c r="J2033">
        <v>3</v>
      </c>
      <c r="K2033">
        <v>0</v>
      </c>
      <c r="L2033" s="1">
        <v>44317</v>
      </c>
      <c r="M2033">
        <v>0</v>
      </c>
      <c r="N2033" s="8" cm="1">
        <f t="array" ref="N2033">_xlfn.SWITCH(Sales[[#This Row],[Subscription Type]],"Basic",10,"Premium",10,"Business",25,"Enterprise",27)</f>
        <v>10</v>
      </c>
      <c r="O2033">
        <f>IF(Sales[[#This Row],[Number of Users]]-Sales[[#This Row],[Licenses Bought]]&lt;0,0,Sales[[#This Row],[Number of Users]]-Sales[[#This Row],[Licenses Bought]])</f>
        <v>4</v>
      </c>
      <c r="P2033" s="8">
        <f>IF(Sales[[#This Row],[Sales Month]]=MAX(Sales[Sales Month]),Sales[[#This Row],[Non-Paying Users]]*Sales[[#This Row],[Upsell $ per Non-Paying User]],0)</f>
        <v>0</v>
      </c>
      <c r="Q2033" t="str" cm="1">
        <f t="array" ref="Q2033">_xlfn.IFS(Sales[[#This Row],[Current Upsell $]]=0,"",Sales[[#This Row],[Current Upsell $]]&gt;=400,"High",Sales[[#This Row],[Current Upsell $]]&gt;=100,"Medium",Sales[[#This Row],[Current Upsell $]]&lt;100,"Low")</f>
        <v/>
      </c>
      <c r="R2033" t="str">
        <f>IF(Sales[[#This Row],[Current Upsell $]]&gt;0,_xlfn.CONCAT(Sales[[#This Row],[Subscription Type]]," ",Sales[[#This Row],[Upsell Priority]]," ",TEXT(Sales[[#This Row],[Current Upsell $]],"$#,#")),"")</f>
        <v/>
      </c>
    </row>
    <row r="2034" spans="1:18" x14ac:dyDescent="0.25">
      <c r="A2034">
        <v>100263</v>
      </c>
      <c r="B2034" t="s">
        <v>3</v>
      </c>
      <c r="F2034">
        <v>0</v>
      </c>
      <c r="G2034">
        <v>3</v>
      </c>
      <c r="H2034" s="1">
        <v>44287</v>
      </c>
      <c r="I2034" s="1">
        <v>44378</v>
      </c>
      <c r="J2034">
        <v>3</v>
      </c>
      <c r="K2034">
        <v>0</v>
      </c>
      <c r="L2034" s="1">
        <v>44348</v>
      </c>
      <c r="M2034">
        <v>0</v>
      </c>
      <c r="N2034" s="8" cm="1">
        <f t="array" ref="N2034">_xlfn.SWITCH(Sales[[#This Row],[Subscription Type]],"Basic",10,"Premium",10,"Business",25,"Enterprise",27)</f>
        <v>10</v>
      </c>
      <c r="O2034">
        <f>IF(Sales[[#This Row],[Number of Users]]-Sales[[#This Row],[Licenses Bought]]&lt;0,0,Sales[[#This Row],[Number of Users]]-Sales[[#This Row],[Licenses Bought]])</f>
        <v>3</v>
      </c>
      <c r="P2034" s="8">
        <f>IF(Sales[[#This Row],[Sales Month]]=MAX(Sales[Sales Month]),Sales[[#This Row],[Non-Paying Users]]*Sales[[#This Row],[Upsell $ per Non-Paying User]],0)</f>
        <v>30</v>
      </c>
      <c r="Q2034" t="str" cm="1">
        <f t="array" ref="Q2034">_xlfn.IFS(Sales[[#This Row],[Current Upsell $]]=0,"",Sales[[#This Row],[Current Upsell $]]&gt;=400,"High",Sales[[#This Row],[Current Upsell $]]&gt;=100,"Medium",Sales[[#This Row],[Current Upsell $]]&lt;100,"Low")</f>
        <v>Low</v>
      </c>
      <c r="R2034" t="str">
        <f>IF(Sales[[#This Row],[Current Upsell $]]&gt;0,_xlfn.CONCAT(Sales[[#This Row],[Subscription Type]]," ",Sales[[#This Row],[Upsell Priority]]," ",TEXT(Sales[[#This Row],[Current Upsell $]],"$#,#")),"")</f>
        <v>Basic Low $30</v>
      </c>
    </row>
    <row r="2035" spans="1:18" x14ac:dyDescent="0.25">
      <c r="A2035">
        <v>100264</v>
      </c>
      <c r="B2035" t="s">
        <v>3</v>
      </c>
      <c r="F2035">
        <v>0</v>
      </c>
      <c r="G2035">
        <v>2</v>
      </c>
      <c r="H2035" s="1">
        <v>44287</v>
      </c>
      <c r="I2035" s="1">
        <v>44348</v>
      </c>
      <c r="J2035">
        <v>2</v>
      </c>
      <c r="K2035">
        <v>0</v>
      </c>
      <c r="L2035" s="1">
        <v>44287</v>
      </c>
      <c r="M2035">
        <v>0</v>
      </c>
      <c r="N2035" s="8" cm="1">
        <f t="array" ref="N2035">_xlfn.SWITCH(Sales[[#This Row],[Subscription Type]],"Basic",10,"Premium",10,"Business",25,"Enterprise",27)</f>
        <v>10</v>
      </c>
      <c r="O2035">
        <f>IF(Sales[[#This Row],[Number of Users]]-Sales[[#This Row],[Licenses Bought]]&lt;0,0,Sales[[#This Row],[Number of Users]]-Sales[[#This Row],[Licenses Bought]])</f>
        <v>2</v>
      </c>
      <c r="P2035" s="8">
        <f>IF(Sales[[#This Row],[Sales Month]]=MAX(Sales[Sales Month]),Sales[[#This Row],[Non-Paying Users]]*Sales[[#This Row],[Upsell $ per Non-Paying User]],0)</f>
        <v>0</v>
      </c>
      <c r="Q2035" t="str" cm="1">
        <f t="array" ref="Q2035">_xlfn.IFS(Sales[[#This Row],[Current Upsell $]]=0,"",Sales[[#This Row],[Current Upsell $]]&gt;=400,"High",Sales[[#This Row],[Current Upsell $]]&gt;=100,"Medium",Sales[[#This Row],[Current Upsell $]]&lt;100,"Low")</f>
        <v/>
      </c>
      <c r="R2035" t="str">
        <f>IF(Sales[[#This Row],[Current Upsell $]]&gt;0,_xlfn.CONCAT(Sales[[#This Row],[Subscription Type]]," ",Sales[[#This Row],[Upsell Priority]]," ",TEXT(Sales[[#This Row],[Current Upsell $]],"$#,#")),"")</f>
        <v/>
      </c>
    </row>
    <row r="2036" spans="1:18" x14ac:dyDescent="0.25">
      <c r="A2036">
        <v>100264</v>
      </c>
      <c r="B2036" t="s">
        <v>0</v>
      </c>
      <c r="F2036">
        <v>1</v>
      </c>
      <c r="G2036">
        <v>2</v>
      </c>
      <c r="H2036" s="1">
        <v>44287</v>
      </c>
      <c r="I2036" s="1">
        <v>44348</v>
      </c>
      <c r="J2036">
        <v>2</v>
      </c>
      <c r="K2036">
        <v>0</v>
      </c>
      <c r="L2036" s="1">
        <v>44317</v>
      </c>
      <c r="M2036">
        <v>10</v>
      </c>
      <c r="N2036" s="8" cm="1">
        <f t="array" ref="N2036">_xlfn.SWITCH(Sales[[#This Row],[Subscription Type]],"Basic",10,"Premium",10,"Business",25,"Enterprise",27)</f>
        <v>10</v>
      </c>
      <c r="O2036">
        <f>IF(Sales[[#This Row],[Number of Users]]-Sales[[#This Row],[Licenses Bought]]&lt;0,0,Sales[[#This Row],[Number of Users]]-Sales[[#This Row],[Licenses Bought]])</f>
        <v>1</v>
      </c>
      <c r="P2036" s="8">
        <f>IF(Sales[[#This Row],[Sales Month]]=MAX(Sales[Sales Month]),Sales[[#This Row],[Non-Paying Users]]*Sales[[#This Row],[Upsell $ per Non-Paying User]],0)</f>
        <v>0</v>
      </c>
      <c r="Q2036" t="str" cm="1">
        <f t="array" ref="Q2036">_xlfn.IFS(Sales[[#This Row],[Current Upsell $]]=0,"",Sales[[#This Row],[Current Upsell $]]&gt;=400,"High",Sales[[#This Row],[Current Upsell $]]&gt;=100,"Medium",Sales[[#This Row],[Current Upsell $]]&lt;100,"Low")</f>
        <v/>
      </c>
      <c r="R2036" t="str">
        <f>IF(Sales[[#This Row],[Current Upsell $]]&gt;0,_xlfn.CONCAT(Sales[[#This Row],[Subscription Type]]," ",Sales[[#This Row],[Upsell Priority]]," ",TEXT(Sales[[#This Row],[Current Upsell $]],"$#,#")),"")</f>
        <v/>
      </c>
    </row>
    <row r="2037" spans="1:18" x14ac:dyDescent="0.25">
      <c r="A2037">
        <v>100264</v>
      </c>
      <c r="B2037" t="s">
        <v>0</v>
      </c>
      <c r="F2037">
        <v>1</v>
      </c>
      <c r="G2037">
        <v>2</v>
      </c>
      <c r="H2037" s="1">
        <v>44287</v>
      </c>
      <c r="I2037" s="1">
        <v>44348</v>
      </c>
      <c r="J2037">
        <v>2</v>
      </c>
      <c r="K2037">
        <v>0</v>
      </c>
      <c r="L2037" s="1">
        <v>44348</v>
      </c>
      <c r="M2037">
        <v>10</v>
      </c>
      <c r="N2037" s="8" cm="1">
        <f t="array" ref="N2037">_xlfn.SWITCH(Sales[[#This Row],[Subscription Type]],"Basic",10,"Premium",10,"Business",25,"Enterprise",27)</f>
        <v>10</v>
      </c>
      <c r="O2037">
        <f>IF(Sales[[#This Row],[Number of Users]]-Sales[[#This Row],[Licenses Bought]]&lt;0,0,Sales[[#This Row],[Number of Users]]-Sales[[#This Row],[Licenses Bought]])</f>
        <v>1</v>
      </c>
      <c r="P2037" s="8">
        <f>IF(Sales[[#This Row],[Sales Month]]=MAX(Sales[Sales Month]),Sales[[#This Row],[Non-Paying Users]]*Sales[[#This Row],[Upsell $ per Non-Paying User]],0)</f>
        <v>10</v>
      </c>
      <c r="Q2037" t="str" cm="1">
        <f t="array" ref="Q2037">_xlfn.IFS(Sales[[#This Row],[Current Upsell $]]=0,"",Sales[[#This Row],[Current Upsell $]]&gt;=400,"High",Sales[[#This Row],[Current Upsell $]]&gt;=100,"Medium",Sales[[#This Row],[Current Upsell $]]&lt;100,"Low")</f>
        <v>Low</v>
      </c>
      <c r="R2037" t="str">
        <f>IF(Sales[[#This Row],[Current Upsell $]]&gt;0,_xlfn.CONCAT(Sales[[#This Row],[Subscription Type]]," ",Sales[[#This Row],[Upsell Priority]]," ",TEXT(Sales[[#This Row],[Current Upsell $]],"$#,#")),"")</f>
        <v>Premium Low $10</v>
      </c>
    </row>
    <row r="2038" spans="1:18" x14ac:dyDescent="0.25">
      <c r="A2038">
        <v>100265</v>
      </c>
      <c r="B2038" t="s">
        <v>3</v>
      </c>
      <c r="F2038">
        <v>0</v>
      </c>
      <c r="G2038">
        <v>2</v>
      </c>
      <c r="H2038" s="1">
        <v>44287</v>
      </c>
      <c r="I2038" s="1">
        <v>44378</v>
      </c>
      <c r="J2038">
        <v>3</v>
      </c>
      <c r="K2038">
        <v>0</v>
      </c>
      <c r="L2038" s="1">
        <v>44287</v>
      </c>
      <c r="M2038">
        <v>0</v>
      </c>
      <c r="N2038" s="8" cm="1">
        <f t="array" ref="N2038">_xlfn.SWITCH(Sales[[#This Row],[Subscription Type]],"Basic",10,"Premium",10,"Business",25,"Enterprise",27)</f>
        <v>10</v>
      </c>
      <c r="O2038">
        <f>IF(Sales[[#This Row],[Number of Users]]-Sales[[#This Row],[Licenses Bought]]&lt;0,0,Sales[[#This Row],[Number of Users]]-Sales[[#This Row],[Licenses Bought]])</f>
        <v>2</v>
      </c>
      <c r="P2038" s="8">
        <f>IF(Sales[[#This Row],[Sales Month]]=MAX(Sales[Sales Month]),Sales[[#This Row],[Non-Paying Users]]*Sales[[#This Row],[Upsell $ per Non-Paying User]],0)</f>
        <v>0</v>
      </c>
      <c r="Q2038" t="str" cm="1">
        <f t="array" ref="Q2038">_xlfn.IFS(Sales[[#This Row],[Current Upsell $]]=0,"",Sales[[#This Row],[Current Upsell $]]&gt;=400,"High",Sales[[#This Row],[Current Upsell $]]&gt;=100,"Medium",Sales[[#This Row],[Current Upsell $]]&lt;100,"Low")</f>
        <v/>
      </c>
      <c r="R2038" t="str">
        <f>IF(Sales[[#This Row],[Current Upsell $]]&gt;0,_xlfn.CONCAT(Sales[[#This Row],[Subscription Type]]," ",Sales[[#This Row],[Upsell Priority]]," ",TEXT(Sales[[#This Row],[Current Upsell $]],"$#,#")),"")</f>
        <v/>
      </c>
    </row>
    <row r="2039" spans="1:18" x14ac:dyDescent="0.25">
      <c r="A2039">
        <v>100265</v>
      </c>
      <c r="B2039" t="s">
        <v>3</v>
      </c>
      <c r="F2039">
        <v>0</v>
      </c>
      <c r="G2039">
        <v>2</v>
      </c>
      <c r="H2039" s="1">
        <v>44287</v>
      </c>
      <c r="I2039" s="1">
        <v>44378</v>
      </c>
      <c r="J2039">
        <v>3</v>
      </c>
      <c r="K2039">
        <v>0</v>
      </c>
      <c r="L2039" s="1">
        <v>44317</v>
      </c>
      <c r="M2039">
        <v>0</v>
      </c>
      <c r="N2039" s="8" cm="1">
        <f t="array" ref="N2039">_xlfn.SWITCH(Sales[[#This Row],[Subscription Type]],"Basic",10,"Premium",10,"Business",25,"Enterprise",27)</f>
        <v>10</v>
      </c>
      <c r="O2039">
        <f>IF(Sales[[#This Row],[Number of Users]]-Sales[[#This Row],[Licenses Bought]]&lt;0,0,Sales[[#This Row],[Number of Users]]-Sales[[#This Row],[Licenses Bought]])</f>
        <v>2</v>
      </c>
      <c r="P2039" s="8">
        <f>IF(Sales[[#This Row],[Sales Month]]=MAX(Sales[Sales Month]),Sales[[#This Row],[Non-Paying Users]]*Sales[[#This Row],[Upsell $ per Non-Paying User]],0)</f>
        <v>0</v>
      </c>
      <c r="Q2039" t="str" cm="1">
        <f t="array" ref="Q2039">_xlfn.IFS(Sales[[#This Row],[Current Upsell $]]=0,"",Sales[[#This Row],[Current Upsell $]]&gt;=400,"High",Sales[[#This Row],[Current Upsell $]]&gt;=100,"Medium",Sales[[#This Row],[Current Upsell $]]&lt;100,"Low")</f>
        <v/>
      </c>
      <c r="R2039" t="str">
        <f>IF(Sales[[#This Row],[Current Upsell $]]&gt;0,_xlfn.CONCAT(Sales[[#This Row],[Subscription Type]]," ",Sales[[#This Row],[Upsell Priority]]," ",TEXT(Sales[[#This Row],[Current Upsell $]],"$#,#")),"")</f>
        <v/>
      </c>
    </row>
    <row r="2040" spans="1:18" x14ac:dyDescent="0.25">
      <c r="A2040">
        <v>100265</v>
      </c>
      <c r="B2040" t="s">
        <v>3</v>
      </c>
      <c r="F2040">
        <v>0</v>
      </c>
      <c r="G2040">
        <v>2</v>
      </c>
      <c r="H2040" s="1">
        <v>44287</v>
      </c>
      <c r="I2040" s="1">
        <v>44378</v>
      </c>
      <c r="J2040">
        <v>3</v>
      </c>
      <c r="K2040">
        <v>0</v>
      </c>
      <c r="L2040" s="1">
        <v>44348</v>
      </c>
      <c r="M2040">
        <v>0</v>
      </c>
      <c r="N2040" s="8" cm="1">
        <f t="array" ref="N2040">_xlfn.SWITCH(Sales[[#This Row],[Subscription Type]],"Basic",10,"Premium",10,"Business",25,"Enterprise",27)</f>
        <v>10</v>
      </c>
      <c r="O2040">
        <f>IF(Sales[[#This Row],[Number of Users]]-Sales[[#This Row],[Licenses Bought]]&lt;0,0,Sales[[#This Row],[Number of Users]]-Sales[[#This Row],[Licenses Bought]])</f>
        <v>2</v>
      </c>
      <c r="P2040" s="8">
        <f>IF(Sales[[#This Row],[Sales Month]]=MAX(Sales[Sales Month]),Sales[[#This Row],[Non-Paying Users]]*Sales[[#This Row],[Upsell $ per Non-Paying User]],0)</f>
        <v>20</v>
      </c>
      <c r="Q2040" t="str" cm="1">
        <f t="array" ref="Q2040">_xlfn.IFS(Sales[[#This Row],[Current Upsell $]]=0,"",Sales[[#This Row],[Current Upsell $]]&gt;=400,"High",Sales[[#This Row],[Current Upsell $]]&gt;=100,"Medium",Sales[[#This Row],[Current Upsell $]]&lt;100,"Low")</f>
        <v>Low</v>
      </c>
      <c r="R2040" t="str">
        <f>IF(Sales[[#This Row],[Current Upsell $]]&gt;0,_xlfn.CONCAT(Sales[[#This Row],[Subscription Type]]," ",Sales[[#This Row],[Upsell Priority]]," ",TEXT(Sales[[#This Row],[Current Upsell $]],"$#,#")),"")</f>
        <v>Basic Low $20</v>
      </c>
    </row>
    <row r="2041" spans="1:18" x14ac:dyDescent="0.25">
      <c r="A2041">
        <v>100266</v>
      </c>
      <c r="B2041" t="s">
        <v>3</v>
      </c>
      <c r="D2041" s="1"/>
      <c r="E2041" s="1"/>
      <c r="F2041">
        <v>0</v>
      </c>
      <c r="G2041">
        <v>1</v>
      </c>
      <c r="H2041" s="1">
        <v>44287</v>
      </c>
      <c r="I2041" s="1">
        <v>44378</v>
      </c>
      <c r="J2041">
        <v>3</v>
      </c>
      <c r="K2041">
        <v>0</v>
      </c>
      <c r="L2041" s="1">
        <v>44287</v>
      </c>
      <c r="M2041">
        <v>0</v>
      </c>
      <c r="N2041" s="8" cm="1">
        <f t="array" ref="N2041">_xlfn.SWITCH(Sales[[#This Row],[Subscription Type]],"Basic",10,"Premium",10,"Business",25,"Enterprise",27)</f>
        <v>10</v>
      </c>
      <c r="O2041">
        <f>IF(Sales[[#This Row],[Number of Users]]-Sales[[#This Row],[Licenses Bought]]&lt;0,0,Sales[[#This Row],[Number of Users]]-Sales[[#This Row],[Licenses Bought]])</f>
        <v>1</v>
      </c>
      <c r="P2041" s="8">
        <f>IF(Sales[[#This Row],[Sales Month]]=MAX(Sales[Sales Month]),Sales[[#This Row],[Non-Paying Users]]*Sales[[#This Row],[Upsell $ per Non-Paying User]],0)</f>
        <v>0</v>
      </c>
      <c r="Q2041" t="str" cm="1">
        <f t="array" ref="Q2041">_xlfn.IFS(Sales[[#This Row],[Current Upsell $]]=0,"",Sales[[#This Row],[Current Upsell $]]&gt;=400,"High",Sales[[#This Row],[Current Upsell $]]&gt;=100,"Medium",Sales[[#This Row],[Current Upsell $]]&lt;100,"Low")</f>
        <v/>
      </c>
      <c r="R2041" t="str">
        <f>IF(Sales[[#This Row],[Current Upsell $]]&gt;0,_xlfn.CONCAT(Sales[[#This Row],[Subscription Type]]," ",Sales[[#This Row],[Upsell Priority]]," ",TEXT(Sales[[#This Row],[Current Upsell $]],"$#,#")),"")</f>
        <v/>
      </c>
    </row>
    <row r="2042" spans="1:18" x14ac:dyDescent="0.25">
      <c r="A2042">
        <v>100266</v>
      </c>
      <c r="B2042" t="s">
        <v>0</v>
      </c>
      <c r="D2042" s="1"/>
      <c r="E2042" s="1"/>
      <c r="F2042">
        <v>1</v>
      </c>
      <c r="G2042">
        <v>1</v>
      </c>
      <c r="H2042" s="1">
        <v>44287</v>
      </c>
      <c r="I2042" s="1">
        <v>44378</v>
      </c>
      <c r="J2042">
        <v>3</v>
      </c>
      <c r="K2042">
        <v>0</v>
      </c>
      <c r="L2042" s="1">
        <v>44317</v>
      </c>
      <c r="M2042">
        <v>10</v>
      </c>
      <c r="N2042" s="8" cm="1">
        <f t="array" ref="N2042">_xlfn.SWITCH(Sales[[#This Row],[Subscription Type]],"Basic",10,"Premium",10,"Business",25,"Enterprise",27)</f>
        <v>10</v>
      </c>
      <c r="O2042">
        <f>IF(Sales[[#This Row],[Number of Users]]-Sales[[#This Row],[Licenses Bought]]&lt;0,0,Sales[[#This Row],[Number of Users]]-Sales[[#This Row],[Licenses Bought]])</f>
        <v>0</v>
      </c>
      <c r="P2042" s="8">
        <f>IF(Sales[[#This Row],[Sales Month]]=MAX(Sales[Sales Month]),Sales[[#This Row],[Non-Paying Users]]*Sales[[#This Row],[Upsell $ per Non-Paying User]],0)</f>
        <v>0</v>
      </c>
      <c r="Q2042" t="str" cm="1">
        <f t="array" ref="Q2042">_xlfn.IFS(Sales[[#This Row],[Current Upsell $]]=0,"",Sales[[#This Row],[Current Upsell $]]&gt;=400,"High",Sales[[#This Row],[Current Upsell $]]&gt;=100,"Medium",Sales[[#This Row],[Current Upsell $]]&lt;100,"Low")</f>
        <v/>
      </c>
      <c r="R2042" t="str">
        <f>IF(Sales[[#This Row],[Current Upsell $]]&gt;0,_xlfn.CONCAT(Sales[[#This Row],[Subscription Type]]," ",Sales[[#This Row],[Upsell Priority]]," ",TEXT(Sales[[#This Row],[Current Upsell $]],"$#,#")),"")</f>
        <v/>
      </c>
    </row>
    <row r="2043" spans="1:18" x14ac:dyDescent="0.25">
      <c r="A2043">
        <v>100266</v>
      </c>
      <c r="B2043" t="s">
        <v>0</v>
      </c>
      <c r="D2043" s="1"/>
      <c r="E2043" s="1"/>
      <c r="F2043">
        <v>1</v>
      </c>
      <c r="G2043">
        <v>2</v>
      </c>
      <c r="H2043" s="1">
        <v>44287</v>
      </c>
      <c r="I2043" s="1">
        <v>44378</v>
      </c>
      <c r="J2043">
        <v>3</v>
      </c>
      <c r="K2043">
        <v>0</v>
      </c>
      <c r="L2043" s="1">
        <v>44348</v>
      </c>
      <c r="M2043">
        <v>10</v>
      </c>
      <c r="N2043" s="8" cm="1">
        <f t="array" ref="N2043">_xlfn.SWITCH(Sales[[#This Row],[Subscription Type]],"Basic",10,"Premium",10,"Business",25,"Enterprise",27)</f>
        <v>10</v>
      </c>
      <c r="O2043">
        <f>IF(Sales[[#This Row],[Number of Users]]-Sales[[#This Row],[Licenses Bought]]&lt;0,0,Sales[[#This Row],[Number of Users]]-Sales[[#This Row],[Licenses Bought]])</f>
        <v>1</v>
      </c>
      <c r="P2043" s="8">
        <f>IF(Sales[[#This Row],[Sales Month]]=MAX(Sales[Sales Month]),Sales[[#This Row],[Non-Paying Users]]*Sales[[#This Row],[Upsell $ per Non-Paying User]],0)</f>
        <v>10</v>
      </c>
      <c r="Q2043" t="str" cm="1">
        <f t="array" ref="Q2043">_xlfn.IFS(Sales[[#This Row],[Current Upsell $]]=0,"",Sales[[#This Row],[Current Upsell $]]&gt;=400,"High",Sales[[#This Row],[Current Upsell $]]&gt;=100,"Medium",Sales[[#This Row],[Current Upsell $]]&lt;100,"Low")</f>
        <v>Low</v>
      </c>
      <c r="R2043" t="str">
        <f>IF(Sales[[#This Row],[Current Upsell $]]&gt;0,_xlfn.CONCAT(Sales[[#This Row],[Subscription Type]]," ",Sales[[#This Row],[Upsell Priority]]," ",TEXT(Sales[[#This Row],[Current Upsell $]],"$#,#")),"")</f>
        <v>Premium Low $10</v>
      </c>
    </row>
    <row r="2044" spans="1:18" x14ac:dyDescent="0.25">
      <c r="A2044">
        <v>100267</v>
      </c>
      <c r="B2044" t="s">
        <v>3</v>
      </c>
      <c r="D2044" s="1"/>
      <c r="E2044" s="1"/>
      <c r="F2044">
        <v>0</v>
      </c>
      <c r="G2044">
        <v>2</v>
      </c>
      <c r="H2044" s="1">
        <v>44287</v>
      </c>
      <c r="I2044" s="1">
        <v>44378</v>
      </c>
      <c r="J2044">
        <v>3</v>
      </c>
      <c r="K2044">
        <v>0</v>
      </c>
      <c r="L2044" s="1">
        <v>44287</v>
      </c>
      <c r="M2044">
        <v>0</v>
      </c>
      <c r="N2044" s="8" cm="1">
        <f t="array" ref="N2044">_xlfn.SWITCH(Sales[[#This Row],[Subscription Type]],"Basic",10,"Premium",10,"Business",25,"Enterprise",27)</f>
        <v>10</v>
      </c>
      <c r="O2044">
        <f>IF(Sales[[#This Row],[Number of Users]]-Sales[[#This Row],[Licenses Bought]]&lt;0,0,Sales[[#This Row],[Number of Users]]-Sales[[#This Row],[Licenses Bought]])</f>
        <v>2</v>
      </c>
      <c r="P2044" s="8">
        <f>IF(Sales[[#This Row],[Sales Month]]=MAX(Sales[Sales Month]),Sales[[#This Row],[Non-Paying Users]]*Sales[[#This Row],[Upsell $ per Non-Paying User]],0)</f>
        <v>0</v>
      </c>
      <c r="Q2044" t="str" cm="1">
        <f t="array" ref="Q2044">_xlfn.IFS(Sales[[#This Row],[Current Upsell $]]=0,"",Sales[[#This Row],[Current Upsell $]]&gt;=400,"High",Sales[[#This Row],[Current Upsell $]]&gt;=100,"Medium",Sales[[#This Row],[Current Upsell $]]&lt;100,"Low")</f>
        <v/>
      </c>
      <c r="R2044" t="str">
        <f>IF(Sales[[#This Row],[Current Upsell $]]&gt;0,_xlfn.CONCAT(Sales[[#This Row],[Subscription Type]]," ",Sales[[#This Row],[Upsell Priority]]," ",TEXT(Sales[[#This Row],[Current Upsell $]],"$#,#")),"")</f>
        <v/>
      </c>
    </row>
    <row r="2045" spans="1:18" x14ac:dyDescent="0.25">
      <c r="A2045">
        <v>100267</v>
      </c>
      <c r="B2045" t="s">
        <v>0</v>
      </c>
      <c r="D2045" s="1"/>
      <c r="E2045" s="1"/>
      <c r="F2045">
        <v>1</v>
      </c>
      <c r="G2045">
        <v>2</v>
      </c>
      <c r="H2045" s="1">
        <v>44287</v>
      </c>
      <c r="I2045" s="1">
        <v>44378</v>
      </c>
      <c r="J2045">
        <v>3</v>
      </c>
      <c r="K2045">
        <v>0</v>
      </c>
      <c r="L2045" s="1">
        <v>44317</v>
      </c>
      <c r="M2045">
        <v>10</v>
      </c>
      <c r="N2045" s="8" cm="1">
        <f t="array" ref="N2045">_xlfn.SWITCH(Sales[[#This Row],[Subscription Type]],"Basic",10,"Premium",10,"Business",25,"Enterprise",27)</f>
        <v>10</v>
      </c>
      <c r="O2045">
        <f>IF(Sales[[#This Row],[Number of Users]]-Sales[[#This Row],[Licenses Bought]]&lt;0,0,Sales[[#This Row],[Number of Users]]-Sales[[#This Row],[Licenses Bought]])</f>
        <v>1</v>
      </c>
      <c r="P2045" s="8">
        <f>IF(Sales[[#This Row],[Sales Month]]=MAX(Sales[Sales Month]),Sales[[#This Row],[Non-Paying Users]]*Sales[[#This Row],[Upsell $ per Non-Paying User]],0)</f>
        <v>0</v>
      </c>
      <c r="Q2045" t="str" cm="1">
        <f t="array" ref="Q2045">_xlfn.IFS(Sales[[#This Row],[Current Upsell $]]=0,"",Sales[[#This Row],[Current Upsell $]]&gt;=400,"High",Sales[[#This Row],[Current Upsell $]]&gt;=100,"Medium",Sales[[#This Row],[Current Upsell $]]&lt;100,"Low")</f>
        <v/>
      </c>
      <c r="R2045" t="str">
        <f>IF(Sales[[#This Row],[Current Upsell $]]&gt;0,_xlfn.CONCAT(Sales[[#This Row],[Subscription Type]]," ",Sales[[#This Row],[Upsell Priority]]," ",TEXT(Sales[[#This Row],[Current Upsell $]],"$#,#")),"")</f>
        <v/>
      </c>
    </row>
    <row r="2046" spans="1:18" x14ac:dyDescent="0.25">
      <c r="A2046">
        <v>100267</v>
      </c>
      <c r="B2046" t="s">
        <v>0</v>
      </c>
      <c r="D2046" s="1"/>
      <c r="E2046" s="1"/>
      <c r="F2046">
        <v>1</v>
      </c>
      <c r="G2046">
        <v>2</v>
      </c>
      <c r="H2046" s="1">
        <v>44287</v>
      </c>
      <c r="I2046" s="1">
        <v>44378</v>
      </c>
      <c r="J2046">
        <v>3</v>
      </c>
      <c r="K2046">
        <v>0</v>
      </c>
      <c r="L2046" s="1">
        <v>44348</v>
      </c>
      <c r="M2046">
        <v>10</v>
      </c>
      <c r="N2046" s="8" cm="1">
        <f t="array" ref="N2046">_xlfn.SWITCH(Sales[[#This Row],[Subscription Type]],"Basic",10,"Premium",10,"Business",25,"Enterprise",27)</f>
        <v>10</v>
      </c>
      <c r="O2046">
        <f>IF(Sales[[#This Row],[Number of Users]]-Sales[[#This Row],[Licenses Bought]]&lt;0,0,Sales[[#This Row],[Number of Users]]-Sales[[#This Row],[Licenses Bought]])</f>
        <v>1</v>
      </c>
      <c r="P2046" s="8">
        <f>IF(Sales[[#This Row],[Sales Month]]=MAX(Sales[Sales Month]),Sales[[#This Row],[Non-Paying Users]]*Sales[[#This Row],[Upsell $ per Non-Paying User]],0)</f>
        <v>10</v>
      </c>
      <c r="Q2046" t="str" cm="1">
        <f t="array" ref="Q2046">_xlfn.IFS(Sales[[#This Row],[Current Upsell $]]=0,"",Sales[[#This Row],[Current Upsell $]]&gt;=400,"High",Sales[[#This Row],[Current Upsell $]]&gt;=100,"Medium",Sales[[#This Row],[Current Upsell $]]&lt;100,"Low")</f>
        <v>Low</v>
      </c>
      <c r="R2046" t="str">
        <f>IF(Sales[[#This Row],[Current Upsell $]]&gt;0,_xlfn.CONCAT(Sales[[#This Row],[Subscription Type]]," ",Sales[[#This Row],[Upsell Priority]]," ",TEXT(Sales[[#This Row],[Current Upsell $]],"$#,#")),"")</f>
        <v>Premium Low $10</v>
      </c>
    </row>
    <row r="2047" spans="1:18" x14ac:dyDescent="0.25">
      <c r="A2047">
        <v>100268</v>
      </c>
      <c r="B2047" t="s">
        <v>3</v>
      </c>
      <c r="D2047" s="1"/>
      <c r="E2047" s="1"/>
      <c r="F2047">
        <v>0</v>
      </c>
      <c r="G2047">
        <v>63</v>
      </c>
      <c r="H2047" s="1">
        <v>44317</v>
      </c>
      <c r="I2047" s="1">
        <v>44378</v>
      </c>
      <c r="J2047">
        <v>2</v>
      </c>
      <c r="K2047">
        <v>0</v>
      </c>
      <c r="L2047" s="1">
        <v>44317</v>
      </c>
      <c r="M2047">
        <v>0</v>
      </c>
      <c r="N2047" s="8" cm="1">
        <f t="array" ref="N2047">_xlfn.SWITCH(Sales[[#This Row],[Subscription Type]],"Basic",10,"Premium",10,"Business",25,"Enterprise",27)</f>
        <v>10</v>
      </c>
      <c r="O2047">
        <f>IF(Sales[[#This Row],[Number of Users]]-Sales[[#This Row],[Licenses Bought]]&lt;0,0,Sales[[#This Row],[Number of Users]]-Sales[[#This Row],[Licenses Bought]])</f>
        <v>63</v>
      </c>
      <c r="P2047" s="8">
        <f>IF(Sales[[#This Row],[Sales Month]]=MAX(Sales[Sales Month]),Sales[[#This Row],[Non-Paying Users]]*Sales[[#This Row],[Upsell $ per Non-Paying User]],0)</f>
        <v>0</v>
      </c>
      <c r="Q2047" t="str" cm="1">
        <f t="array" ref="Q2047">_xlfn.IFS(Sales[[#This Row],[Current Upsell $]]=0,"",Sales[[#This Row],[Current Upsell $]]&gt;=400,"High",Sales[[#This Row],[Current Upsell $]]&gt;=100,"Medium",Sales[[#This Row],[Current Upsell $]]&lt;100,"Low")</f>
        <v/>
      </c>
      <c r="R2047" t="str">
        <f>IF(Sales[[#This Row],[Current Upsell $]]&gt;0,_xlfn.CONCAT(Sales[[#This Row],[Subscription Type]]," ",Sales[[#This Row],[Upsell Priority]]," ",TEXT(Sales[[#This Row],[Current Upsell $]],"$#,#")),"")</f>
        <v/>
      </c>
    </row>
    <row r="2048" spans="1:18" x14ac:dyDescent="0.25">
      <c r="A2048">
        <v>100268</v>
      </c>
      <c r="B2048" t="s">
        <v>0</v>
      </c>
      <c r="D2048" s="1"/>
      <c r="E2048" s="1"/>
      <c r="F2048">
        <v>18</v>
      </c>
      <c r="G2048">
        <v>84</v>
      </c>
      <c r="H2048" s="1">
        <v>44317</v>
      </c>
      <c r="I2048" s="1">
        <v>44378</v>
      </c>
      <c r="J2048">
        <v>2</v>
      </c>
      <c r="K2048">
        <v>0</v>
      </c>
      <c r="L2048" s="1">
        <v>44348</v>
      </c>
      <c r="M2048">
        <v>180</v>
      </c>
      <c r="N2048" s="8" cm="1">
        <f t="array" ref="N2048">_xlfn.SWITCH(Sales[[#This Row],[Subscription Type]],"Basic",10,"Premium",10,"Business",25,"Enterprise",27)</f>
        <v>10</v>
      </c>
      <c r="O2048">
        <f>IF(Sales[[#This Row],[Number of Users]]-Sales[[#This Row],[Licenses Bought]]&lt;0,0,Sales[[#This Row],[Number of Users]]-Sales[[#This Row],[Licenses Bought]])</f>
        <v>66</v>
      </c>
      <c r="P2048" s="8">
        <f>IF(Sales[[#This Row],[Sales Month]]=MAX(Sales[Sales Month]),Sales[[#This Row],[Non-Paying Users]]*Sales[[#This Row],[Upsell $ per Non-Paying User]],0)</f>
        <v>660</v>
      </c>
      <c r="Q2048" t="str" cm="1">
        <f t="array" ref="Q2048">_xlfn.IFS(Sales[[#This Row],[Current Upsell $]]=0,"",Sales[[#This Row],[Current Upsell $]]&gt;=400,"High",Sales[[#This Row],[Current Upsell $]]&gt;=100,"Medium",Sales[[#This Row],[Current Upsell $]]&lt;100,"Low")</f>
        <v>High</v>
      </c>
      <c r="R2048" t="str">
        <f>IF(Sales[[#This Row],[Current Upsell $]]&gt;0,_xlfn.CONCAT(Sales[[#This Row],[Subscription Type]]," ",Sales[[#This Row],[Upsell Priority]]," ",TEXT(Sales[[#This Row],[Current Upsell $]],"$#,#")),"")</f>
        <v>Premium High $660</v>
      </c>
    </row>
    <row r="2049" spans="1:18" x14ac:dyDescent="0.25">
      <c r="A2049">
        <v>100269</v>
      </c>
      <c r="B2049" t="s">
        <v>3</v>
      </c>
      <c r="D2049" s="1"/>
      <c r="E2049" s="1"/>
      <c r="F2049">
        <v>0</v>
      </c>
      <c r="G2049">
        <v>54</v>
      </c>
      <c r="H2049" s="1">
        <v>44317</v>
      </c>
      <c r="I2049" s="1">
        <v>44378</v>
      </c>
      <c r="J2049">
        <v>2</v>
      </c>
      <c r="K2049">
        <v>0</v>
      </c>
      <c r="L2049" s="1">
        <v>44317</v>
      </c>
      <c r="M2049">
        <v>0</v>
      </c>
      <c r="N2049" s="8" cm="1">
        <f t="array" ref="N2049">_xlfn.SWITCH(Sales[[#This Row],[Subscription Type]],"Basic",10,"Premium",10,"Business",25,"Enterprise",27)</f>
        <v>10</v>
      </c>
      <c r="O2049">
        <f>IF(Sales[[#This Row],[Number of Users]]-Sales[[#This Row],[Licenses Bought]]&lt;0,0,Sales[[#This Row],[Number of Users]]-Sales[[#This Row],[Licenses Bought]])</f>
        <v>54</v>
      </c>
      <c r="P2049" s="8">
        <f>IF(Sales[[#This Row],[Sales Month]]=MAX(Sales[Sales Month]),Sales[[#This Row],[Non-Paying Users]]*Sales[[#This Row],[Upsell $ per Non-Paying User]],0)</f>
        <v>0</v>
      </c>
      <c r="Q2049" t="str" cm="1">
        <f t="array" ref="Q2049">_xlfn.IFS(Sales[[#This Row],[Current Upsell $]]=0,"",Sales[[#This Row],[Current Upsell $]]&gt;=400,"High",Sales[[#This Row],[Current Upsell $]]&gt;=100,"Medium",Sales[[#This Row],[Current Upsell $]]&lt;100,"Low")</f>
        <v/>
      </c>
      <c r="R2049" t="str">
        <f>IF(Sales[[#This Row],[Current Upsell $]]&gt;0,_xlfn.CONCAT(Sales[[#This Row],[Subscription Type]]," ",Sales[[#This Row],[Upsell Priority]]," ",TEXT(Sales[[#This Row],[Current Upsell $]],"$#,#")),"")</f>
        <v/>
      </c>
    </row>
    <row r="2050" spans="1:18" x14ac:dyDescent="0.25">
      <c r="A2050">
        <v>100269</v>
      </c>
      <c r="B2050" t="s">
        <v>0</v>
      </c>
      <c r="D2050" s="1"/>
      <c r="E2050" s="1"/>
      <c r="F2050">
        <v>12</v>
      </c>
      <c r="G2050">
        <v>55</v>
      </c>
      <c r="H2050" s="1">
        <v>44317</v>
      </c>
      <c r="I2050" s="1">
        <v>44378</v>
      </c>
      <c r="J2050">
        <v>2</v>
      </c>
      <c r="K2050">
        <v>0</v>
      </c>
      <c r="L2050" s="1">
        <v>44348</v>
      </c>
      <c r="M2050">
        <v>120</v>
      </c>
      <c r="N2050" s="8" cm="1">
        <f t="array" ref="N2050">_xlfn.SWITCH(Sales[[#This Row],[Subscription Type]],"Basic",10,"Premium",10,"Business",25,"Enterprise",27)</f>
        <v>10</v>
      </c>
      <c r="O2050">
        <f>IF(Sales[[#This Row],[Number of Users]]-Sales[[#This Row],[Licenses Bought]]&lt;0,0,Sales[[#This Row],[Number of Users]]-Sales[[#This Row],[Licenses Bought]])</f>
        <v>43</v>
      </c>
      <c r="P2050" s="8">
        <f>IF(Sales[[#This Row],[Sales Month]]=MAX(Sales[Sales Month]),Sales[[#This Row],[Non-Paying Users]]*Sales[[#This Row],[Upsell $ per Non-Paying User]],0)</f>
        <v>430</v>
      </c>
      <c r="Q2050" t="str" cm="1">
        <f t="array" ref="Q2050">_xlfn.IFS(Sales[[#This Row],[Current Upsell $]]=0,"",Sales[[#This Row],[Current Upsell $]]&gt;=400,"High",Sales[[#This Row],[Current Upsell $]]&gt;=100,"Medium",Sales[[#This Row],[Current Upsell $]]&lt;100,"Low")</f>
        <v>High</v>
      </c>
      <c r="R2050" t="str">
        <f>IF(Sales[[#This Row],[Current Upsell $]]&gt;0,_xlfn.CONCAT(Sales[[#This Row],[Subscription Type]]," ",Sales[[#This Row],[Upsell Priority]]," ",TEXT(Sales[[#This Row],[Current Upsell $]],"$#,#")),"")</f>
        <v>Premium High $430</v>
      </c>
    </row>
    <row r="2051" spans="1:18" x14ac:dyDescent="0.25">
      <c r="A2051">
        <v>100270</v>
      </c>
      <c r="B2051" t="s">
        <v>3</v>
      </c>
      <c r="D2051" s="1"/>
      <c r="E2051" s="1"/>
      <c r="F2051">
        <v>0</v>
      </c>
      <c r="G2051">
        <v>56</v>
      </c>
      <c r="H2051" s="1">
        <v>44317</v>
      </c>
      <c r="I2051" s="1">
        <v>44378</v>
      </c>
      <c r="J2051">
        <v>2</v>
      </c>
      <c r="K2051">
        <v>0</v>
      </c>
      <c r="L2051" s="1">
        <v>44317</v>
      </c>
      <c r="M2051">
        <v>0</v>
      </c>
      <c r="N2051" s="8" cm="1">
        <f t="array" ref="N2051">_xlfn.SWITCH(Sales[[#This Row],[Subscription Type]],"Basic",10,"Premium",10,"Business",25,"Enterprise",27)</f>
        <v>10</v>
      </c>
      <c r="O2051">
        <f>IF(Sales[[#This Row],[Number of Users]]-Sales[[#This Row],[Licenses Bought]]&lt;0,0,Sales[[#This Row],[Number of Users]]-Sales[[#This Row],[Licenses Bought]])</f>
        <v>56</v>
      </c>
      <c r="P2051" s="8">
        <f>IF(Sales[[#This Row],[Sales Month]]=MAX(Sales[Sales Month]),Sales[[#This Row],[Non-Paying Users]]*Sales[[#This Row],[Upsell $ per Non-Paying User]],0)</f>
        <v>0</v>
      </c>
      <c r="Q2051" t="str" cm="1">
        <f t="array" ref="Q2051">_xlfn.IFS(Sales[[#This Row],[Current Upsell $]]=0,"",Sales[[#This Row],[Current Upsell $]]&gt;=400,"High",Sales[[#This Row],[Current Upsell $]]&gt;=100,"Medium",Sales[[#This Row],[Current Upsell $]]&lt;100,"Low")</f>
        <v/>
      </c>
      <c r="R2051" t="str">
        <f>IF(Sales[[#This Row],[Current Upsell $]]&gt;0,_xlfn.CONCAT(Sales[[#This Row],[Subscription Type]]," ",Sales[[#This Row],[Upsell Priority]]," ",TEXT(Sales[[#This Row],[Current Upsell $]],"$#,#")),"")</f>
        <v/>
      </c>
    </row>
    <row r="2052" spans="1:18" x14ac:dyDescent="0.25">
      <c r="A2052">
        <v>100270</v>
      </c>
      <c r="B2052" t="s">
        <v>0</v>
      </c>
      <c r="D2052" s="1"/>
      <c r="E2052" s="1"/>
      <c r="F2052">
        <v>14</v>
      </c>
      <c r="G2052">
        <v>51</v>
      </c>
      <c r="H2052" s="1">
        <v>44317</v>
      </c>
      <c r="I2052" s="1">
        <v>44378</v>
      </c>
      <c r="J2052">
        <v>2</v>
      </c>
      <c r="K2052">
        <v>0</v>
      </c>
      <c r="L2052" s="1">
        <v>44348</v>
      </c>
      <c r="M2052">
        <v>140</v>
      </c>
      <c r="N2052" s="8" cm="1">
        <f t="array" ref="N2052">_xlfn.SWITCH(Sales[[#This Row],[Subscription Type]],"Basic",10,"Premium",10,"Business",25,"Enterprise",27)</f>
        <v>10</v>
      </c>
      <c r="O2052">
        <f>IF(Sales[[#This Row],[Number of Users]]-Sales[[#This Row],[Licenses Bought]]&lt;0,0,Sales[[#This Row],[Number of Users]]-Sales[[#This Row],[Licenses Bought]])</f>
        <v>37</v>
      </c>
      <c r="P2052" s="8">
        <f>IF(Sales[[#This Row],[Sales Month]]=MAX(Sales[Sales Month]),Sales[[#This Row],[Non-Paying Users]]*Sales[[#This Row],[Upsell $ per Non-Paying User]],0)</f>
        <v>370</v>
      </c>
      <c r="Q2052" t="str" cm="1">
        <f t="array" ref="Q2052">_xlfn.IFS(Sales[[#This Row],[Current Upsell $]]=0,"",Sales[[#This Row],[Current Upsell $]]&gt;=400,"High",Sales[[#This Row],[Current Upsell $]]&gt;=100,"Medium",Sales[[#This Row],[Current Upsell $]]&lt;100,"Low")</f>
        <v>Medium</v>
      </c>
      <c r="R2052" t="str">
        <f>IF(Sales[[#This Row],[Current Upsell $]]&gt;0,_xlfn.CONCAT(Sales[[#This Row],[Subscription Type]]," ",Sales[[#This Row],[Upsell Priority]]," ",TEXT(Sales[[#This Row],[Current Upsell $]],"$#,#")),"")</f>
        <v>Premium Medium $370</v>
      </c>
    </row>
    <row r="2053" spans="1:18" x14ac:dyDescent="0.25">
      <c r="A2053">
        <v>100271</v>
      </c>
      <c r="B2053" t="s">
        <v>3</v>
      </c>
      <c r="D2053" s="1"/>
      <c r="E2053" s="1"/>
      <c r="F2053">
        <v>0</v>
      </c>
      <c r="G2053">
        <v>44</v>
      </c>
      <c r="H2053" s="1">
        <v>44317</v>
      </c>
      <c r="I2053" s="1">
        <v>44378</v>
      </c>
      <c r="J2053">
        <v>2</v>
      </c>
      <c r="K2053">
        <v>0</v>
      </c>
      <c r="L2053" s="1">
        <v>44317</v>
      </c>
      <c r="M2053">
        <v>0</v>
      </c>
      <c r="N2053" s="8" cm="1">
        <f t="array" ref="N2053">_xlfn.SWITCH(Sales[[#This Row],[Subscription Type]],"Basic",10,"Premium",10,"Business",25,"Enterprise",27)</f>
        <v>10</v>
      </c>
      <c r="O2053">
        <f>IF(Sales[[#This Row],[Number of Users]]-Sales[[#This Row],[Licenses Bought]]&lt;0,0,Sales[[#This Row],[Number of Users]]-Sales[[#This Row],[Licenses Bought]])</f>
        <v>44</v>
      </c>
      <c r="P2053" s="8">
        <f>IF(Sales[[#This Row],[Sales Month]]=MAX(Sales[Sales Month]),Sales[[#This Row],[Non-Paying Users]]*Sales[[#This Row],[Upsell $ per Non-Paying User]],0)</f>
        <v>0</v>
      </c>
      <c r="Q2053" t="str" cm="1">
        <f t="array" ref="Q2053">_xlfn.IFS(Sales[[#This Row],[Current Upsell $]]=0,"",Sales[[#This Row],[Current Upsell $]]&gt;=400,"High",Sales[[#This Row],[Current Upsell $]]&gt;=100,"Medium",Sales[[#This Row],[Current Upsell $]]&lt;100,"Low")</f>
        <v/>
      </c>
      <c r="R2053" t="str">
        <f>IF(Sales[[#This Row],[Current Upsell $]]&gt;0,_xlfn.CONCAT(Sales[[#This Row],[Subscription Type]]," ",Sales[[#This Row],[Upsell Priority]]," ",TEXT(Sales[[#This Row],[Current Upsell $]],"$#,#")),"")</f>
        <v/>
      </c>
    </row>
    <row r="2054" spans="1:18" x14ac:dyDescent="0.25">
      <c r="A2054">
        <v>100271</v>
      </c>
      <c r="B2054" t="s">
        <v>0</v>
      </c>
      <c r="D2054" s="1"/>
      <c r="E2054" s="1"/>
      <c r="F2054">
        <v>39</v>
      </c>
      <c r="G2054">
        <v>55</v>
      </c>
      <c r="H2054" s="1">
        <v>44317</v>
      </c>
      <c r="I2054" s="1">
        <v>44378</v>
      </c>
      <c r="J2054">
        <v>2</v>
      </c>
      <c r="K2054">
        <v>0</v>
      </c>
      <c r="L2054" s="1">
        <v>44348</v>
      </c>
      <c r="M2054">
        <v>390</v>
      </c>
      <c r="N2054" s="8" cm="1">
        <f t="array" ref="N2054">_xlfn.SWITCH(Sales[[#This Row],[Subscription Type]],"Basic",10,"Premium",10,"Business",25,"Enterprise",27)</f>
        <v>10</v>
      </c>
      <c r="O2054">
        <f>IF(Sales[[#This Row],[Number of Users]]-Sales[[#This Row],[Licenses Bought]]&lt;0,0,Sales[[#This Row],[Number of Users]]-Sales[[#This Row],[Licenses Bought]])</f>
        <v>16</v>
      </c>
      <c r="P2054" s="8">
        <f>IF(Sales[[#This Row],[Sales Month]]=MAX(Sales[Sales Month]),Sales[[#This Row],[Non-Paying Users]]*Sales[[#This Row],[Upsell $ per Non-Paying User]],0)</f>
        <v>160</v>
      </c>
      <c r="Q2054" t="str" cm="1">
        <f t="array" ref="Q2054">_xlfn.IFS(Sales[[#This Row],[Current Upsell $]]=0,"",Sales[[#This Row],[Current Upsell $]]&gt;=400,"High",Sales[[#This Row],[Current Upsell $]]&gt;=100,"Medium",Sales[[#This Row],[Current Upsell $]]&lt;100,"Low")</f>
        <v>Medium</v>
      </c>
      <c r="R2054" t="str">
        <f>IF(Sales[[#This Row],[Current Upsell $]]&gt;0,_xlfn.CONCAT(Sales[[#This Row],[Subscription Type]]," ",Sales[[#This Row],[Upsell Priority]]," ",TEXT(Sales[[#This Row],[Current Upsell $]],"$#,#")),"")</f>
        <v>Premium Medium $160</v>
      </c>
    </row>
    <row r="2055" spans="1:18" x14ac:dyDescent="0.25">
      <c r="A2055">
        <v>100272</v>
      </c>
      <c r="B2055" t="s">
        <v>3</v>
      </c>
      <c r="D2055" s="1"/>
      <c r="E2055" s="1"/>
      <c r="F2055">
        <v>0</v>
      </c>
      <c r="G2055">
        <v>46</v>
      </c>
      <c r="H2055" s="1">
        <v>44317</v>
      </c>
      <c r="I2055" s="1">
        <v>44378</v>
      </c>
      <c r="J2055">
        <v>2</v>
      </c>
      <c r="K2055">
        <v>0</v>
      </c>
      <c r="L2055" s="1">
        <v>44317</v>
      </c>
      <c r="M2055">
        <v>0</v>
      </c>
      <c r="N2055" s="8" cm="1">
        <f t="array" ref="N2055">_xlfn.SWITCH(Sales[[#This Row],[Subscription Type]],"Basic",10,"Premium",10,"Business",25,"Enterprise",27)</f>
        <v>10</v>
      </c>
      <c r="O2055">
        <f>IF(Sales[[#This Row],[Number of Users]]-Sales[[#This Row],[Licenses Bought]]&lt;0,0,Sales[[#This Row],[Number of Users]]-Sales[[#This Row],[Licenses Bought]])</f>
        <v>46</v>
      </c>
      <c r="P2055" s="8">
        <f>IF(Sales[[#This Row],[Sales Month]]=MAX(Sales[Sales Month]),Sales[[#This Row],[Non-Paying Users]]*Sales[[#This Row],[Upsell $ per Non-Paying User]],0)</f>
        <v>0</v>
      </c>
      <c r="Q2055" t="str" cm="1">
        <f t="array" ref="Q2055">_xlfn.IFS(Sales[[#This Row],[Current Upsell $]]=0,"",Sales[[#This Row],[Current Upsell $]]&gt;=400,"High",Sales[[#This Row],[Current Upsell $]]&gt;=100,"Medium",Sales[[#This Row],[Current Upsell $]]&lt;100,"Low")</f>
        <v/>
      </c>
      <c r="R2055" t="str">
        <f>IF(Sales[[#This Row],[Current Upsell $]]&gt;0,_xlfn.CONCAT(Sales[[#This Row],[Subscription Type]]," ",Sales[[#This Row],[Upsell Priority]]," ",TEXT(Sales[[#This Row],[Current Upsell $]],"$#,#")),"")</f>
        <v/>
      </c>
    </row>
    <row r="2056" spans="1:18" x14ac:dyDescent="0.25">
      <c r="A2056">
        <v>100272</v>
      </c>
      <c r="B2056" t="s">
        <v>1</v>
      </c>
      <c r="D2056" s="1"/>
      <c r="E2056" s="1"/>
      <c r="F2056">
        <v>24</v>
      </c>
      <c r="G2056">
        <v>45</v>
      </c>
      <c r="H2056" s="1">
        <v>44317</v>
      </c>
      <c r="I2056" s="1">
        <v>44378</v>
      </c>
      <c r="J2056">
        <v>2</v>
      </c>
      <c r="K2056">
        <v>0</v>
      </c>
      <c r="L2056" s="1">
        <v>44348</v>
      </c>
      <c r="M2056">
        <v>600</v>
      </c>
      <c r="N2056" s="8" cm="1">
        <f t="array" ref="N2056">_xlfn.SWITCH(Sales[[#This Row],[Subscription Type]],"Basic",10,"Premium",10,"Business",25,"Enterprise",27)</f>
        <v>25</v>
      </c>
      <c r="O2056">
        <f>IF(Sales[[#This Row],[Number of Users]]-Sales[[#This Row],[Licenses Bought]]&lt;0,0,Sales[[#This Row],[Number of Users]]-Sales[[#This Row],[Licenses Bought]])</f>
        <v>21</v>
      </c>
      <c r="P2056" s="8">
        <f>IF(Sales[[#This Row],[Sales Month]]=MAX(Sales[Sales Month]),Sales[[#This Row],[Non-Paying Users]]*Sales[[#This Row],[Upsell $ per Non-Paying User]],0)</f>
        <v>525</v>
      </c>
      <c r="Q2056" t="str" cm="1">
        <f t="array" ref="Q2056">_xlfn.IFS(Sales[[#This Row],[Current Upsell $]]=0,"",Sales[[#This Row],[Current Upsell $]]&gt;=400,"High",Sales[[#This Row],[Current Upsell $]]&gt;=100,"Medium",Sales[[#This Row],[Current Upsell $]]&lt;100,"Low")</f>
        <v>High</v>
      </c>
      <c r="R2056" t="str">
        <f>IF(Sales[[#This Row],[Current Upsell $]]&gt;0,_xlfn.CONCAT(Sales[[#This Row],[Subscription Type]]," ",Sales[[#This Row],[Upsell Priority]]," ",TEXT(Sales[[#This Row],[Current Upsell $]],"$#,#")),"")</f>
        <v>Business High $525</v>
      </c>
    </row>
    <row r="2057" spans="1:18" x14ac:dyDescent="0.25">
      <c r="A2057">
        <v>100273</v>
      </c>
      <c r="B2057" t="s">
        <v>3</v>
      </c>
      <c r="D2057" s="1"/>
      <c r="E2057" s="1"/>
      <c r="F2057">
        <v>0</v>
      </c>
      <c r="G2057">
        <v>47</v>
      </c>
      <c r="H2057" s="1">
        <v>44317</v>
      </c>
      <c r="I2057" s="1">
        <v>44378</v>
      </c>
      <c r="J2057">
        <v>2</v>
      </c>
      <c r="K2057">
        <v>0</v>
      </c>
      <c r="L2057" s="1">
        <v>44317</v>
      </c>
      <c r="M2057">
        <v>0</v>
      </c>
      <c r="N2057" s="8" cm="1">
        <f t="array" ref="N2057">_xlfn.SWITCH(Sales[[#This Row],[Subscription Type]],"Basic",10,"Premium",10,"Business",25,"Enterprise",27)</f>
        <v>10</v>
      </c>
      <c r="O2057">
        <f>IF(Sales[[#This Row],[Number of Users]]-Sales[[#This Row],[Licenses Bought]]&lt;0,0,Sales[[#This Row],[Number of Users]]-Sales[[#This Row],[Licenses Bought]])</f>
        <v>47</v>
      </c>
      <c r="P2057" s="8">
        <f>IF(Sales[[#This Row],[Sales Month]]=MAX(Sales[Sales Month]),Sales[[#This Row],[Non-Paying Users]]*Sales[[#This Row],[Upsell $ per Non-Paying User]],0)</f>
        <v>0</v>
      </c>
      <c r="Q2057" t="str" cm="1">
        <f t="array" ref="Q2057">_xlfn.IFS(Sales[[#This Row],[Current Upsell $]]=0,"",Sales[[#This Row],[Current Upsell $]]&gt;=400,"High",Sales[[#This Row],[Current Upsell $]]&gt;=100,"Medium",Sales[[#This Row],[Current Upsell $]]&lt;100,"Low")</f>
        <v/>
      </c>
      <c r="R2057" t="str">
        <f>IF(Sales[[#This Row],[Current Upsell $]]&gt;0,_xlfn.CONCAT(Sales[[#This Row],[Subscription Type]]," ",Sales[[#This Row],[Upsell Priority]]," ",TEXT(Sales[[#This Row],[Current Upsell $]],"$#,#")),"")</f>
        <v/>
      </c>
    </row>
    <row r="2058" spans="1:18" x14ac:dyDescent="0.25">
      <c r="A2058">
        <v>100273</v>
      </c>
      <c r="B2058" t="s">
        <v>0</v>
      </c>
      <c r="D2058" s="1"/>
      <c r="E2058" s="1"/>
      <c r="F2058">
        <v>15</v>
      </c>
      <c r="G2058">
        <v>35</v>
      </c>
      <c r="H2058" s="1">
        <v>44317</v>
      </c>
      <c r="I2058" s="1">
        <v>44378</v>
      </c>
      <c r="J2058">
        <v>2</v>
      </c>
      <c r="K2058">
        <v>0</v>
      </c>
      <c r="L2058" s="1">
        <v>44348</v>
      </c>
      <c r="M2058">
        <v>150</v>
      </c>
      <c r="N2058" s="8" cm="1">
        <f t="array" ref="N2058">_xlfn.SWITCH(Sales[[#This Row],[Subscription Type]],"Basic",10,"Premium",10,"Business",25,"Enterprise",27)</f>
        <v>10</v>
      </c>
      <c r="O2058">
        <f>IF(Sales[[#This Row],[Number of Users]]-Sales[[#This Row],[Licenses Bought]]&lt;0,0,Sales[[#This Row],[Number of Users]]-Sales[[#This Row],[Licenses Bought]])</f>
        <v>20</v>
      </c>
      <c r="P2058" s="8">
        <f>IF(Sales[[#This Row],[Sales Month]]=MAX(Sales[Sales Month]),Sales[[#This Row],[Non-Paying Users]]*Sales[[#This Row],[Upsell $ per Non-Paying User]],0)</f>
        <v>200</v>
      </c>
      <c r="Q2058" t="str" cm="1">
        <f t="array" ref="Q2058">_xlfn.IFS(Sales[[#This Row],[Current Upsell $]]=0,"",Sales[[#This Row],[Current Upsell $]]&gt;=400,"High",Sales[[#This Row],[Current Upsell $]]&gt;=100,"Medium",Sales[[#This Row],[Current Upsell $]]&lt;100,"Low")</f>
        <v>Medium</v>
      </c>
      <c r="R2058" t="str">
        <f>IF(Sales[[#This Row],[Current Upsell $]]&gt;0,_xlfn.CONCAT(Sales[[#This Row],[Subscription Type]]," ",Sales[[#This Row],[Upsell Priority]]," ",TEXT(Sales[[#This Row],[Current Upsell $]],"$#,#")),"")</f>
        <v>Premium Medium $200</v>
      </c>
    </row>
    <row r="2059" spans="1:18" x14ac:dyDescent="0.25">
      <c r="A2059">
        <v>100274</v>
      </c>
      <c r="B2059" t="s">
        <v>3</v>
      </c>
      <c r="D2059" s="1"/>
      <c r="E2059" s="1"/>
      <c r="F2059">
        <v>0</v>
      </c>
      <c r="G2059">
        <v>40</v>
      </c>
      <c r="H2059" s="1">
        <v>44317</v>
      </c>
      <c r="I2059" s="1">
        <v>44378</v>
      </c>
      <c r="J2059">
        <v>2</v>
      </c>
      <c r="K2059">
        <v>0</v>
      </c>
      <c r="L2059" s="1">
        <v>44317</v>
      </c>
      <c r="M2059">
        <v>0</v>
      </c>
      <c r="N2059" s="8" cm="1">
        <f t="array" ref="N2059">_xlfn.SWITCH(Sales[[#This Row],[Subscription Type]],"Basic",10,"Premium",10,"Business",25,"Enterprise",27)</f>
        <v>10</v>
      </c>
      <c r="O2059">
        <f>IF(Sales[[#This Row],[Number of Users]]-Sales[[#This Row],[Licenses Bought]]&lt;0,0,Sales[[#This Row],[Number of Users]]-Sales[[#This Row],[Licenses Bought]])</f>
        <v>40</v>
      </c>
      <c r="P2059" s="8">
        <f>IF(Sales[[#This Row],[Sales Month]]=MAX(Sales[Sales Month]),Sales[[#This Row],[Non-Paying Users]]*Sales[[#This Row],[Upsell $ per Non-Paying User]],0)</f>
        <v>0</v>
      </c>
      <c r="Q2059" t="str" cm="1">
        <f t="array" ref="Q2059">_xlfn.IFS(Sales[[#This Row],[Current Upsell $]]=0,"",Sales[[#This Row],[Current Upsell $]]&gt;=400,"High",Sales[[#This Row],[Current Upsell $]]&gt;=100,"Medium",Sales[[#This Row],[Current Upsell $]]&lt;100,"Low")</f>
        <v/>
      </c>
      <c r="R2059" t="str">
        <f>IF(Sales[[#This Row],[Current Upsell $]]&gt;0,_xlfn.CONCAT(Sales[[#This Row],[Subscription Type]]," ",Sales[[#This Row],[Upsell Priority]]," ",TEXT(Sales[[#This Row],[Current Upsell $]],"$#,#")),"")</f>
        <v/>
      </c>
    </row>
    <row r="2060" spans="1:18" x14ac:dyDescent="0.25">
      <c r="A2060">
        <v>100274</v>
      </c>
      <c r="B2060" t="s">
        <v>0</v>
      </c>
      <c r="D2060" s="1"/>
      <c r="E2060" s="1"/>
      <c r="F2060">
        <v>10</v>
      </c>
      <c r="G2060">
        <v>38</v>
      </c>
      <c r="H2060" s="1">
        <v>44317</v>
      </c>
      <c r="I2060" s="1">
        <v>44378</v>
      </c>
      <c r="J2060">
        <v>2</v>
      </c>
      <c r="K2060">
        <v>0</v>
      </c>
      <c r="L2060" s="1">
        <v>44348</v>
      </c>
      <c r="M2060">
        <v>100</v>
      </c>
      <c r="N2060" s="8" cm="1">
        <f t="array" ref="N2060">_xlfn.SWITCH(Sales[[#This Row],[Subscription Type]],"Basic",10,"Premium",10,"Business",25,"Enterprise",27)</f>
        <v>10</v>
      </c>
      <c r="O2060">
        <f>IF(Sales[[#This Row],[Number of Users]]-Sales[[#This Row],[Licenses Bought]]&lt;0,0,Sales[[#This Row],[Number of Users]]-Sales[[#This Row],[Licenses Bought]])</f>
        <v>28</v>
      </c>
      <c r="P2060" s="8">
        <f>IF(Sales[[#This Row],[Sales Month]]=MAX(Sales[Sales Month]),Sales[[#This Row],[Non-Paying Users]]*Sales[[#This Row],[Upsell $ per Non-Paying User]],0)</f>
        <v>280</v>
      </c>
      <c r="Q2060" t="str" cm="1">
        <f t="array" ref="Q2060">_xlfn.IFS(Sales[[#This Row],[Current Upsell $]]=0,"",Sales[[#This Row],[Current Upsell $]]&gt;=400,"High",Sales[[#This Row],[Current Upsell $]]&gt;=100,"Medium",Sales[[#This Row],[Current Upsell $]]&lt;100,"Low")</f>
        <v>Medium</v>
      </c>
      <c r="R2060" t="str">
        <f>IF(Sales[[#This Row],[Current Upsell $]]&gt;0,_xlfn.CONCAT(Sales[[#This Row],[Subscription Type]]," ",Sales[[#This Row],[Upsell Priority]]," ",TEXT(Sales[[#This Row],[Current Upsell $]],"$#,#")),"")</f>
        <v>Premium Medium $280</v>
      </c>
    </row>
    <row r="2061" spans="1:18" x14ac:dyDescent="0.25">
      <c r="A2061">
        <v>100275</v>
      </c>
      <c r="B2061" t="s">
        <v>3</v>
      </c>
      <c r="D2061" s="1"/>
      <c r="E2061" s="1"/>
      <c r="F2061">
        <v>0</v>
      </c>
      <c r="G2061">
        <v>34</v>
      </c>
      <c r="H2061" s="1">
        <v>44317</v>
      </c>
      <c r="I2061" s="1">
        <v>44378</v>
      </c>
      <c r="J2061">
        <v>2</v>
      </c>
      <c r="K2061">
        <v>0</v>
      </c>
      <c r="L2061" s="1">
        <v>44317</v>
      </c>
      <c r="M2061">
        <v>0</v>
      </c>
      <c r="N2061" s="8" cm="1">
        <f t="array" ref="N2061">_xlfn.SWITCH(Sales[[#This Row],[Subscription Type]],"Basic",10,"Premium",10,"Business",25,"Enterprise",27)</f>
        <v>10</v>
      </c>
      <c r="O2061">
        <f>IF(Sales[[#This Row],[Number of Users]]-Sales[[#This Row],[Licenses Bought]]&lt;0,0,Sales[[#This Row],[Number of Users]]-Sales[[#This Row],[Licenses Bought]])</f>
        <v>34</v>
      </c>
      <c r="P2061" s="8">
        <f>IF(Sales[[#This Row],[Sales Month]]=MAX(Sales[Sales Month]),Sales[[#This Row],[Non-Paying Users]]*Sales[[#This Row],[Upsell $ per Non-Paying User]],0)</f>
        <v>0</v>
      </c>
      <c r="Q2061" t="str" cm="1">
        <f t="array" ref="Q2061">_xlfn.IFS(Sales[[#This Row],[Current Upsell $]]=0,"",Sales[[#This Row],[Current Upsell $]]&gt;=400,"High",Sales[[#This Row],[Current Upsell $]]&gt;=100,"Medium",Sales[[#This Row],[Current Upsell $]]&lt;100,"Low")</f>
        <v/>
      </c>
      <c r="R2061" t="str">
        <f>IF(Sales[[#This Row],[Current Upsell $]]&gt;0,_xlfn.CONCAT(Sales[[#This Row],[Subscription Type]]," ",Sales[[#This Row],[Upsell Priority]]," ",TEXT(Sales[[#This Row],[Current Upsell $]],"$#,#")),"")</f>
        <v/>
      </c>
    </row>
    <row r="2062" spans="1:18" x14ac:dyDescent="0.25">
      <c r="A2062">
        <v>100275</v>
      </c>
      <c r="B2062" t="s">
        <v>0</v>
      </c>
      <c r="D2062" s="1"/>
      <c r="E2062" s="1"/>
      <c r="F2062">
        <v>13</v>
      </c>
      <c r="G2062">
        <v>23</v>
      </c>
      <c r="H2062" s="1">
        <v>44317</v>
      </c>
      <c r="I2062" s="1">
        <v>44378</v>
      </c>
      <c r="J2062">
        <v>2</v>
      </c>
      <c r="K2062">
        <v>0</v>
      </c>
      <c r="L2062" s="1">
        <v>44348</v>
      </c>
      <c r="M2062">
        <v>130</v>
      </c>
      <c r="N2062" s="8" cm="1">
        <f t="array" ref="N2062">_xlfn.SWITCH(Sales[[#This Row],[Subscription Type]],"Basic",10,"Premium",10,"Business",25,"Enterprise",27)</f>
        <v>10</v>
      </c>
      <c r="O2062">
        <f>IF(Sales[[#This Row],[Number of Users]]-Sales[[#This Row],[Licenses Bought]]&lt;0,0,Sales[[#This Row],[Number of Users]]-Sales[[#This Row],[Licenses Bought]])</f>
        <v>10</v>
      </c>
      <c r="P2062" s="8">
        <f>IF(Sales[[#This Row],[Sales Month]]=MAX(Sales[Sales Month]),Sales[[#This Row],[Non-Paying Users]]*Sales[[#This Row],[Upsell $ per Non-Paying User]],0)</f>
        <v>100</v>
      </c>
      <c r="Q2062" t="str" cm="1">
        <f t="array" ref="Q2062">_xlfn.IFS(Sales[[#This Row],[Current Upsell $]]=0,"",Sales[[#This Row],[Current Upsell $]]&gt;=400,"High",Sales[[#This Row],[Current Upsell $]]&gt;=100,"Medium",Sales[[#This Row],[Current Upsell $]]&lt;100,"Low")</f>
        <v>Medium</v>
      </c>
      <c r="R2062" t="str">
        <f>IF(Sales[[#This Row],[Current Upsell $]]&gt;0,_xlfn.CONCAT(Sales[[#This Row],[Subscription Type]]," ",Sales[[#This Row],[Upsell Priority]]," ",TEXT(Sales[[#This Row],[Current Upsell $]],"$#,#")),"")</f>
        <v>Premium Medium $100</v>
      </c>
    </row>
    <row r="2063" spans="1:18" x14ac:dyDescent="0.25">
      <c r="A2063">
        <v>100276</v>
      </c>
      <c r="B2063" t="s">
        <v>3</v>
      </c>
      <c r="D2063" s="1"/>
      <c r="E2063" s="1"/>
      <c r="F2063">
        <v>0</v>
      </c>
      <c r="G2063">
        <v>38</v>
      </c>
      <c r="H2063" s="1">
        <v>44317</v>
      </c>
      <c r="I2063" s="1">
        <v>44378</v>
      </c>
      <c r="J2063">
        <v>2</v>
      </c>
      <c r="K2063">
        <v>0</v>
      </c>
      <c r="L2063" s="1">
        <v>44317</v>
      </c>
      <c r="M2063">
        <v>0</v>
      </c>
      <c r="N2063" s="8" cm="1">
        <f t="array" ref="N2063">_xlfn.SWITCH(Sales[[#This Row],[Subscription Type]],"Basic",10,"Premium",10,"Business",25,"Enterprise",27)</f>
        <v>10</v>
      </c>
      <c r="O2063">
        <f>IF(Sales[[#This Row],[Number of Users]]-Sales[[#This Row],[Licenses Bought]]&lt;0,0,Sales[[#This Row],[Number of Users]]-Sales[[#This Row],[Licenses Bought]])</f>
        <v>38</v>
      </c>
      <c r="P2063" s="8">
        <f>IF(Sales[[#This Row],[Sales Month]]=MAX(Sales[Sales Month]),Sales[[#This Row],[Non-Paying Users]]*Sales[[#This Row],[Upsell $ per Non-Paying User]],0)</f>
        <v>0</v>
      </c>
      <c r="Q2063" t="str" cm="1">
        <f t="array" ref="Q2063">_xlfn.IFS(Sales[[#This Row],[Current Upsell $]]=0,"",Sales[[#This Row],[Current Upsell $]]&gt;=400,"High",Sales[[#This Row],[Current Upsell $]]&gt;=100,"Medium",Sales[[#This Row],[Current Upsell $]]&lt;100,"Low")</f>
        <v/>
      </c>
      <c r="R2063" t="str">
        <f>IF(Sales[[#This Row],[Current Upsell $]]&gt;0,_xlfn.CONCAT(Sales[[#This Row],[Subscription Type]]," ",Sales[[#This Row],[Upsell Priority]]," ",TEXT(Sales[[#This Row],[Current Upsell $]],"$#,#")),"")</f>
        <v/>
      </c>
    </row>
    <row r="2064" spans="1:18" x14ac:dyDescent="0.25">
      <c r="A2064">
        <v>100276</v>
      </c>
      <c r="B2064" t="s">
        <v>0</v>
      </c>
      <c r="D2064" s="1"/>
      <c r="E2064" s="1"/>
      <c r="F2064">
        <v>8</v>
      </c>
      <c r="G2064">
        <v>28</v>
      </c>
      <c r="H2064" s="1">
        <v>44317</v>
      </c>
      <c r="I2064" s="1">
        <v>44378</v>
      </c>
      <c r="J2064">
        <v>2</v>
      </c>
      <c r="K2064">
        <v>0</v>
      </c>
      <c r="L2064" s="1">
        <v>44348</v>
      </c>
      <c r="M2064">
        <v>80</v>
      </c>
      <c r="N2064" s="8" cm="1">
        <f t="array" ref="N2064">_xlfn.SWITCH(Sales[[#This Row],[Subscription Type]],"Basic",10,"Premium",10,"Business",25,"Enterprise",27)</f>
        <v>10</v>
      </c>
      <c r="O2064">
        <f>IF(Sales[[#This Row],[Number of Users]]-Sales[[#This Row],[Licenses Bought]]&lt;0,0,Sales[[#This Row],[Number of Users]]-Sales[[#This Row],[Licenses Bought]])</f>
        <v>20</v>
      </c>
      <c r="P2064" s="8">
        <f>IF(Sales[[#This Row],[Sales Month]]=MAX(Sales[Sales Month]),Sales[[#This Row],[Non-Paying Users]]*Sales[[#This Row],[Upsell $ per Non-Paying User]],0)</f>
        <v>200</v>
      </c>
      <c r="Q2064" t="str" cm="1">
        <f t="array" ref="Q2064">_xlfn.IFS(Sales[[#This Row],[Current Upsell $]]=0,"",Sales[[#This Row],[Current Upsell $]]&gt;=400,"High",Sales[[#This Row],[Current Upsell $]]&gt;=100,"Medium",Sales[[#This Row],[Current Upsell $]]&lt;100,"Low")</f>
        <v>Medium</v>
      </c>
      <c r="R2064" t="str">
        <f>IF(Sales[[#This Row],[Current Upsell $]]&gt;0,_xlfn.CONCAT(Sales[[#This Row],[Subscription Type]]," ",Sales[[#This Row],[Upsell Priority]]," ",TEXT(Sales[[#This Row],[Current Upsell $]],"$#,#")),"")</f>
        <v>Premium Medium $200</v>
      </c>
    </row>
    <row r="2065" spans="1:18" x14ac:dyDescent="0.25">
      <c r="A2065">
        <v>100277</v>
      </c>
      <c r="B2065" t="s">
        <v>3</v>
      </c>
      <c r="D2065" s="1"/>
      <c r="E2065" s="1"/>
      <c r="F2065">
        <v>0</v>
      </c>
      <c r="G2065">
        <v>29</v>
      </c>
      <c r="H2065" s="1">
        <v>44317</v>
      </c>
      <c r="I2065" s="1">
        <v>44378</v>
      </c>
      <c r="J2065">
        <v>2</v>
      </c>
      <c r="K2065">
        <v>0</v>
      </c>
      <c r="L2065" s="1">
        <v>44317</v>
      </c>
      <c r="M2065">
        <v>0</v>
      </c>
      <c r="N2065" s="8" cm="1">
        <f t="array" ref="N2065">_xlfn.SWITCH(Sales[[#This Row],[Subscription Type]],"Basic",10,"Premium",10,"Business",25,"Enterprise",27)</f>
        <v>10</v>
      </c>
      <c r="O2065">
        <f>IF(Sales[[#This Row],[Number of Users]]-Sales[[#This Row],[Licenses Bought]]&lt;0,0,Sales[[#This Row],[Number of Users]]-Sales[[#This Row],[Licenses Bought]])</f>
        <v>29</v>
      </c>
      <c r="P2065" s="8">
        <f>IF(Sales[[#This Row],[Sales Month]]=MAX(Sales[Sales Month]),Sales[[#This Row],[Non-Paying Users]]*Sales[[#This Row],[Upsell $ per Non-Paying User]],0)</f>
        <v>0</v>
      </c>
      <c r="Q2065" t="str" cm="1">
        <f t="array" ref="Q2065">_xlfn.IFS(Sales[[#This Row],[Current Upsell $]]=0,"",Sales[[#This Row],[Current Upsell $]]&gt;=400,"High",Sales[[#This Row],[Current Upsell $]]&gt;=100,"Medium",Sales[[#This Row],[Current Upsell $]]&lt;100,"Low")</f>
        <v/>
      </c>
      <c r="R2065" t="str">
        <f>IF(Sales[[#This Row],[Current Upsell $]]&gt;0,_xlfn.CONCAT(Sales[[#This Row],[Subscription Type]]," ",Sales[[#This Row],[Upsell Priority]]," ",TEXT(Sales[[#This Row],[Current Upsell $]],"$#,#")),"")</f>
        <v/>
      </c>
    </row>
    <row r="2066" spans="1:18" x14ac:dyDescent="0.25">
      <c r="A2066">
        <v>100277</v>
      </c>
      <c r="B2066" t="s">
        <v>0</v>
      </c>
      <c r="D2066" s="1"/>
      <c r="E2066" s="1"/>
      <c r="F2066">
        <v>12</v>
      </c>
      <c r="G2066">
        <v>27</v>
      </c>
      <c r="H2066" s="1">
        <v>44317</v>
      </c>
      <c r="I2066" s="1">
        <v>44378</v>
      </c>
      <c r="J2066">
        <v>2</v>
      </c>
      <c r="K2066">
        <v>0</v>
      </c>
      <c r="L2066" s="1">
        <v>44348</v>
      </c>
      <c r="M2066">
        <v>120</v>
      </c>
      <c r="N2066" s="8" cm="1">
        <f t="array" ref="N2066">_xlfn.SWITCH(Sales[[#This Row],[Subscription Type]],"Basic",10,"Premium",10,"Business",25,"Enterprise",27)</f>
        <v>10</v>
      </c>
      <c r="O2066">
        <f>IF(Sales[[#This Row],[Number of Users]]-Sales[[#This Row],[Licenses Bought]]&lt;0,0,Sales[[#This Row],[Number of Users]]-Sales[[#This Row],[Licenses Bought]])</f>
        <v>15</v>
      </c>
      <c r="P2066" s="8">
        <f>IF(Sales[[#This Row],[Sales Month]]=MAX(Sales[Sales Month]),Sales[[#This Row],[Non-Paying Users]]*Sales[[#This Row],[Upsell $ per Non-Paying User]],0)</f>
        <v>150</v>
      </c>
      <c r="Q2066" t="str" cm="1">
        <f t="array" ref="Q2066">_xlfn.IFS(Sales[[#This Row],[Current Upsell $]]=0,"",Sales[[#This Row],[Current Upsell $]]&gt;=400,"High",Sales[[#This Row],[Current Upsell $]]&gt;=100,"Medium",Sales[[#This Row],[Current Upsell $]]&lt;100,"Low")</f>
        <v>Medium</v>
      </c>
      <c r="R2066" t="str">
        <f>IF(Sales[[#This Row],[Current Upsell $]]&gt;0,_xlfn.CONCAT(Sales[[#This Row],[Subscription Type]]," ",Sales[[#This Row],[Upsell Priority]]," ",TEXT(Sales[[#This Row],[Current Upsell $]],"$#,#")),"")</f>
        <v>Premium Medium $150</v>
      </c>
    </row>
    <row r="2067" spans="1:18" x14ac:dyDescent="0.25">
      <c r="A2067">
        <v>100278</v>
      </c>
      <c r="B2067" t="s">
        <v>3</v>
      </c>
      <c r="D2067" s="1"/>
      <c r="E2067" s="1"/>
      <c r="F2067">
        <v>0</v>
      </c>
      <c r="G2067">
        <v>25</v>
      </c>
      <c r="H2067" s="1">
        <v>44317</v>
      </c>
      <c r="I2067" s="1">
        <v>44378</v>
      </c>
      <c r="J2067">
        <v>2</v>
      </c>
      <c r="K2067">
        <v>0</v>
      </c>
      <c r="L2067" s="1">
        <v>44317</v>
      </c>
      <c r="M2067">
        <v>0</v>
      </c>
      <c r="N2067" s="8" cm="1">
        <f t="array" ref="N2067">_xlfn.SWITCH(Sales[[#This Row],[Subscription Type]],"Basic",10,"Premium",10,"Business",25,"Enterprise",27)</f>
        <v>10</v>
      </c>
      <c r="O2067">
        <f>IF(Sales[[#This Row],[Number of Users]]-Sales[[#This Row],[Licenses Bought]]&lt;0,0,Sales[[#This Row],[Number of Users]]-Sales[[#This Row],[Licenses Bought]])</f>
        <v>25</v>
      </c>
      <c r="P2067" s="8">
        <f>IF(Sales[[#This Row],[Sales Month]]=MAX(Sales[Sales Month]),Sales[[#This Row],[Non-Paying Users]]*Sales[[#This Row],[Upsell $ per Non-Paying User]],0)</f>
        <v>0</v>
      </c>
      <c r="Q2067" t="str" cm="1">
        <f t="array" ref="Q2067">_xlfn.IFS(Sales[[#This Row],[Current Upsell $]]=0,"",Sales[[#This Row],[Current Upsell $]]&gt;=400,"High",Sales[[#This Row],[Current Upsell $]]&gt;=100,"Medium",Sales[[#This Row],[Current Upsell $]]&lt;100,"Low")</f>
        <v/>
      </c>
      <c r="R2067" t="str">
        <f>IF(Sales[[#This Row],[Current Upsell $]]&gt;0,_xlfn.CONCAT(Sales[[#This Row],[Subscription Type]]," ",Sales[[#This Row],[Upsell Priority]]," ",TEXT(Sales[[#This Row],[Current Upsell $]],"$#,#")),"")</f>
        <v/>
      </c>
    </row>
    <row r="2068" spans="1:18" x14ac:dyDescent="0.25">
      <c r="A2068">
        <v>100278</v>
      </c>
      <c r="B2068" t="s">
        <v>0</v>
      </c>
      <c r="D2068" s="1"/>
      <c r="E2068" s="1"/>
      <c r="F2068">
        <v>6</v>
      </c>
      <c r="G2068">
        <v>19</v>
      </c>
      <c r="H2068" s="1">
        <v>44317</v>
      </c>
      <c r="I2068" s="1">
        <v>44378</v>
      </c>
      <c r="J2068">
        <v>2</v>
      </c>
      <c r="K2068">
        <v>0</v>
      </c>
      <c r="L2068" s="1">
        <v>44348</v>
      </c>
      <c r="M2068">
        <v>60</v>
      </c>
      <c r="N2068" s="8" cm="1">
        <f t="array" ref="N2068">_xlfn.SWITCH(Sales[[#This Row],[Subscription Type]],"Basic",10,"Premium",10,"Business",25,"Enterprise",27)</f>
        <v>10</v>
      </c>
      <c r="O2068">
        <f>IF(Sales[[#This Row],[Number of Users]]-Sales[[#This Row],[Licenses Bought]]&lt;0,0,Sales[[#This Row],[Number of Users]]-Sales[[#This Row],[Licenses Bought]])</f>
        <v>13</v>
      </c>
      <c r="P2068" s="8">
        <f>IF(Sales[[#This Row],[Sales Month]]=MAX(Sales[Sales Month]),Sales[[#This Row],[Non-Paying Users]]*Sales[[#This Row],[Upsell $ per Non-Paying User]],0)</f>
        <v>130</v>
      </c>
      <c r="Q2068" t="str" cm="1">
        <f t="array" ref="Q2068">_xlfn.IFS(Sales[[#This Row],[Current Upsell $]]=0,"",Sales[[#This Row],[Current Upsell $]]&gt;=400,"High",Sales[[#This Row],[Current Upsell $]]&gt;=100,"Medium",Sales[[#This Row],[Current Upsell $]]&lt;100,"Low")</f>
        <v>Medium</v>
      </c>
      <c r="R2068" t="str">
        <f>IF(Sales[[#This Row],[Current Upsell $]]&gt;0,_xlfn.CONCAT(Sales[[#This Row],[Subscription Type]]," ",Sales[[#This Row],[Upsell Priority]]," ",TEXT(Sales[[#This Row],[Current Upsell $]],"$#,#")),"")</f>
        <v>Premium Medium $130</v>
      </c>
    </row>
    <row r="2069" spans="1:18" x14ac:dyDescent="0.25">
      <c r="A2069">
        <v>100279</v>
      </c>
      <c r="B2069" t="s">
        <v>3</v>
      </c>
      <c r="D2069" s="1"/>
      <c r="E2069" s="1"/>
      <c r="F2069">
        <v>0</v>
      </c>
      <c r="G2069">
        <v>23</v>
      </c>
      <c r="H2069" s="1">
        <v>44317</v>
      </c>
      <c r="I2069" s="1">
        <v>44378</v>
      </c>
      <c r="J2069">
        <v>2</v>
      </c>
      <c r="K2069">
        <v>0</v>
      </c>
      <c r="L2069" s="1">
        <v>44317</v>
      </c>
      <c r="M2069">
        <v>0</v>
      </c>
      <c r="N2069" s="8" cm="1">
        <f t="array" ref="N2069">_xlfn.SWITCH(Sales[[#This Row],[Subscription Type]],"Basic",10,"Premium",10,"Business",25,"Enterprise",27)</f>
        <v>10</v>
      </c>
      <c r="O2069">
        <f>IF(Sales[[#This Row],[Number of Users]]-Sales[[#This Row],[Licenses Bought]]&lt;0,0,Sales[[#This Row],[Number of Users]]-Sales[[#This Row],[Licenses Bought]])</f>
        <v>23</v>
      </c>
      <c r="P2069" s="8">
        <f>IF(Sales[[#This Row],[Sales Month]]=MAX(Sales[Sales Month]),Sales[[#This Row],[Non-Paying Users]]*Sales[[#This Row],[Upsell $ per Non-Paying User]],0)</f>
        <v>0</v>
      </c>
      <c r="Q2069" t="str" cm="1">
        <f t="array" ref="Q2069">_xlfn.IFS(Sales[[#This Row],[Current Upsell $]]=0,"",Sales[[#This Row],[Current Upsell $]]&gt;=400,"High",Sales[[#This Row],[Current Upsell $]]&gt;=100,"Medium",Sales[[#This Row],[Current Upsell $]]&lt;100,"Low")</f>
        <v/>
      </c>
      <c r="R2069" t="str">
        <f>IF(Sales[[#This Row],[Current Upsell $]]&gt;0,_xlfn.CONCAT(Sales[[#This Row],[Subscription Type]]," ",Sales[[#This Row],[Upsell Priority]]," ",TEXT(Sales[[#This Row],[Current Upsell $]],"$#,#")),"")</f>
        <v/>
      </c>
    </row>
    <row r="2070" spans="1:18" x14ac:dyDescent="0.25">
      <c r="A2070">
        <v>100279</v>
      </c>
      <c r="B2070" t="s">
        <v>0</v>
      </c>
      <c r="D2070" s="1"/>
      <c r="E2070" s="1"/>
      <c r="F2070">
        <v>8</v>
      </c>
      <c r="G2070">
        <v>22</v>
      </c>
      <c r="H2070" s="1">
        <v>44317</v>
      </c>
      <c r="I2070" s="1">
        <v>44378</v>
      </c>
      <c r="J2070">
        <v>2</v>
      </c>
      <c r="K2070">
        <v>0</v>
      </c>
      <c r="L2070" s="1">
        <v>44348</v>
      </c>
      <c r="M2070">
        <v>80</v>
      </c>
      <c r="N2070" s="8" cm="1">
        <f t="array" ref="N2070">_xlfn.SWITCH(Sales[[#This Row],[Subscription Type]],"Basic",10,"Premium",10,"Business",25,"Enterprise",27)</f>
        <v>10</v>
      </c>
      <c r="O2070">
        <f>IF(Sales[[#This Row],[Number of Users]]-Sales[[#This Row],[Licenses Bought]]&lt;0,0,Sales[[#This Row],[Number of Users]]-Sales[[#This Row],[Licenses Bought]])</f>
        <v>14</v>
      </c>
      <c r="P2070" s="8">
        <f>IF(Sales[[#This Row],[Sales Month]]=MAX(Sales[Sales Month]),Sales[[#This Row],[Non-Paying Users]]*Sales[[#This Row],[Upsell $ per Non-Paying User]],0)</f>
        <v>140</v>
      </c>
      <c r="Q2070" t="str" cm="1">
        <f t="array" ref="Q2070">_xlfn.IFS(Sales[[#This Row],[Current Upsell $]]=0,"",Sales[[#This Row],[Current Upsell $]]&gt;=400,"High",Sales[[#This Row],[Current Upsell $]]&gt;=100,"Medium",Sales[[#This Row],[Current Upsell $]]&lt;100,"Low")</f>
        <v>Medium</v>
      </c>
      <c r="R2070" t="str">
        <f>IF(Sales[[#This Row],[Current Upsell $]]&gt;0,_xlfn.CONCAT(Sales[[#This Row],[Subscription Type]]," ",Sales[[#This Row],[Upsell Priority]]," ",TEXT(Sales[[#This Row],[Current Upsell $]],"$#,#")),"")</f>
        <v>Premium Medium $140</v>
      </c>
    </row>
    <row r="2071" spans="1:18" x14ac:dyDescent="0.25">
      <c r="A2071">
        <v>100280</v>
      </c>
      <c r="B2071" t="s">
        <v>3</v>
      </c>
      <c r="F2071">
        <v>0</v>
      </c>
      <c r="G2071">
        <v>23</v>
      </c>
      <c r="H2071" s="1">
        <v>44317</v>
      </c>
      <c r="I2071" s="1">
        <v>44348</v>
      </c>
      <c r="J2071">
        <v>1</v>
      </c>
      <c r="K2071">
        <v>0</v>
      </c>
      <c r="L2071" s="1">
        <v>44317</v>
      </c>
      <c r="M2071">
        <v>0</v>
      </c>
      <c r="N2071" s="8" cm="1">
        <f t="array" ref="N2071">_xlfn.SWITCH(Sales[[#This Row],[Subscription Type]],"Basic",10,"Premium",10,"Business",25,"Enterprise",27)</f>
        <v>10</v>
      </c>
      <c r="O2071">
        <f>IF(Sales[[#This Row],[Number of Users]]-Sales[[#This Row],[Licenses Bought]]&lt;0,0,Sales[[#This Row],[Number of Users]]-Sales[[#This Row],[Licenses Bought]])</f>
        <v>23</v>
      </c>
      <c r="P2071" s="8">
        <f>IF(Sales[[#This Row],[Sales Month]]=MAX(Sales[Sales Month]),Sales[[#This Row],[Non-Paying Users]]*Sales[[#This Row],[Upsell $ per Non-Paying User]],0)</f>
        <v>0</v>
      </c>
      <c r="Q2071" t="str" cm="1">
        <f t="array" ref="Q2071">_xlfn.IFS(Sales[[#This Row],[Current Upsell $]]=0,"",Sales[[#This Row],[Current Upsell $]]&gt;=400,"High",Sales[[#This Row],[Current Upsell $]]&gt;=100,"Medium",Sales[[#This Row],[Current Upsell $]]&lt;100,"Low")</f>
        <v/>
      </c>
      <c r="R2071" t="str">
        <f>IF(Sales[[#This Row],[Current Upsell $]]&gt;0,_xlfn.CONCAT(Sales[[#This Row],[Subscription Type]]," ",Sales[[#This Row],[Upsell Priority]]," ",TEXT(Sales[[#This Row],[Current Upsell $]],"$#,#")),"")</f>
        <v/>
      </c>
    </row>
    <row r="2072" spans="1:18" x14ac:dyDescent="0.25">
      <c r="A2072">
        <v>100280</v>
      </c>
      <c r="B2072" t="s">
        <v>3</v>
      </c>
      <c r="F2072">
        <v>0</v>
      </c>
      <c r="G2072">
        <v>21</v>
      </c>
      <c r="H2072" s="1">
        <v>44317</v>
      </c>
      <c r="I2072" s="1">
        <v>44348</v>
      </c>
      <c r="J2072">
        <v>1</v>
      </c>
      <c r="K2072">
        <v>0</v>
      </c>
      <c r="L2072" s="1">
        <v>44348</v>
      </c>
      <c r="M2072">
        <v>0</v>
      </c>
      <c r="N2072" s="8" cm="1">
        <f t="array" ref="N2072">_xlfn.SWITCH(Sales[[#This Row],[Subscription Type]],"Basic",10,"Premium",10,"Business",25,"Enterprise",27)</f>
        <v>10</v>
      </c>
      <c r="O2072">
        <f>IF(Sales[[#This Row],[Number of Users]]-Sales[[#This Row],[Licenses Bought]]&lt;0,0,Sales[[#This Row],[Number of Users]]-Sales[[#This Row],[Licenses Bought]])</f>
        <v>21</v>
      </c>
      <c r="P2072" s="8">
        <f>IF(Sales[[#This Row],[Sales Month]]=MAX(Sales[Sales Month]),Sales[[#This Row],[Non-Paying Users]]*Sales[[#This Row],[Upsell $ per Non-Paying User]],0)</f>
        <v>210</v>
      </c>
      <c r="Q2072" t="str" cm="1">
        <f t="array" ref="Q2072">_xlfn.IFS(Sales[[#This Row],[Current Upsell $]]=0,"",Sales[[#This Row],[Current Upsell $]]&gt;=400,"High",Sales[[#This Row],[Current Upsell $]]&gt;=100,"Medium",Sales[[#This Row],[Current Upsell $]]&lt;100,"Low")</f>
        <v>Medium</v>
      </c>
      <c r="R2072" t="str">
        <f>IF(Sales[[#This Row],[Current Upsell $]]&gt;0,_xlfn.CONCAT(Sales[[#This Row],[Subscription Type]]," ",Sales[[#This Row],[Upsell Priority]]," ",TEXT(Sales[[#This Row],[Current Upsell $]],"$#,#")),"")</f>
        <v>Basic Medium $210</v>
      </c>
    </row>
    <row r="2073" spans="1:18" x14ac:dyDescent="0.25">
      <c r="A2073">
        <v>100281</v>
      </c>
      <c r="B2073" t="s">
        <v>3</v>
      </c>
      <c r="D2073" s="1"/>
      <c r="E2073" s="1"/>
      <c r="F2073">
        <v>0</v>
      </c>
      <c r="G2073">
        <v>20</v>
      </c>
      <c r="H2073" s="1">
        <v>44317</v>
      </c>
      <c r="I2073" s="1">
        <v>44378</v>
      </c>
      <c r="J2073">
        <v>2</v>
      </c>
      <c r="K2073">
        <v>0</v>
      </c>
      <c r="L2073" s="1">
        <v>44317</v>
      </c>
      <c r="M2073">
        <v>0</v>
      </c>
      <c r="N2073" s="8" cm="1">
        <f t="array" ref="N2073">_xlfn.SWITCH(Sales[[#This Row],[Subscription Type]],"Basic",10,"Premium",10,"Business",25,"Enterprise",27)</f>
        <v>10</v>
      </c>
      <c r="O2073">
        <f>IF(Sales[[#This Row],[Number of Users]]-Sales[[#This Row],[Licenses Bought]]&lt;0,0,Sales[[#This Row],[Number of Users]]-Sales[[#This Row],[Licenses Bought]])</f>
        <v>20</v>
      </c>
      <c r="P2073" s="8">
        <f>IF(Sales[[#This Row],[Sales Month]]=MAX(Sales[Sales Month]),Sales[[#This Row],[Non-Paying Users]]*Sales[[#This Row],[Upsell $ per Non-Paying User]],0)</f>
        <v>0</v>
      </c>
      <c r="Q2073" t="str" cm="1">
        <f t="array" ref="Q2073">_xlfn.IFS(Sales[[#This Row],[Current Upsell $]]=0,"",Sales[[#This Row],[Current Upsell $]]&gt;=400,"High",Sales[[#This Row],[Current Upsell $]]&gt;=100,"Medium",Sales[[#This Row],[Current Upsell $]]&lt;100,"Low")</f>
        <v/>
      </c>
      <c r="R2073" t="str">
        <f>IF(Sales[[#This Row],[Current Upsell $]]&gt;0,_xlfn.CONCAT(Sales[[#This Row],[Subscription Type]]," ",Sales[[#This Row],[Upsell Priority]]," ",TEXT(Sales[[#This Row],[Current Upsell $]],"$#,#")),"")</f>
        <v/>
      </c>
    </row>
    <row r="2074" spans="1:18" x14ac:dyDescent="0.25">
      <c r="A2074">
        <v>100281</v>
      </c>
      <c r="B2074" t="s">
        <v>0</v>
      </c>
      <c r="D2074" s="1"/>
      <c r="E2074" s="1"/>
      <c r="F2074">
        <v>10</v>
      </c>
      <c r="G2074">
        <v>17</v>
      </c>
      <c r="H2074" s="1">
        <v>44317</v>
      </c>
      <c r="I2074" s="1">
        <v>44378</v>
      </c>
      <c r="J2074">
        <v>2</v>
      </c>
      <c r="K2074">
        <v>0</v>
      </c>
      <c r="L2074" s="1">
        <v>44348</v>
      </c>
      <c r="M2074">
        <v>100</v>
      </c>
      <c r="N2074" s="8" cm="1">
        <f t="array" ref="N2074">_xlfn.SWITCH(Sales[[#This Row],[Subscription Type]],"Basic",10,"Premium",10,"Business",25,"Enterprise",27)</f>
        <v>10</v>
      </c>
      <c r="O2074">
        <f>IF(Sales[[#This Row],[Number of Users]]-Sales[[#This Row],[Licenses Bought]]&lt;0,0,Sales[[#This Row],[Number of Users]]-Sales[[#This Row],[Licenses Bought]])</f>
        <v>7</v>
      </c>
      <c r="P2074" s="8">
        <f>IF(Sales[[#This Row],[Sales Month]]=MAX(Sales[Sales Month]),Sales[[#This Row],[Non-Paying Users]]*Sales[[#This Row],[Upsell $ per Non-Paying User]],0)</f>
        <v>70</v>
      </c>
      <c r="Q2074" t="str" cm="1">
        <f t="array" ref="Q2074">_xlfn.IFS(Sales[[#This Row],[Current Upsell $]]=0,"",Sales[[#This Row],[Current Upsell $]]&gt;=400,"High",Sales[[#This Row],[Current Upsell $]]&gt;=100,"Medium",Sales[[#This Row],[Current Upsell $]]&lt;100,"Low")</f>
        <v>Low</v>
      </c>
      <c r="R2074" t="str">
        <f>IF(Sales[[#This Row],[Current Upsell $]]&gt;0,_xlfn.CONCAT(Sales[[#This Row],[Subscription Type]]," ",Sales[[#This Row],[Upsell Priority]]," ",TEXT(Sales[[#This Row],[Current Upsell $]],"$#,#")),"")</f>
        <v>Premium Low $70</v>
      </c>
    </row>
    <row r="2075" spans="1:18" x14ac:dyDescent="0.25">
      <c r="A2075">
        <v>100282</v>
      </c>
      <c r="B2075" t="s">
        <v>3</v>
      </c>
      <c r="F2075">
        <v>0</v>
      </c>
      <c r="G2075">
        <v>14</v>
      </c>
      <c r="H2075" s="1">
        <v>44317</v>
      </c>
      <c r="I2075" s="1">
        <v>44348</v>
      </c>
      <c r="J2075">
        <v>1</v>
      </c>
      <c r="K2075">
        <v>0</v>
      </c>
      <c r="L2075" s="1">
        <v>44317</v>
      </c>
      <c r="M2075">
        <v>0</v>
      </c>
      <c r="N2075" s="8" cm="1">
        <f t="array" ref="N2075">_xlfn.SWITCH(Sales[[#This Row],[Subscription Type]],"Basic",10,"Premium",10,"Business",25,"Enterprise",27)</f>
        <v>10</v>
      </c>
      <c r="O2075">
        <f>IF(Sales[[#This Row],[Number of Users]]-Sales[[#This Row],[Licenses Bought]]&lt;0,0,Sales[[#This Row],[Number of Users]]-Sales[[#This Row],[Licenses Bought]])</f>
        <v>14</v>
      </c>
      <c r="P2075" s="8">
        <f>IF(Sales[[#This Row],[Sales Month]]=MAX(Sales[Sales Month]),Sales[[#This Row],[Non-Paying Users]]*Sales[[#This Row],[Upsell $ per Non-Paying User]],0)</f>
        <v>0</v>
      </c>
      <c r="Q2075" t="str" cm="1">
        <f t="array" ref="Q2075">_xlfn.IFS(Sales[[#This Row],[Current Upsell $]]=0,"",Sales[[#This Row],[Current Upsell $]]&gt;=400,"High",Sales[[#This Row],[Current Upsell $]]&gt;=100,"Medium",Sales[[#This Row],[Current Upsell $]]&lt;100,"Low")</f>
        <v/>
      </c>
      <c r="R2075" t="str">
        <f>IF(Sales[[#This Row],[Current Upsell $]]&gt;0,_xlfn.CONCAT(Sales[[#This Row],[Subscription Type]]," ",Sales[[#This Row],[Upsell Priority]]," ",TEXT(Sales[[#This Row],[Current Upsell $]],"$#,#")),"")</f>
        <v/>
      </c>
    </row>
    <row r="2076" spans="1:18" x14ac:dyDescent="0.25">
      <c r="A2076">
        <v>100282</v>
      </c>
      <c r="B2076" t="s">
        <v>3</v>
      </c>
      <c r="F2076">
        <v>0</v>
      </c>
      <c r="G2076">
        <v>16</v>
      </c>
      <c r="H2076" s="1">
        <v>44317</v>
      </c>
      <c r="I2076" s="1">
        <v>44348</v>
      </c>
      <c r="J2076">
        <v>1</v>
      </c>
      <c r="K2076">
        <v>0</v>
      </c>
      <c r="L2076" s="1">
        <v>44348</v>
      </c>
      <c r="M2076">
        <v>0</v>
      </c>
      <c r="N2076" s="8" cm="1">
        <f t="array" ref="N2076">_xlfn.SWITCH(Sales[[#This Row],[Subscription Type]],"Basic",10,"Premium",10,"Business",25,"Enterprise",27)</f>
        <v>10</v>
      </c>
      <c r="O2076">
        <f>IF(Sales[[#This Row],[Number of Users]]-Sales[[#This Row],[Licenses Bought]]&lt;0,0,Sales[[#This Row],[Number of Users]]-Sales[[#This Row],[Licenses Bought]])</f>
        <v>16</v>
      </c>
      <c r="P2076" s="8">
        <f>IF(Sales[[#This Row],[Sales Month]]=MAX(Sales[Sales Month]),Sales[[#This Row],[Non-Paying Users]]*Sales[[#This Row],[Upsell $ per Non-Paying User]],0)</f>
        <v>160</v>
      </c>
      <c r="Q2076" t="str" cm="1">
        <f t="array" ref="Q2076">_xlfn.IFS(Sales[[#This Row],[Current Upsell $]]=0,"",Sales[[#This Row],[Current Upsell $]]&gt;=400,"High",Sales[[#This Row],[Current Upsell $]]&gt;=100,"Medium",Sales[[#This Row],[Current Upsell $]]&lt;100,"Low")</f>
        <v>Medium</v>
      </c>
      <c r="R2076" t="str">
        <f>IF(Sales[[#This Row],[Current Upsell $]]&gt;0,_xlfn.CONCAT(Sales[[#This Row],[Subscription Type]]," ",Sales[[#This Row],[Upsell Priority]]," ",TEXT(Sales[[#This Row],[Current Upsell $]],"$#,#")),"")</f>
        <v>Basic Medium $160</v>
      </c>
    </row>
    <row r="2077" spans="1:18" x14ac:dyDescent="0.25">
      <c r="A2077">
        <v>100283</v>
      </c>
      <c r="B2077" t="s">
        <v>3</v>
      </c>
      <c r="F2077">
        <v>0</v>
      </c>
      <c r="G2077">
        <v>14</v>
      </c>
      <c r="H2077" s="1">
        <v>44317</v>
      </c>
      <c r="I2077" s="1">
        <v>44348</v>
      </c>
      <c r="J2077">
        <v>1</v>
      </c>
      <c r="K2077">
        <v>0</v>
      </c>
      <c r="L2077" s="1">
        <v>44317</v>
      </c>
      <c r="M2077">
        <v>0</v>
      </c>
      <c r="N2077" s="8" cm="1">
        <f t="array" ref="N2077">_xlfn.SWITCH(Sales[[#This Row],[Subscription Type]],"Basic",10,"Premium",10,"Business",25,"Enterprise",27)</f>
        <v>10</v>
      </c>
      <c r="O2077">
        <f>IF(Sales[[#This Row],[Number of Users]]-Sales[[#This Row],[Licenses Bought]]&lt;0,0,Sales[[#This Row],[Number of Users]]-Sales[[#This Row],[Licenses Bought]])</f>
        <v>14</v>
      </c>
      <c r="P2077" s="8">
        <f>IF(Sales[[#This Row],[Sales Month]]=MAX(Sales[Sales Month]),Sales[[#This Row],[Non-Paying Users]]*Sales[[#This Row],[Upsell $ per Non-Paying User]],0)</f>
        <v>0</v>
      </c>
      <c r="Q2077" t="str" cm="1">
        <f t="array" ref="Q2077">_xlfn.IFS(Sales[[#This Row],[Current Upsell $]]=0,"",Sales[[#This Row],[Current Upsell $]]&gt;=400,"High",Sales[[#This Row],[Current Upsell $]]&gt;=100,"Medium",Sales[[#This Row],[Current Upsell $]]&lt;100,"Low")</f>
        <v/>
      </c>
      <c r="R2077" t="str">
        <f>IF(Sales[[#This Row],[Current Upsell $]]&gt;0,_xlfn.CONCAT(Sales[[#This Row],[Subscription Type]]," ",Sales[[#This Row],[Upsell Priority]]," ",TEXT(Sales[[#This Row],[Current Upsell $]],"$#,#")),"")</f>
        <v/>
      </c>
    </row>
    <row r="2078" spans="1:18" x14ac:dyDescent="0.25">
      <c r="A2078">
        <v>100283</v>
      </c>
      <c r="B2078" t="s">
        <v>3</v>
      </c>
      <c r="F2078">
        <v>0</v>
      </c>
      <c r="G2078">
        <v>15</v>
      </c>
      <c r="H2078" s="1">
        <v>44317</v>
      </c>
      <c r="I2078" s="1">
        <v>44348</v>
      </c>
      <c r="J2078">
        <v>1</v>
      </c>
      <c r="K2078">
        <v>0</v>
      </c>
      <c r="L2078" s="1">
        <v>44348</v>
      </c>
      <c r="M2078">
        <v>0</v>
      </c>
      <c r="N2078" s="8" cm="1">
        <f t="array" ref="N2078">_xlfn.SWITCH(Sales[[#This Row],[Subscription Type]],"Basic",10,"Premium",10,"Business",25,"Enterprise",27)</f>
        <v>10</v>
      </c>
      <c r="O2078">
        <f>IF(Sales[[#This Row],[Number of Users]]-Sales[[#This Row],[Licenses Bought]]&lt;0,0,Sales[[#This Row],[Number of Users]]-Sales[[#This Row],[Licenses Bought]])</f>
        <v>15</v>
      </c>
      <c r="P2078" s="8">
        <f>IF(Sales[[#This Row],[Sales Month]]=MAX(Sales[Sales Month]),Sales[[#This Row],[Non-Paying Users]]*Sales[[#This Row],[Upsell $ per Non-Paying User]],0)</f>
        <v>150</v>
      </c>
      <c r="Q2078" t="str" cm="1">
        <f t="array" ref="Q2078">_xlfn.IFS(Sales[[#This Row],[Current Upsell $]]=0,"",Sales[[#This Row],[Current Upsell $]]&gt;=400,"High",Sales[[#This Row],[Current Upsell $]]&gt;=100,"Medium",Sales[[#This Row],[Current Upsell $]]&lt;100,"Low")</f>
        <v>Medium</v>
      </c>
      <c r="R2078" t="str">
        <f>IF(Sales[[#This Row],[Current Upsell $]]&gt;0,_xlfn.CONCAT(Sales[[#This Row],[Subscription Type]]," ",Sales[[#This Row],[Upsell Priority]]," ",TEXT(Sales[[#This Row],[Current Upsell $]],"$#,#")),"")</f>
        <v>Basic Medium $150</v>
      </c>
    </row>
    <row r="2079" spans="1:18" x14ac:dyDescent="0.25">
      <c r="A2079">
        <v>100284</v>
      </c>
      <c r="B2079" t="s">
        <v>3</v>
      </c>
      <c r="D2079" s="1"/>
      <c r="E2079" s="1"/>
      <c r="F2079">
        <v>0</v>
      </c>
      <c r="G2079">
        <v>15</v>
      </c>
      <c r="H2079" s="1">
        <v>44317</v>
      </c>
      <c r="I2079" s="1">
        <v>44378</v>
      </c>
      <c r="J2079">
        <v>2</v>
      </c>
      <c r="K2079">
        <v>0</v>
      </c>
      <c r="L2079" s="1">
        <v>44317</v>
      </c>
      <c r="M2079">
        <v>0</v>
      </c>
      <c r="N2079" s="8" cm="1">
        <f t="array" ref="N2079">_xlfn.SWITCH(Sales[[#This Row],[Subscription Type]],"Basic",10,"Premium",10,"Business",25,"Enterprise",27)</f>
        <v>10</v>
      </c>
      <c r="O2079">
        <f>IF(Sales[[#This Row],[Number of Users]]-Sales[[#This Row],[Licenses Bought]]&lt;0,0,Sales[[#This Row],[Number of Users]]-Sales[[#This Row],[Licenses Bought]])</f>
        <v>15</v>
      </c>
      <c r="P2079" s="8">
        <f>IF(Sales[[#This Row],[Sales Month]]=MAX(Sales[Sales Month]),Sales[[#This Row],[Non-Paying Users]]*Sales[[#This Row],[Upsell $ per Non-Paying User]],0)</f>
        <v>0</v>
      </c>
      <c r="Q2079" t="str" cm="1">
        <f t="array" ref="Q2079">_xlfn.IFS(Sales[[#This Row],[Current Upsell $]]=0,"",Sales[[#This Row],[Current Upsell $]]&gt;=400,"High",Sales[[#This Row],[Current Upsell $]]&gt;=100,"Medium",Sales[[#This Row],[Current Upsell $]]&lt;100,"Low")</f>
        <v/>
      </c>
      <c r="R2079" t="str">
        <f>IF(Sales[[#This Row],[Current Upsell $]]&gt;0,_xlfn.CONCAT(Sales[[#This Row],[Subscription Type]]," ",Sales[[#This Row],[Upsell Priority]]," ",TEXT(Sales[[#This Row],[Current Upsell $]],"$#,#")),"")</f>
        <v/>
      </c>
    </row>
    <row r="2080" spans="1:18" x14ac:dyDescent="0.25">
      <c r="A2080">
        <v>100284</v>
      </c>
      <c r="B2080" t="s">
        <v>0</v>
      </c>
      <c r="D2080" s="1"/>
      <c r="E2080" s="1"/>
      <c r="F2080">
        <v>12</v>
      </c>
      <c r="G2080">
        <v>18</v>
      </c>
      <c r="H2080" s="1">
        <v>44317</v>
      </c>
      <c r="I2080" s="1">
        <v>44378</v>
      </c>
      <c r="J2080">
        <v>2</v>
      </c>
      <c r="K2080">
        <v>0</v>
      </c>
      <c r="L2080" s="1">
        <v>44348</v>
      </c>
      <c r="M2080">
        <v>120</v>
      </c>
      <c r="N2080" s="8" cm="1">
        <f t="array" ref="N2080">_xlfn.SWITCH(Sales[[#This Row],[Subscription Type]],"Basic",10,"Premium",10,"Business",25,"Enterprise",27)</f>
        <v>10</v>
      </c>
      <c r="O2080">
        <f>IF(Sales[[#This Row],[Number of Users]]-Sales[[#This Row],[Licenses Bought]]&lt;0,0,Sales[[#This Row],[Number of Users]]-Sales[[#This Row],[Licenses Bought]])</f>
        <v>6</v>
      </c>
      <c r="P2080" s="8">
        <f>IF(Sales[[#This Row],[Sales Month]]=MAX(Sales[Sales Month]),Sales[[#This Row],[Non-Paying Users]]*Sales[[#This Row],[Upsell $ per Non-Paying User]],0)</f>
        <v>60</v>
      </c>
      <c r="Q2080" t="str" cm="1">
        <f t="array" ref="Q2080">_xlfn.IFS(Sales[[#This Row],[Current Upsell $]]=0,"",Sales[[#This Row],[Current Upsell $]]&gt;=400,"High",Sales[[#This Row],[Current Upsell $]]&gt;=100,"Medium",Sales[[#This Row],[Current Upsell $]]&lt;100,"Low")</f>
        <v>Low</v>
      </c>
      <c r="R2080" t="str">
        <f>IF(Sales[[#This Row],[Current Upsell $]]&gt;0,_xlfn.CONCAT(Sales[[#This Row],[Subscription Type]]," ",Sales[[#This Row],[Upsell Priority]]," ",TEXT(Sales[[#This Row],[Current Upsell $]],"$#,#")),"")</f>
        <v>Premium Low $60</v>
      </c>
    </row>
    <row r="2081" spans="1:18" x14ac:dyDescent="0.25">
      <c r="A2081">
        <v>100285</v>
      </c>
      <c r="B2081" t="s">
        <v>3</v>
      </c>
      <c r="F2081">
        <v>0</v>
      </c>
      <c r="G2081">
        <v>14</v>
      </c>
      <c r="H2081" s="1">
        <v>44317</v>
      </c>
      <c r="I2081" s="1">
        <v>44378</v>
      </c>
      <c r="J2081">
        <v>2</v>
      </c>
      <c r="K2081">
        <v>0</v>
      </c>
      <c r="L2081" s="1">
        <v>44317</v>
      </c>
      <c r="M2081">
        <v>0</v>
      </c>
      <c r="N2081" s="8" cm="1">
        <f t="array" ref="N2081">_xlfn.SWITCH(Sales[[#This Row],[Subscription Type]],"Basic",10,"Premium",10,"Business",25,"Enterprise",27)</f>
        <v>10</v>
      </c>
      <c r="O2081">
        <f>IF(Sales[[#This Row],[Number of Users]]-Sales[[#This Row],[Licenses Bought]]&lt;0,0,Sales[[#This Row],[Number of Users]]-Sales[[#This Row],[Licenses Bought]])</f>
        <v>14</v>
      </c>
      <c r="P2081" s="8">
        <f>IF(Sales[[#This Row],[Sales Month]]=MAX(Sales[Sales Month]),Sales[[#This Row],[Non-Paying Users]]*Sales[[#This Row],[Upsell $ per Non-Paying User]],0)</f>
        <v>0</v>
      </c>
      <c r="Q2081" t="str" cm="1">
        <f t="array" ref="Q2081">_xlfn.IFS(Sales[[#This Row],[Current Upsell $]]=0,"",Sales[[#This Row],[Current Upsell $]]&gt;=400,"High",Sales[[#This Row],[Current Upsell $]]&gt;=100,"Medium",Sales[[#This Row],[Current Upsell $]]&lt;100,"Low")</f>
        <v/>
      </c>
      <c r="R2081" t="str">
        <f>IF(Sales[[#This Row],[Current Upsell $]]&gt;0,_xlfn.CONCAT(Sales[[#This Row],[Subscription Type]]," ",Sales[[#This Row],[Upsell Priority]]," ",TEXT(Sales[[#This Row],[Current Upsell $]],"$#,#")),"")</f>
        <v/>
      </c>
    </row>
    <row r="2082" spans="1:18" x14ac:dyDescent="0.25">
      <c r="A2082">
        <v>100285</v>
      </c>
      <c r="B2082" t="s">
        <v>3</v>
      </c>
      <c r="F2082">
        <v>0</v>
      </c>
      <c r="G2082">
        <v>14</v>
      </c>
      <c r="H2082" s="1">
        <v>44317</v>
      </c>
      <c r="I2082" s="1">
        <v>44378</v>
      </c>
      <c r="J2082">
        <v>2</v>
      </c>
      <c r="K2082">
        <v>0</v>
      </c>
      <c r="L2082" s="1">
        <v>44348</v>
      </c>
      <c r="M2082">
        <v>0</v>
      </c>
      <c r="N2082" s="8" cm="1">
        <f t="array" ref="N2082">_xlfn.SWITCH(Sales[[#This Row],[Subscription Type]],"Basic",10,"Premium",10,"Business",25,"Enterprise",27)</f>
        <v>10</v>
      </c>
      <c r="O2082">
        <f>IF(Sales[[#This Row],[Number of Users]]-Sales[[#This Row],[Licenses Bought]]&lt;0,0,Sales[[#This Row],[Number of Users]]-Sales[[#This Row],[Licenses Bought]])</f>
        <v>14</v>
      </c>
      <c r="P2082" s="8">
        <f>IF(Sales[[#This Row],[Sales Month]]=MAX(Sales[Sales Month]),Sales[[#This Row],[Non-Paying Users]]*Sales[[#This Row],[Upsell $ per Non-Paying User]],0)</f>
        <v>140</v>
      </c>
      <c r="Q2082" t="str" cm="1">
        <f t="array" ref="Q2082">_xlfn.IFS(Sales[[#This Row],[Current Upsell $]]=0,"",Sales[[#This Row],[Current Upsell $]]&gt;=400,"High",Sales[[#This Row],[Current Upsell $]]&gt;=100,"Medium",Sales[[#This Row],[Current Upsell $]]&lt;100,"Low")</f>
        <v>Medium</v>
      </c>
      <c r="R2082" t="str">
        <f>IF(Sales[[#This Row],[Current Upsell $]]&gt;0,_xlfn.CONCAT(Sales[[#This Row],[Subscription Type]]," ",Sales[[#This Row],[Upsell Priority]]," ",TEXT(Sales[[#This Row],[Current Upsell $]],"$#,#")),"")</f>
        <v>Basic Medium $140</v>
      </c>
    </row>
    <row r="2083" spans="1:18" x14ac:dyDescent="0.25">
      <c r="A2083">
        <v>100286</v>
      </c>
      <c r="B2083" t="s">
        <v>3</v>
      </c>
      <c r="F2083">
        <v>0</v>
      </c>
      <c r="G2083">
        <v>12</v>
      </c>
      <c r="H2083" s="1">
        <v>44317</v>
      </c>
      <c r="I2083" s="1">
        <v>44348</v>
      </c>
      <c r="J2083">
        <v>1</v>
      </c>
      <c r="K2083">
        <v>0</v>
      </c>
      <c r="L2083" s="1">
        <v>44317</v>
      </c>
      <c r="M2083">
        <v>0</v>
      </c>
      <c r="N2083" s="8" cm="1">
        <f t="array" ref="N2083">_xlfn.SWITCH(Sales[[#This Row],[Subscription Type]],"Basic",10,"Premium",10,"Business",25,"Enterprise",27)</f>
        <v>10</v>
      </c>
      <c r="O2083">
        <f>IF(Sales[[#This Row],[Number of Users]]-Sales[[#This Row],[Licenses Bought]]&lt;0,0,Sales[[#This Row],[Number of Users]]-Sales[[#This Row],[Licenses Bought]])</f>
        <v>12</v>
      </c>
      <c r="P2083" s="8">
        <f>IF(Sales[[#This Row],[Sales Month]]=MAX(Sales[Sales Month]),Sales[[#This Row],[Non-Paying Users]]*Sales[[#This Row],[Upsell $ per Non-Paying User]],0)</f>
        <v>0</v>
      </c>
      <c r="Q2083" t="str" cm="1">
        <f t="array" ref="Q2083">_xlfn.IFS(Sales[[#This Row],[Current Upsell $]]=0,"",Sales[[#This Row],[Current Upsell $]]&gt;=400,"High",Sales[[#This Row],[Current Upsell $]]&gt;=100,"Medium",Sales[[#This Row],[Current Upsell $]]&lt;100,"Low")</f>
        <v/>
      </c>
      <c r="R2083" t="str">
        <f>IF(Sales[[#This Row],[Current Upsell $]]&gt;0,_xlfn.CONCAT(Sales[[#This Row],[Subscription Type]]," ",Sales[[#This Row],[Upsell Priority]]," ",TEXT(Sales[[#This Row],[Current Upsell $]],"$#,#")),"")</f>
        <v/>
      </c>
    </row>
    <row r="2084" spans="1:18" x14ac:dyDescent="0.25">
      <c r="A2084">
        <v>100286</v>
      </c>
      <c r="B2084" t="s">
        <v>3</v>
      </c>
      <c r="F2084">
        <v>0</v>
      </c>
      <c r="G2084">
        <v>13</v>
      </c>
      <c r="H2084" s="1">
        <v>44317</v>
      </c>
      <c r="I2084" s="1">
        <v>44348</v>
      </c>
      <c r="J2084">
        <v>1</v>
      </c>
      <c r="K2084">
        <v>0</v>
      </c>
      <c r="L2084" s="1">
        <v>44348</v>
      </c>
      <c r="M2084">
        <v>0</v>
      </c>
      <c r="N2084" s="8" cm="1">
        <f t="array" ref="N2084">_xlfn.SWITCH(Sales[[#This Row],[Subscription Type]],"Basic",10,"Premium",10,"Business",25,"Enterprise",27)</f>
        <v>10</v>
      </c>
      <c r="O2084">
        <f>IF(Sales[[#This Row],[Number of Users]]-Sales[[#This Row],[Licenses Bought]]&lt;0,0,Sales[[#This Row],[Number of Users]]-Sales[[#This Row],[Licenses Bought]])</f>
        <v>13</v>
      </c>
      <c r="P2084" s="8">
        <f>IF(Sales[[#This Row],[Sales Month]]=MAX(Sales[Sales Month]),Sales[[#This Row],[Non-Paying Users]]*Sales[[#This Row],[Upsell $ per Non-Paying User]],0)</f>
        <v>130</v>
      </c>
      <c r="Q2084" t="str" cm="1">
        <f t="array" ref="Q2084">_xlfn.IFS(Sales[[#This Row],[Current Upsell $]]=0,"",Sales[[#This Row],[Current Upsell $]]&gt;=400,"High",Sales[[#This Row],[Current Upsell $]]&gt;=100,"Medium",Sales[[#This Row],[Current Upsell $]]&lt;100,"Low")</f>
        <v>Medium</v>
      </c>
      <c r="R2084" t="str">
        <f>IF(Sales[[#This Row],[Current Upsell $]]&gt;0,_xlfn.CONCAT(Sales[[#This Row],[Subscription Type]]," ",Sales[[#This Row],[Upsell Priority]]," ",TEXT(Sales[[#This Row],[Current Upsell $]],"$#,#")),"")</f>
        <v>Basic Medium $130</v>
      </c>
    </row>
    <row r="2085" spans="1:18" x14ac:dyDescent="0.25">
      <c r="A2085">
        <v>100287</v>
      </c>
      <c r="B2085" t="s">
        <v>3</v>
      </c>
      <c r="D2085" s="1"/>
      <c r="E2085" s="1"/>
      <c r="F2085">
        <v>0</v>
      </c>
      <c r="G2085">
        <v>12</v>
      </c>
      <c r="H2085" s="1">
        <v>44317</v>
      </c>
      <c r="I2085" s="1">
        <v>44378</v>
      </c>
      <c r="J2085">
        <v>2</v>
      </c>
      <c r="K2085">
        <v>0</v>
      </c>
      <c r="L2085" s="1">
        <v>44317</v>
      </c>
      <c r="M2085">
        <v>0</v>
      </c>
      <c r="N2085" s="8" cm="1">
        <f t="array" ref="N2085">_xlfn.SWITCH(Sales[[#This Row],[Subscription Type]],"Basic",10,"Premium",10,"Business",25,"Enterprise",27)</f>
        <v>10</v>
      </c>
      <c r="O2085">
        <f>IF(Sales[[#This Row],[Number of Users]]-Sales[[#This Row],[Licenses Bought]]&lt;0,0,Sales[[#This Row],[Number of Users]]-Sales[[#This Row],[Licenses Bought]])</f>
        <v>12</v>
      </c>
      <c r="P2085" s="8">
        <f>IF(Sales[[#This Row],[Sales Month]]=MAX(Sales[Sales Month]),Sales[[#This Row],[Non-Paying Users]]*Sales[[#This Row],[Upsell $ per Non-Paying User]],0)</f>
        <v>0</v>
      </c>
      <c r="Q2085" t="str" cm="1">
        <f t="array" ref="Q2085">_xlfn.IFS(Sales[[#This Row],[Current Upsell $]]=0,"",Sales[[#This Row],[Current Upsell $]]&gt;=400,"High",Sales[[#This Row],[Current Upsell $]]&gt;=100,"Medium",Sales[[#This Row],[Current Upsell $]]&lt;100,"Low")</f>
        <v/>
      </c>
      <c r="R2085" t="str">
        <f>IF(Sales[[#This Row],[Current Upsell $]]&gt;0,_xlfn.CONCAT(Sales[[#This Row],[Subscription Type]]," ",Sales[[#This Row],[Upsell Priority]]," ",TEXT(Sales[[#This Row],[Current Upsell $]],"$#,#")),"")</f>
        <v/>
      </c>
    </row>
    <row r="2086" spans="1:18" x14ac:dyDescent="0.25">
      <c r="A2086">
        <v>100287</v>
      </c>
      <c r="B2086" t="s">
        <v>1</v>
      </c>
      <c r="D2086" s="1"/>
      <c r="E2086" s="1"/>
      <c r="F2086">
        <v>5</v>
      </c>
      <c r="G2086">
        <v>9</v>
      </c>
      <c r="H2086" s="1">
        <v>44317</v>
      </c>
      <c r="I2086" s="1">
        <v>44378</v>
      </c>
      <c r="J2086">
        <v>2</v>
      </c>
      <c r="K2086">
        <v>0</v>
      </c>
      <c r="L2086" s="1">
        <v>44348</v>
      </c>
      <c r="M2086">
        <v>125</v>
      </c>
      <c r="N2086" s="8" cm="1">
        <f t="array" ref="N2086">_xlfn.SWITCH(Sales[[#This Row],[Subscription Type]],"Basic",10,"Premium",10,"Business",25,"Enterprise",27)</f>
        <v>25</v>
      </c>
      <c r="O2086">
        <f>IF(Sales[[#This Row],[Number of Users]]-Sales[[#This Row],[Licenses Bought]]&lt;0,0,Sales[[#This Row],[Number of Users]]-Sales[[#This Row],[Licenses Bought]])</f>
        <v>4</v>
      </c>
      <c r="P2086" s="8">
        <f>IF(Sales[[#This Row],[Sales Month]]=MAX(Sales[Sales Month]),Sales[[#This Row],[Non-Paying Users]]*Sales[[#This Row],[Upsell $ per Non-Paying User]],0)</f>
        <v>100</v>
      </c>
      <c r="Q2086" t="str" cm="1">
        <f t="array" ref="Q2086">_xlfn.IFS(Sales[[#This Row],[Current Upsell $]]=0,"",Sales[[#This Row],[Current Upsell $]]&gt;=400,"High",Sales[[#This Row],[Current Upsell $]]&gt;=100,"Medium",Sales[[#This Row],[Current Upsell $]]&lt;100,"Low")</f>
        <v>Medium</v>
      </c>
      <c r="R2086" t="str">
        <f>IF(Sales[[#This Row],[Current Upsell $]]&gt;0,_xlfn.CONCAT(Sales[[#This Row],[Subscription Type]]," ",Sales[[#This Row],[Upsell Priority]]," ",TEXT(Sales[[#This Row],[Current Upsell $]],"$#,#")),"")</f>
        <v>Business Medium $100</v>
      </c>
    </row>
    <row r="2087" spans="1:18" x14ac:dyDescent="0.25">
      <c r="A2087">
        <v>100288</v>
      </c>
      <c r="B2087" t="s">
        <v>3</v>
      </c>
      <c r="D2087" s="1"/>
      <c r="E2087" s="1"/>
      <c r="F2087">
        <v>0</v>
      </c>
      <c r="G2087">
        <v>11</v>
      </c>
      <c r="H2087" s="1">
        <v>44317</v>
      </c>
      <c r="I2087" s="1">
        <v>44378</v>
      </c>
      <c r="J2087">
        <v>2</v>
      </c>
      <c r="K2087">
        <v>0</v>
      </c>
      <c r="L2087" s="1">
        <v>44317</v>
      </c>
      <c r="M2087">
        <v>0</v>
      </c>
      <c r="N2087" s="8" cm="1">
        <f t="array" ref="N2087">_xlfn.SWITCH(Sales[[#This Row],[Subscription Type]],"Basic",10,"Premium",10,"Business",25,"Enterprise",27)</f>
        <v>10</v>
      </c>
      <c r="O2087">
        <f>IF(Sales[[#This Row],[Number of Users]]-Sales[[#This Row],[Licenses Bought]]&lt;0,0,Sales[[#This Row],[Number of Users]]-Sales[[#This Row],[Licenses Bought]])</f>
        <v>11</v>
      </c>
      <c r="P2087" s="8">
        <f>IF(Sales[[#This Row],[Sales Month]]=MAX(Sales[Sales Month]),Sales[[#This Row],[Non-Paying Users]]*Sales[[#This Row],[Upsell $ per Non-Paying User]],0)</f>
        <v>0</v>
      </c>
      <c r="Q2087" t="str" cm="1">
        <f t="array" ref="Q2087">_xlfn.IFS(Sales[[#This Row],[Current Upsell $]]=0,"",Sales[[#This Row],[Current Upsell $]]&gt;=400,"High",Sales[[#This Row],[Current Upsell $]]&gt;=100,"Medium",Sales[[#This Row],[Current Upsell $]]&lt;100,"Low")</f>
        <v/>
      </c>
      <c r="R2087" t="str">
        <f>IF(Sales[[#This Row],[Current Upsell $]]&gt;0,_xlfn.CONCAT(Sales[[#This Row],[Subscription Type]]," ",Sales[[#This Row],[Upsell Priority]]," ",TEXT(Sales[[#This Row],[Current Upsell $]],"$#,#")),"")</f>
        <v/>
      </c>
    </row>
    <row r="2088" spans="1:18" x14ac:dyDescent="0.25">
      <c r="A2088">
        <v>100288</v>
      </c>
      <c r="B2088" t="s">
        <v>0</v>
      </c>
      <c r="D2088" s="1"/>
      <c r="E2088" s="1"/>
      <c r="F2088">
        <v>4</v>
      </c>
      <c r="G2088">
        <v>11</v>
      </c>
      <c r="H2088" s="1">
        <v>44317</v>
      </c>
      <c r="I2088" s="1">
        <v>44378</v>
      </c>
      <c r="J2088">
        <v>2</v>
      </c>
      <c r="K2088">
        <v>0</v>
      </c>
      <c r="L2088" s="1">
        <v>44348</v>
      </c>
      <c r="M2088">
        <v>40</v>
      </c>
      <c r="N2088" s="8" cm="1">
        <f t="array" ref="N2088">_xlfn.SWITCH(Sales[[#This Row],[Subscription Type]],"Basic",10,"Premium",10,"Business",25,"Enterprise",27)</f>
        <v>10</v>
      </c>
      <c r="O2088">
        <f>IF(Sales[[#This Row],[Number of Users]]-Sales[[#This Row],[Licenses Bought]]&lt;0,0,Sales[[#This Row],[Number of Users]]-Sales[[#This Row],[Licenses Bought]])</f>
        <v>7</v>
      </c>
      <c r="P2088" s="8">
        <f>IF(Sales[[#This Row],[Sales Month]]=MAX(Sales[Sales Month]),Sales[[#This Row],[Non-Paying Users]]*Sales[[#This Row],[Upsell $ per Non-Paying User]],0)</f>
        <v>70</v>
      </c>
      <c r="Q2088" t="str" cm="1">
        <f t="array" ref="Q2088">_xlfn.IFS(Sales[[#This Row],[Current Upsell $]]=0,"",Sales[[#This Row],[Current Upsell $]]&gt;=400,"High",Sales[[#This Row],[Current Upsell $]]&gt;=100,"Medium",Sales[[#This Row],[Current Upsell $]]&lt;100,"Low")</f>
        <v>Low</v>
      </c>
      <c r="R2088" t="str">
        <f>IF(Sales[[#This Row],[Current Upsell $]]&gt;0,_xlfn.CONCAT(Sales[[#This Row],[Subscription Type]]," ",Sales[[#This Row],[Upsell Priority]]," ",TEXT(Sales[[#This Row],[Current Upsell $]],"$#,#")),"")</f>
        <v>Premium Low $70</v>
      </c>
    </row>
    <row r="2089" spans="1:18" x14ac:dyDescent="0.25">
      <c r="A2089">
        <v>100289</v>
      </c>
      <c r="B2089" t="s">
        <v>3</v>
      </c>
      <c r="F2089">
        <v>0</v>
      </c>
      <c r="G2089">
        <v>12</v>
      </c>
      <c r="H2089" s="1">
        <v>44317</v>
      </c>
      <c r="I2089" s="1">
        <v>44378</v>
      </c>
      <c r="J2089">
        <v>2</v>
      </c>
      <c r="K2089">
        <v>0</v>
      </c>
      <c r="L2089" s="1">
        <v>44317</v>
      </c>
      <c r="M2089">
        <v>0</v>
      </c>
      <c r="N2089" s="8" cm="1">
        <f t="array" ref="N2089">_xlfn.SWITCH(Sales[[#This Row],[Subscription Type]],"Basic",10,"Premium",10,"Business",25,"Enterprise",27)</f>
        <v>10</v>
      </c>
      <c r="O2089">
        <f>IF(Sales[[#This Row],[Number of Users]]-Sales[[#This Row],[Licenses Bought]]&lt;0,0,Sales[[#This Row],[Number of Users]]-Sales[[#This Row],[Licenses Bought]])</f>
        <v>12</v>
      </c>
      <c r="P2089" s="8">
        <f>IF(Sales[[#This Row],[Sales Month]]=MAX(Sales[Sales Month]),Sales[[#This Row],[Non-Paying Users]]*Sales[[#This Row],[Upsell $ per Non-Paying User]],0)</f>
        <v>0</v>
      </c>
      <c r="Q2089" t="str" cm="1">
        <f t="array" ref="Q2089">_xlfn.IFS(Sales[[#This Row],[Current Upsell $]]=0,"",Sales[[#This Row],[Current Upsell $]]&gt;=400,"High",Sales[[#This Row],[Current Upsell $]]&gt;=100,"Medium",Sales[[#This Row],[Current Upsell $]]&lt;100,"Low")</f>
        <v/>
      </c>
      <c r="R2089" t="str">
        <f>IF(Sales[[#This Row],[Current Upsell $]]&gt;0,_xlfn.CONCAT(Sales[[#This Row],[Subscription Type]]," ",Sales[[#This Row],[Upsell Priority]]," ",TEXT(Sales[[#This Row],[Current Upsell $]],"$#,#")),"")</f>
        <v/>
      </c>
    </row>
    <row r="2090" spans="1:18" x14ac:dyDescent="0.25">
      <c r="A2090">
        <v>100289</v>
      </c>
      <c r="B2090" t="s">
        <v>3</v>
      </c>
      <c r="F2090">
        <v>0</v>
      </c>
      <c r="G2090">
        <v>9</v>
      </c>
      <c r="H2090" s="1">
        <v>44317</v>
      </c>
      <c r="I2090" s="1">
        <v>44378</v>
      </c>
      <c r="J2090">
        <v>2</v>
      </c>
      <c r="K2090">
        <v>0</v>
      </c>
      <c r="L2090" s="1">
        <v>44348</v>
      </c>
      <c r="M2090">
        <v>0</v>
      </c>
      <c r="N2090" s="8" cm="1">
        <f t="array" ref="N2090">_xlfn.SWITCH(Sales[[#This Row],[Subscription Type]],"Basic",10,"Premium",10,"Business",25,"Enterprise",27)</f>
        <v>10</v>
      </c>
      <c r="O2090">
        <f>IF(Sales[[#This Row],[Number of Users]]-Sales[[#This Row],[Licenses Bought]]&lt;0,0,Sales[[#This Row],[Number of Users]]-Sales[[#This Row],[Licenses Bought]])</f>
        <v>9</v>
      </c>
      <c r="P2090" s="8">
        <f>IF(Sales[[#This Row],[Sales Month]]=MAX(Sales[Sales Month]),Sales[[#This Row],[Non-Paying Users]]*Sales[[#This Row],[Upsell $ per Non-Paying User]],0)</f>
        <v>90</v>
      </c>
      <c r="Q2090" t="str" cm="1">
        <f t="array" ref="Q2090">_xlfn.IFS(Sales[[#This Row],[Current Upsell $]]=0,"",Sales[[#This Row],[Current Upsell $]]&gt;=400,"High",Sales[[#This Row],[Current Upsell $]]&gt;=100,"Medium",Sales[[#This Row],[Current Upsell $]]&lt;100,"Low")</f>
        <v>Low</v>
      </c>
      <c r="R2090" t="str">
        <f>IF(Sales[[#This Row],[Current Upsell $]]&gt;0,_xlfn.CONCAT(Sales[[#This Row],[Subscription Type]]," ",Sales[[#This Row],[Upsell Priority]]," ",TEXT(Sales[[#This Row],[Current Upsell $]],"$#,#")),"")</f>
        <v>Basic Low $90</v>
      </c>
    </row>
    <row r="2091" spans="1:18" x14ac:dyDescent="0.25">
      <c r="A2091">
        <v>100290</v>
      </c>
      <c r="B2091" t="s">
        <v>3</v>
      </c>
      <c r="F2091">
        <v>0</v>
      </c>
      <c r="G2091">
        <v>8</v>
      </c>
      <c r="H2091" s="1">
        <v>44317</v>
      </c>
      <c r="I2091" s="1">
        <v>44348</v>
      </c>
      <c r="J2091">
        <v>1</v>
      </c>
      <c r="K2091">
        <v>0</v>
      </c>
      <c r="L2091" s="1">
        <v>44317</v>
      </c>
      <c r="M2091">
        <v>0</v>
      </c>
      <c r="N2091" s="8" cm="1">
        <f t="array" ref="N2091">_xlfn.SWITCH(Sales[[#This Row],[Subscription Type]],"Basic",10,"Premium",10,"Business",25,"Enterprise",27)</f>
        <v>10</v>
      </c>
      <c r="O2091">
        <f>IF(Sales[[#This Row],[Number of Users]]-Sales[[#This Row],[Licenses Bought]]&lt;0,0,Sales[[#This Row],[Number of Users]]-Sales[[#This Row],[Licenses Bought]])</f>
        <v>8</v>
      </c>
      <c r="P2091" s="8">
        <f>IF(Sales[[#This Row],[Sales Month]]=MAX(Sales[Sales Month]),Sales[[#This Row],[Non-Paying Users]]*Sales[[#This Row],[Upsell $ per Non-Paying User]],0)</f>
        <v>0</v>
      </c>
      <c r="Q2091" t="str" cm="1">
        <f t="array" ref="Q2091">_xlfn.IFS(Sales[[#This Row],[Current Upsell $]]=0,"",Sales[[#This Row],[Current Upsell $]]&gt;=400,"High",Sales[[#This Row],[Current Upsell $]]&gt;=100,"Medium",Sales[[#This Row],[Current Upsell $]]&lt;100,"Low")</f>
        <v/>
      </c>
      <c r="R2091" t="str">
        <f>IF(Sales[[#This Row],[Current Upsell $]]&gt;0,_xlfn.CONCAT(Sales[[#This Row],[Subscription Type]]," ",Sales[[#This Row],[Upsell Priority]]," ",TEXT(Sales[[#This Row],[Current Upsell $]],"$#,#")),"")</f>
        <v/>
      </c>
    </row>
    <row r="2092" spans="1:18" x14ac:dyDescent="0.25">
      <c r="A2092">
        <v>100290</v>
      </c>
      <c r="B2092" t="s">
        <v>0</v>
      </c>
      <c r="F2092">
        <v>4</v>
      </c>
      <c r="G2092">
        <v>9</v>
      </c>
      <c r="H2092" s="1">
        <v>44317</v>
      </c>
      <c r="I2092" s="1">
        <v>44348</v>
      </c>
      <c r="J2092">
        <v>1</v>
      </c>
      <c r="K2092">
        <v>0</v>
      </c>
      <c r="L2092" s="1">
        <v>44348</v>
      </c>
      <c r="M2092">
        <v>40</v>
      </c>
      <c r="N2092" s="8" cm="1">
        <f t="array" ref="N2092">_xlfn.SWITCH(Sales[[#This Row],[Subscription Type]],"Basic",10,"Premium",10,"Business",25,"Enterprise",27)</f>
        <v>10</v>
      </c>
      <c r="O2092">
        <f>IF(Sales[[#This Row],[Number of Users]]-Sales[[#This Row],[Licenses Bought]]&lt;0,0,Sales[[#This Row],[Number of Users]]-Sales[[#This Row],[Licenses Bought]])</f>
        <v>5</v>
      </c>
      <c r="P2092" s="8">
        <f>IF(Sales[[#This Row],[Sales Month]]=MAX(Sales[Sales Month]),Sales[[#This Row],[Non-Paying Users]]*Sales[[#This Row],[Upsell $ per Non-Paying User]],0)</f>
        <v>50</v>
      </c>
      <c r="Q2092" t="str" cm="1">
        <f t="array" ref="Q2092">_xlfn.IFS(Sales[[#This Row],[Current Upsell $]]=0,"",Sales[[#This Row],[Current Upsell $]]&gt;=400,"High",Sales[[#This Row],[Current Upsell $]]&gt;=100,"Medium",Sales[[#This Row],[Current Upsell $]]&lt;100,"Low")</f>
        <v>Low</v>
      </c>
      <c r="R2092" t="str">
        <f>IF(Sales[[#This Row],[Current Upsell $]]&gt;0,_xlfn.CONCAT(Sales[[#This Row],[Subscription Type]]," ",Sales[[#This Row],[Upsell Priority]]," ",TEXT(Sales[[#This Row],[Current Upsell $]],"$#,#")),"")</f>
        <v>Premium Low $50</v>
      </c>
    </row>
    <row r="2093" spans="1:18" x14ac:dyDescent="0.25">
      <c r="A2093">
        <v>100291</v>
      </c>
      <c r="B2093" t="s">
        <v>3</v>
      </c>
      <c r="D2093" s="1"/>
      <c r="E2093" s="1"/>
      <c r="F2093">
        <v>0</v>
      </c>
      <c r="G2093">
        <v>10</v>
      </c>
      <c r="H2093" s="1">
        <v>44317</v>
      </c>
      <c r="I2093" s="1">
        <v>44378</v>
      </c>
      <c r="J2093">
        <v>2</v>
      </c>
      <c r="K2093">
        <v>0</v>
      </c>
      <c r="L2093" s="1">
        <v>44317</v>
      </c>
      <c r="M2093">
        <v>0</v>
      </c>
      <c r="N2093" s="8" cm="1">
        <f t="array" ref="N2093">_xlfn.SWITCH(Sales[[#This Row],[Subscription Type]],"Basic",10,"Premium",10,"Business",25,"Enterprise",27)</f>
        <v>10</v>
      </c>
      <c r="O2093">
        <f>IF(Sales[[#This Row],[Number of Users]]-Sales[[#This Row],[Licenses Bought]]&lt;0,0,Sales[[#This Row],[Number of Users]]-Sales[[#This Row],[Licenses Bought]])</f>
        <v>10</v>
      </c>
      <c r="P2093" s="8">
        <f>IF(Sales[[#This Row],[Sales Month]]=MAX(Sales[Sales Month]),Sales[[#This Row],[Non-Paying Users]]*Sales[[#This Row],[Upsell $ per Non-Paying User]],0)</f>
        <v>0</v>
      </c>
      <c r="Q2093" t="str" cm="1">
        <f t="array" ref="Q2093">_xlfn.IFS(Sales[[#This Row],[Current Upsell $]]=0,"",Sales[[#This Row],[Current Upsell $]]&gt;=400,"High",Sales[[#This Row],[Current Upsell $]]&gt;=100,"Medium",Sales[[#This Row],[Current Upsell $]]&lt;100,"Low")</f>
        <v/>
      </c>
      <c r="R2093" t="str">
        <f>IF(Sales[[#This Row],[Current Upsell $]]&gt;0,_xlfn.CONCAT(Sales[[#This Row],[Subscription Type]]," ",Sales[[#This Row],[Upsell Priority]]," ",TEXT(Sales[[#This Row],[Current Upsell $]],"$#,#")),"")</f>
        <v/>
      </c>
    </row>
    <row r="2094" spans="1:18" x14ac:dyDescent="0.25">
      <c r="A2094">
        <v>100291</v>
      </c>
      <c r="B2094" t="s">
        <v>0</v>
      </c>
      <c r="D2094" s="1"/>
      <c r="E2094" s="1"/>
      <c r="F2094">
        <v>2</v>
      </c>
      <c r="G2094">
        <v>7</v>
      </c>
      <c r="H2094" s="1">
        <v>44317</v>
      </c>
      <c r="I2094" s="1">
        <v>44378</v>
      </c>
      <c r="J2094">
        <v>2</v>
      </c>
      <c r="K2094">
        <v>0</v>
      </c>
      <c r="L2094" s="1">
        <v>44348</v>
      </c>
      <c r="M2094">
        <v>20</v>
      </c>
      <c r="N2094" s="8" cm="1">
        <f t="array" ref="N2094">_xlfn.SWITCH(Sales[[#This Row],[Subscription Type]],"Basic",10,"Premium",10,"Business",25,"Enterprise",27)</f>
        <v>10</v>
      </c>
      <c r="O2094">
        <f>IF(Sales[[#This Row],[Number of Users]]-Sales[[#This Row],[Licenses Bought]]&lt;0,0,Sales[[#This Row],[Number of Users]]-Sales[[#This Row],[Licenses Bought]])</f>
        <v>5</v>
      </c>
      <c r="P2094" s="8">
        <f>IF(Sales[[#This Row],[Sales Month]]=MAX(Sales[Sales Month]),Sales[[#This Row],[Non-Paying Users]]*Sales[[#This Row],[Upsell $ per Non-Paying User]],0)</f>
        <v>50</v>
      </c>
      <c r="Q2094" t="str" cm="1">
        <f t="array" ref="Q2094">_xlfn.IFS(Sales[[#This Row],[Current Upsell $]]=0,"",Sales[[#This Row],[Current Upsell $]]&gt;=400,"High",Sales[[#This Row],[Current Upsell $]]&gt;=100,"Medium",Sales[[#This Row],[Current Upsell $]]&lt;100,"Low")</f>
        <v>Low</v>
      </c>
      <c r="R2094" t="str">
        <f>IF(Sales[[#This Row],[Current Upsell $]]&gt;0,_xlfn.CONCAT(Sales[[#This Row],[Subscription Type]]," ",Sales[[#This Row],[Upsell Priority]]," ",TEXT(Sales[[#This Row],[Current Upsell $]],"$#,#")),"")</f>
        <v>Premium Low $50</v>
      </c>
    </row>
    <row r="2095" spans="1:18" x14ac:dyDescent="0.25">
      <c r="A2095">
        <v>100292</v>
      </c>
      <c r="B2095" t="s">
        <v>3</v>
      </c>
      <c r="F2095">
        <v>0</v>
      </c>
      <c r="G2095">
        <v>11</v>
      </c>
      <c r="H2095" s="1">
        <v>44317</v>
      </c>
      <c r="I2095" s="1">
        <v>44348</v>
      </c>
      <c r="J2095">
        <v>1</v>
      </c>
      <c r="K2095">
        <v>0</v>
      </c>
      <c r="L2095" s="1">
        <v>44317</v>
      </c>
      <c r="M2095">
        <v>0</v>
      </c>
      <c r="N2095" s="8" cm="1">
        <f t="array" ref="N2095">_xlfn.SWITCH(Sales[[#This Row],[Subscription Type]],"Basic",10,"Premium",10,"Business",25,"Enterprise",27)</f>
        <v>10</v>
      </c>
      <c r="O2095">
        <f>IF(Sales[[#This Row],[Number of Users]]-Sales[[#This Row],[Licenses Bought]]&lt;0,0,Sales[[#This Row],[Number of Users]]-Sales[[#This Row],[Licenses Bought]])</f>
        <v>11</v>
      </c>
      <c r="P2095" s="8">
        <f>IF(Sales[[#This Row],[Sales Month]]=MAX(Sales[Sales Month]),Sales[[#This Row],[Non-Paying Users]]*Sales[[#This Row],[Upsell $ per Non-Paying User]],0)</f>
        <v>0</v>
      </c>
      <c r="Q2095" t="str" cm="1">
        <f t="array" ref="Q2095">_xlfn.IFS(Sales[[#This Row],[Current Upsell $]]=0,"",Sales[[#This Row],[Current Upsell $]]&gt;=400,"High",Sales[[#This Row],[Current Upsell $]]&gt;=100,"Medium",Sales[[#This Row],[Current Upsell $]]&lt;100,"Low")</f>
        <v/>
      </c>
      <c r="R2095" t="str">
        <f>IF(Sales[[#This Row],[Current Upsell $]]&gt;0,_xlfn.CONCAT(Sales[[#This Row],[Subscription Type]]," ",Sales[[#This Row],[Upsell Priority]]," ",TEXT(Sales[[#This Row],[Current Upsell $]],"$#,#")),"")</f>
        <v/>
      </c>
    </row>
    <row r="2096" spans="1:18" x14ac:dyDescent="0.25">
      <c r="A2096">
        <v>100292</v>
      </c>
      <c r="B2096" t="s">
        <v>0</v>
      </c>
      <c r="F2096">
        <v>2</v>
      </c>
      <c r="G2096">
        <v>7</v>
      </c>
      <c r="H2096" s="1">
        <v>44317</v>
      </c>
      <c r="I2096" s="1">
        <v>44348</v>
      </c>
      <c r="J2096">
        <v>1</v>
      </c>
      <c r="K2096">
        <v>0</v>
      </c>
      <c r="L2096" s="1">
        <v>44348</v>
      </c>
      <c r="M2096">
        <v>20</v>
      </c>
      <c r="N2096" s="8" cm="1">
        <f t="array" ref="N2096">_xlfn.SWITCH(Sales[[#This Row],[Subscription Type]],"Basic",10,"Premium",10,"Business",25,"Enterprise",27)</f>
        <v>10</v>
      </c>
      <c r="O2096">
        <f>IF(Sales[[#This Row],[Number of Users]]-Sales[[#This Row],[Licenses Bought]]&lt;0,0,Sales[[#This Row],[Number of Users]]-Sales[[#This Row],[Licenses Bought]])</f>
        <v>5</v>
      </c>
      <c r="P2096" s="8">
        <f>IF(Sales[[#This Row],[Sales Month]]=MAX(Sales[Sales Month]),Sales[[#This Row],[Non-Paying Users]]*Sales[[#This Row],[Upsell $ per Non-Paying User]],0)</f>
        <v>50</v>
      </c>
      <c r="Q2096" t="str" cm="1">
        <f t="array" ref="Q2096">_xlfn.IFS(Sales[[#This Row],[Current Upsell $]]=0,"",Sales[[#This Row],[Current Upsell $]]&gt;=400,"High",Sales[[#This Row],[Current Upsell $]]&gt;=100,"Medium",Sales[[#This Row],[Current Upsell $]]&lt;100,"Low")</f>
        <v>Low</v>
      </c>
      <c r="R2096" t="str">
        <f>IF(Sales[[#This Row],[Current Upsell $]]&gt;0,_xlfn.CONCAT(Sales[[#This Row],[Subscription Type]]," ",Sales[[#This Row],[Upsell Priority]]," ",TEXT(Sales[[#This Row],[Current Upsell $]],"$#,#")),"")</f>
        <v>Premium Low $50</v>
      </c>
    </row>
    <row r="2097" spans="1:18" x14ac:dyDescent="0.25">
      <c r="A2097">
        <v>100293</v>
      </c>
      <c r="B2097" t="s">
        <v>3</v>
      </c>
      <c r="F2097">
        <v>0</v>
      </c>
      <c r="G2097">
        <v>7</v>
      </c>
      <c r="H2097" s="1">
        <v>44317</v>
      </c>
      <c r="I2097" s="1">
        <v>44378</v>
      </c>
      <c r="J2097">
        <v>2</v>
      </c>
      <c r="K2097">
        <v>0</v>
      </c>
      <c r="L2097" s="1">
        <v>44317</v>
      </c>
      <c r="M2097">
        <v>0</v>
      </c>
      <c r="N2097" s="8" cm="1">
        <f t="array" ref="N2097">_xlfn.SWITCH(Sales[[#This Row],[Subscription Type]],"Basic",10,"Premium",10,"Business",25,"Enterprise",27)</f>
        <v>10</v>
      </c>
      <c r="O2097">
        <f>IF(Sales[[#This Row],[Number of Users]]-Sales[[#This Row],[Licenses Bought]]&lt;0,0,Sales[[#This Row],[Number of Users]]-Sales[[#This Row],[Licenses Bought]])</f>
        <v>7</v>
      </c>
      <c r="P2097" s="8">
        <f>IF(Sales[[#This Row],[Sales Month]]=MAX(Sales[Sales Month]),Sales[[#This Row],[Non-Paying Users]]*Sales[[#This Row],[Upsell $ per Non-Paying User]],0)</f>
        <v>0</v>
      </c>
      <c r="Q2097" t="str" cm="1">
        <f t="array" ref="Q2097">_xlfn.IFS(Sales[[#This Row],[Current Upsell $]]=0,"",Sales[[#This Row],[Current Upsell $]]&gt;=400,"High",Sales[[#This Row],[Current Upsell $]]&gt;=100,"Medium",Sales[[#This Row],[Current Upsell $]]&lt;100,"Low")</f>
        <v/>
      </c>
      <c r="R2097" t="str">
        <f>IF(Sales[[#This Row],[Current Upsell $]]&gt;0,_xlfn.CONCAT(Sales[[#This Row],[Subscription Type]]," ",Sales[[#This Row],[Upsell Priority]]," ",TEXT(Sales[[#This Row],[Current Upsell $]],"$#,#")),"")</f>
        <v/>
      </c>
    </row>
    <row r="2098" spans="1:18" x14ac:dyDescent="0.25">
      <c r="A2098">
        <v>100293</v>
      </c>
      <c r="B2098" t="s">
        <v>3</v>
      </c>
      <c r="F2098">
        <v>0</v>
      </c>
      <c r="G2098">
        <v>7</v>
      </c>
      <c r="H2098" s="1">
        <v>44317</v>
      </c>
      <c r="I2098" s="1">
        <v>44378</v>
      </c>
      <c r="J2098">
        <v>2</v>
      </c>
      <c r="K2098">
        <v>0</v>
      </c>
      <c r="L2098" s="1">
        <v>44348</v>
      </c>
      <c r="M2098">
        <v>0</v>
      </c>
      <c r="N2098" s="8" cm="1">
        <f t="array" ref="N2098">_xlfn.SWITCH(Sales[[#This Row],[Subscription Type]],"Basic",10,"Premium",10,"Business",25,"Enterprise",27)</f>
        <v>10</v>
      </c>
      <c r="O2098">
        <f>IF(Sales[[#This Row],[Number of Users]]-Sales[[#This Row],[Licenses Bought]]&lt;0,0,Sales[[#This Row],[Number of Users]]-Sales[[#This Row],[Licenses Bought]])</f>
        <v>7</v>
      </c>
      <c r="P2098" s="8">
        <f>IF(Sales[[#This Row],[Sales Month]]=MAX(Sales[Sales Month]),Sales[[#This Row],[Non-Paying Users]]*Sales[[#This Row],[Upsell $ per Non-Paying User]],0)</f>
        <v>70</v>
      </c>
      <c r="Q2098" t="str" cm="1">
        <f t="array" ref="Q2098">_xlfn.IFS(Sales[[#This Row],[Current Upsell $]]=0,"",Sales[[#This Row],[Current Upsell $]]&gt;=400,"High",Sales[[#This Row],[Current Upsell $]]&gt;=100,"Medium",Sales[[#This Row],[Current Upsell $]]&lt;100,"Low")</f>
        <v>Low</v>
      </c>
      <c r="R2098" t="str">
        <f>IF(Sales[[#This Row],[Current Upsell $]]&gt;0,_xlfn.CONCAT(Sales[[#This Row],[Subscription Type]]," ",Sales[[#This Row],[Upsell Priority]]," ",TEXT(Sales[[#This Row],[Current Upsell $]],"$#,#")),"")</f>
        <v>Basic Low $70</v>
      </c>
    </row>
    <row r="2099" spans="1:18" x14ac:dyDescent="0.25">
      <c r="A2099">
        <v>100294</v>
      </c>
      <c r="B2099" t="s">
        <v>3</v>
      </c>
      <c r="F2099">
        <v>0</v>
      </c>
      <c r="G2099">
        <v>5</v>
      </c>
      <c r="H2099" s="1">
        <v>44317</v>
      </c>
      <c r="I2099" s="1">
        <v>44348</v>
      </c>
      <c r="J2099">
        <v>1</v>
      </c>
      <c r="K2099">
        <v>0</v>
      </c>
      <c r="L2099" s="1">
        <v>44317</v>
      </c>
      <c r="M2099">
        <v>0</v>
      </c>
      <c r="N2099" s="8" cm="1">
        <f t="array" ref="N2099">_xlfn.SWITCH(Sales[[#This Row],[Subscription Type]],"Basic",10,"Premium",10,"Business",25,"Enterprise",27)</f>
        <v>10</v>
      </c>
      <c r="O2099">
        <f>IF(Sales[[#This Row],[Number of Users]]-Sales[[#This Row],[Licenses Bought]]&lt;0,0,Sales[[#This Row],[Number of Users]]-Sales[[#This Row],[Licenses Bought]])</f>
        <v>5</v>
      </c>
      <c r="P2099" s="8">
        <f>IF(Sales[[#This Row],[Sales Month]]=MAX(Sales[Sales Month]),Sales[[#This Row],[Non-Paying Users]]*Sales[[#This Row],[Upsell $ per Non-Paying User]],0)</f>
        <v>0</v>
      </c>
      <c r="Q2099" t="str" cm="1">
        <f t="array" ref="Q2099">_xlfn.IFS(Sales[[#This Row],[Current Upsell $]]=0,"",Sales[[#This Row],[Current Upsell $]]&gt;=400,"High",Sales[[#This Row],[Current Upsell $]]&gt;=100,"Medium",Sales[[#This Row],[Current Upsell $]]&lt;100,"Low")</f>
        <v/>
      </c>
      <c r="R2099" t="str">
        <f>IF(Sales[[#This Row],[Current Upsell $]]&gt;0,_xlfn.CONCAT(Sales[[#This Row],[Subscription Type]]," ",Sales[[#This Row],[Upsell Priority]]," ",TEXT(Sales[[#This Row],[Current Upsell $]],"$#,#")),"")</f>
        <v/>
      </c>
    </row>
    <row r="2100" spans="1:18" x14ac:dyDescent="0.25">
      <c r="A2100">
        <v>100294</v>
      </c>
      <c r="B2100" t="s">
        <v>3</v>
      </c>
      <c r="F2100">
        <v>0</v>
      </c>
      <c r="G2100">
        <v>8</v>
      </c>
      <c r="H2100" s="1">
        <v>44317</v>
      </c>
      <c r="I2100" s="1">
        <v>44348</v>
      </c>
      <c r="J2100">
        <v>1</v>
      </c>
      <c r="K2100">
        <v>0</v>
      </c>
      <c r="L2100" s="1">
        <v>44348</v>
      </c>
      <c r="M2100">
        <v>0</v>
      </c>
      <c r="N2100" s="8" cm="1">
        <f t="array" ref="N2100">_xlfn.SWITCH(Sales[[#This Row],[Subscription Type]],"Basic",10,"Premium",10,"Business",25,"Enterprise",27)</f>
        <v>10</v>
      </c>
      <c r="O2100">
        <f>IF(Sales[[#This Row],[Number of Users]]-Sales[[#This Row],[Licenses Bought]]&lt;0,0,Sales[[#This Row],[Number of Users]]-Sales[[#This Row],[Licenses Bought]])</f>
        <v>8</v>
      </c>
      <c r="P2100" s="8">
        <f>IF(Sales[[#This Row],[Sales Month]]=MAX(Sales[Sales Month]),Sales[[#This Row],[Non-Paying Users]]*Sales[[#This Row],[Upsell $ per Non-Paying User]],0)</f>
        <v>80</v>
      </c>
      <c r="Q2100" t="str" cm="1">
        <f t="array" ref="Q2100">_xlfn.IFS(Sales[[#This Row],[Current Upsell $]]=0,"",Sales[[#This Row],[Current Upsell $]]&gt;=400,"High",Sales[[#This Row],[Current Upsell $]]&gt;=100,"Medium",Sales[[#This Row],[Current Upsell $]]&lt;100,"Low")</f>
        <v>Low</v>
      </c>
      <c r="R2100" t="str">
        <f>IF(Sales[[#This Row],[Current Upsell $]]&gt;0,_xlfn.CONCAT(Sales[[#This Row],[Subscription Type]]," ",Sales[[#This Row],[Upsell Priority]]," ",TEXT(Sales[[#This Row],[Current Upsell $]],"$#,#")),"")</f>
        <v>Basic Low $80</v>
      </c>
    </row>
    <row r="2101" spans="1:18" x14ac:dyDescent="0.25">
      <c r="A2101">
        <v>100295</v>
      </c>
      <c r="B2101" t="s">
        <v>3</v>
      </c>
      <c r="D2101" s="1"/>
      <c r="E2101" s="1"/>
      <c r="F2101">
        <v>0</v>
      </c>
      <c r="G2101">
        <v>5</v>
      </c>
      <c r="H2101" s="1">
        <v>44317</v>
      </c>
      <c r="I2101" s="1">
        <v>44378</v>
      </c>
      <c r="J2101">
        <v>2</v>
      </c>
      <c r="K2101">
        <v>0</v>
      </c>
      <c r="L2101" s="1">
        <v>44317</v>
      </c>
      <c r="M2101">
        <v>0</v>
      </c>
      <c r="N2101" s="8" cm="1">
        <f t="array" ref="N2101">_xlfn.SWITCH(Sales[[#This Row],[Subscription Type]],"Basic",10,"Premium",10,"Business",25,"Enterprise",27)</f>
        <v>10</v>
      </c>
      <c r="O2101">
        <f>IF(Sales[[#This Row],[Number of Users]]-Sales[[#This Row],[Licenses Bought]]&lt;0,0,Sales[[#This Row],[Number of Users]]-Sales[[#This Row],[Licenses Bought]])</f>
        <v>5</v>
      </c>
      <c r="P2101" s="8">
        <f>IF(Sales[[#This Row],[Sales Month]]=MAX(Sales[Sales Month]),Sales[[#This Row],[Non-Paying Users]]*Sales[[#This Row],[Upsell $ per Non-Paying User]],0)</f>
        <v>0</v>
      </c>
      <c r="Q2101" t="str" cm="1">
        <f t="array" ref="Q2101">_xlfn.IFS(Sales[[#This Row],[Current Upsell $]]=0,"",Sales[[#This Row],[Current Upsell $]]&gt;=400,"High",Sales[[#This Row],[Current Upsell $]]&gt;=100,"Medium",Sales[[#This Row],[Current Upsell $]]&lt;100,"Low")</f>
        <v/>
      </c>
      <c r="R2101" t="str">
        <f>IF(Sales[[#This Row],[Current Upsell $]]&gt;0,_xlfn.CONCAT(Sales[[#This Row],[Subscription Type]]," ",Sales[[#This Row],[Upsell Priority]]," ",TEXT(Sales[[#This Row],[Current Upsell $]],"$#,#")),"")</f>
        <v/>
      </c>
    </row>
    <row r="2102" spans="1:18" x14ac:dyDescent="0.25">
      <c r="A2102">
        <v>100295</v>
      </c>
      <c r="B2102" t="s">
        <v>0</v>
      </c>
      <c r="D2102" s="1"/>
      <c r="E2102" s="1"/>
      <c r="F2102">
        <v>2</v>
      </c>
      <c r="G2102">
        <v>7</v>
      </c>
      <c r="H2102" s="1">
        <v>44317</v>
      </c>
      <c r="I2102" s="1">
        <v>44378</v>
      </c>
      <c r="J2102">
        <v>2</v>
      </c>
      <c r="K2102">
        <v>0</v>
      </c>
      <c r="L2102" s="1">
        <v>44348</v>
      </c>
      <c r="M2102">
        <v>20</v>
      </c>
      <c r="N2102" s="8" cm="1">
        <f t="array" ref="N2102">_xlfn.SWITCH(Sales[[#This Row],[Subscription Type]],"Basic",10,"Premium",10,"Business",25,"Enterprise",27)</f>
        <v>10</v>
      </c>
      <c r="O2102">
        <f>IF(Sales[[#This Row],[Number of Users]]-Sales[[#This Row],[Licenses Bought]]&lt;0,0,Sales[[#This Row],[Number of Users]]-Sales[[#This Row],[Licenses Bought]])</f>
        <v>5</v>
      </c>
      <c r="P2102" s="8">
        <f>IF(Sales[[#This Row],[Sales Month]]=MAX(Sales[Sales Month]),Sales[[#This Row],[Non-Paying Users]]*Sales[[#This Row],[Upsell $ per Non-Paying User]],0)</f>
        <v>50</v>
      </c>
      <c r="Q2102" t="str" cm="1">
        <f t="array" ref="Q2102">_xlfn.IFS(Sales[[#This Row],[Current Upsell $]]=0,"",Sales[[#This Row],[Current Upsell $]]&gt;=400,"High",Sales[[#This Row],[Current Upsell $]]&gt;=100,"Medium",Sales[[#This Row],[Current Upsell $]]&lt;100,"Low")</f>
        <v>Low</v>
      </c>
      <c r="R2102" t="str">
        <f>IF(Sales[[#This Row],[Current Upsell $]]&gt;0,_xlfn.CONCAT(Sales[[#This Row],[Subscription Type]]," ",Sales[[#This Row],[Upsell Priority]]," ",TEXT(Sales[[#This Row],[Current Upsell $]],"$#,#")),"")</f>
        <v>Premium Low $50</v>
      </c>
    </row>
    <row r="2103" spans="1:18" x14ac:dyDescent="0.25">
      <c r="A2103">
        <v>100296</v>
      </c>
      <c r="B2103" t="s">
        <v>3</v>
      </c>
      <c r="F2103">
        <v>0</v>
      </c>
      <c r="G2103">
        <v>6</v>
      </c>
      <c r="H2103" s="1">
        <v>44317</v>
      </c>
      <c r="I2103" s="1">
        <v>44348</v>
      </c>
      <c r="J2103">
        <v>1</v>
      </c>
      <c r="K2103">
        <v>0</v>
      </c>
      <c r="L2103" s="1">
        <v>44317</v>
      </c>
      <c r="M2103">
        <v>0</v>
      </c>
      <c r="N2103" s="8" cm="1">
        <f t="array" ref="N2103">_xlfn.SWITCH(Sales[[#This Row],[Subscription Type]],"Basic",10,"Premium",10,"Business",25,"Enterprise",27)</f>
        <v>10</v>
      </c>
      <c r="O2103">
        <f>IF(Sales[[#This Row],[Number of Users]]-Sales[[#This Row],[Licenses Bought]]&lt;0,0,Sales[[#This Row],[Number of Users]]-Sales[[#This Row],[Licenses Bought]])</f>
        <v>6</v>
      </c>
      <c r="P2103" s="8">
        <f>IF(Sales[[#This Row],[Sales Month]]=MAX(Sales[Sales Month]),Sales[[#This Row],[Non-Paying Users]]*Sales[[#This Row],[Upsell $ per Non-Paying User]],0)</f>
        <v>0</v>
      </c>
      <c r="Q2103" t="str" cm="1">
        <f t="array" ref="Q2103">_xlfn.IFS(Sales[[#This Row],[Current Upsell $]]=0,"",Sales[[#This Row],[Current Upsell $]]&gt;=400,"High",Sales[[#This Row],[Current Upsell $]]&gt;=100,"Medium",Sales[[#This Row],[Current Upsell $]]&lt;100,"Low")</f>
        <v/>
      </c>
      <c r="R2103" t="str">
        <f>IF(Sales[[#This Row],[Current Upsell $]]&gt;0,_xlfn.CONCAT(Sales[[#This Row],[Subscription Type]]," ",Sales[[#This Row],[Upsell Priority]]," ",TEXT(Sales[[#This Row],[Current Upsell $]],"$#,#")),"")</f>
        <v/>
      </c>
    </row>
    <row r="2104" spans="1:18" x14ac:dyDescent="0.25">
      <c r="A2104">
        <v>100296</v>
      </c>
      <c r="B2104" t="s">
        <v>0</v>
      </c>
      <c r="F2104">
        <v>2</v>
      </c>
      <c r="G2104">
        <v>5</v>
      </c>
      <c r="H2104" s="1">
        <v>44317</v>
      </c>
      <c r="I2104" s="1">
        <v>44348</v>
      </c>
      <c r="J2104">
        <v>1</v>
      </c>
      <c r="K2104">
        <v>0</v>
      </c>
      <c r="L2104" s="1">
        <v>44348</v>
      </c>
      <c r="M2104">
        <v>20</v>
      </c>
      <c r="N2104" s="8" cm="1">
        <f t="array" ref="N2104">_xlfn.SWITCH(Sales[[#This Row],[Subscription Type]],"Basic",10,"Premium",10,"Business",25,"Enterprise",27)</f>
        <v>10</v>
      </c>
      <c r="O2104">
        <f>IF(Sales[[#This Row],[Number of Users]]-Sales[[#This Row],[Licenses Bought]]&lt;0,0,Sales[[#This Row],[Number of Users]]-Sales[[#This Row],[Licenses Bought]])</f>
        <v>3</v>
      </c>
      <c r="P2104" s="8">
        <f>IF(Sales[[#This Row],[Sales Month]]=MAX(Sales[Sales Month]),Sales[[#This Row],[Non-Paying Users]]*Sales[[#This Row],[Upsell $ per Non-Paying User]],0)</f>
        <v>30</v>
      </c>
      <c r="Q2104" t="str" cm="1">
        <f t="array" ref="Q2104">_xlfn.IFS(Sales[[#This Row],[Current Upsell $]]=0,"",Sales[[#This Row],[Current Upsell $]]&gt;=400,"High",Sales[[#This Row],[Current Upsell $]]&gt;=100,"Medium",Sales[[#This Row],[Current Upsell $]]&lt;100,"Low")</f>
        <v>Low</v>
      </c>
      <c r="R2104" t="str">
        <f>IF(Sales[[#This Row],[Current Upsell $]]&gt;0,_xlfn.CONCAT(Sales[[#This Row],[Subscription Type]]," ",Sales[[#This Row],[Upsell Priority]]," ",TEXT(Sales[[#This Row],[Current Upsell $]],"$#,#")),"")</f>
        <v>Premium Low $30</v>
      </c>
    </row>
    <row r="2105" spans="1:18" x14ac:dyDescent="0.25">
      <c r="A2105">
        <v>100297</v>
      </c>
      <c r="B2105" t="s">
        <v>3</v>
      </c>
      <c r="F2105">
        <v>0</v>
      </c>
      <c r="G2105">
        <v>6</v>
      </c>
      <c r="H2105" s="1">
        <v>44317</v>
      </c>
      <c r="I2105" s="1">
        <v>44378</v>
      </c>
      <c r="J2105">
        <v>2</v>
      </c>
      <c r="K2105">
        <v>0</v>
      </c>
      <c r="L2105" s="1">
        <v>44317</v>
      </c>
      <c r="M2105">
        <v>0</v>
      </c>
      <c r="N2105" s="8" cm="1">
        <f t="array" ref="N2105">_xlfn.SWITCH(Sales[[#This Row],[Subscription Type]],"Basic",10,"Premium",10,"Business",25,"Enterprise",27)</f>
        <v>10</v>
      </c>
      <c r="O2105">
        <f>IF(Sales[[#This Row],[Number of Users]]-Sales[[#This Row],[Licenses Bought]]&lt;0,0,Sales[[#This Row],[Number of Users]]-Sales[[#This Row],[Licenses Bought]])</f>
        <v>6</v>
      </c>
      <c r="P2105" s="8">
        <f>IF(Sales[[#This Row],[Sales Month]]=MAX(Sales[Sales Month]),Sales[[#This Row],[Non-Paying Users]]*Sales[[#This Row],[Upsell $ per Non-Paying User]],0)</f>
        <v>0</v>
      </c>
      <c r="Q2105" t="str" cm="1">
        <f t="array" ref="Q2105">_xlfn.IFS(Sales[[#This Row],[Current Upsell $]]=0,"",Sales[[#This Row],[Current Upsell $]]&gt;=400,"High",Sales[[#This Row],[Current Upsell $]]&gt;=100,"Medium",Sales[[#This Row],[Current Upsell $]]&lt;100,"Low")</f>
        <v/>
      </c>
      <c r="R2105" t="str">
        <f>IF(Sales[[#This Row],[Current Upsell $]]&gt;0,_xlfn.CONCAT(Sales[[#This Row],[Subscription Type]]," ",Sales[[#This Row],[Upsell Priority]]," ",TEXT(Sales[[#This Row],[Current Upsell $]],"$#,#")),"")</f>
        <v/>
      </c>
    </row>
    <row r="2106" spans="1:18" x14ac:dyDescent="0.25">
      <c r="A2106">
        <v>100297</v>
      </c>
      <c r="B2106" t="s">
        <v>3</v>
      </c>
      <c r="F2106">
        <v>0</v>
      </c>
      <c r="G2106">
        <v>5</v>
      </c>
      <c r="H2106" s="1">
        <v>44317</v>
      </c>
      <c r="I2106" s="1">
        <v>44378</v>
      </c>
      <c r="J2106">
        <v>2</v>
      </c>
      <c r="K2106">
        <v>0</v>
      </c>
      <c r="L2106" s="1">
        <v>44348</v>
      </c>
      <c r="M2106">
        <v>0</v>
      </c>
      <c r="N2106" s="8" cm="1">
        <f t="array" ref="N2106">_xlfn.SWITCH(Sales[[#This Row],[Subscription Type]],"Basic",10,"Premium",10,"Business",25,"Enterprise",27)</f>
        <v>10</v>
      </c>
      <c r="O2106">
        <f>IF(Sales[[#This Row],[Number of Users]]-Sales[[#This Row],[Licenses Bought]]&lt;0,0,Sales[[#This Row],[Number of Users]]-Sales[[#This Row],[Licenses Bought]])</f>
        <v>5</v>
      </c>
      <c r="P2106" s="8">
        <f>IF(Sales[[#This Row],[Sales Month]]=MAX(Sales[Sales Month]),Sales[[#This Row],[Non-Paying Users]]*Sales[[#This Row],[Upsell $ per Non-Paying User]],0)</f>
        <v>50</v>
      </c>
      <c r="Q2106" t="str" cm="1">
        <f t="array" ref="Q2106">_xlfn.IFS(Sales[[#This Row],[Current Upsell $]]=0,"",Sales[[#This Row],[Current Upsell $]]&gt;=400,"High",Sales[[#This Row],[Current Upsell $]]&gt;=100,"Medium",Sales[[#This Row],[Current Upsell $]]&lt;100,"Low")</f>
        <v>Low</v>
      </c>
      <c r="R2106" t="str">
        <f>IF(Sales[[#This Row],[Current Upsell $]]&gt;0,_xlfn.CONCAT(Sales[[#This Row],[Subscription Type]]," ",Sales[[#This Row],[Upsell Priority]]," ",TEXT(Sales[[#This Row],[Current Upsell $]],"$#,#")),"")</f>
        <v>Basic Low $50</v>
      </c>
    </row>
    <row r="2107" spans="1:18" x14ac:dyDescent="0.25">
      <c r="A2107">
        <v>100298</v>
      </c>
      <c r="B2107" t="s">
        <v>3</v>
      </c>
      <c r="F2107">
        <v>0</v>
      </c>
      <c r="G2107">
        <v>5</v>
      </c>
      <c r="H2107" s="1">
        <v>44317</v>
      </c>
      <c r="I2107" s="1">
        <v>44378</v>
      </c>
      <c r="J2107">
        <v>2</v>
      </c>
      <c r="K2107">
        <v>0</v>
      </c>
      <c r="L2107" s="1">
        <v>44317</v>
      </c>
      <c r="M2107">
        <v>0</v>
      </c>
      <c r="N2107" s="8" cm="1">
        <f t="array" ref="N2107">_xlfn.SWITCH(Sales[[#This Row],[Subscription Type]],"Basic",10,"Premium",10,"Business",25,"Enterprise",27)</f>
        <v>10</v>
      </c>
      <c r="O2107">
        <f>IF(Sales[[#This Row],[Number of Users]]-Sales[[#This Row],[Licenses Bought]]&lt;0,0,Sales[[#This Row],[Number of Users]]-Sales[[#This Row],[Licenses Bought]])</f>
        <v>5</v>
      </c>
      <c r="P2107" s="8">
        <f>IF(Sales[[#This Row],[Sales Month]]=MAX(Sales[Sales Month]),Sales[[#This Row],[Non-Paying Users]]*Sales[[#This Row],[Upsell $ per Non-Paying User]],0)</f>
        <v>0</v>
      </c>
      <c r="Q2107" t="str" cm="1">
        <f t="array" ref="Q2107">_xlfn.IFS(Sales[[#This Row],[Current Upsell $]]=0,"",Sales[[#This Row],[Current Upsell $]]&gt;=400,"High",Sales[[#This Row],[Current Upsell $]]&gt;=100,"Medium",Sales[[#This Row],[Current Upsell $]]&lt;100,"Low")</f>
        <v/>
      </c>
      <c r="R2107" t="str">
        <f>IF(Sales[[#This Row],[Current Upsell $]]&gt;0,_xlfn.CONCAT(Sales[[#This Row],[Subscription Type]]," ",Sales[[#This Row],[Upsell Priority]]," ",TEXT(Sales[[#This Row],[Current Upsell $]],"$#,#")),"")</f>
        <v/>
      </c>
    </row>
    <row r="2108" spans="1:18" x14ac:dyDescent="0.25">
      <c r="A2108">
        <v>100298</v>
      </c>
      <c r="B2108" t="s">
        <v>3</v>
      </c>
      <c r="F2108">
        <v>0</v>
      </c>
      <c r="G2108">
        <v>5</v>
      </c>
      <c r="H2108" s="1">
        <v>44317</v>
      </c>
      <c r="I2108" s="1">
        <v>44378</v>
      </c>
      <c r="J2108">
        <v>2</v>
      </c>
      <c r="K2108">
        <v>0</v>
      </c>
      <c r="L2108" s="1">
        <v>44348</v>
      </c>
      <c r="M2108">
        <v>0</v>
      </c>
      <c r="N2108" s="8" cm="1">
        <f t="array" ref="N2108">_xlfn.SWITCH(Sales[[#This Row],[Subscription Type]],"Basic",10,"Premium",10,"Business",25,"Enterprise",27)</f>
        <v>10</v>
      </c>
      <c r="O2108">
        <f>IF(Sales[[#This Row],[Number of Users]]-Sales[[#This Row],[Licenses Bought]]&lt;0,0,Sales[[#This Row],[Number of Users]]-Sales[[#This Row],[Licenses Bought]])</f>
        <v>5</v>
      </c>
      <c r="P2108" s="8">
        <f>IF(Sales[[#This Row],[Sales Month]]=MAX(Sales[Sales Month]),Sales[[#This Row],[Non-Paying Users]]*Sales[[#This Row],[Upsell $ per Non-Paying User]],0)</f>
        <v>50</v>
      </c>
      <c r="Q2108" t="str" cm="1">
        <f t="array" ref="Q2108">_xlfn.IFS(Sales[[#This Row],[Current Upsell $]]=0,"",Sales[[#This Row],[Current Upsell $]]&gt;=400,"High",Sales[[#This Row],[Current Upsell $]]&gt;=100,"Medium",Sales[[#This Row],[Current Upsell $]]&lt;100,"Low")</f>
        <v>Low</v>
      </c>
      <c r="R2108" t="str">
        <f>IF(Sales[[#This Row],[Current Upsell $]]&gt;0,_xlfn.CONCAT(Sales[[#This Row],[Subscription Type]]," ",Sales[[#This Row],[Upsell Priority]]," ",TEXT(Sales[[#This Row],[Current Upsell $]],"$#,#")),"")</f>
        <v>Basic Low $50</v>
      </c>
    </row>
    <row r="2109" spans="1:18" x14ac:dyDescent="0.25">
      <c r="A2109">
        <v>100299</v>
      </c>
      <c r="B2109" t="s">
        <v>3</v>
      </c>
      <c r="F2109">
        <v>0</v>
      </c>
      <c r="G2109">
        <v>6</v>
      </c>
      <c r="H2109" s="1">
        <v>44317</v>
      </c>
      <c r="I2109" s="1">
        <v>44348</v>
      </c>
      <c r="J2109">
        <v>1</v>
      </c>
      <c r="K2109">
        <v>0</v>
      </c>
      <c r="L2109" s="1">
        <v>44317</v>
      </c>
      <c r="M2109">
        <v>0</v>
      </c>
      <c r="N2109" s="8" cm="1">
        <f t="array" ref="N2109">_xlfn.SWITCH(Sales[[#This Row],[Subscription Type]],"Basic",10,"Premium",10,"Business",25,"Enterprise",27)</f>
        <v>10</v>
      </c>
      <c r="O2109">
        <f>IF(Sales[[#This Row],[Number of Users]]-Sales[[#This Row],[Licenses Bought]]&lt;0,0,Sales[[#This Row],[Number of Users]]-Sales[[#This Row],[Licenses Bought]])</f>
        <v>6</v>
      </c>
      <c r="P2109" s="8">
        <f>IF(Sales[[#This Row],[Sales Month]]=MAX(Sales[Sales Month]),Sales[[#This Row],[Non-Paying Users]]*Sales[[#This Row],[Upsell $ per Non-Paying User]],0)</f>
        <v>0</v>
      </c>
      <c r="Q2109" t="str" cm="1">
        <f t="array" ref="Q2109">_xlfn.IFS(Sales[[#This Row],[Current Upsell $]]=0,"",Sales[[#This Row],[Current Upsell $]]&gt;=400,"High",Sales[[#This Row],[Current Upsell $]]&gt;=100,"Medium",Sales[[#This Row],[Current Upsell $]]&lt;100,"Low")</f>
        <v/>
      </c>
      <c r="R2109" t="str">
        <f>IF(Sales[[#This Row],[Current Upsell $]]&gt;0,_xlfn.CONCAT(Sales[[#This Row],[Subscription Type]]," ",Sales[[#This Row],[Upsell Priority]]," ",TEXT(Sales[[#This Row],[Current Upsell $]],"$#,#")),"")</f>
        <v/>
      </c>
    </row>
    <row r="2110" spans="1:18" x14ac:dyDescent="0.25">
      <c r="A2110">
        <v>100299</v>
      </c>
      <c r="B2110" t="s">
        <v>3</v>
      </c>
      <c r="F2110">
        <v>0</v>
      </c>
      <c r="G2110">
        <v>4</v>
      </c>
      <c r="H2110" s="1">
        <v>44317</v>
      </c>
      <c r="I2110" s="1">
        <v>44348</v>
      </c>
      <c r="J2110">
        <v>1</v>
      </c>
      <c r="K2110">
        <v>0</v>
      </c>
      <c r="L2110" s="1">
        <v>44348</v>
      </c>
      <c r="M2110">
        <v>0</v>
      </c>
      <c r="N2110" s="8" cm="1">
        <f t="array" ref="N2110">_xlfn.SWITCH(Sales[[#This Row],[Subscription Type]],"Basic",10,"Premium",10,"Business",25,"Enterprise",27)</f>
        <v>10</v>
      </c>
      <c r="O2110">
        <f>IF(Sales[[#This Row],[Number of Users]]-Sales[[#This Row],[Licenses Bought]]&lt;0,0,Sales[[#This Row],[Number of Users]]-Sales[[#This Row],[Licenses Bought]])</f>
        <v>4</v>
      </c>
      <c r="P2110" s="8">
        <f>IF(Sales[[#This Row],[Sales Month]]=MAX(Sales[Sales Month]),Sales[[#This Row],[Non-Paying Users]]*Sales[[#This Row],[Upsell $ per Non-Paying User]],0)</f>
        <v>40</v>
      </c>
      <c r="Q2110" t="str" cm="1">
        <f t="array" ref="Q2110">_xlfn.IFS(Sales[[#This Row],[Current Upsell $]]=0,"",Sales[[#This Row],[Current Upsell $]]&gt;=400,"High",Sales[[#This Row],[Current Upsell $]]&gt;=100,"Medium",Sales[[#This Row],[Current Upsell $]]&lt;100,"Low")</f>
        <v>Low</v>
      </c>
      <c r="R2110" t="str">
        <f>IF(Sales[[#This Row],[Current Upsell $]]&gt;0,_xlfn.CONCAT(Sales[[#This Row],[Subscription Type]]," ",Sales[[#This Row],[Upsell Priority]]," ",TEXT(Sales[[#This Row],[Current Upsell $]],"$#,#")),"")</f>
        <v>Basic Low $40</v>
      </c>
    </row>
    <row r="2111" spans="1:18" x14ac:dyDescent="0.25">
      <c r="A2111">
        <v>100300</v>
      </c>
      <c r="B2111" t="s">
        <v>3</v>
      </c>
      <c r="D2111" s="1"/>
      <c r="E2111" s="1"/>
      <c r="F2111">
        <v>0</v>
      </c>
      <c r="G2111">
        <v>43</v>
      </c>
      <c r="H2111" s="1">
        <v>44317</v>
      </c>
      <c r="I2111" s="1">
        <v>44378</v>
      </c>
      <c r="J2111">
        <v>2</v>
      </c>
      <c r="K2111">
        <v>0</v>
      </c>
      <c r="L2111" s="1">
        <v>44317</v>
      </c>
      <c r="M2111">
        <v>0</v>
      </c>
      <c r="N2111" s="8" cm="1">
        <f t="array" ref="N2111">_xlfn.SWITCH(Sales[[#This Row],[Subscription Type]],"Basic",10,"Premium",10,"Business",25,"Enterprise",27)</f>
        <v>10</v>
      </c>
      <c r="O2111">
        <f>IF(Sales[[#This Row],[Number of Users]]-Sales[[#This Row],[Licenses Bought]]&lt;0,0,Sales[[#This Row],[Number of Users]]-Sales[[#This Row],[Licenses Bought]])</f>
        <v>43</v>
      </c>
      <c r="P2111" s="8">
        <f>IF(Sales[[#This Row],[Sales Month]]=MAX(Sales[Sales Month]),Sales[[#This Row],[Non-Paying Users]]*Sales[[#This Row],[Upsell $ per Non-Paying User]],0)</f>
        <v>0</v>
      </c>
      <c r="Q2111" t="str" cm="1">
        <f t="array" ref="Q2111">_xlfn.IFS(Sales[[#This Row],[Current Upsell $]]=0,"",Sales[[#This Row],[Current Upsell $]]&gt;=400,"High",Sales[[#This Row],[Current Upsell $]]&gt;=100,"Medium",Sales[[#This Row],[Current Upsell $]]&lt;100,"Low")</f>
        <v/>
      </c>
      <c r="R2111" t="str">
        <f>IF(Sales[[#This Row],[Current Upsell $]]&gt;0,_xlfn.CONCAT(Sales[[#This Row],[Subscription Type]]," ",Sales[[#This Row],[Upsell Priority]]," ",TEXT(Sales[[#This Row],[Current Upsell $]],"$#,#")),"")</f>
        <v/>
      </c>
    </row>
    <row r="2112" spans="1:18" x14ac:dyDescent="0.25">
      <c r="A2112">
        <v>100300</v>
      </c>
      <c r="B2112" t="s">
        <v>2</v>
      </c>
      <c r="C2112">
        <v>12</v>
      </c>
      <c r="D2112" s="1">
        <v>44531</v>
      </c>
      <c r="E2112" s="1">
        <v>44895</v>
      </c>
      <c r="F2112">
        <v>40</v>
      </c>
      <c r="G2112">
        <v>47</v>
      </c>
      <c r="H2112" s="1">
        <v>44317</v>
      </c>
      <c r="I2112" s="1">
        <v>44378</v>
      </c>
      <c r="J2112">
        <v>2</v>
      </c>
      <c r="K2112">
        <v>0</v>
      </c>
      <c r="L2112" s="1">
        <v>44348</v>
      </c>
      <c r="M2112">
        <v>1140</v>
      </c>
      <c r="N2112" s="8" cm="1">
        <f t="array" ref="N2112">_xlfn.SWITCH(Sales[[#This Row],[Subscription Type]],"Basic",10,"Premium",10,"Business",25,"Enterprise",27)</f>
        <v>27</v>
      </c>
      <c r="O2112">
        <f>IF(Sales[[#This Row],[Number of Users]]-Sales[[#This Row],[Licenses Bought]]&lt;0,0,Sales[[#This Row],[Number of Users]]-Sales[[#This Row],[Licenses Bought]])</f>
        <v>7</v>
      </c>
      <c r="P2112" s="8">
        <f>IF(Sales[[#This Row],[Sales Month]]=MAX(Sales[Sales Month]),Sales[[#This Row],[Non-Paying Users]]*Sales[[#This Row],[Upsell $ per Non-Paying User]],0)</f>
        <v>189</v>
      </c>
      <c r="Q2112" t="str" cm="1">
        <f t="array" ref="Q2112">_xlfn.IFS(Sales[[#This Row],[Current Upsell $]]=0,"",Sales[[#This Row],[Current Upsell $]]&gt;=400,"High",Sales[[#This Row],[Current Upsell $]]&gt;=100,"Medium",Sales[[#This Row],[Current Upsell $]]&lt;100,"Low")</f>
        <v>Medium</v>
      </c>
      <c r="R2112" t="str">
        <f>IF(Sales[[#This Row],[Current Upsell $]]&gt;0,_xlfn.CONCAT(Sales[[#This Row],[Subscription Type]]," ",Sales[[#This Row],[Upsell Priority]]," ",TEXT(Sales[[#This Row],[Current Upsell $]],"$#,#")),"")</f>
        <v>Enterprise Medium $189</v>
      </c>
    </row>
    <row r="2113" spans="1:18" x14ac:dyDescent="0.25">
      <c r="A2113">
        <v>100301</v>
      </c>
      <c r="B2113" t="s">
        <v>3</v>
      </c>
      <c r="D2113" s="1"/>
      <c r="E2113" s="1"/>
      <c r="F2113">
        <v>0</v>
      </c>
      <c r="G2113">
        <v>513</v>
      </c>
      <c r="H2113" s="1">
        <v>44317</v>
      </c>
      <c r="I2113" s="1">
        <v>44378</v>
      </c>
      <c r="J2113">
        <v>2</v>
      </c>
      <c r="K2113">
        <v>0</v>
      </c>
      <c r="L2113" s="1">
        <v>44317</v>
      </c>
      <c r="M2113">
        <v>0</v>
      </c>
      <c r="N2113" s="8" cm="1">
        <f t="array" ref="N2113">_xlfn.SWITCH(Sales[[#This Row],[Subscription Type]],"Basic",10,"Premium",10,"Business",25,"Enterprise",27)</f>
        <v>10</v>
      </c>
      <c r="O2113">
        <f>IF(Sales[[#This Row],[Number of Users]]-Sales[[#This Row],[Licenses Bought]]&lt;0,0,Sales[[#This Row],[Number of Users]]-Sales[[#This Row],[Licenses Bought]])</f>
        <v>513</v>
      </c>
      <c r="P2113" s="8">
        <f>IF(Sales[[#This Row],[Sales Month]]=MAX(Sales[Sales Month]),Sales[[#This Row],[Non-Paying Users]]*Sales[[#This Row],[Upsell $ per Non-Paying User]],0)</f>
        <v>0</v>
      </c>
      <c r="Q2113" t="str" cm="1">
        <f t="array" ref="Q2113">_xlfn.IFS(Sales[[#This Row],[Current Upsell $]]=0,"",Sales[[#This Row],[Current Upsell $]]&gt;=400,"High",Sales[[#This Row],[Current Upsell $]]&gt;=100,"Medium",Sales[[#This Row],[Current Upsell $]]&lt;100,"Low")</f>
        <v/>
      </c>
      <c r="R2113" t="str">
        <f>IF(Sales[[#This Row],[Current Upsell $]]&gt;0,_xlfn.CONCAT(Sales[[#This Row],[Subscription Type]]," ",Sales[[#This Row],[Upsell Priority]]," ",TEXT(Sales[[#This Row],[Current Upsell $]],"$#,#")),"")</f>
        <v/>
      </c>
    </row>
    <row r="2114" spans="1:18" x14ac:dyDescent="0.25">
      <c r="A2114">
        <v>100301</v>
      </c>
      <c r="B2114" t="s">
        <v>2</v>
      </c>
      <c r="C2114">
        <v>12</v>
      </c>
      <c r="D2114" s="1">
        <v>44562</v>
      </c>
      <c r="E2114" s="1">
        <v>44926</v>
      </c>
      <c r="F2114">
        <v>525</v>
      </c>
      <c r="G2114">
        <v>479</v>
      </c>
      <c r="H2114" s="1">
        <v>44317</v>
      </c>
      <c r="I2114" s="1">
        <v>44378</v>
      </c>
      <c r="J2114">
        <v>2</v>
      </c>
      <c r="K2114">
        <v>0</v>
      </c>
      <c r="L2114" s="1">
        <v>44348</v>
      </c>
      <c r="M2114">
        <v>6600</v>
      </c>
      <c r="N2114" s="8" cm="1">
        <f t="array" ref="N2114">_xlfn.SWITCH(Sales[[#This Row],[Subscription Type]],"Basic",10,"Premium",10,"Business",25,"Enterprise",27)</f>
        <v>27</v>
      </c>
      <c r="O2114">
        <f>IF(Sales[[#This Row],[Number of Users]]-Sales[[#This Row],[Licenses Bought]]&lt;0,0,Sales[[#This Row],[Number of Users]]-Sales[[#This Row],[Licenses Bought]])</f>
        <v>0</v>
      </c>
      <c r="P2114" s="8">
        <f>IF(Sales[[#This Row],[Sales Month]]=MAX(Sales[Sales Month]),Sales[[#This Row],[Non-Paying Users]]*Sales[[#This Row],[Upsell $ per Non-Paying User]],0)</f>
        <v>0</v>
      </c>
      <c r="Q2114" t="str" cm="1">
        <f t="array" ref="Q2114">_xlfn.IFS(Sales[[#This Row],[Current Upsell $]]=0,"",Sales[[#This Row],[Current Upsell $]]&gt;=400,"High",Sales[[#This Row],[Current Upsell $]]&gt;=100,"Medium",Sales[[#This Row],[Current Upsell $]]&lt;100,"Low")</f>
        <v/>
      </c>
      <c r="R2114" t="str">
        <f>IF(Sales[[#This Row],[Current Upsell $]]&gt;0,_xlfn.CONCAT(Sales[[#This Row],[Subscription Type]]," ",Sales[[#This Row],[Upsell Priority]]," ",TEXT(Sales[[#This Row],[Current Upsell $]],"$#,#")),"")</f>
        <v/>
      </c>
    </row>
    <row r="2115" spans="1:18" x14ac:dyDescent="0.25">
      <c r="A2115">
        <v>100302</v>
      </c>
      <c r="B2115" t="s">
        <v>3</v>
      </c>
      <c r="F2115">
        <v>0</v>
      </c>
      <c r="G2115">
        <v>4</v>
      </c>
      <c r="H2115" s="1">
        <v>44317</v>
      </c>
      <c r="I2115" s="1">
        <v>44348</v>
      </c>
      <c r="J2115">
        <v>1</v>
      </c>
      <c r="K2115">
        <v>0</v>
      </c>
      <c r="L2115" s="1">
        <v>44317</v>
      </c>
      <c r="M2115">
        <v>0</v>
      </c>
      <c r="N2115" s="8" cm="1">
        <f t="array" ref="N2115">_xlfn.SWITCH(Sales[[#This Row],[Subscription Type]],"Basic",10,"Premium",10,"Business",25,"Enterprise",27)</f>
        <v>10</v>
      </c>
      <c r="O2115">
        <f>IF(Sales[[#This Row],[Number of Users]]-Sales[[#This Row],[Licenses Bought]]&lt;0,0,Sales[[#This Row],[Number of Users]]-Sales[[#This Row],[Licenses Bought]])</f>
        <v>4</v>
      </c>
      <c r="P2115" s="8">
        <f>IF(Sales[[#This Row],[Sales Month]]=MAX(Sales[Sales Month]),Sales[[#This Row],[Non-Paying Users]]*Sales[[#This Row],[Upsell $ per Non-Paying User]],0)</f>
        <v>0</v>
      </c>
      <c r="Q2115" t="str" cm="1">
        <f t="array" ref="Q2115">_xlfn.IFS(Sales[[#This Row],[Current Upsell $]]=0,"",Sales[[#This Row],[Current Upsell $]]&gt;=400,"High",Sales[[#This Row],[Current Upsell $]]&gt;=100,"Medium",Sales[[#This Row],[Current Upsell $]]&lt;100,"Low")</f>
        <v/>
      </c>
      <c r="R2115" t="str">
        <f>IF(Sales[[#This Row],[Current Upsell $]]&gt;0,_xlfn.CONCAT(Sales[[#This Row],[Subscription Type]]," ",Sales[[#This Row],[Upsell Priority]]," ",TEXT(Sales[[#This Row],[Current Upsell $]],"$#,#")),"")</f>
        <v/>
      </c>
    </row>
    <row r="2116" spans="1:18" x14ac:dyDescent="0.25">
      <c r="A2116">
        <v>100302</v>
      </c>
      <c r="B2116" t="s">
        <v>3</v>
      </c>
      <c r="F2116">
        <v>0</v>
      </c>
      <c r="G2116">
        <v>4</v>
      </c>
      <c r="H2116" s="1">
        <v>44317</v>
      </c>
      <c r="I2116" s="1">
        <v>44348</v>
      </c>
      <c r="J2116">
        <v>1</v>
      </c>
      <c r="K2116">
        <v>0</v>
      </c>
      <c r="L2116" s="1">
        <v>44348</v>
      </c>
      <c r="M2116">
        <v>0</v>
      </c>
      <c r="N2116" s="8" cm="1">
        <f t="array" ref="N2116">_xlfn.SWITCH(Sales[[#This Row],[Subscription Type]],"Basic",10,"Premium",10,"Business",25,"Enterprise",27)</f>
        <v>10</v>
      </c>
      <c r="O2116">
        <f>IF(Sales[[#This Row],[Number of Users]]-Sales[[#This Row],[Licenses Bought]]&lt;0,0,Sales[[#This Row],[Number of Users]]-Sales[[#This Row],[Licenses Bought]])</f>
        <v>4</v>
      </c>
      <c r="P2116" s="8">
        <f>IF(Sales[[#This Row],[Sales Month]]=MAX(Sales[Sales Month]),Sales[[#This Row],[Non-Paying Users]]*Sales[[#This Row],[Upsell $ per Non-Paying User]],0)</f>
        <v>40</v>
      </c>
      <c r="Q2116" t="str" cm="1">
        <f t="array" ref="Q2116">_xlfn.IFS(Sales[[#This Row],[Current Upsell $]]=0,"",Sales[[#This Row],[Current Upsell $]]&gt;=400,"High",Sales[[#This Row],[Current Upsell $]]&gt;=100,"Medium",Sales[[#This Row],[Current Upsell $]]&lt;100,"Low")</f>
        <v>Low</v>
      </c>
      <c r="R2116" t="str">
        <f>IF(Sales[[#This Row],[Current Upsell $]]&gt;0,_xlfn.CONCAT(Sales[[#This Row],[Subscription Type]]," ",Sales[[#This Row],[Upsell Priority]]," ",TEXT(Sales[[#This Row],[Current Upsell $]],"$#,#")),"")</f>
        <v>Basic Low $40</v>
      </c>
    </row>
    <row r="2117" spans="1:18" x14ac:dyDescent="0.25">
      <c r="A2117">
        <v>100303</v>
      </c>
      <c r="B2117" t="s">
        <v>3</v>
      </c>
      <c r="F2117">
        <v>0</v>
      </c>
      <c r="G2117">
        <v>4</v>
      </c>
      <c r="H2117" s="1">
        <v>44317</v>
      </c>
      <c r="I2117" s="1">
        <v>44378</v>
      </c>
      <c r="J2117">
        <v>2</v>
      </c>
      <c r="K2117">
        <v>0</v>
      </c>
      <c r="L2117" s="1">
        <v>44317</v>
      </c>
      <c r="M2117">
        <v>0</v>
      </c>
      <c r="N2117" s="8" cm="1">
        <f t="array" ref="N2117">_xlfn.SWITCH(Sales[[#This Row],[Subscription Type]],"Basic",10,"Premium",10,"Business",25,"Enterprise",27)</f>
        <v>10</v>
      </c>
      <c r="O2117">
        <f>IF(Sales[[#This Row],[Number of Users]]-Sales[[#This Row],[Licenses Bought]]&lt;0,0,Sales[[#This Row],[Number of Users]]-Sales[[#This Row],[Licenses Bought]])</f>
        <v>4</v>
      </c>
      <c r="P2117" s="8">
        <f>IF(Sales[[#This Row],[Sales Month]]=MAX(Sales[Sales Month]),Sales[[#This Row],[Non-Paying Users]]*Sales[[#This Row],[Upsell $ per Non-Paying User]],0)</f>
        <v>0</v>
      </c>
      <c r="Q2117" t="str" cm="1">
        <f t="array" ref="Q2117">_xlfn.IFS(Sales[[#This Row],[Current Upsell $]]=0,"",Sales[[#This Row],[Current Upsell $]]&gt;=400,"High",Sales[[#This Row],[Current Upsell $]]&gt;=100,"Medium",Sales[[#This Row],[Current Upsell $]]&lt;100,"Low")</f>
        <v/>
      </c>
      <c r="R2117" t="str">
        <f>IF(Sales[[#This Row],[Current Upsell $]]&gt;0,_xlfn.CONCAT(Sales[[#This Row],[Subscription Type]]," ",Sales[[#This Row],[Upsell Priority]]," ",TEXT(Sales[[#This Row],[Current Upsell $]],"$#,#")),"")</f>
        <v/>
      </c>
    </row>
    <row r="2118" spans="1:18" x14ac:dyDescent="0.25">
      <c r="A2118">
        <v>100303</v>
      </c>
      <c r="B2118" t="s">
        <v>3</v>
      </c>
      <c r="F2118">
        <v>0</v>
      </c>
      <c r="G2118">
        <v>4</v>
      </c>
      <c r="H2118" s="1">
        <v>44317</v>
      </c>
      <c r="I2118" s="1">
        <v>44378</v>
      </c>
      <c r="J2118">
        <v>2</v>
      </c>
      <c r="K2118">
        <v>0</v>
      </c>
      <c r="L2118" s="1">
        <v>44348</v>
      </c>
      <c r="M2118">
        <v>0</v>
      </c>
      <c r="N2118" s="8" cm="1">
        <f t="array" ref="N2118">_xlfn.SWITCH(Sales[[#This Row],[Subscription Type]],"Basic",10,"Premium",10,"Business",25,"Enterprise",27)</f>
        <v>10</v>
      </c>
      <c r="O2118">
        <f>IF(Sales[[#This Row],[Number of Users]]-Sales[[#This Row],[Licenses Bought]]&lt;0,0,Sales[[#This Row],[Number of Users]]-Sales[[#This Row],[Licenses Bought]])</f>
        <v>4</v>
      </c>
      <c r="P2118" s="8">
        <f>IF(Sales[[#This Row],[Sales Month]]=MAX(Sales[Sales Month]),Sales[[#This Row],[Non-Paying Users]]*Sales[[#This Row],[Upsell $ per Non-Paying User]],0)</f>
        <v>40</v>
      </c>
      <c r="Q2118" t="str" cm="1">
        <f t="array" ref="Q2118">_xlfn.IFS(Sales[[#This Row],[Current Upsell $]]=0,"",Sales[[#This Row],[Current Upsell $]]&gt;=400,"High",Sales[[#This Row],[Current Upsell $]]&gt;=100,"Medium",Sales[[#This Row],[Current Upsell $]]&lt;100,"Low")</f>
        <v>Low</v>
      </c>
      <c r="R2118" t="str">
        <f>IF(Sales[[#This Row],[Current Upsell $]]&gt;0,_xlfn.CONCAT(Sales[[#This Row],[Subscription Type]]," ",Sales[[#This Row],[Upsell Priority]]," ",TEXT(Sales[[#This Row],[Current Upsell $]],"$#,#")),"")</f>
        <v>Basic Low $40</v>
      </c>
    </row>
    <row r="2119" spans="1:18" x14ac:dyDescent="0.25">
      <c r="A2119">
        <v>100304</v>
      </c>
      <c r="B2119" t="s">
        <v>3</v>
      </c>
      <c r="D2119" s="1"/>
      <c r="E2119" s="1"/>
      <c r="F2119">
        <v>0</v>
      </c>
      <c r="G2119">
        <v>3</v>
      </c>
      <c r="H2119" s="1">
        <v>44317</v>
      </c>
      <c r="I2119" s="1">
        <v>44378</v>
      </c>
      <c r="J2119">
        <v>2</v>
      </c>
      <c r="K2119">
        <v>0</v>
      </c>
      <c r="L2119" s="1">
        <v>44317</v>
      </c>
      <c r="M2119">
        <v>0</v>
      </c>
      <c r="N2119" s="8" cm="1">
        <f t="array" ref="N2119">_xlfn.SWITCH(Sales[[#This Row],[Subscription Type]],"Basic",10,"Premium",10,"Business",25,"Enterprise",27)</f>
        <v>10</v>
      </c>
      <c r="O2119">
        <f>IF(Sales[[#This Row],[Number of Users]]-Sales[[#This Row],[Licenses Bought]]&lt;0,0,Sales[[#This Row],[Number of Users]]-Sales[[#This Row],[Licenses Bought]])</f>
        <v>3</v>
      </c>
      <c r="P2119" s="8">
        <f>IF(Sales[[#This Row],[Sales Month]]=MAX(Sales[Sales Month]),Sales[[#This Row],[Non-Paying Users]]*Sales[[#This Row],[Upsell $ per Non-Paying User]],0)</f>
        <v>0</v>
      </c>
      <c r="Q2119" t="str" cm="1">
        <f t="array" ref="Q2119">_xlfn.IFS(Sales[[#This Row],[Current Upsell $]]=0,"",Sales[[#This Row],[Current Upsell $]]&gt;=400,"High",Sales[[#This Row],[Current Upsell $]]&gt;=100,"Medium",Sales[[#This Row],[Current Upsell $]]&lt;100,"Low")</f>
        <v/>
      </c>
      <c r="R2119" t="str">
        <f>IF(Sales[[#This Row],[Current Upsell $]]&gt;0,_xlfn.CONCAT(Sales[[#This Row],[Subscription Type]]," ",Sales[[#This Row],[Upsell Priority]]," ",TEXT(Sales[[#This Row],[Current Upsell $]],"$#,#")),"")</f>
        <v/>
      </c>
    </row>
    <row r="2120" spans="1:18" x14ac:dyDescent="0.25">
      <c r="A2120">
        <v>100304</v>
      </c>
      <c r="B2120" t="s">
        <v>0</v>
      </c>
      <c r="D2120" s="1"/>
      <c r="E2120" s="1"/>
      <c r="F2120">
        <v>2</v>
      </c>
      <c r="G2120">
        <v>3</v>
      </c>
      <c r="H2120" s="1">
        <v>44317</v>
      </c>
      <c r="I2120" s="1">
        <v>44378</v>
      </c>
      <c r="J2120">
        <v>2</v>
      </c>
      <c r="K2120">
        <v>0</v>
      </c>
      <c r="L2120" s="1">
        <v>44348</v>
      </c>
      <c r="M2120">
        <v>20</v>
      </c>
      <c r="N2120" s="8" cm="1">
        <f t="array" ref="N2120">_xlfn.SWITCH(Sales[[#This Row],[Subscription Type]],"Basic",10,"Premium",10,"Business",25,"Enterprise",27)</f>
        <v>10</v>
      </c>
      <c r="O2120">
        <f>IF(Sales[[#This Row],[Number of Users]]-Sales[[#This Row],[Licenses Bought]]&lt;0,0,Sales[[#This Row],[Number of Users]]-Sales[[#This Row],[Licenses Bought]])</f>
        <v>1</v>
      </c>
      <c r="P2120" s="8">
        <f>IF(Sales[[#This Row],[Sales Month]]=MAX(Sales[Sales Month]),Sales[[#This Row],[Non-Paying Users]]*Sales[[#This Row],[Upsell $ per Non-Paying User]],0)</f>
        <v>10</v>
      </c>
      <c r="Q2120" t="str" cm="1">
        <f t="array" ref="Q2120">_xlfn.IFS(Sales[[#This Row],[Current Upsell $]]=0,"",Sales[[#This Row],[Current Upsell $]]&gt;=400,"High",Sales[[#This Row],[Current Upsell $]]&gt;=100,"Medium",Sales[[#This Row],[Current Upsell $]]&lt;100,"Low")</f>
        <v>Low</v>
      </c>
      <c r="R2120" t="str">
        <f>IF(Sales[[#This Row],[Current Upsell $]]&gt;0,_xlfn.CONCAT(Sales[[#This Row],[Subscription Type]]," ",Sales[[#This Row],[Upsell Priority]]," ",TEXT(Sales[[#This Row],[Current Upsell $]],"$#,#")),"")</f>
        <v>Premium Low $10</v>
      </c>
    </row>
    <row r="2121" spans="1:18" x14ac:dyDescent="0.25">
      <c r="A2121">
        <v>100305</v>
      </c>
      <c r="B2121" t="s">
        <v>3</v>
      </c>
      <c r="F2121">
        <v>0</v>
      </c>
      <c r="G2121">
        <v>2</v>
      </c>
      <c r="H2121" s="1">
        <v>44317</v>
      </c>
      <c r="I2121" s="1">
        <v>44348</v>
      </c>
      <c r="J2121">
        <v>1</v>
      </c>
      <c r="K2121">
        <v>0</v>
      </c>
      <c r="L2121" s="1">
        <v>44317</v>
      </c>
      <c r="M2121">
        <v>0</v>
      </c>
      <c r="N2121" s="8" cm="1">
        <f t="array" ref="N2121">_xlfn.SWITCH(Sales[[#This Row],[Subscription Type]],"Basic",10,"Premium",10,"Business",25,"Enterprise",27)</f>
        <v>10</v>
      </c>
      <c r="O2121">
        <f>IF(Sales[[#This Row],[Number of Users]]-Sales[[#This Row],[Licenses Bought]]&lt;0,0,Sales[[#This Row],[Number of Users]]-Sales[[#This Row],[Licenses Bought]])</f>
        <v>2</v>
      </c>
      <c r="P2121" s="8">
        <f>IF(Sales[[#This Row],[Sales Month]]=MAX(Sales[Sales Month]),Sales[[#This Row],[Non-Paying Users]]*Sales[[#This Row],[Upsell $ per Non-Paying User]],0)</f>
        <v>0</v>
      </c>
      <c r="Q2121" t="str" cm="1">
        <f t="array" ref="Q2121">_xlfn.IFS(Sales[[#This Row],[Current Upsell $]]=0,"",Sales[[#This Row],[Current Upsell $]]&gt;=400,"High",Sales[[#This Row],[Current Upsell $]]&gt;=100,"Medium",Sales[[#This Row],[Current Upsell $]]&lt;100,"Low")</f>
        <v/>
      </c>
      <c r="R2121" t="str">
        <f>IF(Sales[[#This Row],[Current Upsell $]]&gt;0,_xlfn.CONCAT(Sales[[#This Row],[Subscription Type]]," ",Sales[[#This Row],[Upsell Priority]]," ",TEXT(Sales[[#This Row],[Current Upsell $]],"$#,#")),"")</f>
        <v/>
      </c>
    </row>
    <row r="2122" spans="1:18" x14ac:dyDescent="0.25">
      <c r="A2122">
        <v>100305</v>
      </c>
      <c r="B2122" t="s">
        <v>3</v>
      </c>
      <c r="F2122">
        <v>0</v>
      </c>
      <c r="G2122">
        <v>2</v>
      </c>
      <c r="H2122" s="1">
        <v>44317</v>
      </c>
      <c r="I2122" s="1">
        <v>44348</v>
      </c>
      <c r="J2122">
        <v>1</v>
      </c>
      <c r="K2122">
        <v>0</v>
      </c>
      <c r="L2122" s="1">
        <v>44348</v>
      </c>
      <c r="M2122">
        <v>0</v>
      </c>
      <c r="N2122" s="8" cm="1">
        <f t="array" ref="N2122">_xlfn.SWITCH(Sales[[#This Row],[Subscription Type]],"Basic",10,"Premium",10,"Business",25,"Enterprise",27)</f>
        <v>10</v>
      </c>
      <c r="O2122">
        <f>IF(Sales[[#This Row],[Number of Users]]-Sales[[#This Row],[Licenses Bought]]&lt;0,0,Sales[[#This Row],[Number of Users]]-Sales[[#This Row],[Licenses Bought]])</f>
        <v>2</v>
      </c>
      <c r="P2122" s="8">
        <f>IF(Sales[[#This Row],[Sales Month]]=MAX(Sales[Sales Month]),Sales[[#This Row],[Non-Paying Users]]*Sales[[#This Row],[Upsell $ per Non-Paying User]],0)</f>
        <v>20</v>
      </c>
      <c r="Q2122" t="str" cm="1">
        <f t="array" ref="Q2122">_xlfn.IFS(Sales[[#This Row],[Current Upsell $]]=0,"",Sales[[#This Row],[Current Upsell $]]&gt;=400,"High",Sales[[#This Row],[Current Upsell $]]&gt;=100,"Medium",Sales[[#This Row],[Current Upsell $]]&lt;100,"Low")</f>
        <v>Low</v>
      </c>
      <c r="R2122" t="str">
        <f>IF(Sales[[#This Row],[Current Upsell $]]&gt;0,_xlfn.CONCAT(Sales[[#This Row],[Subscription Type]]," ",Sales[[#This Row],[Upsell Priority]]," ",TEXT(Sales[[#This Row],[Current Upsell $]],"$#,#")),"")</f>
        <v>Basic Low $20</v>
      </c>
    </row>
    <row r="2123" spans="1:18" x14ac:dyDescent="0.25">
      <c r="A2123">
        <v>100306</v>
      </c>
      <c r="B2123" t="s">
        <v>3</v>
      </c>
      <c r="F2123">
        <v>0</v>
      </c>
      <c r="G2123">
        <v>2</v>
      </c>
      <c r="H2123" s="1">
        <v>44317</v>
      </c>
      <c r="I2123" s="1">
        <v>44348</v>
      </c>
      <c r="J2123">
        <v>1</v>
      </c>
      <c r="K2123">
        <v>0</v>
      </c>
      <c r="L2123" s="1">
        <v>44317</v>
      </c>
      <c r="M2123">
        <v>0</v>
      </c>
      <c r="N2123" s="8" cm="1">
        <f t="array" ref="N2123">_xlfn.SWITCH(Sales[[#This Row],[Subscription Type]],"Basic",10,"Premium",10,"Business",25,"Enterprise",27)</f>
        <v>10</v>
      </c>
      <c r="O2123">
        <f>IF(Sales[[#This Row],[Number of Users]]-Sales[[#This Row],[Licenses Bought]]&lt;0,0,Sales[[#This Row],[Number of Users]]-Sales[[#This Row],[Licenses Bought]])</f>
        <v>2</v>
      </c>
      <c r="P2123" s="8">
        <f>IF(Sales[[#This Row],[Sales Month]]=MAX(Sales[Sales Month]),Sales[[#This Row],[Non-Paying Users]]*Sales[[#This Row],[Upsell $ per Non-Paying User]],0)</f>
        <v>0</v>
      </c>
      <c r="Q2123" t="str" cm="1">
        <f t="array" ref="Q2123">_xlfn.IFS(Sales[[#This Row],[Current Upsell $]]=0,"",Sales[[#This Row],[Current Upsell $]]&gt;=400,"High",Sales[[#This Row],[Current Upsell $]]&gt;=100,"Medium",Sales[[#This Row],[Current Upsell $]]&lt;100,"Low")</f>
        <v/>
      </c>
      <c r="R2123" t="str">
        <f>IF(Sales[[#This Row],[Current Upsell $]]&gt;0,_xlfn.CONCAT(Sales[[#This Row],[Subscription Type]]," ",Sales[[#This Row],[Upsell Priority]]," ",TEXT(Sales[[#This Row],[Current Upsell $]],"$#,#")),"")</f>
        <v/>
      </c>
    </row>
    <row r="2124" spans="1:18" x14ac:dyDescent="0.25">
      <c r="A2124">
        <v>100306</v>
      </c>
      <c r="B2124" t="s">
        <v>3</v>
      </c>
      <c r="F2124">
        <v>0</v>
      </c>
      <c r="G2124">
        <v>2</v>
      </c>
      <c r="H2124" s="1">
        <v>44317</v>
      </c>
      <c r="I2124" s="1">
        <v>44348</v>
      </c>
      <c r="J2124">
        <v>1</v>
      </c>
      <c r="K2124">
        <v>0</v>
      </c>
      <c r="L2124" s="1">
        <v>44348</v>
      </c>
      <c r="M2124">
        <v>0</v>
      </c>
      <c r="N2124" s="8" cm="1">
        <f t="array" ref="N2124">_xlfn.SWITCH(Sales[[#This Row],[Subscription Type]],"Basic",10,"Premium",10,"Business",25,"Enterprise",27)</f>
        <v>10</v>
      </c>
      <c r="O2124">
        <f>IF(Sales[[#This Row],[Number of Users]]-Sales[[#This Row],[Licenses Bought]]&lt;0,0,Sales[[#This Row],[Number of Users]]-Sales[[#This Row],[Licenses Bought]])</f>
        <v>2</v>
      </c>
      <c r="P2124" s="8">
        <f>IF(Sales[[#This Row],[Sales Month]]=MAX(Sales[Sales Month]),Sales[[#This Row],[Non-Paying Users]]*Sales[[#This Row],[Upsell $ per Non-Paying User]],0)</f>
        <v>20</v>
      </c>
      <c r="Q2124" t="str" cm="1">
        <f t="array" ref="Q2124">_xlfn.IFS(Sales[[#This Row],[Current Upsell $]]=0,"",Sales[[#This Row],[Current Upsell $]]&gt;=400,"High",Sales[[#This Row],[Current Upsell $]]&gt;=100,"Medium",Sales[[#This Row],[Current Upsell $]]&lt;100,"Low")</f>
        <v>Low</v>
      </c>
      <c r="R2124" t="str">
        <f>IF(Sales[[#This Row],[Current Upsell $]]&gt;0,_xlfn.CONCAT(Sales[[#This Row],[Subscription Type]]," ",Sales[[#This Row],[Upsell Priority]]," ",TEXT(Sales[[#This Row],[Current Upsell $]],"$#,#")),"")</f>
        <v>Basic Low $20</v>
      </c>
    </row>
    <row r="2125" spans="1:18" x14ac:dyDescent="0.25">
      <c r="A2125">
        <v>100307</v>
      </c>
      <c r="B2125" t="s">
        <v>3</v>
      </c>
      <c r="F2125">
        <v>0</v>
      </c>
      <c r="G2125">
        <v>2</v>
      </c>
      <c r="H2125" s="1">
        <v>44317</v>
      </c>
      <c r="I2125" s="1">
        <v>44378</v>
      </c>
      <c r="J2125">
        <v>2</v>
      </c>
      <c r="K2125">
        <v>0</v>
      </c>
      <c r="L2125" s="1">
        <v>44317</v>
      </c>
      <c r="M2125">
        <v>0</v>
      </c>
      <c r="N2125" s="8" cm="1">
        <f t="array" ref="N2125">_xlfn.SWITCH(Sales[[#This Row],[Subscription Type]],"Basic",10,"Premium",10,"Business",25,"Enterprise",27)</f>
        <v>10</v>
      </c>
      <c r="O2125">
        <f>IF(Sales[[#This Row],[Number of Users]]-Sales[[#This Row],[Licenses Bought]]&lt;0,0,Sales[[#This Row],[Number of Users]]-Sales[[#This Row],[Licenses Bought]])</f>
        <v>2</v>
      </c>
      <c r="P2125" s="8">
        <f>IF(Sales[[#This Row],[Sales Month]]=MAX(Sales[Sales Month]),Sales[[#This Row],[Non-Paying Users]]*Sales[[#This Row],[Upsell $ per Non-Paying User]],0)</f>
        <v>0</v>
      </c>
      <c r="Q2125" t="str" cm="1">
        <f t="array" ref="Q2125">_xlfn.IFS(Sales[[#This Row],[Current Upsell $]]=0,"",Sales[[#This Row],[Current Upsell $]]&gt;=400,"High",Sales[[#This Row],[Current Upsell $]]&gt;=100,"Medium",Sales[[#This Row],[Current Upsell $]]&lt;100,"Low")</f>
        <v/>
      </c>
      <c r="R2125" t="str">
        <f>IF(Sales[[#This Row],[Current Upsell $]]&gt;0,_xlfn.CONCAT(Sales[[#This Row],[Subscription Type]]," ",Sales[[#This Row],[Upsell Priority]]," ",TEXT(Sales[[#This Row],[Current Upsell $]],"$#,#")),"")</f>
        <v/>
      </c>
    </row>
    <row r="2126" spans="1:18" x14ac:dyDescent="0.25">
      <c r="A2126">
        <v>100307</v>
      </c>
      <c r="B2126" t="s">
        <v>3</v>
      </c>
      <c r="F2126">
        <v>0</v>
      </c>
      <c r="G2126">
        <v>2</v>
      </c>
      <c r="H2126" s="1">
        <v>44317</v>
      </c>
      <c r="I2126" s="1">
        <v>44378</v>
      </c>
      <c r="J2126">
        <v>2</v>
      </c>
      <c r="K2126">
        <v>0</v>
      </c>
      <c r="L2126" s="1">
        <v>44348</v>
      </c>
      <c r="M2126">
        <v>0</v>
      </c>
      <c r="N2126" s="8" cm="1">
        <f t="array" ref="N2126">_xlfn.SWITCH(Sales[[#This Row],[Subscription Type]],"Basic",10,"Premium",10,"Business",25,"Enterprise",27)</f>
        <v>10</v>
      </c>
      <c r="O2126">
        <f>IF(Sales[[#This Row],[Number of Users]]-Sales[[#This Row],[Licenses Bought]]&lt;0,0,Sales[[#This Row],[Number of Users]]-Sales[[#This Row],[Licenses Bought]])</f>
        <v>2</v>
      </c>
      <c r="P2126" s="8">
        <f>IF(Sales[[#This Row],[Sales Month]]=MAX(Sales[Sales Month]),Sales[[#This Row],[Non-Paying Users]]*Sales[[#This Row],[Upsell $ per Non-Paying User]],0)</f>
        <v>20</v>
      </c>
      <c r="Q2126" t="str" cm="1">
        <f t="array" ref="Q2126">_xlfn.IFS(Sales[[#This Row],[Current Upsell $]]=0,"",Sales[[#This Row],[Current Upsell $]]&gt;=400,"High",Sales[[#This Row],[Current Upsell $]]&gt;=100,"Medium",Sales[[#This Row],[Current Upsell $]]&lt;100,"Low")</f>
        <v>Low</v>
      </c>
      <c r="R2126" t="str">
        <f>IF(Sales[[#This Row],[Current Upsell $]]&gt;0,_xlfn.CONCAT(Sales[[#This Row],[Subscription Type]]," ",Sales[[#This Row],[Upsell Priority]]," ",TEXT(Sales[[#This Row],[Current Upsell $]],"$#,#")),"")</f>
        <v>Basic Low $20</v>
      </c>
    </row>
    <row r="2127" spans="1:18" x14ac:dyDescent="0.25">
      <c r="A2127">
        <v>100308</v>
      </c>
      <c r="B2127" t="s">
        <v>3</v>
      </c>
      <c r="F2127">
        <v>0</v>
      </c>
      <c r="G2127">
        <v>2</v>
      </c>
      <c r="H2127" s="1">
        <v>44317</v>
      </c>
      <c r="I2127" s="1">
        <v>44348</v>
      </c>
      <c r="J2127">
        <v>1</v>
      </c>
      <c r="K2127">
        <v>0</v>
      </c>
      <c r="L2127" s="1">
        <v>44317</v>
      </c>
      <c r="M2127">
        <v>0</v>
      </c>
      <c r="N2127" s="8" cm="1">
        <f t="array" ref="N2127">_xlfn.SWITCH(Sales[[#This Row],[Subscription Type]],"Basic",10,"Premium",10,"Business",25,"Enterprise",27)</f>
        <v>10</v>
      </c>
      <c r="O2127">
        <f>IF(Sales[[#This Row],[Number of Users]]-Sales[[#This Row],[Licenses Bought]]&lt;0,0,Sales[[#This Row],[Number of Users]]-Sales[[#This Row],[Licenses Bought]])</f>
        <v>2</v>
      </c>
      <c r="P2127" s="8">
        <f>IF(Sales[[#This Row],[Sales Month]]=MAX(Sales[Sales Month]),Sales[[#This Row],[Non-Paying Users]]*Sales[[#This Row],[Upsell $ per Non-Paying User]],0)</f>
        <v>0</v>
      </c>
      <c r="Q2127" t="str" cm="1">
        <f t="array" ref="Q2127">_xlfn.IFS(Sales[[#This Row],[Current Upsell $]]=0,"",Sales[[#This Row],[Current Upsell $]]&gt;=400,"High",Sales[[#This Row],[Current Upsell $]]&gt;=100,"Medium",Sales[[#This Row],[Current Upsell $]]&lt;100,"Low")</f>
        <v/>
      </c>
      <c r="R2127" t="str">
        <f>IF(Sales[[#This Row],[Current Upsell $]]&gt;0,_xlfn.CONCAT(Sales[[#This Row],[Subscription Type]]," ",Sales[[#This Row],[Upsell Priority]]," ",TEXT(Sales[[#This Row],[Current Upsell $]],"$#,#")),"")</f>
        <v/>
      </c>
    </row>
    <row r="2128" spans="1:18" x14ac:dyDescent="0.25">
      <c r="A2128">
        <v>100308</v>
      </c>
      <c r="B2128" t="s">
        <v>3</v>
      </c>
      <c r="F2128">
        <v>0</v>
      </c>
      <c r="G2128">
        <v>2</v>
      </c>
      <c r="H2128" s="1">
        <v>44317</v>
      </c>
      <c r="I2128" s="1">
        <v>44348</v>
      </c>
      <c r="J2128">
        <v>1</v>
      </c>
      <c r="K2128">
        <v>0</v>
      </c>
      <c r="L2128" s="1">
        <v>44348</v>
      </c>
      <c r="M2128">
        <v>0</v>
      </c>
      <c r="N2128" s="8" cm="1">
        <f t="array" ref="N2128">_xlfn.SWITCH(Sales[[#This Row],[Subscription Type]],"Basic",10,"Premium",10,"Business",25,"Enterprise",27)</f>
        <v>10</v>
      </c>
      <c r="O2128">
        <f>IF(Sales[[#This Row],[Number of Users]]-Sales[[#This Row],[Licenses Bought]]&lt;0,0,Sales[[#This Row],[Number of Users]]-Sales[[#This Row],[Licenses Bought]])</f>
        <v>2</v>
      </c>
      <c r="P2128" s="8">
        <f>IF(Sales[[#This Row],[Sales Month]]=MAX(Sales[Sales Month]),Sales[[#This Row],[Non-Paying Users]]*Sales[[#This Row],[Upsell $ per Non-Paying User]],0)</f>
        <v>20</v>
      </c>
      <c r="Q2128" t="str" cm="1">
        <f t="array" ref="Q2128">_xlfn.IFS(Sales[[#This Row],[Current Upsell $]]=0,"",Sales[[#This Row],[Current Upsell $]]&gt;=400,"High",Sales[[#This Row],[Current Upsell $]]&gt;=100,"Medium",Sales[[#This Row],[Current Upsell $]]&lt;100,"Low")</f>
        <v>Low</v>
      </c>
      <c r="R2128" t="str">
        <f>IF(Sales[[#This Row],[Current Upsell $]]&gt;0,_xlfn.CONCAT(Sales[[#This Row],[Subscription Type]]," ",Sales[[#This Row],[Upsell Priority]]," ",TEXT(Sales[[#This Row],[Current Upsell $]],"$#,#")),"")</f>
        <v>Basic Low $20</v>
      </c>
    </row>
    <row r="2129" spans="1:18" x14ac:dyDescent="0.25">
      <c r="A2129">
        <v>100309</v>
      </c>
      <c r="B2129" t="s">
        <v>3</v>
      </c>
      <c r="F2129">
        <v>0</v>
      </c>
      <c r="G2129">
        <v>2</v>
      </c>
      <c r="H2129" s="1">
        <v>44317</v>
      </c>
      <c r="I2129" s="1">
        <v>44348</v>
      </c>
      <c r="J2129">
        <v>1</v>
      </c>
      <c r="K2129">
        <v>0</v>
      </c>
      <c r="L2129" s="1">
        <v>44317</v>
      </c>
      <c r="M2129">
        <v>0</v>
      </c>
      <c r="N2129" s="8" cm="1">
        <f t="array" ref="N2129">_xlfn.SWITCH(Sales[[#This Row],[Subscription Type]],"Basic",10,"Premium",10,"Business",25,"Enterprise",27)</f>
        <v>10</v>
      </c>
      <c r="O2129">
        <f>IF(Sales[[#This Row],[Number of Users]]-Sales[[#This Row],[Licenses Bought]]&lt;0,0,Sales[[#This Row],[Number of Users]]-Sales[[#This Row],[Licenses Bought]])</f>
        <v>2</v>
      </c>
      <c r="P2129" s="8">
        <f>IF(Sales[[#This Row],[Sales Month]]=MAX(Sales[Sales Month]),Sales[[#This Row],[Non-Paying Users]]*Sales[[#This Row],[Upsell $ per Non-Paying User]],0)</f>
        <v>0</v>
      </c>
      <c r="Q2129" t="str" cm="1">
        <f t="array" ref="Q2129">_xlfn.IFS(Sales[[#This Row],[Current Upsell $]]=0,"",Sales[[#This Row],[Current Upsell $]]&gt;=400,"High",Sales[[#This Row],[Current Upsell $]]&gt;=100,"Medium",Sales[[#This Row],[Current Upsell $]]&lt;100,"Low")</f>
        <v/>
      </c>
      <c r="R2129" t="str">
        <f>IF(Sales[[#This Row],[Current Upsell $]]&gt;0,_xlfn.CONCAT(Sales[[#This Row],[Subscription Type]]," ",Sales[[#This Row],[Upsell Priority]]," ",TEXT(Sales[[#This Row],[Current Upsell $]],"$#,#")),"")</f>
        <v/>
      </c>
    </row>
    <row r="2130" spans="1:18" x14ac:dyDescent="0.25">
      <c r="A2130">
        <v>100309</v>
      </c>
      <c r="B2130" t="s">
        <v>3</v>
      </c>
      <c r="F2130">
        <v>0</v>
      </c>
      <c r="G2130">
        <v>2</v>
      </c>
      <c r="H2130" s="1">
        <v>44317</v>
      </c>
      <c r="I2130" s="1">
        <v>44348</v>
      </c>
      <c r="J2130">
        <v>1</v>
      </c>
      <c r="K2130">
        <v>0</v>
      </c>
      <c r="L2130" s="1">
        <v>44348</v>
      </c>
      <c r="M2130">
        <v>0</v>
      </c>
      <c r="N2130" s="8" cm="1">
        <f t="array" ref="N2130">_xlfn.SWITCH(Sales[[#This Row],[Subscription Type]],"Basic",10,"Premium",10,"Business",25,"Enterprise",27)</f>
        <v>10</v>
      </c>
      <c r="O2130">
        <f>IF(Sales[[#This Row],[Number of Users]]-Sales[[#This Row],[Licenses Bought]]&lt;0,0,Sales[[#This Row],[Number of Users]]-Sales[[#This Row],[Licenses Bought]])</f>
        <v>2</v>
      </c>
      <c r="P2130" s="8">
        <f>IF(Sales[[#This Row],[Sales Month]]=MAX(Sales[Sales Month]),Sales[[#This Row],[Non-Paying Users]]*Sales[[#This Row],[Upsell $ per Non-Paying User]],0)</f>
        <v>20</v>
      </c>
      <c r="Q2130" t="str" cm="1">
        <f t="array" ref="Q2130">_xlfn.IFS(Sales[[#This Row],[Current Upsell $]]=0,"",Sales[[#This Row],[Current Upsell $]]&gt;=400,"High",Sales[[#This Row],[Current Upsell $]]&gt;=100,"Medium",Sales[[#This Row],[Current Upsell $]]&lt;100,"Low")</f>
        <v>Low</v>
      </c>
      <c r="R2130" t="str">
        <f>IF(Sales[[#This Row],[Current Upsell $]]&gt;0,_xlfn.CONCAT(Sales[[#This Row],[Subscription Type]]," ",Sales[[#This Row],[Upsell Priority]]," ",TEXT(Sales[[#This Row],[Current Upsell $]],"$#,#")),"")</f>
        <v>Basic Low $20</v>
      </c>
    </row>
    <row r="2131" spans="1:18" x14ac:dyDescent="0.25">
      <c r="A2131">
        <v>100310</v>
      </c>
      <c r="B2131" t="s">
        <v>3</v>
      </c>
      <c r="F2131">
        <v>0</v>
      </c>
      <c r="G2131">
        <v>2</v>
      </c>
      <c r="H2131" s="1">
        <v>44317</v>
      </c>
      <c r="I2131" s="1">
        <v>44378</v>
      </c>
      <c r="J2131">
        <v>2</v>
      </c>
      <c r="K2131">
        <v>0</v>
      </c>
      <c r="L2131" s="1">
        <v>44317</v>
      </c>
      <c r="M2131">
        <v>0</v>
      </c>
      <c r="N2131" s="8" cm="1">
        <f t="array" ref="N2131">_xlfn.SWITCH(Sales[[#This Row],[Subscription Type]],"Basic",10,"Premium",10,"Business",25,"Enterprise",27)</f>
        <v>10</v>
      </c>
      <c r="O2131">
        <f>IF(Sales[[#This Row],[Number of Users]]-Sales[[#This Row],[Licenses Bought]]&lt;0,0,Sales[[#This Row],[Number of Users]]-Sales[[#This Row],[Licenses Bought]])</f>
        <v>2</v>
      </c>
      <c r="P2131" s="8">
        <f>IF(Sales[[#This Row],[Sales Month]]=MAX(Sales[Sales Month]),Sales[[#This Row],[Non-Paying Users]]*Sales[[#This Row],[Upsell $ per Non-Paying User]],0)</f>
        <v>0</v>
      </c>
      <c r="Q2131" t="str" cm="1">
        <f t="array" ref="Q2131">_xlfn.IFS(Sales[[#This Row],[Current Upsell $]]=0,"",Sales[[#This Row],[Current Upsell $]]&gt;=400,"High",Sales[[#This Row],[Current Upsell $]]&gt;=100,"Medium",Sales[[#This Row],[Current Upsell $]]&lt;100,"Low")</f>
        <v/>
      </c>
      <c r="R2131" t="str">
        <f>IF(Sales[[#This Row],[Current Upsell $]]&gt;0,_xlfn.CONCAT(Sales[[#This Row],[Subscription Type]]," ",Sales[[#This Row],[Upsell Priority]]," ",TEXT(Sales[[#This Row],[Current Upsell $]],"$#,#")),"")</f>
        <v/>
      </c>
    </row>
    <row r="2132" spans="1:18" x14ac:dyDescent="0.25">
      <c r="A2132">
        <v>100310</v>
      </c>
      <c r="B2132" t="s">
        <v>0</v>
      </c>
      <c r="F2132">
        <v>1</v>
      </c>
      <c r="G2132">
        <v>2</v>
      </c>
      <c r="H2132" s="1">
        <v>44317</v>
      </c>
      <c r="I2132" s="1">
        <v>44378</v>
      </c>
      <c r="J2132">
        <v>2</v>
      </c>
      <c r="K2132">
        <v>0</v>
      </c>
      <c r="L2132" s="1">
        <v>44348</v>
      </c>
      <c r="M2132">
        <v>10</v>
      </c>
      <c r="N2132" s="8" cm="1">
        <f t="array" ref="N2132">_xlfn.SWITCH(Sales[[#This Row],[Subscription Type]],"Basic",10,"Premium",10,"Business",25,"Enterprise",27)</f>
        <v>10</v>
      </c>
      <c r="O2132">
        <f>IF(Sales[[#This Row],[Number of Users]]-Sales[[#This Row],[Licenses Bought]]&lt;0,0,Sales[[#This Row],[Number of Users]]-Sales[[#This Row],[Licenses Bought]])</f>
        <v>1</v>
      </c>
      <c r="P2132" s="8">
        <f>IF(Sales[[#This Row],[Sales Month]]=MAX(Sales[Sales Month]),Sales[[#This Row],[Non-Paying Users]]*Sales[[#This Row],[Upsell $ per Non-Paying User]],0)</f>
        <v>10</v>
      </c>
      <c r="Q2132" t="str" cm="1">
        <f t="array" ref="Q2132">_xlfn.IFS(Sales[[#This Row],[Current Upsell $]]=0,"",Sales[[#This Row],[Current Upsell $]]&gt;=400,"High",Sales[[#This Row],[Current Upsell $]]&gt;=100,"Medium",Sales[[#This Row],[Current Upsell $]]&lt;100,"Low")</f>
        <v>Low</v>
      </c>
      <c r="R2132" t="str">
        <f>IF(Sales[[#This Row],[Current Upsell $]]&gt;0,_xlfn.CONCAT(Sales[[#This Row],[Subscription Type]]," ",Sales[[#This Row],[Upsell Priority]]," ",TEXT(Sales[[#This Row],[Current Upsell $]],"$#,#")),"")</f>
        <v>Premium Low $10</v>
      </c>
    </row>
    <row r="2133" spans="1:18" x14ac:dyDescent="0.25">
      <c r="A2133">
        <v>100311</v>
      </c>
      <c r="B2133" t="s">
        <v>3</v>
      </c>
      <c r="F2133">
        <v>0</v>
      </c>
      <c r="G2133">
        <v>1</v>
      </c>
      <c r="H2133" s="1">
        <v>44317</v>
      </c>
      <c r="I2133" s="1">
        <v>44378</v>
      </c>
      <c r="J2133">
        <v>2</v>
      </c>
      <c r="K2133">
        <v>0</v>
      </c>
      <c r="L2133" s="1">
        <v>44317</v>
      </c>
      <c r="M2133">
        <v>0</v>
      </c>
      <c r="N2133" s="8" cm="1">
        <f t="array" ref="N2133">_xlfn.SWITCH(Sales[[#This Row],[Subscription Type]],"Basic",10,"Premium",10,"Business",25,"Enterprise",27)</f>
        <v>10</v>
      </c>
      <c r="O2133">
        <f>IF(Sales[[#This Row],[Number of Users]]-Sales[[#This Row],[Licenses Bought]]&lt;0,0,Sales[[#This Row],[Number of Users]]-Sales[[#This Row],[Licenses Bought]])</f>
        <v>1</v>
      </c>
      <c r="P2133" s="8">
        <f>IF(Sales[[#This Row],[Sales Month]]=MAX(Sales[Sales Month]),Sales[[#This Row],[Non-Paying Users]]*Sales[[#This Row],[Upsell $ per Non-Paying User]],0)</f>
        <v>0</v>
      </c>
      <c r="Q2133" t="str" cm="1">
        <f t="array" ref="Q2133">_xlfn.IFS(Sales[[#This Row],[Current Upsell $]]=0,"",Sales[[#This Row],[Current Upsell $]]&gt;=400,"High",Sales[[#This Row],[Current Upsell $]]&gt;=100,"Medium",Sales[[#This Row],[Current Upsell $]]&lt;100,"Low")</f>
        <v/>
      </c>
      <c r="R2133" t="str">
        <f>IF(Sales[[#This Row],[Current Upsell $]]&gt;0,_xlfn.CONCAT(Sales[[#This Row],[Subscription Type]]," ",Sales[[#This Row],[Upsell Priority]]," ",TEXT(Sales[[#This Row],[Current Upsell $]],"$#,#")),"")</f>
        <v/>
      </c>
    </row>
    <row r="2134" spans="1:18" x14ac:dyDescent="0.25">
      <c r="A2134">
        <v>100311</v>
      </c>
      <c r="B2134" t="s">
        <v>0</v>
      </c>
      <c r="F2134">
        <v>1</v>
      </c>
      <c r="G2134">
        <v>2</v>
      </c>
      <c r="H2134" s="1">
        <v>44317</v>
      </c>
      <c r="I2134" s="1">
        <v>44378</v>
      </c>
      <c r="J2134">
        <v>2</v>
      </c>
      <c r="K2134">
        <v>0</v>
      </c>
      <c r="L2134" s="1">
        <v>44348</v>
      </c>
      <c r="M2134">
        <v>10</v>
      </c>
      <c r="N2134" s="8" cm="1">
        <f t="array" ref="N2134">_xlfn.SWITCH(Sales[[#This Row],[Subscription Type]],"Basic",10,"Premium",10,"Business",25,"Enterprise",27)</f>
        <v>10</v>
      </c>
      <c r="O2134">
        <f>IF(Sales[[#This Row],[Number of Users]]-Sales[[#This Row],[Licenses Bought]]&lt;0,0,Sales[[#This Row],[Number of Users]]-Sales[[#This Row],[Licenses Bought]])</f>
        <v>1</v>
      </c>
      <c r="P2134" s="8">
        <f>IF(Sales[[#This Row],[Sales Month]]=MAX(Sales[Sales Month]),Sales[[#This Row],[Non-Paying Users]]*Sales[[#This Row],[Upsell $ per Non-Paying User]],0)</f>
        <v>10</v>
      </c>
      <c r="Q2134" t="str" cm="1">
        <f t="array" ref="Q2134">_xlfn.IFS(Sales[[#This Row],[Current Upsell $]]=0,"",Sales[[#This Row],[Current Upsell $]]&gt;=400,"High",Sales[[#This Row],[Current Upsell $]]&gt;=100,"Medium",Sales[[#This Row],[Current Upsell $]]&lt;100,"Low")</f>
        <v>Low</v>
      </c>
      <c r="R2134" t="str">
        <f>IF(Sales[[#This Row],[Current Upsell $]]&gt;0,_xlfn.CONCAT(Sales[[#This Row],[Subscription Type]]," ",Sales[[#This Row],[Upsell Priority]]," ",TEXT(Sales[[#This Row],[Current Upsell $]],"$#,#")),"")</f>
        <v>Premium Low $10</v>
      </c>
    </row>
    <row r="2135" spans="1:18" x14ac:dyDescent="0.25">
      <c r="A2135">
        <v>100312</v>
      </c>
      <c r="B2135" t="s">
        <v>3</v>
      </c>
      <c r="F2135">
        <v>0</v>
      </c>
      <c r="G2135">
        <v>2</v>
      </c>
      <c r="H2135" s="1">
        <v>44317</v>
      </c>
      <c r="I2135" s="1">
        <v>44378</v>
      </c>
      <c r="J2135">
        <v>2</v>
      </c>
      <c r="K2135">
        <v>0</v>
      </c>
      <c r="L2135" s="1">
        <v>44317</v>
      </c>
      <c r="M2135">
        <v>0</v>
      </c>
      <c r="N2135" s="8" cm="1">
        <f t="array" ref="N2135">_xlfn.SWITCH(Sales[[#This Row],[Subscription Type]],"Basic",10,"Premium",10,"Business",25,"Enterprise",27)</f>
        <v>10</v>
      </c>
      <c r="O2135">
        <f>IF(Sales[[#This Row],[Number of Users]]-Sales[[#This Row],[Licenses Bought]]&lt;0,0,Sales[[#This Row],[Number of Users]]-Sales[[#This Row],[Licenses Bought]])</f>
        <v>2</v>
      </c>
      <c r="P2135" s="8">
        <f>IF(Sales[[#This Row],[Sales Month]]=MAX(Sales[Sales Month]),Sales[[#This Row],[Non-Paying Users]]*Sales[[#This Row],[Upsell $ per Non-Paying User]],0)</f>
        <v>0</v>
      </c>
      <c r="Q2135" t="str" cm="1">
        <f t="array" ref="Q2135">_xlfn.IFS(Sales[[#This Row],[Current Upsell $]]=0,"",Sales[[#This Row],[Current Upsell $]]&gt;=400,"High",Sales[[#This Row],[Current Upsell $]]&gt;=100,"Medium",Sales[[#This Row],[Current Upsell $]]&lt;100,"Low")</f>
        <v/>
      </c>
      <c r="R2135" t="str">
        <f>IF(Sales[[#This Row],[Current Upsell $]]&gt;0,_xlfn.CONCAT(Sales[[#This Row],[Subscription Type]]," ",Sales[[#This Row],[Upsell Priority]]," ",TEXT(Sales[[#This Row],[Current Upsell $]],"$#,#")),"")</f>
        <v/>
      </c>
    </row>
    <row r="2136" spans="1:18" x14ac:dyDescent="0.25">
      <c r="A2136">
        <v>100312</v>
      </c>
      <c r="B2136" t="s">
        <v>3</v>
      </c>
      <c r="F2136">
        <v>0</v>
      </c>
      <c r="G2136">
        <v>2</v>
      </c>
      <c r="H2136" s="1">
        <v>44317</v>
      </c>
      <c r="I2136" s="1">
        <v>44378</v>
      </c>
      <c r="J2136">
        <v>2</v>
      </c>
      <c r="K2136">
        <v>0</v>
      </c>
      <c r="L2136" s="1">
        <v>44348</v>
      </c>
      <c r="M2136">
        <v>0</v>
      </c>
      <c r="N2136" s="8" cm="1">
        <f t="array" ref="N2136">_xlfn.SWITCH(Sales[[#This Row],[Subscription Type]],"Basic",10,"Premium",10,"Business",25,"Enterprise",27)</f>
        <v>10</v>
      </c>
      <c r="O2136">
        <f>IF(Sales[[#This Row],[Number of Users]]-Sales[[#This Row],[Licenses Bought]]&lt;0,0,Sales[[#This Row],[Number of Users]]-Sales[[#This Row],[Licenses Bought]])</f>
        <v>2</v>
      </c>
      <c r="P2136" s="8">
        <f>IF(Sales[[#This Row],[Sales Month]]=MAX(Sales[Sales Month]),Sales[[#This Row],[Non-Paying Users]]*Sales[[#This Row],[Upsell $ per Non-Paying User]],0)</f>
        <v>20</v>
      </c>
      <c r="Q2136" t="str" cm="1">
        <f t="array" ref="Q2136">_xlfn.IFS(Sales[[#This Row],[Current Upsell $]]=0,"",Sales[[#This Row],[Current Upsell $]]&gt;=400,"High",Sales[[#This Row],[Current Upsell $]]&gt;=100,"Medium",Sales[[#This Row],[Current Upsell $]]&lt;100,"Low")</f>
        <v>Low</v>
      </c>
      <c r="R2136" t="str">
        <f>IF(Sales[[#This Row],[Current Upsell $]]&gt;0,_xlfn.CONCAT(Sales[[#This Row],[Subscription Type]]," ",Sales[[#This Row],[Upsell Priority]]," ",TEXT(Sales[[#This Row],[Current Upsell $]],"$#,#")),"")</f>
        <v>Basic Low $20</v>
      </c>
    </row>
    <row r="2137" spans="1:18" x14ac:dyDescent="0.25">
      <c r="A2137">
        <v>100313</v>
      </c>
      <c r="B2137" t="s">
        <v>3</v>
      </c>
      <c r="F2137">
        <v>0</v>
      </c>
      <c r="G2137">
        <v>2</v>
      </c>
      <c r="H2137" s="1">
        <v>44317</v>
      </c>
      <c r="I2137" s="1">
        <v>44378</v>
      </c>
      <c r="J2137">
        <v>2</v>
      </c>
      <c r="K2137">
        <v>0</v>
      </c>
      <c r="L2137" s="1">
        <v>44317</v>
      </c>
      <c r="M2137">
        <v>0</v>
      </c>
      <c r="N2137" s="8" cm="1">
        <f t="array" ref="N2137">_xlfn.SWITCH(Sales[[#This Row],[Subscription Type]],"Basic",10,"Premium",10,"Business",25,"Enterprise",27)</f>
        <v>10</v>
      </c>
      <c r="O2137">
        <f>IF(Sales[[#This Row],[Number of Users]]-Sales[[#This Row],[Licenses Bought]]&lt;0,0,Sales[[#This Row],[Number of Users]]-Sales[[#This Row],[Licenses Bought]])</f>
        <v>2</v>
      </c>
      <c r="P2137" s="8">
        <f>IF(Sales[[#This Row],[Sales Month]]=MAX(Sales[Sales Month]),Sales[[#This Row],[Non-Paying Users]]*Sales[[#This Row],[Upsell $ per Non-Paying User]],0)</f>
        <v>0</v>
      </c>
      <c r="Q2137" t="str" cm="1">
        <f t="array" ref="Q2137">_xlfn.IFS(Sales[[#This Row],[Current Upsell $]]=0,"",Sales[[#This Row],[Current Upsell $]]&gt;=400,"High",Sales[[#This Row],[Current Upsell $]]&gt;=100,"Medium",Sales[[#This Row],[Current Upsell $]]&lt;100,"Low")</f>
        <v/>
      </c>
      <c r="R2137" t="str">
        <f>IF(Sales[[#This Row],[Current Upsell $]]&gt;0,_xlfn.CONCAT(Sales[[#This Row],[Subscription Type]]," ",Sales[[#This Row],[Upsell Priority]]," ",TEXT(Sales[[#This Row],[Current Upsell $]],"$#,#")),"")</f>
        <v/>
      </c>
    </row>
    <row r="2138" spans="1:18" x14ac:dyDescent="0.25">
      <c r="A2138">
        <v>100313</v>
      </c>
      <c r="B2138" t="s">
        <v>3</v>
      </c>
      <c r="F2138">
        <v>0</v>
      </c>
      <c r="G2138">
        <v>2</v>
      </c>
      <c r="H2138" s="1">
        <v>44317</v>
      </c>
      <c r="I2138" s="1">
        <v>44378</v>
      </c>
      <c r="J2138">
        <v>2</v>
      </c>
      <c r="K2138">
        <v>0</v>
      </c>
      <c r="L2138" s="1">
        <v>44348</v>
      </c>
      <c r="M2138">
        <v>0</v>
      </c>
      <c r="N2138" s="8" cm="1">
        <f t="array" ref="N2138">_xlfn.SWITCH(Sales[[#This Row],[Subscription Type]],"Basic",10,"Premium",10,"Business",25,"Enterprise",27)</f>
        <v>10</v>
      </c>
      <c r="O2138">
        <f>IF(Sales[[#This Row],[Number of Users]]-Sales[[#This Row],[Licenses Bought]]&lt;0,0,Sales[[#This Row],[Number of Users]]-Sales[[#This Row],[Licenses Bought]])</f>
        <v>2</v>
      </c>
      <c r="P2138" s="8">
        <f>IF(Sales[[#This Row],[Sales Month]]=MAX(Sales[Sales Month]),Sales[[#This Row],[Non-Paying Users]]*Sales[[#This Row],[Upsell $ per Non-Paying User]],0)</f>
        <v>20</v>
      </c>
      <c r="Q2138" t="str" cm="1">
        <f t="array" ref="Q2138">_xlfn.IFS(Sales[[#This Row],[Current Upsell $]]=0,"",Sales[[#This Row],[Current Upsell $]]&gt;=400,"High",Sales[[#This Row],[Current Upsell $]]&gt;=100,"Medium",Sales[[#This Row],[Current Upsell $]]&lt;100,"Low")</f>
        <v>Low</v>
      </c>
      <c r="R2138" t="str">
        <f>IF(Sales[[#This Row],[Current Upsell $]]&gt;0,_xlfn.CONCAT(Sales[[#This Row],[Subscription Type]]," ",Sales[[#This Row],[Upsell Priority]]," ",TEXT(Sales[[#This Row],[Current Upsell $]],"$#,#")),"")</f>
        <v>Basic Low $20</v>
      </c>
    </row>
    <row r="2139" spans="1:18" x14ac:dyDescent="0.25">
      <c r="A2139">
        <v>100314</v>
      </c>
      <c r="B2139" t="s">
        <v>3</v>
      </c>
      <c r="F2139">
        <v>0</v>
      </c>
      <c r="G2139">
        <v>2</v>
      </c>
      <c r="H2139" s="1">
        <v>44317</v>
      </c>
      <c r="I2139" s="1">
        <v>44378</v>
      </c>
      <c r="J2139">
        <v>2</v>
      </c>
      <c r="K2139">
        <v>0</v>
      </c>
      <c r="L2139" s="1">
        <v>44317</v>
      </c>
      <c r="M2139">
        <v>0</v>
      </c>
      <c r="N2139" s="8" cm="1">
        <f t="array" ref="N2139">_xlfn.SWITCH(Sales[[#This Row],[Subscription Type]],"Basic",10,"Premium",10,"Business",25,"Enterprise",27)</f>
        <v>10</v>
      </c>
      <c r="O2139">
        <f>IF(Sales[[#This Row],[Number of Users]]-Sales[[#This Row],[Licenses Bought]]&lt;0,0,Sales[[#This Row],[Number of Users]]-Sales[[#This Row],[Licenses Bought]])</f>
        <v>2</v>
      </c>
      <c r="P2139" s="8">
        <f>IF(Sales[[#This Row],[Sales Month]]=MAX(Sales[Sales Month]),Sales[[#This Row],[Non-Paying Users]]*Sales[[#This Row],[Upsell $ per Non-Paying User]],0)</f>
        <v>0</v>
      </c>
      <c r="Q2139" t="str" cm="1">
        <f t="array" ref="Q2139">_xlfn.IFS(Sales[[#This Row],[Current Upsell $]]=0,"",Sales[[#This Row],[Current Upsell $]]&gt;=400,"High",Sales[[#This Row],[Current Upsell $]]&gt;=100,"Medium",Sales[[#This Row],[Current Upsell $]]&lt;100,"Low")</f>
        <v/>
      </c>
      <c r="R2139" t="str">
        <f>IF(Sales[[#This Row],[Current Upsell $]]&gt;0,_xlfn.CONCAT(Sales[[#This Row],[Subscription Type]]," ",Sales[[#This Row],[Upsell Priority]]," ",TEXT(Sales[[#This Row],[Current Upsell $]],"$#,#")),"")</f>
        <v/>
      </c>
    </row>
    <row r="2140" spans="1:18" x14ac:dyDescent="0.25">
      <c r="A2140">
        <v>100314</v>
      </c>
      <c r="B2140" t="s">
        <v>3</v>
      </c>
      <c r="F2140">
        <v>0</v>
      </c>
      <c r="G2140">
        <v>2</v>
      </c>
      <c r="H2140" s="1">
        <v>44317</v>
      </c>
      <c r="I2140" s="1">
        <v>44378</v>
      </c>
      <c r="J2140">
        <v>2</v>
      </c>
      <c r="K2140">
        <v>0</v>
      </c>
      <c r="L2140" s="1">
        <v>44348</v>
      </c>
      <c r="M2140">
        <v>0</v>
      </c>
      <c r="N2140" s="8" cm="1">
        <f t="array" ref="N2140">_xlfn.SWITCH(Sales[[#This Row],[Subscription Type]],"Basic",10,"Premium",10,"Business",25,"Enterprise",27)</f>
        <v>10</v>
      </c>
      <c r="O2140">
        <f>IF(Sales[[#This Row],[Number of Users]]-Sales[[#This Row],[Licenses Bought]]&lt;0,0,Sales[[#This Row],[Number of Users]]-Sales[[#This Row],[Licenses Bought]])</f>
        <v>2</v>
      </c>
      <c r="P2140" s="8">
        <f>IF(Sales[[#This Row],[Sales Month]]=MAX(Sales[Sales Month]),Sales[[#This Row],[Non-Paying Users]]*Sales[[#This Row],[Upsell $ per Non-Paying User]],0)</f>
        <v>20</v>
      </c>
      <c r="Q2140" t="str" cm="1">
        <f t="array" ref="Q2140">_xlfn.IFS(Sales[[#This Row],[Current Upsell $]]=0,"",Sales[[#This Row],[Current Upsell $]]&gt;=400,"High",Sales[[#This Row],[Current Upsell $]]&gt;=100,"Medium",Sales[[#This Row],[Current Upsell $]]&lt;100,"Low")</f>
        <v>Low</v>
      </c>
      <c r="R2140" t="str">
        <f>IF(Sales[[#This Row],[Current Upsell $]]&gt;0,_xlfn.CONCAT(Sales[[#This Row],[Subscription Type]]," ",Sales[[#This Row],[Upsell Priority]]," ",TEXT(Sales[[#This Row],[Current Upsell $]],"$#,#")),"")</f>
        <v>Basic Low $20</v>
      </c>
    </row>
    <row r="2141" spans="1:18" x14ac:dyDescent="0.25">
      <c r="A2141">
        <v>100315</v>
      </c>
      <c r="B2141" t="s">
        <v>3</v>
      </c>
      <c r="F2141">
        <v>0</v>
      </c>
      <c r="G2141">
        <v>2</v>
      </c>
      <c r="H2141" s="1">
        <v>44317</v>
      </c>
      <c r="I2141" s="1">
        <v>44348</v>
      </c>
      <c r="J2141">
        <v>1</v>
      </c>
      <c r="K2141">
        <v>0</v>
      </c>
      <c r="L2141" s="1">
        <v>44317</v>
      </c>
      <c r="M2141">
        <v>0</v>
      </c>
      <c r="N2141" s="8" cm="1">
        <f t="array" ref="N2141">_xlfn.SWITCH(Sales[[#This Row],[Subscription Type]],"Basic",10,"Premium",10,"Business",25,"Enterprise",27)</f>
        <v>10</v>
      </c>
      <c r="O2141">
        <f>IF(Sales[[#This Row],[Number of Users]]-Sales[[#This Row],[Licenses Bought]]&lt;0,0,Sales[[#This Row],[Number of Users]]-Sales[[#This Row],[Licenses Bought]])</f>
        <v>2</v>
      </c>
      <c r="P2141" s="8">
        <f>IF(Sales[[#This Row],[Sales Month]]=MAX(Sales[Sales Month]),Sales[[#This Row],[Non-Paying Users]]*Sales[[#This Row],[Upsell $ per Non-Paying User]],0)</f>
        <v>0</v>
      </c>
      <c r="Q2141" t="str" cm="1">
        <f t="array" ref="Q2141">_xlfn.IFS(Sales[[#This Row],[Current Upsell $]]=0,"",Sales[[#This Row],[Current Upsell $]]&gt;=400,"High",Sales[[#This Row],[Current Upsell $]]&gt;=100,"Medium",Sales[[#This Row],[Current Upsell $]]&lt;100,"Low")</f>
        <v/>
      </c>
      <c r="R2141" t="str">
        <f>IF(Sales[[#This Row],[Current Upsell $]]&gt;0,_xlfn.CONCAT(Sales[[#This Row],[Subscription Type]]," ",Sales[[#This Row],[Upsell Priority]]," ",TEXT(Sales[[#This Row],[Current Upsell $]],"$#,#")),"")</f>
        <v/>
      </c>
    </row>
    <row r="2142" spans="1:18" x14ac:dyDescent="0.25">
      <c r="A2142">
        <v>100315</v>
      </c>
      <c r="B2142" t="s">
        <v>3</v>
      </c>
      <c r="F2142">
        <v>0</v>
      </c>
      <c r="G2142">
        <v>2</v>
      </c>
      <c r="H2142" s="1">
        <v>44317</v>
      </c>
      <c r="I2142" s="1">
        <v>44348</v>
      </c>
      <c r="J2142">
        <v>1</v>
      </c>
      <c r="K2142">
        <v>0</v>
      </c>
      <c r="L2142" s="1">
        <v>44348</v>
      </c>
      <c r="M2142">
        <v>0</v>
      </c>
      <c r="N2142" s="8" cm="1">
        <f t="array" ref="N2142">_xlfn.SWITCH(Sales[[#This Row],[Subscription Type]],"Basic",10,"Premium",10,"Business",25,"Enterprise",27)</f>
        <v>10</v>
      </c>
      <c r="O2142">
        <f>IF(Sales[[#This Row],[Number of Users]]-Sales[[#This Row],[Licenses Bought]]&lt;0,0,Sales[[#This Row],[Number of Users]]-Sales[[#This Row],[Licenses Bought]])</f>
        <v>2</v>
      </c>
      <c r="P2142" s="8">
        <f>IF(Sales[[#This Row],[Sales Month]]=MAX(Sales[Sales Month]),Sales[[#This Row],[Non-Paying Users]]*Sales[[#This Row],[Upsell $ per Non-Paying User]],0)</f>
        <v>20</v>
      </c>
      <c r="Q2142" t="str" cm="1">
        <f t="array" ref="Q2142">_xlfn.IFS(Sales[[#This Row],[Current Upsell $]]=0,"",Sales[[#This Row],[Current Upsell $]]&gt;=400,"High",Sales[[#This Row],[Current Upsell $]]&gt;=100,"Medium",Sales[[#This Row],[Current Upsell $]]&lt;100,"Low")</f>
        <v>Low</v>
      </c>
      <c r="R2142" t="str">
        <f>IF(Sales[[#This Row],[Current Upsell $]]&gt;0,_xlfn.CONCAT(Sales[[#This Row],[Subscription Type]]," ",Sales[[#This Row],[Upsell Priority]]," ",TEXT(Sales[[#This Row],[Current Upsell $]],"$#,#")),"")</f>
        <v>Basic Low $20</v>
      </c>
    </row>
    <row r="2143" spans="1:18" x14ac:dyDescent="0.25">
      <c r="A2143">
        <v>100316</v>
      </c>
      <c r="B2143" t="s">
        <v>3</v>
      </c>
      <c r="F2143">
        <v>0</v>
      </c>
      <c r="G2143">
        <v>2</v>
      </c>
      <c r="H2143" s="1">
        <v>44317</v>
      </c>
      <c r="I2143" s="1">
        <v>44378</v>
      </c>
      <c r="J2143">
        <v>2</v>
      </c>
      <c r="K2143">
        <v>0</v>
      </c>
      <c r="L2143" s="1">
        <v>44317</v>
      </c>
      <c r="M2143">
        <v>0</v>
      </c>
      <c r="N2143" s="8" cm="1">
        <f t="array" ref="N2143">_xlfn.SWITCH(Sales[[#This Row],[Subscription Type]],"Basic",10,"Premium",10,"Business",25,"Enterprise",27)</f>
        <v>10</v>
      </c>
      <c r="O2143">
        <f>IF(Sales[[#This Row],[Number of Users]]-Sales[[#This Row],[Licenses Bought]]&lt;0,0,Sales[[#This Row],[Number of Users]]-Sales[[#This Row],[Licenses Bought]])</f>
        <v>2</v>
      </c>
      <c r="P2143" s="8">
        <f>IF(Sales[[#This Row],[Sales Month]]=MAX(Sales[Sales Month]),Sales[[#This Row],[Non-Paying Users]]*Sales[[#This Row],[Upsell $ per Non-Paying User]],0)</f>
        <v>0</v>
      </c>
      <c r="Q2143" t="str" cm="1">
        <f t="array" ref="Q2143">_xlfn.IFS(Sales[[#This Row],[Current Upsell $]]=0,"",Sales[[#This Row],[Current Upsell $]]&gt;=400,"High",Sales[[#This Row],[Current Upsell $]]&gt;=100,"Medium",Sales[[#This Row],[Current Upsell $]]&lt;100,"Low")</f>
        <v/>
      </c>
      <c r="R2143" t="str">
        <f>IF(Sales[[#This Row],[Current Upsell $]]&gt;0,_xlfn.CONCAT(Sales[[#This Row],[Subscription Type]]," ",Sales[[#This Row],[Upsell Priority]]," ",TEXT(Sales[[#This Row],[Current Upsell $]],"$#,#")),"")</f>
        <v/>
      </c>
    </row>
    <row r="2144" spans="1:18" x14ac:dyDescent="0.25">
      <c r="A2144">
        <v>100316</v>
      </c>
      <c r="B2144" t="s">
        <v>3</v>
      </c>
      <c r="F2144">
        <v>0</v>
      </c>
      <c r="G2144">
        <v>2</v>
      </c>
      <c r="H2144" s="1">
        <v>44317</v>
      </c>
      <c r="I2144" s="1">
        <v>44378</v>
      </c>
      <c r="J2144">
        <v>2</v>
      </c>
      <c r="K2144">
        <v>0</v>
      </c>
      <c r="L2144" s="1">
        <v>44348</v>
      </c>
      <c r="M2144">
        <v>0</v>
      </c>
      <c r="N2144" s="8" cm="1">
        <f t="array" ref="N2144">_xlfn.SWITCH(Sales[[#This Row],[Subscription Type]],"Basic",10,"Premium",10,"Business",25,"Enterprise",27)</f>
        <v>10</v>
      </c>
      <c r="O2144">
        <f>IF(Sales[[#This Row],[Number of Users]]-Sales[[#This Row],[Licenses Bought]]&lt;0,0,Sales[[#This Row],[Number of Users]]-Sales[[#This Row],[Licenses Bought]])</f>
        <v>2</v>
      </c>
      <c r="P2144" s="8">
        <f>IF(Sales[[#This Row],[Sales Month]]=MAX(Sales[Sales Month]),Sales[[#This Row],[Non-Paying Users]]*Sales[[#This Row],[Upsell $ per Non-Paying User]],0)</f>
        <v>20</v>
      </c>
      <c r="Q2144" t="str" cm="1">
        <f t="array" ref="Q2144">_xlfn.IFS(Sales[[#This Row],[Current Upsell $]]=0,"",Sales[[#This Row],[Current Upsell $]]&gt;=400,"High",Sales[[#This Row],[Current Upsell $]]&gt;=100,"Medium",Sales[[#This Row],[Current Upsell $]]&lt;100,"Low")</f>
        <v>Low</v>
      </c>
      <c r="R2144" t="str">
        <f>IF(Sales[[#This Row],[Current Upsell $]]&gt;0,_xlfn.CONCAT(Sales[[#This Row],[Subscription Type]]," ",Sales[[#This Row],[Upsell Priority]]," ",TEXT(Sales[[#This Row],[Current Upsell $]],"$#,#")),"")</f>
        <v>Basic Low $20</v>
      </c>
    </row>
    <row r="2145" spans="1:18" x14ac:dyDescent="0.25">
      <c r="A2145">
        <v>100317</v>
      </c>
      <c r="B2145" t="s">
        <v>3</v>
      </c>
      <c r="F2145">
        <v>0</v>
      </c>
      <c r="G2145">
        <v>2</v>
      </c>
      <c r="H2145" s="1">
        <v>44317</v>
      </c>
      <c r="I2145" s="1">
        <v>44348</v>
      </c>
      <c r="J2145">
        <v>1</v>
      </c>
      <c r="K2145">
        <v>0</v>
      </c>
      <c r="L2145" s="1">
        <v>44317</v>
      </c>
      <c r="M2145">
        <v>0</v>
      </c>
      <c r="N2145" s="8" cm="1">
        <f t="array" ref="N2145">_xlfn.SWITCH(Sales[[#This Row],[Subscription Type]],"Basic",10,"Premium",10,"Business",25,"Enterprise",27)</f>
        <v>10</v>
      </c>
      <c r="O2145">
        <f>IF(Sales[[#This Row],[Number of Users]]-Sales[[#This Row],[Licenses Bought]]&lt;0,0,Sales[[#This Row],[Number of Users]]-Sales[[#This Row],[Licenses Bought]])</f>
        <v>2</v>
      </c>
      <c r="P2145" s="8">
        <f>IF(Sales[[#This Row],[Sales Month]]=MAX(Sales[Sales Month]),Sales[[#This Row],[Non-Paying Users]]*Sales[[#This Row],[Upsell $ per Non-Paying User]],0)</f>
        <v>0</v>
      </c>
      <c r="Q2145" t="str" cm="1">
        <f t="array" ref="Q2145">_xlfn.IFS(Sales[[#This Row],[Current Upsell $]]=0,"",Sales[[#This Row],[Current Upsell $]]&gt;=400,"High",Sales[[#This Row],[Current Upsell $]]&gt;=100,"Medium",Sales[[#This Row],[Current Upsell $]]&lt;100,"Low")</f>
        <v/>
      </c>
      <c r="R2145" t="str">
        <f>IF(Sales[[#This Row],[Current Upsell $]]&gt;0,_xlfn.CONCAT(Sales[[#This Row],[Subscription Type]]," ",Sales[[#This Row],[Upsell Priority]]," ",TEXT(Sales[[#This Row],[Current Upsell $]],"$#,#")),"")</f>
        <v/>
      </c>
    </row>
    <row r="2146" spans="1:18" x14ac:dyDescent="0.25">
      <c r="A2146">
        <v>100317</v>
      </c>
      <c r="B2146" t="s">
        <v>0</v>
      </c>
      <c r="F2146">
        <v>1</v>
      </c>
      <c r="G2146">
        <v>2</v>
      </c>
      <c r="H2146" s="1">
        <v>44317</v>
      </c>
      <c r="I2146" s="1">
        <v>44348</v>
      </c>
      <c r="J2146">
        <v>1</v>
      </c>
      <c r="K2146">
        <v>0</v>
      </c>
      <c r="L2146" s="1">
        <v>44348</v>
      </c>
      <c r="M2146">
        <v>10</v>
      </c>
      <c r="N2146" s="8" cm="1">
        <f t="array" ref="N2146">_xlfn.SWITCH(Sales[[#This Row],[Subscription Type]],"Basic",10,"Premium",10,"Business",25,"Enterprise",27)</f>
        <v>10</v>
      </c>
      <c r="O2146">
        <f>IF(Sales[[#This Row],[Number of Users]]-Sales[[#This Row],[Licenses Bought]]&lt;0,0,Sales[[#This Row],[Number of Users]]-Sales[[#This Row],[Licenses Bought]])</f>
        <v>1</v>
      </c>
      <c r="P2146" s="8">
        <f>IF(Sales[[#This Row],[Sales Month]]=MAX(Sales[Sales Month]),Sales[[#This Row],[Non-Paying Users]]*Sales[[#This Row],[Upsell $ per Non-Paying User]],0)</f>
        <v>10</v>
      </c>
      <c r="Q2146" t="str" cm="1">
        <f t="array" ref="Q2146">_xlfn.IFS(Sales[[#This Row],[Current Upsell $]]=0,"",Sales[[#This Row],[Current Upsell $]]&gt;=400,"High",Sales[[#This Row],[Current Upsell $]]&gt;=100,"Medium",Sales[[#This Row],[Current Upsell $]]&lt;100,"Low")</f>
        <v>Low</v>
      </c>
      <c r="R2146" t="str">
        <f>IF(Sales[[#This Row],[Current Upsell $]]&gt;0,_xlfn.CONCAT(Sales[[#This Row],[Subscription Type]]," ",Sales[[#This Row],[Upsell Priority]]," ",TEXT(Sales[[#This Row],[Current Upsell $]],"$#,#")),"")</f>
        <v>Premium Low $10</v>
      </c>
    </row>
    <row r="2147" spans="1:18" x14ac:dyDescent="0.25">
      <c r="A2147">
        <v>100318</v>
      </c>
      <c r="B2147" t="s">
        <v>3</v>
      </c>
      <c r="D2147" s="1"/>
      <c r="E2147" s="1"/>
      <c r="F2147">
        <v>0</v>
      </c>
      <c r="G2147">
        <v>2</v>
      </c>
      <c r="H2147" s="1">
        <v>44317</v>
      </c>
      <c r="I2147" s="1">
        <v>44378</v>
      </c>
      <c r="J2147">
        <v>2</v>
      </c>
      <c r="K2147">
        <v>0</v>
      </c>
      <c r="L2147" s="1">
        <v>44317</v>
      </c>
      <c r="M2147">
        <v>0</v>
      </c>
      <c r="N2147" s="8" cm="1">
        <f t="array" ref="N2147">_xlfn.SWITCH(Sales[[#This Row],[Subscription Type]],"Basic",10,"Premium",10,"Business",25,"Enterprise",27)</f>
        <v>10</v>
      </c>
      <c r="O2147">
        <f>IF(Sales[[#This Row],[Number of Users]]-Sales[[#This Row],[Licenses Bought]]&lt;0,0,Sales[[#This Row],[Number of Users]]-Sales[[#This Row],[Licenses Bought]])</f>
        <v>2</v>
      </c>
      <c r="P2147" s="8">
        <f>IF(Sales[[#This Row],[Sales Month]]=MAX(Sales[Sales Month]),Sales[[#This Row],[Non-Paying Users]]*Sales[[#This Row],[Upsell $ per Non-Paying User]],0)</f>
        <v>0</v>
      </c>
      <c r="Q2147" t="str" cm="1">
        <f t="array" ref="Q2147">_xlfn.IFS(Sales[[#This Row],[Current Upsell $]]=0,"",Sales[[#This Row],[Current Upsell $]]&gt;=400,"High",Sales[[#This Row],[Current Upsell $]]&gt;=100,"Medium",Sales[[#This Row],[Current Upsell $]]&lt;100,"Low")</f>
        <v/>
      </c>
      <c r="R2147" t="str">
        <f>IF(Sales[[#This Row],[Current Upsell $]]&gt;0,_xlfn.CONCAT(Sales[[#This Row],[Subscription Type]]," ",Sales[[#This Row],[Upsell Priority]]," ",TEXT(Sales[[#This Row],[Current Upsell $]],"$#,#")),"")</f>
        <v/>
      </c>
    </row>
    <row r="2148" spans="1:18" x14ac:dyDescent="0.25">
      <c r="A2148">
        <v>100318</v>
      </c>
      <c r="B2148" t="s">
        <v>0</v>
      </c>
      <c r="D2148" s="1"/>
      <c r="E2148" s="1"/>
      <c r="F2148">
        <v>1</v>
      </c>
      <c r="G2148">
        <v>2</v>
      </c>
      <c r="H2148" s="1">
        <v>44317</v>
      </c>
      <c r="I2148" s="1">
        <v>44378</v>
      </c>
      <c r="J2148">
        <v>2</v>
      </c>
      <c r="K2148">
        <v>0</v>
      </c>
      <c r="L2148" s="1">
        <v>44348</v>
      </c>
      <c r="M2148">
        <v>10</v>
      </c>
      <c r="N2148" s="8" cm="1">
        <f t="array" ref="N2148">_xlfn.SWITCH(Sales[[#This Row],[Subscription Type]],"Basic",10,"Premium",10,"Business",25,"Enterprise",27)</f>
        <v>10</v>
      </c>
      <c r="O2148">
        <f>IF(Sales[[#This Row],[Number of Users]]-Sales[[#This Row],[Licenses Bought]]&lt;0,0,Sales[[#This Row],[Number of Users]]-Sales[[#This Row],[Licenses Bought]])</f>
        <v>1</v>
      </c>
      <c r="P2148" s="8">
        <f>IF(Sales[[#This Row],[Sales Month]]=MAX(Sales[Sales Month]),Sales[[#This Row],[Non-Paying Users]]*Sales[[#This Row],[Upsell $ per Non-Paying User]],0)</f>
        <v>10</v>
      </c>
      <c r="Q2148" t="str" cm="1">
        <f t="array" ref="Q2148">_xlfn.IFS(Sales[[#This Row],[Current Upsell $]]=0,"",Sales[[#This Row],[Current Upsell $]]&gt;=400,"High",Sales[[#This Row],[Current Upsell $]]&gt;=100,"Medium",Sales[[#This Row],[Current Upsell $]]&lt;100,"Low")</f>
        <v>Low</v>
      </c>
      <c r="R2148" t="str">
        <f>IF(Sales[[#This Row],[Current Upsell $]]&gt;0,_xlfn.CONCAT(Sales[[#This Row],[Subscription Type]]," ",Sales[[#This Row],[Upsell Priority]]," ",TEXT(Sales[[#This Row],[Current Upsell $]],"$#,#")),"")</f>
        <v>Premium Low $10</v>
      </c>
    </row>
    <row r="2149" spans="1:18" x14ac:dyDescent="0.25">
      <c r="A2149">
        <v>100370</v>
      </c>
      <c r="B2149" t="s">
        <v>3</v>
      </c>
      <c r="D2149" s="1"/>
      <c r="E2149" s="1"/>
      <c r="F2149">
        <v>0</v>
      </c>
      <c r="G2149">
        <v>85</v>
      </c>
      <c r="H2149" s="1">
        <v>44348</v>
      </c>
      <c r="I2149" s="1">
        <v>44378</v>
      </c>
      <c r="J2149">
        <v>1</v>
      </c>
      <c r="K2149">
        <v>0</v>
      </c>
      <c r="L2149" s="1">
        <v>44348</v>
      </c>
      <c r="M2149">
        <v>0</v>
      </c>
      <c r="N2149" s="8" cm="1">
        <f t="array" ref="N2149">_xlfn.SWITCH(Sales[[#This Row],[Subscription Type]],"Basic",10,"Premium",10,"Business",25,"Enterprise",27)</f>
        <v>10</v>
      </c>
      <c r="O2149">
        <f>IF(Sales[[#This Row],[Number of Users]]-Sales[[#This Row],[Licenses Bought]]&lt;0,0,Sales[[#This Row],[Number of Users]]-Sales[[#This Row],[Licenses Bought]])</f>
        <v>85</v>
      </c>
      <c r="P2149" s="8">
        <f>IF(Sales[[#This Row],[Sales Month]]=MAX(Sales[Sales Month]),Sales[[#This Row],[Non-Paying Users]]*Sales[[#This Row],[Upsell $ per Non-Paying User]],0)</f>
        <v>850</v>
      </c>
      <c r="Q2149" t="str" cm="1">
        <f t="array" ref="Q2149">_xlfn.IFS(Sales[[#This Row],[Current Upsell $]]=0,"",Sales[[#This Row],[Current Upsell $]]&gt;=400,"High",Sales[[#This Row],[Current Upsell $]]&gt;=100,"Medium",Sales[[#This Row],[Current Upsell $]]&lt;100,"Low")</f>
        <v>High</v>
      </c>
      <c r="R2149" t="str">
        <f>IF(Sales[[#This Row],[Current Upsell $]]&gt;0,_xlfn.CONCAT(Sales[[#This Row],[Subscription Type]]," ",Sales[[#This Row],[Upsell Priority]]," ",TEXT(Sales[[#This Row],[Current Upsell $]],"$#,#")),"")</f>
        <v>Basic High $850</v>
      </c>
    </row>
    <row r="2150" spans="1:18" x14ac:dyDescent="0.25">
      <c r="A2150">
        <v>100320</v>
      </c>
      <c r="B2150" t="s">
        <v>3</v>
      </c>
      <c r="D2150" s="1"/>
      <c r="E2150" s="1"/>
      <c r="F2150">
        <v>0</v>
      </c>
      <c r="G2150">
        <v>84</v>
      </c>
      <c r="H2150" s="1">
        <v>44348</v>
      </c>
      <c r="I2150" s="1">
        <v>44378</v>
      </c>
      <c r="J2150">
        <v>1</v>
      </c>
      <c r="K2150">
        <v>0</v>
      </c>
      <c r="L2150" s="1">
        <v>44348</v>
      </c>
      <c r="M2150">
        <v>0</v>
      </c>
      <c r="N2150" s="8" cm="1">
        <f t="array" ref="N2150">_xlfn.SWITCH(Sales[[#This Row],[Subscription Type]],"Basic",10,"Premium",10,"Business",25,"Enterprise",27)</f>
        <v>10</v>
      </c>
      <c r="O2150">
        <f>IF(Sales[[#This Row],[Number of Users]]-Sales[[#This Row],[Licenses Bought]]&lt;0,0,Sales[[#This Row],[Number of Users]]-Sales[[#This Row],[Licenses Bought]])</f>
        <v>84</v>
      </c>
      <c r="P2150" s="8">
        <f>IF(Sales[[#This Row],[Sales Month]]=MAX(Sales[Sales Month]),Sales[[#This Row],[Non-Paying Users]]*Sales[[#This Row],[Upsell $ per Non-Paying User]],0)</f>
        <v>840</v>
      </c>
      <c r="Q2150" t="str" cm="1">
        <f t="array" ref="Q2150">_xlfn.IFS(Sales[[#This Row],[Current Upsell $]]=0,"",Sales[[#This Row],[Current Upsell $]]&gt;=400,"High",Sales[[#This Row],[Current Upsell $]]&gt;=100,"Medium",Sales[[#This Row],[Current Upsell $]]&lt;100,"Low")</f>
        <v>High</v>
      </c>
      <c r="R2150" t="str">
        <f>IF(Sales[[#This Row],[Current Upsell $]]&gt;0,_xlfn.CONCAT(Sales[[#This Row],[Subscription Type]]," ",Sales[[#This Row],[Upsell Priority]]," ",TEXT(Sales[[#This Row],[Current Upsell $]],"$#,#")),"")</f>
        <v>Basic High $840</v>
      </c>
    </row>
    <row r="2151" spans="1:18" x14ac:dyDescent="0.25">
      <c r="A2151">
        <v>100319</v>
      </c>
      <c r="B2151" t="s">
        <v>3</v>
      </c>
      <c r="D2151" s="1"/>
      <c r="E2151" s="1"/>
      <c r="F2151">
        <v>0</v>
      </c>
      <c r="G2151">
        <v>72</v>
      </c>
      <c r="H2151" s="1">
        <v>44348</v>
      </c>
      <c r="I2151" s="1">
        <v>44378</v>
      </c>
      <c r="J2151">
        <v>1</v>
      </c>
      <c r="K2151">
        <v>0</v>
      </c>
      <c r="L2151" s="1">
        <v>44348</v>
      </c>
      <c r="M2151">
        <v>0</v>
      </c>
      <c r="N2151" s="8" cm="1">
        <f t="array" ref="N2151">_xlfn.SWITCH(Sales[[#This Row],[Subscription Type]],"Basic",10,"Premium",10,"Business",25,"Enterprise",27)</f>
        <v>10</v>
      </c>
      <c r="O2151">
        <f>IF(Sales[[#This Row],[Number of Users]]-Sales[[#This Row],[Licenses Bought]]&lt;0,0,Sales[[#This Row],[Number of Users]]-Sales[[#This Row],[Licenses Bought]])</f>
        <v>72</v>
      </c>
      <c r="P2151" s="8">
        <f>IF(Sales[[#This Row],[Sales Month]]=MAX(Sales[Sales Month]),Sales[[#This Row],[Non-Paying Users]]*Sales[[#This Row],[Upsell $ per Non-Paying User]],0)</f>
        <v>720</v>
      </c>
      <c r="Q2151" t="str" cm="1">
        <f t="array" ref="Q2151">_xlfn.IFS(Sales[[#This Row],[Current Upsell $]]=0,"",Sales[[#This Row],[Current Upsell $]]&gt;=400,"High",Sales[[#This Row],[Current Upsell $]]&gt;=100,"Medium",Sales[[#This Row],[Current Upsell $]]&lt;100,"Low")</f>
        <v>High</v>
      </c>
      <c r="R2151" t="str">
        <f>IF(Sales[[#This Row],[Current Upsell $]]&gt;0,_xlfn.CONCAT(Sales[[#This Row],[Subscription Type]]," ",Sales[[#This Row],[Upsell Priority]]," ",TEXT(Sales[[#This Row],[Current Upsell $]],"$#,#")),"")</f>
        <v>Basic High $720</v>
      </c>
    </row>
    <row r="2152" spans="1:18" x14ac:dyDescent="0.25">
      <c r="A2152">
        <v>100322</v>
      </c>
      <c r="B2152" t="s">
        <v>3</v>
      </c>
      <c r="D2152" s="1"/>
      <c r="E2152" s="1"/>
      <c r="F2152">
        <v>0</v>
      </c>
      <c r="G2152">
        <v>68</v>
      </c>
      <c r="H2152" s="1">
        <v>44348</v>
      </c>
      <c r="I2152" s="1">
        <v>44378</v>
      </c>
      <c r="J2152">
        <v>1</v>
      </c>
      <c r="K2152">
        <v>0</v>
      </c>
      <c r="L2152" s="1">
        <v>44348</v>
      </c>
      <c r="M2152">
        <v>0</v>
      </c>
      <c r="N2152" s="8" cm="1">
        <f t="array" ref="N2152">_xlfn.SWITCH(Sales[[#This Row],[Subscription Type]],"Basic",10,"Premium",10,"Business",25,"Enterprise",27)</f>
        <v>10</v>
      </c>
      <c r="O2152">
        <f>IF(Sales[[#This Row],[Number of Users]]-Sales[[#This Row],[Licenses Bought]]&lt;0,0,Sales[[#This Row],[Number of Users]]-Sales[[#This Row],[Licenses Bought]])</f>
        <v>68</v>
      </c>
      <c r="P2152" s="8">
        <f>IF(Sales[[#This Row],[Sales Month]]=MAX(Sales[Sales Month]),Sales[[#This Row],[Non-Paying Users]]*Sales[[#This Row],[Upsell $ per Non-Paying User]],0)</f>
        <v>680</v>
      </c>
      <c r="Q2152" t="str" cm="1">
        <f t="array" ref="Q2152">_xlfn.IFS(Sales[[#This Row],[Current Upsell $]]=0,"",Sales[[#This Row],[Current Upsell $]]&gt;=400,"High",Sales[[#This Row],[Current Upsell $]]&gt;=100,"Medium",Sales[[#This Row],[Current Upsell $]]&lt;100,"Low")</f>
        <v>High</v>
      </c>
      <c r="R2152" t="str">
        <f>IF(Sales[[#This Row],[Current Upsell $]]&gt;0,_xlfn.CONCAT(Sales[[#This Row],[Subscription Type]]," ",Sales[[#This Row],[Upsell Priority]]," ",TEXT(Sales[[#This Row],[Current Upsell $]],"$#,#")),"")</f>
        <v>Basic High $680</v>
      </c>
    </row>
    <row r="2153" spans="1:18" x14ac:dyDescent="0.25">
      <c r="A2153">
        <v>100324</v>
      </c>
      <c r="B2153" t="s">
        <v>3</v>
      </c>
      <c r="D2153" s="1"/>
      <c r="E2153" s="1"/>
      <c r="F2153">
        <v>0</v>
      </c>
      <c r="G2153">
        <v>68</v>
      </c>
      <c r="H2153" s="1">
        <v>44348</v>
      </c>
      <c r="I2153" s="1">
        <v>44378</v>
      </c>
      <c r="J2153">
        <v>1</v>
      </c>
      <c r="K2153">
        <v>0</v>
      </c>
      <c r="L2153" s="1">
        <v>44348</v>
      </c>
      <c r="M2153">
        <v>0</v>
      </c>
      <c r="N2153" s="8" cm="1">
        <f t="array" ref="N2153">_xlfn.SWITCH(Sales[[#This Row],[Subscription Type]],"Basic",10,"Premium",10,"Business",25,"Enterprise",27)</f>
        <v>10</v>
      </c>
      <c r="O2153">
        <f>IF(Sales[[#This Row],[Number of Users]]-Sales[[#This Row],[Licenses Bought]]&lt;0,0,Sales[[#This Row],[Number of Users]]-Sales[[#This Row],[Licenses Bought]])</f>
        <v>68</v>
      </c>
      <c r="P2153" s="8">
        <f>IF(Sales[[#This Row],[Sales Month]]=MAX(Sales[Sales Month]),Sales[[#This Row],[Non-Paying Users]]*Sales[[#This Row],[Upsell $ per Non-Paying User]],0)</f>
        <v>680</v>
      </c>
      <c r="Q2153" t="str" cm="1">
        <f t="array" ref="Q2153">_xlfn.IFS(Sales[[#This Row],[Current Upsell $]]=0,"",Sales[[#This Row],[Current Upsell $]]&gt;=400,"High",Sales[[#This Row],[Current Upsell $]]&gt;=100,"Medium",Sales[[#This Row],[Current Upsell $]]&lt;100,"Low")</f>
        <v>High</v>
      </c>
      <c r="R2153" t="str">
        <f>IF(Sales[[#This Row],[Current Upsell $]]&gt;0,_xlfn.CONCAT(Sales[[#This Row],[Subscription Type]]," ",Sales[[#This Row],[Upsell Priority]]," ",TEXT(Sales[[#This Row],[Current Upsell $]],"$#,#")),"")</f>
        <v>Basic High $680</v>
      </c>
    </row>
    <row r="2154" spans="1:18" x14ac:dyDescent="0.25">
      <c r="A2154">
        <v>100325</v>
      </c>
      <c r="B2154" t="s">
        <v>3</v>
      </c>
      <c r="D2154" s="1"/>
      <c r="E2154" s="1"/>
      <c r="F2154">
        <v>0</v>
      </c>
      <c r="G2154">
        <v>59</v>
      </c>
      <c r="H2154" s="1">
        <v>44348</v>
      </c>
      <c r="I2154" s="1">
        <v>44378</v>
      </c>
      <c r="J2154">
        <v>1</v>
      </c>
      <c r="K2154">
        <v>0</v>
      </c>
      <c r="L2154" s="1">
        <v>44348</v>
      </c>
      <c r="M2154">
        <v>0</v>
      </c>
      <c r="N2154" s="8" cm="1">
        <f t="array" ref="N2154">_xlfn.SWITCH(Sales[[#This Row],[Subscription Type]],"Basic",10,"Premium",10,"Business",25,"Enterprise",27)</f>
        <v>10</v>
      </c>
      <c r="O2154">
        <f>IF(Sales[[#This Row],[Number of Users]]-Sales[[#This Row],[Licenses Bought]]&lt;0,0,Sales[[#This Row],[Number of Users]]-Sales[[#This Row],[Licenses Bought]])</f>
        <v>59</v>
      </c>
      <c r="P2154" s="8">
        <f>IF(Sales[[#This Row],[Sales Month]]=MAX(Sales[Sales Month]),Sales[[#This Row],[Non-Paying Users]]*Sales[[#This Row],[Upsell $ per Non-Paying User]],0)</f>
        <v>590</v>
      </c>
      <c r="Q2154" t="str" cm="1">
        <f t="array" ref="Q2154">_xlfn.IFS(Sales[[#This Row],[Current Upsell $]]=0,"",Sales[[#This Row],[Current Upsell $]]&gt;=400,"High",Sales[[#This Row],[Current Upsell $]]&gt;=100,"Medium",Sales[[#This Row],[Current Upsell $]]&lt;100,"Low")</f>
        <v>High</v>
      </c>
      <c r="R2154" t="str">
        <f>IF(Sales[[#This Row],[Current Upsell $]]&gt;0,_xlfn.CONCAT(Sales[[#This Row],[Subscription Type]]," ",Sales[[#This Row],[Upsell Priority]]," ",TEXT(Sales[[#This Row],[Current Upsell $]],"$#,#")),"")</f>
        <v>Basic High $590</v>
      </c>
    </row>
    <row r="2155" spans="1:18" x14ac:dyDescent="0.25">
      <c r="A2155">
        <v>100328</v>
      </c>
      <c r="B2155" t="s">
        <v>3</v>
      </c>
      <c r="D2155" s="1"/>
      <c r="E2155" s="1"/>
      <c r="F2155">
        <v>0</v>
      </c>
      <c r="G2155">
        <v>55</v>
      </c>
      <c r="H2155" s="1">
        <v>44348</v>
      </c>
      <c r="I2155" s="1">
        <v>44378</v>
      </c>
      <c r="J2155">
        <v>1</v>
      </c>
      <c r="K2155">
        <v>0</v>
      </c>
      <c r="L2155" s="1">
        <v>44348</v>
      </c>
      <c r="M2155">
        <v>0</v>
      </c>
      <c r="N2155" s="8" cm="1">
        <f t="array" ref="N2155">_xlfn.SWITCH(Sales[[#This Row],[Subscription Type]],"Basic",10,"Premium",10,"Business",25,"Enterprise",27)</f>
        <v>10</v>
      </c>
      <c r="O2155">
        <f>IF(Sales[[#This Row],[Number of Users]]-Sales[[#This Row],[Licenses Bought]]&lt;0,0,Sales[[#This Row],[Number of Users]]-Sales[[#This Row],[Licenses Bought]])</f>
        <v>55</v>
      </c>
      <c r="P2155" s="8">
        <f>IF(Sales[[#This Row],[Sales Month]]=MAX(Sales[Sales Month]),Sales[[#This Row],[Non-Paying Users]]*Sales[[#This Row],[Upsell $ per Non-Paying User]],0)</f>
        <v>550</v>
      </c>
      <c r="Q2155" t="str" cm="1">
        <f t="array" ref="Q2155">_xlfn.IFS(Sales[[#This Row],[Current Upsell $]]=0,"",Sales[[#This Row],[Current Upsell $]]&gt;=400,"High",Sales[[#This Row],[Current Upsell $]]&gt;=100,"Medium",Sales[[#This Row],[Current Upsell $]]&lt;100,"Low")</f>
        <v>High</v>
      </c>
      <c r="R2155" t="str">
        <f>IF(Sales[[#This Row],[Current Upsell $]]&gt;0,_xlfn.CONCAT(Sales[[#This Row],[Subscription Type]]," ",Sales[[#This Row],[Upsell Priority]]," ",TEXT(Sales[[#This Row],[Current Upsell $]],"$#,#")),"")</f>
        <v>Basic High $550</v>
      </c>
    </row>
    <row r="2156" spans="1:18" x14ac:dyDescent="0.25">
      <c r="A2156">
        <v>100327</v>
      </c>
      <c r="B2156" t="s">
        <v>3</v>
      </c>
      <c r="D2156" s="1"/>
      <c r="E2156" s="1"/>
      <c r="F2156">
        <v>0</v>
      </c>
      <c r="G2156">
        <v>54</v>
      </c>
      <c r="H2156" s="1">
        <v>44348</v>
      </c>
      <c r="I2156" s="1">
        <v>44378</v>
      </c>
      <c r="J2156">
        <v>1</v>
      </c>
      <c r="K2156">
        <v>0</v>
      </c>
      <c r="L2156" s="1">
        <v>44348</v>
      </c>
      <c r="M2156">
        <v>0</v>
      </c>
      <c r="N2156" s="8" cm="1">
        <f t="array" ref="N2156">_xlfn.SWITCH(Sales[[#This Row],[Subscription Type]],"Basic",10,"Premium",10,"Business",25,"Enterprise",27)</f>
        <v>10</v>
      </c>
      <c r="O2156">
        <f>IF(Sales[[#This Row],[Number of Users]]-Sales[[#This Row],[Licenses Bought]]&lt;0,0,Sales[[#This Row],[Number of Users]]-Sales[[#This Row],[Licenses Bought]])</f>
        <v>54</v>
      </c>
      <c r="P2156" s="8">
        <f>IF(Sales[[#This Row],[Sales Month]]=MAX(Sales[Sales Month]),Sales[[#This Row],[Non-Paying Users]]*Sales[[#This Row],[Upsell $ per Non-Paying User]],0)</f>
        <v>540</v>
      </c>
      <c r="Q2156" t="str" cm="1">
        <f t="array" ref="Q2156">_xlfn.IFS(Sales[[#This Row],[Current Upsell $]]=0,"",Sales[[#This Row],[Current Upsell $]]&gt;=400,"High",Sales[[#This Row],[Current Upsell $]]&gt;=100,"Medium",Sales[[#This Row],[Current Upsell $]]&lt;100,"Low")</f>
        <v>High</v>
      </c>
      <c r="R2156" t="str">
        <f>IF(Sales[[#This Row],[Current Upsell $]]&gt;0,_xlfn.CONCAT(Sales[[#This Row],[Subscription Type]]," ",Sales[[#This Row],[Upsell Priority]]," ",TEXT(Sales[[#This Row],[Current Upsell $]],"$#,#")),"")</f>
        <v>Basic High $540</v>
      </c>
    </row>
    <row r="2157" spans="1:18" x14ac:dyDescent="0.25">
      <c r="A2157">
        <v>100323</v>
      </c>
      <c r="B2157" t="s">
        <v>3</v>
      </c>
      <c r="D2157" s="1"/>
      <c r="E2157" s="1"/>
      <c r="F2157">
        <v>0</v>
      </c>
      <c r="G2157">
        <v>51</v>
      </c>
      <c r="H2157" s="1">
        <v>44348</v>
      </c>
      <c r="I2157" s="1">
        <v>44378</v>
      </c>
      <c r="J2157">
        <v>1</v>
      </c>
      <c r="K2157">
        <v>0</v>
      </c>
      <c r="L2157" s="1">
        <v>44348</v>
      </c>
      <c r="M2157">
        <v>0</v>
      </c>
      <c r="N2157" s="8" cm="1">
        <f t="array" ref="N2157">_xlfn.SWITCH(Sales[[#This Row],[Subscription Type]],"Basic",10,"Premium",10,"Business",25,"Enterprise",27)</f>
        <v>10</v>
      </c>
      <c r="O2157">
        <f>IF(Sales[[#This Row],[Number of Users]]-Sales[[#This Row],[Licenses Bought]]&lt;0,0,Sales[[#This Row],[Number of Users]]-Sales[[#This Row],[Licenses Bought]])</f>
        <v>51</v>
      </c>
      <c r="P2157" s="8">
        <f>IF(Sales[[#This Row],[Sales Month]]=MAX(Sales[Sales Month]),Sales[[#This Row],[Non-Paying Users]]*Sales[[#This Row],[Upsell $ per Non-Paying User]],0)</f>
        <v>510</v>
      </c>
      <c r="Q2157" t="str" cm="1">
        <f t="array" ref="Q2157">_xlfn.IFS(Sales[[#This Row],[Current Upsell $]]=0,"",Sales[[#This Row],[Current Upsell $]]&gt;=400,"High",Sales[[#This Row],[Current Upsell $]]&gt;=100,"Medium",Sales[[#This Row],[Current Upsell $]]&lt;100,"Low")</f>
        <v>High</v>
      </c>
      <c r="R2157" t="str">
        <f>IF(Sales[[#This Row],[Current Upsell $]]&gt;0,_xlfn.CONCAT(Sales[[#This Row],[Subscription Type]]," ",Sales[[#This Row],[Upsell Priority]]," ",TEXT(Sales[[#This Row],[Current Upsell $]],"$#,#")),"")</f>
        <v>Basic High $510</v>
      </c>
    </row>
    <row r="2158" spans="1:18" x14ac:dyDescent="0.25">
      <c r="A2158">
        <v>100321</v>
      </c>
      <c r="B2158" t="s">
        <v>3</v>
      </c>
      <c r="D2158" s="1"/>
      <c r="E2158" s="1"/>
      <c r="F2158">
        <v>0</v>
      </c>
      <c r="G2158">
        <v>50</v>
      </c>
      <c r="H2158" s="1">
        <v>44348</v>
      </c>
      <c r="I2158" s="1">
        <v>44378</v>
      </c>
      <c r="J2158">
        <v>1</v>
      </c>
      <c r="K2158">
        <v>0</v>
      </c>
      <c r="L2158" s="1">
        <v>44348</v>
      </c>
      <c r="M2158">
        <v>0</v>
      </c>
      <c r="N2158" s="8" cm="1">
        <f t="array" ref="N2158">_xlfn.SWITCH(Sales[[#This Row],[Subscription Type]],"Basic",10,"Premium",10,"Business",25,"Enterprise",27)</f>
        <v>10</v>
      </c>
      <c r="O2158">
        <f>IF(Sales[[#This Row],[Number of Users]]-Sales[[#This Row],[Licenses Bought]]&lt;0,0,Sales[[#This Row],[Number of Users]]-Sales[[#This Row],[Licenses Bought]])</f>
        <v>50</v>
      </c>
      <c r="P2158" s="8">
        <f>IF(Sales[[#This Row],[Sales Month]]=MAX(Sales[Sales Month]),Sales[[#This Row],[Non-Paying Users]]*Sales[[#This Row],[Upsell $ per Non-Paying User]],0)</f>
        <v>500</v>
      </c>
      <c r="Q2158" t="str" cm="1">
        <f t="array" ref="Q2158">_xlfn.IFS(Sales[[#This Row],[Current Upsell $]]=0,"",Sales[[#This Row],[Current Upsell $]]&gt;=400,"High",Sales[[#This Row],[Current Upsell $]]&gt;=100,"Medium",Sales[[#This Row],[Current Upsell $]]&lt;100,"Low")</f>
        <v>High</v>
      </c>
      <c r="R2158" t="str">
        <f>IF(Sales[[#This Row],[Current Upsell $]]&gt;0,_xlfn.CONCAT(Sales[[#This Row],[Subscription Type]]," ",Sales[[#This Row],[Upsell Priority]]," ",TEXT(Sales[[#This Row],[Current Upsell $]],"$#,#")),"")</f>
        <v>Basic High $500</v>
      </c>
    </row>
    <row r="2159" spans="1:18" x14ac:dyDescent="0.25">
      <c r="A2159">
        <v>100326</v>
      </c>
      <c r="B2159" t="s">
        <v>3</v>
      </c>
      <c r="D2159" s="1"/>
      <c r="E2159" s="1"/>
      <c r="F2159">
        <v>0</v>
      </c>
      <c r="G2159">
        <v>50</v>
      </c>
      <c r="H2159" s="1">
        <v>44348</v>
      </c>
      <c r="I2159" s="1">
        <v>44378</v>
      </c>
      <c r="J2159">
        <v>1</v>
      </c>
      <c r="K2159">
        <v>0</v>
      </c>
      <c r="L2159" s="1">
        <v>44348</v>
      </c>
      <c r="M2159">
        <v>0</v>
      </c>
      <c r="N2159" s="8" cm="1">
        <f t="array" ref="N2159">_xlfn.SWITCH(Sales[[#This Row],[Subscription Type]],"Basic",10,"Premium",10,"Business",25,"Enterprise",27)</f>
        <v>10</v>
      </c>
      <c r="O2159">
        <f>IF(Sales[[#This Row],[Number of Users]]-Sales[[#This Row],[Licenses Bought]]&lt;0,0,Sales[[#This Row],[Number of Users]]-Sales[[#This Row],[Licenses Bought]])</f>
        <v>50</v>
      </c>
      <c r="P2159" s="8">
        <f>IF(Sales[[#This Row],[Sales Month]]=MAX(Sales[Sales Month]),Sales[[#This Row],[Non-Paying Users]]*Sales[[#This Row],[Upsell $ per Non-Paying User]],0)</f>
        <v>500</v>
      </c>
      <c r="Q2159" t="str" cm="1">
        <f t="array" ref="Q2159">_xlfn.IFS(Sales[[#This Row],[Current Upsell $]]=0,"",Sales[[#This Row],[Current Upsell $]]&gt;=400,"High",Sales[[#This Row],[Current Upsell $]]&gt;=100,"Medium",Sales[[#This Row],[Current Upsell $]]&lt;100,"Low")</f>
        <v>High</v>
      </c>
      <c r="R2159" t="str">
        <f>IF(Sales[[#This Row],[Current Upsell $]]&gt;0,_xlfn.CONCAT(Sales[[#This Row],[Subscription Type]]," ",Sales[[#This Row],[Upsell Priority]]," ",TEXT(Sales[[#This Row],[Current Upsell $]],"$#,#")),"")</f>
        <v>Basic High $500</v>
      </c>
    </row>
    <row r="2160" spans="1:18" x14ac:dyDescent="0.25">
      <c r="A2160">
        <v>100329</v>
      </c>
      <c r="B2160" t="s">
        <v>3</v>
      </c>
      <c r="D2160" s="1"/>
      <c r="E2160" s="1"/>
      <c r="F2160">
        <v>0</v>
      </c>
      <c r="G2160">
        <v>50</v>
      </c>
      <c r="H2160" s="1">
        <v>44348</v>
      </c>
      <c r="I2160" s="1">
        <v>44378</v>
      </c>
      <c r="J2160">
        <v>1</v>
      </c>
      <c r="K2160">
        <v>0</v>
      </c>
      <c r="L2160" s="1">
        <v>44348</v>
      </c>
      <c r="M2160">
        <v>0</v>
      </c>
      <c r="N2160" s="8" cm="1">
        <f t="array" ref="N2160">_xlfn.SWITCH(Sales[[#This Row],[Subscription Type]],"Basic",10,"Premium",10,"Business",25,"Enterprise",27)</f>
        <v>10</v>
      </c>
      <c r="O2160">
        <f>IF(Sales[[#This Row],[Number of Users]]-Sales[[#This Row],[Licenses Bought]]&lt;0,0,Sales[[#This Row],[Number of Users]]-Sales[[#This Row],[Licenses Bought]])</f>
        <v>50</v>
      </c>
      <c r="P2160" s="8">
        <f>IF(Sales[[#This Row],[Sales Month]]=MAX(Sales[Sales Month]),Sales[[#This Row],[Non-Paying Users]]*Sales[[#This Row],[Upsell $ per Non-Paying User]],0)</f>
        <v>500</v>
      </c>
      <c r="Q2160" t="str" cm="1">
        <f t="array" ref="Q2160">_xlfn.IFS(Sales[[#This Row],[Current Upsell $]]=0,"",Sales[[#This Row],[Current Upsell $]]&gt;=400,"High",Sales[[#This Row],[Current Upsell $]]&gt;=100,"Medium",Sales[[#This Row],[Current Upsell $]]&lt;100,"Low")</f>
        <v>High</v>
      </c>
      <c r="R2160" t="str">
        <f>IF(Sales[[#This Row],[Current Upsell $]]&gt;0,_xlfn.CONCAT(Sales[[#This Row],[Subscription Type]]," ",Sales[[#This Row],[Upsell Priority]]," ",TEXT(Sales[[#This Row],[Current Upsell $]],"$#,#")),"")</f>
        <v>Basic High $500</v>
      </c>
    </row>
    <row r="2161" spans="1:18" x14ac:dyDescent="0.25">
      <c r="A2161">
        <v>100331</v>
      </c>
      <c r="B2161" t="s">
        <v>3</v>
      </c>
      <c r="D2161" s="1"/>
      <c r="E2161" s="1"/>
      <c r="F2161">
        <v>0</v>
      </c>
      <c r="G2161">
        <v>45</v>
      </c>
      <c r="H2161" s="1">
        <v>44348</v>
      </c>
      <c r="I2161" s="1">
        <v>44378</v>
      </c>
      <c r="J2161">
        <v>1</v>
      </c>
      <c r="K2161">
        <v>0</v>
      </c>
      <c r="L2161" s="1">
        <v>44348</v>
      </c>
      <c r="M2161">
        <v>0</v>
      </c>
      <c r="N2161" s="8" cm="1">
        <f t="array" ref="N2161">_xlfn.SWITCH(Sales[[#This Row],[Subscription Type]],"Basic",10,"Premium",10,"Business",25,"Enterprise",27)</f>
        <v>10</v>
      </c>
      <c r="O2161">
        <f>IF(Sales[[#This Row],[Number of Users]]-Sales[[#This Row],[Licenses Bought]]&lt;0,0,Sales[[#This Row],[Number of Users]]-Sales[[#This Row],[Licenses Bought]])</f>
        <v>45</v>
      </c>
      <c r="P2161" s="8">
        <f>IF(Sales[[#This Row],[Sales Month]]=MAX(Sales[Sales Month]),Sales[[#This Row],[Non-Paying Users]]*Sales[[#This Row],[Upsell $ per Non-Paying User]],0)</f>
        <v>450</v>
      </c>
      <c r="Q2161" t="str" cm="1">
        <f t="array" ref="Q2161">_xlfn.IFS(Sales[[#This Row],[Current Upsell $]]=0,"",Sales[[#This Row],[Current Upsell $]]&gt;=400,"High",Sales[[#This Row],[Current Upsell $]]&gt;=100,"Medium",Sales[[#This Row],[Current Upsell $]]&lt;100,"Low")</f>
        <v>High</v>
      </c>
      <c r="R2161" t="str">
        <f>IF(Sales[[#This Row],[Current Upsell $]]&gt;0,_xlfn.CONCAT(Sales[[#This Row],[Subscription Type]]," ",Sales[[#This Row],[Upsell Priority]]," ",TEXT(Sales[[#This Row],[Current Upsell $]],"$#,#")),"")</f>
        <v>Basic High $450</v>
      </c>
    </row>
    <row r="2162" spans="1:18" x14ac:dyDescent="0.25">
      <c r="A2162">
        <v>100332</v>
      </c>
      <c r="B2162" t="s">
        <v>3</v>
      </c>
      <c r="D2162" s="1"/>
      <c r="E2162" s="1"/>
      <c r="F2162">
        <v>0</v>
      </c>
      <c r="G2162">
        <v>37</v>
      </c>
      <c r="H2162" s="1">
        <v>44348</v>
      </c>
      <c r="I2162" s="1">
        <v>44378</v>
      </c>
      <c r="J2162">
        <v>1</v>
      </c>
      <c r="K2162">
        <v>0</v>
      </c>
      <c r="L2162" s="1">
        <v>44348</v>
      </c>
      <c r="M2162">
        <v>0</v>
      </c>
      <c r="N2162" s="8" cm="1">
        <f t="array" ref="N2162">_xlfn.SWITCH(Sales[[#This Row],[Subscription Type]],"Basic",10,"Premium",10,"Business",25,"Enterprise",27)</f>
        <v>10</v>
      </c>
      <c r="O2162">
        <f>IF(Sales[[#This Row],[Number of Users]]-Sales[[#This Row],[Licenses Bought]]&lt;0,0,Sales[[#This Row],[Number of Users]]-Sales[[#This Row],[Licenses Bought]])</f>
        <v>37</v>
      </c>
      <c r="P2162" s="8">
        <f>IF(Sales[[#This Row],[Sales Month]]=MAX(Sales[Sales Month]),Sales[[#This Row],[Non-Paying Users]]*Sales[[#This Row],[Upsell $ per Non-Paying User]],0)</f>
        <v>370</v>
      </c>
      <c r="Q2162" t="str" cm="1">
        <f t="array" ref="Q2162">_xlfn.IFS(Sales[[#This Row],[Current Upsell $]]=0,"",Sales[[#This Row],[Current Upsell $]]&gt;=400,"High",Sales[[#This Row],[Current Upsell $]]&gt;=100,"Medium",Sales[[#This Row],[Current Upsell $]]&lt;100,"Low")</f>
        <v>Medium</v>
      </c>
      <c r="R2162" t="str">
        <f>IF(Sales[[#This Row],[Current Upsell $]]&gt;0,_xlfn.CONCAT(Sales[[#This Row],[Subscription Type]]," ",Sales[[#This Row],[Upsell Priority]]," ",TEXT(Sales[[#This Row],[Current Upsell $]],"$#,#")),"")</f>
        <v>Basic Medium $370</v>
      </c>
    </row>
    <row r="2163" spans="1:18" x14ac:dyDescent="0.25">
      <c r="A2163">
        <v>100333</v>
      </c>
      <c r="B2163" t="s">
        <v>3</v>
      </c>
      <c r="D2163" s="1"/>
      <c r="E2163" s="1"/>
      <c r="F2163">
        <v>0</v>
      </c>
      <c r="G2163">
        <v>39</v>
      </c>
      <c r="H2163" s="1">
        <v>44348</v>
      </c>
      <c r="I2163" s="1">
        <v>44378</v>
      </c>
      <c r="J2163">
        <v>1</v>
      </c>
      <c r="K2163">
        <v>0</v>
      </c>
      <c r="L2163" s="1">
        <v>44348</v>
      </c>
      <c r="M2163">
        <v>0</v>
      </c>
      <c r="N2163" s="8" cm="1">
        <f t="array" ref="N2163">_xlfn.SWITCH(Sales[[#This Row],[Subscription Type]],"Basic",10,"Premium",10,"Business",25,"Enterprise",27)</f>
        <v>10</v>
      </c>
      <c r="O2163">
        <f>IF(Sales[[#This Row],[Number of Users]]-Sales[[#This Row],[Licenses Bought]]&lt;0,0,Sales[[#This Row],[Number of Users]]-Sales[[#This Row],[Licenses Bought]])</f>
        <v>39</v>
      </c>
      <c r="P2163" s="8">
        <f>IF(Sales[[#This Row],[Sales Month]]=MAX(Sales[Sales Month]),Sales[[#This Row],[Non-Paying Users]]*Sales[[#This Row],[Upsell $ per Non-Paying User]],0)</f>
        <v>390</v>
      </c>
      <c r="Q2163" t="str" cm="1">
        <f t="array" ref="Q2163">_xlfn.IFS(Sales[[#This Row],[Current Upsell $]]=0,"",Sales[[#This Row],[Current Upsell $]]&gt;=400,"High",Sales[[#This Row],[Current Upsell $]]&gt;=100,"Medium",Sales[[#This Row],[Current Upsell $]]&lt;100,"Low")</f>
        <v>Medium</v>
      </c>
      <c r="R2163" t="str">
        <f>IF(Sales[[#This Row],[Current Upsell $]]&gt;0,_xlfn.CONCAT(Sales[[#This Row],[Subscription Type]]," ",Sales[[#This Row],[Upsell Priority]]," ",TEXT(Sales[[#This Row],[Current Upsell $]],"$#,#")),"")</f>
        <v>Basic Medium $390</v>
      </c>
    </row>
    <row r="2164" spans="1:18" x14ac:dyDescent="0.25">
      <c r="A2164">
        <v>100334</v>
      </c>
      <c r="B2164" t="s">
        <v>3</v>
      </c>
      <c r="D2164" s="1"/>
      <c r="E2164" s="1"/>
      <c r="F2164">
        <v>0</v>
      </c>
      <c r="G2164">
        <v>37</v>
      </c>
      <c r="H2164" s="1">
        <v>44348</v>
      </c>
      <c r="I2164" s="1">
        <v>44378</v>
      </c>
      <c r="J2164">
        <v>1</v>
      </c>
      <c r="K2164">
        <v>0</v>
      </c>
      <c r="L2164" s="1">
        <v>44348</v>
      </c>
      <c r="M2164">
        <v>0</v>
      </c>
      <c r="N2164" s="8" cm="1">
        <f t="array" ref="N2164">_xlfn.SWITCH(Sales[[#This Row],[Subscription Type]],"Basic",10,"Premium",10,"Business",25,"Enterprise",27)</f>
        <v>10</v>
      </c>
      <c r="O2164">
        <f>IF(Sales[[#This Row],[Number of Users]]-Sales[[#This Row],[Licenses Bought]]&lt;0,0,Sales[[#This Row],[Number of Users]]-Sales[[#This Row],[Licenses Bought]])</f>
        <v>37</v>
      </c>
      <c r="P2164" s="8">
        <f>IF(Sales[[#This Row],[Sales Month]]=MAX(Sales[Sales Month]),Sales[[#This Row],[Non-Paying Users]]*Sales[[#This Row],[Upsell $ per Non-Paying User]],0)</f>
        <v>370</v>
      </c>
      <c r="Q2164" t="str" cm="1">
        <f t="array" ref="Q2164">_xlfn.IFS(Sales[[#This Row],[Current Upsell $]]=0,"",Sales[[#This Row],[Current Upsell $]]&gt;=400,"High",Sales[[#This Row],[Current Upsell $]]&gt;=100,"Medium",Sales[[#This Row],[Current Upsell $]]&lt;100,"Low")</f>
        <v>Medium</v>
      </c>
      <c r="R2164" t="str">
        <f>IF(Sales[[#This Row],[Current Upsell $]]&gt;0,_xlfn.CONCAT(Sales[[#This Row],[Subscription Type]]," ",Sales[[#This Row],[Upsell Priority]]," ",TEXT(Sales[[#This Row],[Current Upsell $]],"$#,#")),"")</f>
        <v>Basic Medium $370</v>
      </c>
    </row>
    <row r="2165" spans="1:18" x14ac:dyDescent="0.25">
      <c r="A2165">
        <v>100335</v>
      </c>
      <c r="B2165" t="s">
        <v>3</v>
      </c>
      <c r="D2165" s="1"/>
      <c r="E2165" s="1"/>
      <c r="F2165">
        <v>0</v>
      </c>
      <c r="G2165">
        <v>28</v>
      </c>
      <c r="H2165" s="1">
        <v>44348</v>
      </c>
      <c r="I2165" s="1">
        <v>44378</v>
      </c>
      <c r="J2165">
        <v>1</v>
      </c>
      <c r="K2165">
        <v>0</v>
      </c>
      <c r="L2165" s="1">
        <v>44348</v>
      </c>
      <c r="M2165">
        <v>0</v>
      </c>
      <c r="N2165" s="8" cm="1">
        <f t="array" ref="N2165">_xlfn.SWITCH(Sales[[#This Row],[Subscription Type]],"Basic",10,"Premium",10,"Business",25,"Enterprise",27)</f>
        <v>10</v>
      </c>
      <c r="O2165">
        <f>IF(Sales[[#This Row],[Number of Users]]-Sales[[#This Row],[Licenses Bought]]&lt;0,0,Sales[[#This Row],[Number of Users]]-Sales[[#This Row],[Licenses Bought]])</f>
        <v>28</v>
      </c>
      <c r="P2165" s="8">
        <f>IF(Sales[[#This Row],[Sales Month]]=MAX(Sales[Sales Month]),Sales[[#This Row],[Non-Paying Users]]*Sales[[#This Row],[Upsell $ per Non-Paying User]],0)</f>
        <v>280</v>
      </c>
      <c r="Q2165" t="str" cm="1">
        <f t="array" ref="Q2165">_xlfn.IFS(Sales[[#This Row],[Current Upsell $]]=0,"",Sales[[#This Row],[Current Upsell $]]&gt;=400,"High",Sales[[#This Row],[Current Upsell $]]&gt;=100,"Medium",Sales[[#This Row],[Current Upsell $]]&lt;100,"Low")</f>
        <v>Medium</v>
      </c>
      <c r="R2165" t="str">
        <f>IF(Sales[[#This Row],[Current Upsell $]]&gt;0,_xlfn.CONCAT(Sales[[#This Row],[Subscription Type]]," ",Sales[[#This Row],[Upsell Priority]]," ",TEXT(Sales[[#This Row],[Current Upsell $]],"$#,#")),"")</f>
        <v>Basic Medium $280</v>
      </c>
    </row>
    <row r="2166" spans="1:18" x14ac:dyDescent="0.25">
      <c r="A2166">
        <v>100336</v>
      </c>
      <c r="B2166" t="s">
        <v>3</v>
      </c>
      <c r="D2166" s="1"/>
      <c r="E2166" s="1"/>
      <c r="F2166">
        <v>0</v>
      </c>
      <c r="G2166">
        <v>20</v>
      </c>
      <c r="H2166" s="1">
        <v>44348</v>
      </c>
      <c r="I2166" s="1">
        <v>44378</v>
      </c>
      <c r="J2166">
        <v>1</v>
      </c>
      <c r="K2166">
        <v>0</v>
      </c>
      <c r="L2166" s="1">
        <v>44348</v>
      </c>
      <c r="M2166">
        <v>0</v>
      </c>
      <c r="N2166" s="8" cm="1">
        <f t="array" ref="N2166">_xlfn.SWITCH(Sales[[#This Row],[Subscription Type]],"Basic",10,"Premium",10,"Business",25,"Enterprise",27)</f>
        <v>10</v>
      </c>
      <c r="O2166">
        <f>IF(Sales[[#This Row],[Number of Users]]-Sales[[#This Row],[Licenses Bought]]&lt;0,0,Sales[[#This Row],[Number of Users]]-Sales[[#This Row],[Licenses Bought]])</f>
        <v>20</v>
      </c>
      <c r="P2166" s="8">
        <f>IF(Sales[[#This Row],[Sales Month]]=MAX(Sales[Sales Month]),Sales[[#This Row],[Non-Paying Users]]*Sales[[#This Row],[Upsell $ per Non-Paying User]],0)</f>
        <v>200</v>
      </c>
      <c r="Q2166" t="str" cm="1">
        <f t="array" ref="Q2166">_xlfn.IFS(Sales[[#This Row],[Current Upsell $]]=0,"",Sales[[#This Row],[Current Upsell $]]&gt;=400,"High",Sales[[#This Row],[Current Upsell $]]&gt;=100,"Medium",Sales[[#This Row],[Current Upsell $]]&lt;100,"Low")</f>
        <v>Medium</v>
      </c>
      <c r="R2166" t="str">
        <f>IF(Sales[[#This Row],[Current Upsell $]]&gt;0,_xlfn.CONCAT(Sales[[#This Row],[Subscription Type]]," ",Sales[[#This Row],[Upsell Priority]]," ",TEXT(Sales[[#This Row],[Current Upsell $]],"$#,#")),"")</f>
        <v>Basic Medium $200</v>
      </c>
    </row>
    <row r="2167" spans="1:18" x14ac:dyDescent="0.25">
      <c r="A2167">
        <v>100337</v>
      </c>
      <c r="B2167" t="s">
        <v>3</v>
      </c>
      <c r="D2167" s="1"/>
      <c r="E2167" s="1"/>
      <c r="F2167">
        <v>0</v>
      </c>
      <c r="G2167">
        <v>26</v>
      </c>
      <c r="H2167" s="1">
        <v>44348</v>
      </c>
      <c r="I2167" s="1">
        <v>44378</v>
      </c>
      <c r="J2167">
        <v>1</v>
      </c>
      <c r="K2167">
        <v>0</v>
      </c>
      <c r="L2167" s="1">
        <v>44348</v>
      </c>
      <c r="M2167">
        <v>0</v>
      </c>
      <c r="N2167" s="8" cm="1">
        <f t="array" ref="N2167">_xlfn.SWITCH(Sales[[#This Row],[Subscription Type]],"Basic",10,"Premium",10,"Business",25,"Enterprise",27)</f>
        <v>10</v>
      </c>
      <c r="O2167">
        <f>IF(Sales[[#This Row],[Number of Users]]-Sales[[#This Row],[Licenses Bought]]&lt;0,0,Sales[[#This Row],[Number of Users]]-Sales[[#This Row],[Licenses Bought]])</f>
        <v>26</v>
      </c>
      <c r="P2167" s="8">
        <f>IF(Sales[[#This Row],[Sales Month]]=MAX(Sales[Sales Month]),Sales[[#This Row],[Non-Paying Users]]*Sales[[#This Row],[Upsell $ per Non-Paying User]],0)</f>
        <v>260</v>
      </c>
      <c r="Q2167" t="str" cm="1">
        <f t="array" ref="Q2167">_xlfn.IFS(Sales[[#This Row],[Current Upsell $]]=0,"",Sales[[#This Row],[Current Upsell $]]&gt;=400,"High",Sales[[#This Row],[Current Upsell $]]&gt;=100,"Medium",Sales[[#This Row],[Current Upsell $]]&lt;100,"Low")</f>
        <v>Medium</v>
      </c>
      <c r="R2167" t="str">
        <f>IF(Sales[[#This Row],[Current Upsell $]]&gt;0,_xlfn.CONCAT(Sales[[#This Row],[Subscription Type]]," ",Sales[[#This Row],[Upsell Priority]]," ",TEXT(Sales[[#This Row],[Current Upsell $]],"$#,#")),"")</f>
        <v>Basic Medium $260</v>
      </c>
    </row>
    <row r="2168" spans="1:18" x14ac:dyDescent="0.25">
      <c r="A2168">
        <v>100338</v>
      </c>
      <c r="B2168" t="s">
        <v>3</v>
      </c>
      <c r="D2168" s="1"/>
      <c r="E2168" s="1"/>
      <c r="F2168">
        <v>0</v>
      </c>
      <c r="G2168">
        <v>32</v>
      </c>
      <c r="H2168" s="1">
        <v>44348</v>
      </c>
      <c r="I2168" s="1">
        <v>44378</v>
      </c>
      <c r="J2168">
        <v>1</v>
      </c>
      <c r="K2168">
        <v>0</v>
      </c>
      <c r="L2168" s="1">
        <v>44348</v>
      </c>
      <c r="M2168">
        <v>0</v>
      </c>
      <c r="N2168" s="8" cm="1">
        <f t="array" ref="N2168">_xlfn.SWITCH(Sales[[#This Row],[Subscription Type]],"Basic",10,"Premium",10,"Business",25,"Enterprise",27)</f>
        <v>10</v>
      </c>
      <c r="O2168">
        <f>IF(Sales[[#This Row],[Number of Users]]-Sales[[#This Row],[Licenses Bought]]&lt;0,0,Sales[[#This Row],[Number of Users]]-Sales[[#This Row],[Licenses Bought]])</f>
        <v>32</v>
      </c>
      <c r="P2168" s="8">
        <f>IF(Sales[[#This Row],[Sales Month]]=MAX(Sales[Sales Month]),Sales[[#This Row],[Non-Paying Users]]*Sales[[#This Row],[Upsell $ per Non-Paying User]],0)</f>
        <v>320</v>
      </c>
      <c r="Q2168" t="str" cm="1">
        <f t="array" ref="Q2168">_xlfn.IFS(Sales[[#This Row],[Current Upsell $]]=0,"",Sales[[#This Row],[Current Upsell $]]&gt;=400,"High",Sales[[#This Row],[Current Upsell $]]&gt;=100,"Medium",Sales[[#This Row],[Current Upsell $]]&lt;100,"Low")</f>
        <v>Medium</v>
      </c>
      <c r="R2168" t="str">
        <f>IF(Sales[[#This Row],[Current Upsell $]]&gt;0,_xlfn.CONCAT(Sales[[#This Row],[Subscription Type]]," ",Sales[[#This Row],[Upsell Priority]]," ",TEXT(Sales[[#This Row],[Current Upsell $]],"$#,#")),"")</f>
        <v>Basic Medium $320</v>
      </c>
    </row>
    <row r="2169" spans="1:18" x14ac:dyDescent="0.25">
      <c r="A2169">
        <v>100339</v>
      </c>
      <c r="B2169" t="s">
        <v>3</v>
      </c>
      <c r="D2169" s="1"/>
      <c r="E2169" s="1"/>
      <c r="F2169">
        <v>0</v>
      </c>
      <c r="G2169">
        <v>20</v>
      </c>
      <c r="H2169" s="1">
        <v>44348</v>
      </c>
      <c r="I2169" s="1">
        <v>44378</v>
      </c>
      <c r="J2169">
        <v>1</v>
      </c>
      <c r="K2169">
        <v>0</v>
      </c>
      <c r="L2169" s="1">
        <v>44348</v>
      </c>
      <c r="M2169">
        <v>0</v>
      </c>
      <c r="N2169" s="8" cm="1">
        <f t="array" ref="N2169">_xlfn.SWITCH(Sales[[#This Row],[Subscription Type]],"Basic",10,"Premium",10,"Business",25,"Enterprise",27)</f>
        <v>10</v>
      </c>
      <c r="O2169">
        <f>IF(Sales[[#This Row],[Number of Users]]-Sales[[#This Row],[Licenses Bought]]&lt;0,0,Sales[[#This Row],[Number of Users]]-Sales[[#This Row],[Licenses Bought]])</f>
        <v>20</v>
      </c>
      <c r="P2169" s="8">
        <f>IF(Sales[[#This Row],[Sales Month]]=MAX(Sales[Sales Month]),Sales[[#This Row],[Non-Paying Users]]*Sales[[#This Row],[Upsell $ per Non-Paying User]],0)</f>
        <v>200</v>
      </c>
      <c r="Q2169" t="str" cm="1">
        <f t="array" ref="Q2169">_xlfn.IFS(Sales[[#This Row],[Current Upsell $]]=0,"",Sales[[#This Row],[Current Upsell $]]&gt;=400,"High",Sales[[#This Row],[Current Upsell $]]&gt;=100,"Medium",Sales[[#This Row],[Current Upsell $]]&lt;100,"Low")</f>
        <v>Medium</v>
      </c>
      <c r="R2169" t="str">
        <f>IF(Sales[[#This Row],[Current Upsell $]]&gt;0,_xlfn.CONCAT(Sales[[#This Row],[Subscription Type]]," ",Sales[[#This Row],[Upsell Priority]]," ",TEXT(Sales[[#This Row],[Current Upsell $]],"$#,#")),"")</f>
        <v>Basic Medium $200</v>
      </c>
    </row>
    <row r="2170" spans="1:18" x14ac:dyDescent="0.25">
      <c r="A2170">
        <v>100340</v>
      </c>
      <c r="B2170" t="s">
        <v>3</v>
      </c>
      <c r="D2170" s="1"/>
      <c r="E2170" s="1"/>
      <c r="F2170">
        <v>0</v>
      </c>
      <c r="G2170">
        <v>21</v>
      </c>
      <c r="H2170" s="1">
        <v>44348</v>
      </c>
      <c r="I2170" s="1">
        <v>44378</v>
      </c>
      <c r="J2170">
        <v>1</v>
      </c>
      <c r="K2170">
        <v>0</v>
      </c>
      <c r="L2170" s="1">
        <v>44348</v>
      </c>
      <c r="M2170">
        <v>0</v>
      </c>
      <c r="N2170" s="8" cm="1">
        <f t="array" ref="N2170">_xlfn.SWITCH(Sales[[#This Row],[Subscription Type]],"Basic",10,"Premium",10,"Business",25,"Enterprise",27)</f>
        <v>10</v>
      </c>
      <c r="O2170">
        <f>IF(Sales[[#This Row],[Number of Users]]-Sales[[#This Row],[Licenses Bought]]&lt;0,0,Sales[[#This Row],[Number of Users]]-Sales[[#This Row],[Licenses Bought]])</f>
        <v>21</v>
      </c>
      <c r="P2170" s="8">
        <f>IF(Sales[[#This Row],[Sales Month]]=MAX(Sales[Sales Month]),Sales[[#This Row],[Non-Paying Users]]*Sales[[#This Row],[Upsell $ per Non-Paying User]],0)</f>
        <v>210</v>
      </c>
      <c r="Q2170" t="str" cm="1">
        <f t="array" ref="Q2170">_xlfn.IFS(Sales[[#This Row],[Current Upsell $]]=0,"",Sales[[#This Row],[Current Upsell $]]&gt;=400,"High",Sales[[#This Row],[Current Upsell $]]&gt;=100,"Medium",Sales[[#This Row],[Current Upsell $]]&lt;100,"Low")</f>
        <v>Medium</v>
      </c>
      <c r="R2170" t="str">
        <f>IF(Sales[[#This Row],[Current Upsell $]]&gt;0,_xlfn.CONCAT(Sales[[#This Row],[Subscription Type]]," ",Sales[[#This Row],[Upsell Priority]]," ",TEXT(Sales[[#This Row],[Current Upsell $]],"$#,#")),"")</f>
        <v>Basic Medium $210</v>
      </c>
    </row>
    <row r="2171" spans="1:18" x14ac:dyDescent="0.25">
      <c r="A2171">
        <v>100341</v>
      </c>
      <c r="B2171" t="s">
        <v>3</v>
      </c>
      <c r="D2171" s="1"/>
      <c r="E2171" s="1"/>
      <c r="F2171">
        <v>0</v>
      </c>
      <c r="G2171">
        <v>20</v>
      </c>
      <c r="H2171" s="1">
        <v>44348</v>
      </c>
      <c r="I2171" s="1">
        <v>44378</v>
      </c>
      <c r="J2171">
        <v>1</v>
      </c>
      <c r="K2171">
        <v>0</v>
      </c>
      <c r="L2171" s="1">
        <v>44348</v>
      </c>
      <c r="M2171">
        <v>0</v>
      </c>
      <c r="N2171" s="8" cm="1">
        <f t="array" ref="N2171">_xlfn.SWITCH(Sales[[#This Row],[Subscription Type]],"Basic",10,"Premium",10,"Business",25,"Enterprise",27)</f>
        <v>10</v>
      </c>
      <c r="O2171">
        <f>IF(Sales[[#This Row],[Number of Users]]-Sales[[#This Row],[Licenses Bought]]&lt;0,0,Sales[[#This Row],[Number of Users]]-Sales[[#This Row],[Licenses Bought]])</f>
        <v>20</v>
      </c>
      <c r="P2171" s="8">
        <f>IF(Sales[[#This Row],[Sales Month]]=MAX(Sales[Sales Month]),Sales[[#This Row],[Non-Paying Users]]*Sales[[#This Row],[Upsell $ per Non-Paying User]],0)</f>
        <v>200</v>
      </c>
      <c r="Q2171" t="str" cm="1">
        <f t="array" ref="Q2171">_xlfn.IFS(Sales[[#This Row],[Current Upsell $]]=0,"",Sales[[#This Row],[Current Upsell $]]&gt;=400,"High",Sales[[#This Row],[Current Upsell $]]&gt;=100,"Medium",Sales[[#This Row],[Current Upsell $]]&lt;100,"Low")</f>
        <v>Medium</v>
      </c>
      <c r="R2171" t="str">
        <f>IF(Sales[[#This Row],[Current Upsell $]]&gt;0,_xlfn.CONCAT(Sales[[#This Row],[Subscription Type]]," ",Sales[[#This Row],[Upsell Priority]]," ",TEXT(Sales[[#This Row],[Current Upsell $]],"$#,#")),"")</f>
        <v>Basic Medium $200</v>
      </c>
    </row>
    <row r="2172" spans="1:18" x14ac:dyDescent="0.25">
      <c r="A2172">
        <v>100342</v>
      </c>
      <c r="B2172" t="s">
        <v>3</v>
      </c>
      <c r="D2172" s="1"/>
      <c r="E2172" s="1"/>
      <c r="F2172">
        <v>0</v>
      </c>
      <c r="G2172">
        <v>21</v>
      </c>
      <c r="H2172" s="1">
        <v>44348</v>
      </c>
      <c r="I2172" s="1">
        <v>44378</v>
      </c>
      <c r="J2172">
        <v>1</v>
      </c>
      <c r="K2172">
        <v>0</v>
      </c>
      <c r="L2172" s="1">
        <v>44348</v>
      </c>
      <c r="M2172">
        <v>0</v>
      </c>
      <c r="N2172" s="8" cm="1">
        <f t="array" ref="N2172">_xlfn.SWITCH(Sales[[#This Row],[Subscription Type]],"Basic",10,"Premium",10,"Business",25,"Enterprise",27)</f>
        <v>10</v>
      </c>
      <c r="O2172">
        <f>IF(Sales[[#This Row],[Number of Users]]-Sales[[#This Row],[Licenses Bought]]&lt;0,0,Sales[[#This Row],[Number of Users]]-Sales[[#This Row],[Licenses Bought]])</f>
        <v>21</v>
      </c>
      <c r="P2172" s="8">
        <f>IF(Sales[[#This Row],[Sales Month]]=MAX(Sales[Sales Month]),Sales[[#This Row],[Non-Paying Users]]*Sales[[#This Row],[Upsell $ per Non-Paying User]],0)</f>
        <v>210</v>
      </c>
      <c r="Q2172" t="str" cm="1">
        <f t="array" ref="Q2172">_xlfn.IFS(Sales[[#This Row],[Current Upsell $]]=0,"",Sales[[#This Row],[Current Upsell $]]&gt;=400,"High",Sales[[#This Row],[Current Upsell $]]&gt;=100,"Medium",Sales[[#This Row],[Current Upsell $]]&lt;100,"Low")</f>
        <v>Medium</v>
      </c>
      <c r="R2172" t="str">
        <f>IF(Sales[[#This Row],[Current Upsell $]]&gt;0,_xlfn.CONCAT(Sales[[#This Row],[Subscription Type]]," ",Sales[[#This Row],[Upsell Priority]]," ",TEXT(Sales[[#This Row],[Current Upsell $]],"$#,#")),"")</f>
        <v>Basic Medium $210</v>
      </c>
    </row>
    <row r="2173" spans="1:18" x14ac:dyDescent="0.25">
      <c r="A2173">
        <v>100343</v>
      </c>
      <c r="B2173" t="s">
        <v>3</v>
      </c>
      <c r="D2173" s="1"/>
      <c r="E2173" s="1"/>
      <c r="F2173">
        <v>0</v>
      </c>
      <c r="G2173">
        <v>23</v>
      </c>
      <c r="H2173" s="1">
        <v>44348</v>
      </c>
      <c r="I2173" s="1">
        <v>44378</v>
      </c>
      <c r="J2173">
        <v>1</v>
      </c>
      <c r="K2173">
        <v>0</v>
      </c>
      <c r="L2173" s="1">
        <v>44348</v>
      </c>
      <c r="M2173">
        <v>0</v>
      </c>
      <c r="N2173" s="8" cm="1">
        <f t="array" ref="N2173">_xlfn.SWITCH(Sales[[#This Row],[Subscription Type]],"Basic",10,"Premium",10,"Business",25,"Enterprise",27)</f>
        <v>10</v>
      </c>
      <c r="O2173">
        <f>IF(Sales[[#This Row],[Number of Users]]-Sales[[#This Row],[Licenses Bought]]&lt;0,0,Sales[[#This Row],[Number of Users]]-Sales[[#This Row],[Licenses Bought]])</f>
        <v>23</v>
      </c>
      <c r="P2173" s="8">
        <f>IF(Sales[[#This Row],[Sales Month]]=MAX(Sales[Sales Month]),Sales[[#This Row],[Non-Paying Users]]*Sales[[#This Row],[Upsell $ per Non-Paying User]],0)</f>
        <v>230</v>
      </c>
      <c r="Q2173" t="str" cm="1">
        <f t="array" ref="Q2173">_xlfn.IFS(Sales[[#This Row],[Current Upsell $]]=0,"",Sales[[#This Row],[Current Upsell $]]&gt;=400,"High",Sales[[#This Row],[Current Upsell $]]&gt;=100,"Medium",Sales[[#This Row],[Current Upsell $]]&lt;100,"Low")</f>
        <v>Medium</v>
      </c>
      <c r="R2173" t="str">
        <f>IF(Sales[[#This Row],[Current Upsell $]]&gt;0,_xlfn.CONCAT(Sales[[#This Row],[Subscription Type]]," ",Sales[[#This Row],[Upsell Priority]]," ",TEXT(Sales[[#This Row],[Current Upsell $]],"$#,#")),"")</f>
        <v>Basic Medium $230</v>
      </c>
    </row>
    <row r="2174" spans="1:18" x14ac:dyDescent="0.25">
      <c r="A2174">
        <v>100344</v>
      </c>
      <c r="B2174" t="s">
        <v>3</v>
      </c>
      <c r="F2174">
        <v>0</v>
      </c>
      <c r="G2174">
        <v>12</v>
      </c>
      <c r="H2174" s="1">
        <v>44348</v>
      </c>
      <c r="I2174" s="1">
        <v>44378</v>
      </c>
      <c r="J2174">
        <v>1</v>
      </c>
      <c r="K2174">
        <v>0</v>
      </c>
      <c r="L2174" s="1">
        <v>44348</v>
      </c>
      <c r="M2174">
        <v>0</v>
      </c>
      <c r="N2174" s="8" cm="1">
        <f t="array" ref="N2174">_xlfn.SWITCH(Sales[[#This Row],[Subscription Type]],"Basic",10,"Premium",10,"Business",25,"Enterprise",27)</f>
        <v>10</v>
      </c>
      <c r="O2174">
        <f>IF(Sales[[#This Row],[Number of Users]]-Sales[[#This Row],[Licenses Bought]]&lt;0,0,Sales[[#This Row],[Number of Users]]-Sales[[#This Row],[Licenses Bought]])</f>
        <v>12</v>
      </c>
      <c r="P2174" s="8">
        <f>IF(Sales[[#This Row],[Sales Month]]=MAX(Sales[Sales Month]),Sales[[#This Row],[Non-Paying Users]]*Sales[[#This Row],[Upsell $ per Non-Paying User]],0)</f>
        <v>120</v>
      </c>
      <c r="Q2174" t="str" cm="1">
        <f t="array" ref="Q2174">_xlfn.IFS(Sales[[#This Row],[Current Upsell $]]=0,"",Sales[[#This Row],[Current Upsell $]]&gt;=400,"High",Sales[[#This Row],[Current Upsell $]]&gt;=100,"Medium",Sales[[#This Row],[Current Upsell $]]&lt;100,"Low")</f>
        <v>Medium</v>
      </c>
      <c r="R2174" t="str">
        <f>IF(Sales[[#This Row],[Current Upsell $]]&gt;0,_xlfn.CONCAT(Sales[[#This Row],[Subscription Type]]," ",Sales[[#This Row],[Upsell Priority]]," ",TEXT(Sales[[#This Row],[Current Upsell $]],"$#,#")),"")</f>
        <v>Basic Medium $120</v>
      </c>
    </row>
    <row r="2175" spans="1:18" x14ac:dyDescent="0.25">
      <c r="A2175">
        <v>100345</v>
      </c>
      <c r="B2175" t="s">
        <v>3</v>
      </c>
      <c r="F2175">
        <v>0</v>
      </c>
      <c r="G2175">
        <v>14</v>
      </c>
      <c r="H2175" s="1">
        <v>44348</v>
      </c>
      <c r="I2175" s="1">
        <v>44378</v>
      </c>
      <c r="J2175">
        <v>1</v>
      </c>
      <c r="K2175">
        <v>0</v>
      </c>
      <c r="L2175" s="1">
        <v>44348</v>
      </c>
      <c r="M2175">
        <v>0</v>
      </c>
      <c r="N2175" s="8" cm="1">
        <f t="array" ref="N2175">_xlfn.SWITCH(Sales[[#This Row],[Subscription Type]],"Basic",10,"Premium",10,"Business",25,"Enterprise",27)</f>
        <v>10</v>
      </c>
      <c r="O2175">
        <f>IF(Sales[[#This Row],[Number of Users]]-Sales[[#This Row],[Licenses Bought]]&lt;0,0,Sales[[#This Row],[Number of Users]]-Sales[[#This Row],[Licenses Bought]])</f>
        <v>14</v>
      </c>
      <c r="P2175" s="8">
        <f>IF(Sales[[#This Row],[Sales Month]]=MAX(Sales[Sales Month]),Sales[[#This Row],[Non-Paying Users]]*Sales[[#This Row],[Upsell $ per Non-Paying User]],0)</f>
        <v>140</v>
      </c>
      <c r="Q2175" t="str" cm="1">
        <f t="array" ref="Q2175">_xlfn.IFS(Sales[[#This Row],[Current Upsell $]]=0,"",Sales[[#This Row],[Current Upsell $]]&gt;=400,"High",Sales[[#This Row],[Current Upsell $]]&gt;=100,"Medium",Sales[[#This Row],[Current Upsell $]]&lt;100,"Low")</f>
        <v>Medium</v>
      </c>
      <c r="R2175" t="str">
        <f>IF(Sales[[#This Row],[Current Upsell $]]&gt;0,_xlfn.CONCAT(Sales[[#This Row],[Subscription Type]]," ",Sales[[#This Row],[Upsell Priority]]," ",TEXT(Sales[[#This Row],[Current Upsell $]],"$#,#")),"")</f>
        <v>Basic Medium $140</v>
      </c>
    </row>
    <row r="2176" spans="1:18" x14ac:dyDescent="0.25">
      <c r="A2176">
        <v>100346</v>
      </c>
      <c r="B2176" t="s">
        <v>3</v>
      </c>
      <c r="F2176">
        <v>0</v>
      </c>
      <c r="G2176">
        <v>11</v>
      </c>
      <c r="H2176" s="1">
        <v>44348</v>
      </c>
      <c r="I2176" s="1">
        <v>44378</v>
      </c>
      <c r="J2176">
        <v>1</v>
      </c>
      <c r="K2176">
        <v>0</v>
      </c>
      <c r="L2176" s="1">
        <v>44348</v>
      </c>
      <c r="M2176">
        <v>0</v>
      </c>
      <c r="N2176" s="8" cm="1">
        <f t="array" ref="N2176">_xlfn.SWITCH(Sales[[#This Row],[Subscription Type]],"Basic",10,"Premium",10,"Business",25,"Enterprise",27)</f>
        <v>10</v>
      </c>
      <c r="O2176">
        <f>IF(Sales[[#This Row],[Number of Users]]-Sales[[#This Row],[Licenses Bought]]&lt;0,0,Sales[[#This Row],[Number of Users]]-Sales[[#This Row],[Licenses Bought]])</f>
        <v>11</v>
      </c>
      <c r="P2176" s="8">
        <f>IF(Sales[[#This Row],[Sales Month]]=MAX(Sales[Sales Month]),Sales[[#This Row],[Non-Paying Users]]*Sales[[#This Row],[Upsell $ per Non-Paying User]],0)</f>
        <v>110</v>
      </c>
      <c r="Q2176" t="str" cm="1">
        <f t="array" ref="Q2176">_xlfn.IFS(Sales[[#This Row],[Current Upsell $]]=0,"",Sales[[#This Row],[Current Upsell $]]&gt;=400,"High",Sales[[#This Row],[Current Upsell $]]&gt;=100,"Medium",Sales[[#This Row],[Current Upsell $]]&lt;100,"Low")</f>
        <v>Medium</v>
      </c>
      <c r="R2176" t="str">
        <f>IF(Sales[[#This Row],[Current Upsell $]]&gt;0,_xlfn.CONCAT(Sales[[#This Row],[Subscription Type]]," ",Sales[[#This Row],[Upsell Priority]]," ",TEXT(Sales[[#This Row],[Current Upsell $]],"$#,#")),"")</f>
        <v>Basic Medium $110</v>
      </c>
    </row>
    <row r="2177" spans="1:18" x14ac:dyDescent="0.25">
      <c r="A2177">
        <v>100347</v>
      </c>
      <c r="B2177" t="s">
        <v>3</v>
      </c>
      <c r="F2177">
        <v>0</v>
      </c>
      <c r="G2177">
        <v>11</v>
      </c>
      <c r="H2177" s="1">
        <v>44348</v>
      </c>
      <c r="I2177" s="1">
        <v>44378</v>
      </c>
      <c r="J2177">
        <v>1</v>
      </c>
      <c r="K2177">
        <v>0</v>
      </c>
      <c r="L2177" s="1">
        <v>44348</v>
      </c>
      <c r="M2177">
        <v>0</v>
      </c>
      <c r="N2177" s="8" cm="1">
        <f t="array" ref="N2177">_xlfn.SWITCH(Sales[[#This Row],[Subscription Type]],"Basic",10,"Premium",10,"Business",25,"Enterprise",27)</f>
        <v>10</v>
      </c>
      <c r="O2177">
        <f>IF(Sales[[#This Row],[Number of Users]]-Sales[[#This Row],[Licenses Bought]]&lt;0,0,Sales[[#This Row],[Number of Users]]-Sales[[#This Row],[Licenses Bought]])</f>
        <v>11</v>
      </c>
      <c r="P2177" s="8">
        <f>IF(Sales[[#This Row],[Sales Month]]=MAX(Sales[Sales Month]),Sales[[#This Row],[Non-Paying Users]]*Sales[[#This Row],[Upsell $ per Non-Paying User]],0)</f>
        <v>110</v>
      </c>
      <c r="Q2177" t="str" cm="1">
        <f t="array" ref="Q2177">_xlfn.IFS(Sales[[#This Row],[Current Upsell $]]=0,"",Sales[[#This Row],[Current Upsell $]]&gt;=400,"High",Sales[[#This Row],[Current Upsell $]]&gt;=100,"Medium",Sales[[#This Row],[Current Upsell $]]&lt;100,"Low")</f>
        <v>Medium</v>
      </c>
      <c r="R2177" t="str">
        <f>IF(Sales[[#This Row],[Current Upsell $]]&gt;0,_xlfn.CONCAT(Sales[[#This Row],[Subscription Type]]," ",Sales[[#This Row],[Upsell Priority]]," ",TEXT(Sales[[#This Row],[Current Upsell $]],"$#,#")),"")</f>
        <v>Basic Medium $110</v>
      </c>
    </row>
    <row r="2178" spans="1:18" x14ac:dyDescent="0.25">
      <c r="A2178">
        <v>100348</v>
      </c>
      <c r="B2178" t="s">
        <v>3</v>
      </c>
      <c r="D2178" s="1"/>
      <c r="E2178" s="1"/>
      <c r="F2178">
        <v>0</v>
      </c>
      <c r="G2178">
        <v>13</v>
      </c>
      <c r="H2178" s="1">
        <v>44348</v>
      </c>
      <c r="I2178" s="1">
        <v>44378</v>
      </c>
      <c r="J2178">
        <v>1</v>
      </c>
      <c r="K2178">
        <v>0</v>
      </c>
      <c r="L2178" s="1">
        <v>44348</v>
      </c>
      <c r="M2178">
        <v>0</v>
      </c>
      <c r="N2178" s="8" cm="1">
        <f t="array" ref="N2178">_xlfn.SWITCH(Sales[[#This Row],[Subscription Type]],"Basic",10,"Premium",10,"Business",25,"Enterprise",27)</f>
        <v>10</v>
      </c>
      <c r="O2178">
        <f>IF(Sales[[#This Row],[Number of Users]]-Sales[[#This Row],[Licenses Bought]]&lt;0,0,Sales[[#This Row],[Number of Users]]-Sales[[#This Row],[Licenses Bought]])</f>
        <v>13</v>
      </c>
      <c r="P2178" s="8">
        <f>IF(Sales[[#This Row],[Sales Month]]=MAX(Sales[Sales Month]),Sales[[#This Row],[Non-Paying Users]]*Sales[[#This Row],[Upsell $ per Non-Paying User]],0)</f>
        <v>130</v>
      </c>
      <c r="Q2178" t="str" cm="1">
        <f t="array" ref="Q2178">_xlfn.IFS(Sales[[#This Row],[Current Upsell $]]=0,"",Sales[[#This Row],[Current Upsell $]]&gt;=400,"High",Sales[[#This Row],[Current Upsell $]]&gt;=100,"Medium",Sales[[#This Row],[Current Upsell $]]&lt;100,"Low")</f>
        <v>Medium</v>
      </c>
      <c r="R2178" t="str">
        <f>IF(Sales[[#This Row],[Current Upsell $]]&gt;0,_xlfn.CONCAT(Sales[[#This Row],[Subscription Type]]," ",Sales[[#This Row],[Upsell Priority]]," ",TEXT(Sales[[#This Row],[Current Upsell $]],"$#,#")),"")</f>
        <v>Basic Medium $130</v>
      </c>
    </row>
    <row r="2179" spans="1:18" x14ac:dyDescent="0.25">
      <c r="A2179">
        <v>100349</v>
      </c>
      <c r="B2179" t="s">
        <v>3</v>
      </c>
      <c r="F2179">
        <v>0</v>
      </c>
      <c r="G2179">
        <v>11</v>
      </c>
      <c r="H2179" s="1">
        <v>44348</v>
      </c>
      <c r="I2179" s="1">
        <v>44378</v>
      </c>
      <c r="J2179">
        <v>1</v>
      </c>
      <c r="K2179">
        <v>0</v>
      </c>
      <c r="L2179" s="1">
        <v>44348</v>
      </c>
      <c r="M2179">
        <v>0</v>
      </c>
      <c r="N2179" s="8" cm="1">
        <f t="array" ref="N2179">_xlfn.SWITCH(Sales[[#This Row],[Subscription Type]],"Basic",10,"Premium",10,"Business",25,"Enterprise",27)</f>
        <v>10</v>
      </c>
      <c r="O2179">
        <f>IF(Sales[[#This Row],[Number of Users]]-Sales[[#This Row],[Licenses Bought]]&lt;0,0,Sales[[#This Row],[Number of Users]]-Sales[[#This Row],[Licenses Bought]])</f>
        <v>11</v>
      </c>
      <c r="P2179" s="8">
        <f>IF(Sales[[#This Row],[Sales Month]]=MAX(Sales[Sales Month]),Sales[[#This Row],[Non-Paying Users]]*Sales[[#This Row],[Upsell $ per Non-Paying User]],0)</f>
        <v>110</v>
      </c>
      <c r="Q2179" t="str" cm="1">
        <f t="array" ref="Q2179">_xlfn.IFS(Sales[[#This Row],[Current Upsell $]]=0,"",Sales[[#This Row],[Current Upsell $]]&gt;=400,"High",Sales[[#This Row],[Current Upsell $]]&gt;=100,"Medium",Sales[[#This Row],[Current Upsell $]]&lt;100,"Low")</f>
        <v>Medium</v>
      </c>
      <c r="R2179" t="str">
        <f>IF(Sales[[#This Row],[Current Upsell $]]&gt;0,_xlfn.CONCAT(Sales[[#This Row],[Subscription Type]]," ",Sales[[#This Row],[Upsell Priority]]," ",TEXT(Sales[[#This Row],[Current Upsell $]],"$#,#")),"")</f>
        <v>Basic Medium $110</v>
      </c>
    </row>
    <row r="2180" spans="1:18" x14ac:dyDescent="0.25">
      <c r="A2180">
        <v>100350</v>
      </c>
      <c r="B2180" t="s">
        <v>3</v>
      </c>
      <c r="F2180">
        <v>0</v>
      </c>
      <c r="G2180">
        <v>8</v>
      </c>
      <c r="H2180" s="1">
        <v>44348</v>
      </c>
      <c r="I2180" s="1">
        <v>44378</v>
      </c>
      <c r="J2180">
        <v>1</v>
      </c>
      <c r="K2180">
        <v>0</v>
      </c>
      <c r="L2180" s="1">
        <v>44348</v>
      </c>
      <c r="M2180">
        <v>0</v>
      </c>
      <c r="N2180" s="8" cm="1">
        <f t="array" ref="N2180">_xlfn.SWITCH(Sales[[#This Row],[Subscription Type]],"Basic",10,"Premium",10,"Business",25,"Enterprise",27)</f>
        <v>10</v>
      </c>
      <c r="O2180">
        <f>IF(Sales[[#This Row],[Number of Users]]-Sales[[#This Row],[Licenses Bought]]&lt;0,0,Sales[[#This Row],[Number of Users]]-Sales[[#This Row],[Licenses Bought]])</f>
        <v>8</v>
      </c>
      <c r="P2180" s="8">
        <f>IF(Sales[[#This Row],[Sales Month]]=MAX(Sales[Sales Month]),Sales[[#This Row],[Non-Paying Users]]*Sales[[#This Row],[Upsell $ per Non-Paying User]],0)</f>
        <v>80</v>
      </c>
      <c r="Q2180" t="str" cm="1">
        <f t="array" ref="Q2180">_xlfn.IFS(Sales[[#This Row],[Current Upsell $]]=0,"",Sales[[#This Row],[Current Upsell $]]&gt;=400,"High",Sales[[#This Row],[Current Upsell $]]&gt;=100,"Medium",Sales[[#This Row],[Current Upsell $]]&lt;100,"Low")</f>
        <v>Low</v>
      </c>
      <c r="R2180" t="str">
        <f>IF(Sales[[#This Row],[Current Upsell $]]&gt;0,_xlfn.CONCAT(Sales[[#This Row],[Subscription Type]]," ",Sales[[#This Row],[Upsell Priority]]," ",TEXT(Sales[[#This Row],[Current Upsell $]],"$#,#")),"")</f>
        <v>Basic Low $80</v>
      </c>
    </row>
    <row r="2181" spans="1:18" x14ac:dyDescent="0.25">
      <c r="A2181">
        <v>100351</v>
      </c>
      <c r="B2181" t="s">
        <v>3</v>
      </c>
      <c r="F2181">
        <v>0</v>
      </c>
      <c r="G2181">
        <v>8</v>
      </c>
      <c r="H2181" s="1">
        <v>44348</v>
      </c>
      <c r="I2181" s="1">
        <v>44378</v>
      </c>
      <c r="J2181">
        <v>1</v>
      </c>
      <c r="K2181">
        <v>0</v>
      </c>
      <c r="L2181" s="1">
        <v>44348</v>
      </c>
      <c r="M2181">
        <v>0</v>
      </c>
      <c r="N2181" s="8" cm="1">
        <f t="array" ref="N2181">_xlfn.SWITCH(Sales[[#This Row],[Subscription Type]],"Basic",10,"Premium",10,"Business",25,"Enterprise",27)</f>
        <v>10</v>
      </c>
      <c r="O2181">
        <f>IF(Sales[[#This Row],[Number of Users]]-Sales[[#This Row],[Licenses Bought]]&lt;0,0,Sales[[#This Row],[Number of Users]]-Sales[[#This Row],[Licenses Bought]])</f>
        <v>8</v>
      </c>
      <c r="P2181" s="8">
        <f>IF(Sales[[#This Row],[Sales Month]]=MAX(Sales[Sales Month]),Sales[[#This Row],[Non-Paying Users]]*Sales[[#This Row],[Upsell $ per Non-Paying User]],0)</f>
        <v>80</v>
      </c>
      <c r="Q2181" t="str" cm="1">
        <f t="array" ref="Q2181">_xlfn.IFS(Sales[[#This Row],[Current Upsell $]]=0,"",Sales[[#This Row],[Current Upsell $]]&gt;=400,"High",Sales[[#This Row],[Current Upsell $]]&gt;=100,"Medium",Sales[[#This Row],[Current Upsell $]]&lt;100,"Low")</f>
        <v>Low</v>
      </c>
      <c r="R2181" t="str">
        <f>IF(Sales[[#This Row],[Current Upsell $]]&gt;0,_xlfn.CONCAT(Sales[[#This Row],[Subscription Type]]," ",Sales[[#This Row],[Upsell Priority]]," ",TEXT(Sales[[#This Row],[Current Upsell $]],"$#,#")),"")</f>
        <v>Basic Low $80</v>
      </c>
    </row>
    <row r="2182" spans="1:18" x14ac:dyDescent="0.25">
      <c r="A2182">
        <v>100352</v>
      </c>
      <c r="B2182" t="s">
        <v>3</v>
      </c>
      <c r="D2182" s="1"/>
      <c r="E2182" s="1"/>
      <c r="F2182">
        <v>0</v>
      </c>
      <c r="G2182">
        <v>9</v>
      </c>
      <c r="H2182" s="1">
        <v>44348</v>
      </c>
      <c r="I2182" s="1">
        <v>44378</v>
      </c>
      <c r="J2182">
        <v>1</v>
      </c>
      <c r="K2182">
        <v>0</v>
      </c>
      <c r="L2182" s="1">
        <v>44348</v>
      </c>
      <c r="M2182">
        <v>0</v>
      </c>
      <c r="N2182" s="8" cm="1">
        <f t="array" ref="N2182">_xlfn.SWITCH(Sales[[#This Row],[Subscription Type]],"Basic",10,"Premium",10,"Business",25,"Enterprise",27)</f>
        <v>10</v>
      </c>
      <c r="O2182">
        <f>IF(Sales[[#This Row],[Number of Users]]-Sales[[#This Row],[Licenses Bought]]&lt;0,0,Sales[[#This Row],[Number of Users]]-Sales[[#This Row],[Licenses Bought]])</f>
        <v>9</v>
      </c>
      <c r="P2182" s="8">
        <f>IF(Sales[[#This Row],[Sales Month]]=MAX(Sales[Sales Month]),Sales[[#This Row],[Non-Paying Users]]*Sales[[#This Row],[Upsell $ per Non-Paying User]],0)</f>
        <v>90</v>
      </c>
      <c r="Q2182" t="str" cm="1">
        <f t="array" ref="Q2182">_xlfn.IFS(Sales[[#This Row],[Current Upsell $]]=0,"",Sales[[#This Row],[Current Upsell $]]&gt;=400,"High",Sales[[#This Row],[Current Upsell $]]&gt;=100,"Medium",Sales[[#This Row],[Current Upsell $]]&lt;100,"Low")</f>
        <v>Low</v>
      </c>
      <c r="R2182" t="str">
        <f>IF(Sales[[#This Row],[Current Upsell $]]&gt;0,_xlfn.CONCAT(Sales[[#This Row],[Subscription Type]]," ",Sales[[#This Row],[Upsell Priority]]," ",TEXT(Sales[[#This Row],[Current Upsell $]],"$#,#")),"")</f>
        <v>Basic Low $90</v>
      </c>
    </row>
    <row r="2183" spans="1:18" x14ac:dyDescent="0.25">
      <c r="A2183">
        <v>100353</v>
      </c>
      <c r="B2183" t="s">
        <v>3</v>
      </c>
      <c r="F2183">
        <v>0</v>
      </c>
      <c r="G2183">
        <v>8</v>
      </c>
      <c r="H2183" s="1">
        <v>44348</v>
      </c>
      <c r="I2183" s="1">
        <v>44378</v>
      </c>
      <c r="J2183">
        <v>1</v>
      </c>
      <c r="K2183">
        <v>0</v>
      </c>
      <c r="L2183" s="1">
        <v>44348</v>
      </c>
      <c r="M2183">
        <v>0</v>
      </c>
      <c r="N2183" s="8" cm="1">
        <f t="array" ref="N2183">_xlfn.SWITCH(Sales[[#This Row],[Subscription Type]],"Basic",10,"Premium",10,"Business",25,"Enterprise",27)</f>
        <v>10</v>
      </c>
      <c r="O2183">
        <f>IF(Sales[[#This Row],[Number of Users]]-Sales[[#This Row],[Licenses Bought]]&lt;0,0,Sales[[#This Row],[Number of Users]]-Sales[[#This Row],[Licenses Bought]])</f>
        <v>8</v>
      </c>
      <c r="P2183" s="8">
        <f>IF(Sales[[#This Row],[Sales Month]]=MAX(Sales[Sales Month]),Sales[[#This Row],[Non-Paying Users]]*Sales[[#This Row],[Upsell $ per Non-Paying User]],0)</f>
        <v>80</v>
      </c>
      <c r="Q2183" t="str" cm="1">
        <f t="array" ref="Q2183">_xlfn.IFS(Sales[[#This Row],[Current Upsell $]]=0,"",Sales[[#This Row],[Current Upsell $]]&gt;=400,"High",Sales[[#This Row],[Current Upsell $]]&gt;=100,"Medium",Sales[[#This Row],[Current Upsell $]]&lt;100,"Low")</f>
        <v>Low</v>
      </c>
      <c r="R2183" t="str">
        <f>IF(Sales[[#This Row],[Current Upsell $]]&gt;0,_xlfn.CONCAT(Sales[[#This Row],[Subscription Type]]," ",Sales[[#This Row],[Upsell Priority]]," ",TEXT(Sales[[#This Row],[Current Upsell $]],"$#,#")),"")</f>
        <v>Basic Low $80</v>
      </c>
    </row>
    <row r="2184" spans="1:18" x14ac:dyDescent="0.25">
      <c r="A2184">
        <v>100354</v>
      </c>
      <c r="B2184" t="s">
        <v>3</v>
      </c>
      <c r="F2184">
        <v>0</v>
      </c>
      <c r="G2184">
        <v>10</v>
      </c>
      <c r="H2184" s="1">
        <v>44348</v>
      </c>
      <c r="I2184" s="1">
        <v>44378</v>
      </c>
      <c r="J2184">
        <v>1</v>
      </c>
      <c r="K2184">
        <v>0</v>
      </c>
      <c r="L2184" s="1">
        <v>44348</v>
      </c>
      <c r="M2184">
        <v>0</v>
      </c>
      <c r="N2184" s="8" cm="1">
        <f t="array" ref="N2184">_xlfn.SWITCH(Sales[[#This Row],[Subscription Type]],"Basic",10,"Premium",10,"Business",25,"Enterprise",27)</f>
        <v>10</v>
      </c>
      <c r="O2184">
        <f>IF(Sales[[#This Row],[Number of Users]]-Sales[[#This Row],[Licenses Bought]]&lt;0,0,Sales[[#This Row],[Number of Users]]-Sales[[#This Row],[Licenses Bought]])</f>
        <v>10</v>
      </c>
      <c r="P2184" s="8">
        <f>IF(Sales[[#This Row],[Sales Month]]=MAX(Sales[Sales Month]),Sales[[#This Row],[Non-Paying Users]]*Sales[[#This Row],[Upsell $ per Non-Paying User]],0)</f>
        <v>100</v>
      </c>
      <c r="Q2184" t="str" cm="1">
        <f t="array" ref="Q2184">_xlfn.IFS(Sales[[#This Row],[Current Upsell $]]=0,"",Sales[[#This Row],[Current Upsell $]]&gt;=400,"High",Sales[[#This Row],[Current Upsell $]]&gt;=100,"Medium",Sales[[#This Row],[Current Upsell $]]&lt;100,"Low")</f>
        <v>Medium</v>
      </c>
      <c r="R2184" t="str">
        <f>IF(Sales[[#This Row],[Current Upsell $]]&gt;0,_xlfn.CONCAT(Sales[[#This Row],[Subscription Type]]," ",Sales[[#This Row],[Upsell Priority]]," ",TEXT(Sales[[#This Row],[Current Upsell $]],"$#,#")),"")</f>
        <v>Basic Medium $100</v>
      </c>
    </row>
    <row r="2185" spans="1:18" x14ac:dyDescent="0.25">
      <c r="A2185">
        <v>100355</v>
      </c>
      <c r="B2185" t="s">
        <v>3</v>
      </c>
      <c r="F2185">
        <v>0</v>
      </c>
      <c r="G2185">
        <v>10</v>
      </c>
      <c r="H2185" s="1">
        <v>44348</v>
      </c>
      <c r="I2185" s="1">
        <v>44378</v>
      </c>
      <c r="J2185">
        <v>1</v>
      </c>
      <c r="K2185">
        <v>0</v>
      </c>
      <c r="L2185" s="1">
        <v>44348</v>
      </c>
      <c r="M2185">
        <v>0</v>
      </c>
      <c r="N2185" s="8" cm="1">
        <f t="array" ref="N2185">_xlfn.SWITCH(Sales[[#This Row],[Subscription Type]],"Basic",10,"Premium",10,"Business",25,"Enterprise",27)</f>
        <v>10</v>
      </c>
      <c r="O2185">
        <f>IF(Sales[[#This Row],[Number of Users]]-Sales[[#This Row],[Licenses Bought]]&lt;0,0,Sales[[#This Row],[Number of Users]]-Sales[[#This Row],[Licenses Bought]])</f>
        <v>10</v>
      </c>
      <c r="P2185" s="8">
        <f>IF(Sales[[#This Row],[Sales Month]]=MAX(Sales[Sales Month]),Sales[[#This Row],[Non-Paying Users]]*Sales[[#This Row],[Upsell $ per Non-Paying User]],0)</f>
        <v>100</v>
      </c>
      <c r="Q2185" t="str" cm="1">
        <f t="array" ref="Q2185">_xlfn.IFS(Sales[[#This Row],[Current Upsell $]]=0,"",Sales[[#This Row],[Current Upsell $]]&gt;=400,"High",Sales[[#This Row],[Current Upsell $]]&gt;=100,"Medium",Sales[[#This Row],[Current Upsell $]]&lt;100,"Low")</f>
        <v>Medium</v>
      </c>
      <c r="R2185" t="str">
        <f>IF(Sales[[#This Row],[Current Upsell $]]&gt;0,_xlfn.CONCAT(Sales[[#This Row],[Subscription Type]]," ",Sales[[#This Row],[Upsell Priority]]," ",TEXT(Sales[[#This Row],[Current Upsell $]],"$#,#")),"")</f>
        <v>Basic Medium $100</v>
      </c>
    </row>
    <row r="2186" spans="1:18" x14ac:dyDescent="0.25">
      <c r="A2186">
        <v>100356</v>
      </c>
      <c r="B2186" t="s">
        <v>3</v>
      </c>
      <c r="F2186">
        <v>0</v>
      </c>
      <c r="G2186">
        <v>6</v>
      </c>
      <c r="H2186" s="1">
        <v>44348</v>
      </c>
      <c r="I2186" s="1">
        <v>44378</v>
      </c>
      <c r="J2186">
        <v>1</v>
      </c>
      <c r="K2186">
        <v>0</v>
      </c>
      <c r="L2186" s="1">
        <v>44348</v>
      </c>
      <c r="M2186">
        <v>0</v>
      </c>
      <c r="N2186" s="8" cm="1">
        <f t="array" ref="N2186">_xlfn.SWITCH(Sales[[#This Row],[Subscription Type]],"Basic",10,"Premium",10,"Business",25,"Enterprise",27)</f>
        <v>10</v>
      </c>
      <c r="O2186">
        <f>IF(Sales[[#This Row],[Number of Users]]-Sales[[#This Row],[Licenses Bought]]&lt;0,0,Sales[[#This Row],[Number of Users]]-Sales[[#This Row],[Licenses Bought]])</f>
        <v>6</v>
      </c>
      <c r="P2186" s="8">
        <f>IF(Sales[[#This Row],[Sales Month]]=MAX(Sales[Sales Month]),Sales[[#This Row],[Non-Paying Users]]*Sales[[#This Row],[Upsell $ per Non-Paying User]],0)</f>
        <v>60</v>
      </c>
      <c r="Q2186" t="str" cm="1">
        <f t="array" ref="Q2186">_xlfn.IFS(Sales[[#This Row],[Current Upsell $]]=0,"",Sales[[#This Row],[Current Upsell $]]&gt;=400,"High",Sales[[#This Row],[Current Upsell $]]&gt;=100,"Medium",Sales[[#This Row],[Current Upsell $]]&lt;100,"Low")</f>
        <v>Low</v>
      </c>
      <c r="R2186" t="str">
        <f>IF(Sales[[#This Row],[Current Upsell $]]&gt;0,_xlfn.CONCAT(Sales[[#This Row],[Subscription Type]]," ",Sales[[#This Row],[Upsell Priority]]," ",TEXT(Sales[[#This Row],[Current Upsell $]],"$#,#")),"")</f>
        <v>Basic Low $60</v>
      </c>
    </row>
    <row r="2187" spans="1:18" x14ac:dyDescent="0.25">
      <c r="A2187">
        <v>100357</v>
      </c>
      <c r="B2187" t="s">
        <v>3</v>
      </c>
      <c r="F2187">
        <v>0</v>
      </c>
      <c r="G2187">
        <v>6</v>
      </c>
      <c r="H2187" s="1">
        <v>44348</v>
      </c>
      <c r="I2187" s="1">
        <v>44378</v>
      </c>
      <c r="J2187">
        <v>1</v>
      </c>
      <c r="K2187">
        <v>0</v>
      </c>
      <c r="L2187" s="1">
        <v>44348</v>
      </c>
      <c r="M2187">
        <v>0</v>
      </c>
      <c r="N2187" s="8" cm="1">
        <f t="array" ref="N2187">_xlfn.SWITCH(Sales[[#This Row],[Subscription Type]],"Basic",10,"Premium",10,"Business",25,"Enterprise",27)</f>
        <v>10</v>
      </c>
      <c r="O2187">
        <f>IF(Sales[[#This Row],[Number of Users]]-Sales[[#This Row],[Licenses Bought]]&lt;0,0,Sales[[#This Row],[Number of Users]]-Sales[[#This Row],[Licenses Bought]])</f>
        <v>6</v>
      </c>
      <c r="P2187" s="8">
        <f>IF(Sales[[#This Row],[Sales Month]]=MAX(Sales[Sales Month]),Sales[[#This Row],[Non-Paying Users]]*Sales[[#This Row],[Upsell $ per Non-Paying User]],0)</f>
        <v>60</v>
      </c>
      <c r="Q2187" t="str" cm="1">
        <f t="array" ref="Q2187">_xlfn.IFS(Sales[[#This Row],[Current Upsell $]]=0,"",Sales[[#This Row],[Current Upsell $]]&gt;=400,"High",Sales[[#This Row],[Current Upsell $]]&gt;=100,"Medium",Sales[[#This Row],[Current Upsell $]]&lt;100,"Low")</f>
        <v>Low</v>
      </c>
      <c r="R2187" t="str">
        <f>IF(Sales[[#This Row],[Current Upsell $]]&gt;0,_xlfn.CONCAT(Sales[[#This Row],[Subscription Type]]," ",Sales[[#This Row],[Upsell Priority]]," ",TEXT(Sales[[#This Row],[Current Upsell $]],"$#,#")),"")</f>
        <v>Basic Low $60</v>
      </c>
    </row>
    <row r="2188" spans="1:18" x14ac:dyDescent="0.25">
      <c r="A2188">
        <v>100358</v>
      </c>
      <c r="B2188" t="s">
        <v>3</v>
      </c>
      <c r="F2188">
        <v>0</v>
      </c>
      <c r="G2188">
        <v>6</v>
      </c>
      <c r="H2188" s="1">
        <v>44348</v>
      </c>
      <c r="I2188" s="1">
        <v>44378</v>
      </c>
      <c r="J2188">
        <v>1</v>
      </c>
      <c r="K2188">
        <v>0</v>
      </c>
      <c r="L2188" s="1">
        <v>44348</v>
      </c>
      <c r="M2188">
        <v>0</v>
      </c>
      <c r="N2188" s="8" cm="1">
        <f t="array" ref="N2188">_xlfn.SWITCH(Sales[[#This Row],[Subscription Type]],"Basic",10,"Premium",10,"Business",25,"Enterprise",27)</f>
        <v>10</v>
      </c>
      <c r="O2188">
        <f>IF(Sales[[#This Row],[Number of Users]]-Sales[[#This Row],[Licenses Bought]]&lt;0,0,Sales[[#This Row],[Number of Users]]-Sales[[#This Row],[Licenses Bought]])</f>
        <v>6</v>
      </c>
      <c r="P2188" s="8">
        <f>IF(Sales[[#This Row],[Sales Month]]=MAX(Sales[Sales Month]),Sales[[#This Row],[Non-Paying Users]]*Sales[[#This Row],[Upsell $ per Non-Paying User]],0)</f>
        <v>60</v>
      </c>
      <c r="Q2188" t="str" cm="1">
        <f t="array" ref="Q2188">_xlfn.IFS(Sales[[#This Row],[Current Upsell $]]=0,"",Sales[[#This Row],[Current Upsell $]]&gt;=400,"High",Sales[[#This Row],[Current Upsell $]]&gt;=100,"Medium",Sales[[#This Row],[Current Upsell $]]&lt;100,"Low")</f>
        <v>Low</v>
      </c>
      <c r="R2188" t="str">
        <f>IF(Sales[[#This Row],[Current Upsell $]]&gt;0,_xlfn.CONCAT(Sales[[#This Row],[Subscription Type]]," ",Sales[[#This Row],[Upsell Priority]]," ",TEXT(Sales[[#This Row],[Current Upsell $]],"$#,#")),"")</f>
        <v>Basic Low $60</v>
      </c>
    </row>
    <row r="2189" spans="1:18" x14ac:dyDescent="0.25">
      <c r="A2189">
        <v>100359</v>
      </c>
      <c r="B2189" t="s">
        <v>3</v>
      </c>
      <c r="F2189">
        <v>0</v>
      </c>
      <c r="G2189">
        <v>6</v>
      </c>
      <c r="H2189" s="1">
        <v>44348</v>
      </c>
      <c r="I2189" s="1">
        <v>44378</v>
      </c>
      <c r="J2189">
        <v>1</v>
      </c>
      <c r="K2189">
        <v>0</v>
      </c>
      <c r="L2189" s="1">
        <v>44348</v>
      </c>
      <c r="M2189">
        <v>0</v>
      </c>
      <c r="N2189" s="8" cm="1">
        <f t="array" ref="N2189">_xlfn.SWITCH(Sales[[#This Row],[Subscription Type]],"Basic",10,"Premium",10,"Business",25,"Enterprise",27)</f>
        <v>10</v>
      </c>
      <c r="O2189">
        <f>IF(Sales[[#This Row],[Number of Users]]-Sales[[#This Row],[Licenses Bought]]&lt;0,0,Sales[[#This Row],[Number of Users]]-Sales[[#This Row],[Licenses Bought]])</f>
        <v>6</v>
      </c>
      <c r="P2189" s="8">
        <f>IF(Sales[[#This Row],[Sales Month]]=MAX(Sales[Sales Month]),Sales[[#This Row],[Non-Paying Users]]*Sales[[#This Row],[Upsell $ per Non-Paying User]],0)</f>
        <v>60</v>
      </c>
      <c r="Q2189" t="str" cm="1">
        <f t="array" ref="Q2189">_xlfn.IFS(Sales[[#This Row],[Current Upsell $]]=0,"",Sales[[#This Row],[Current Upsell $]]&gt;=400,"High",Sales[[#This Row],[Current Upsell $]]&gt;=100,"Medium",Sales[[#This Row],[Current Upsell $]]&lt;100,"Low")</f>
        <v>Low</v>
      </c>
      <c r="R2189" t="str">
        <f>IF(Sales[[#This Row],[Current Upsell $]]&gt;0,_xlfn.CONCAT(Sales[[#This Row],[Subscription Type]]," ",Sales[[#This Row],[Upsell Priority]]," ",TEXT(Sales[[#This Row],[Current Upsell $]],"$#,#")),"")</f>
        <v>Basic Low $60</v>
      </c>
    </row>
    <row r="2190" spans="1:18" x14ac:dyDescent="0.25">
      <c r="A2190">
        <v>100360</v>
      </c>
      <c r="B2190" t="s">
        <v>3</v>
      </c>
      <c r="F2190">
        <v>0</v>
      </c>
      <c r="G2190">
        <v>7</v>
      </c>
      <c r="H2190" s="1">
        <v>44348</v>
      </c>
      <c r="I2190" s="1">
        <v>44378</v>
      </c>
      <c r="J2190">
        <v>1</v>
      </c>
      <c r="K2190">
        <v>0</v>
      </c>
      <c r="L2190" s="1">
        <v>44348</v>
      </c>
      <c r="M2190">
        <v>0</v>
      </c>
      <c r="N2190" s="8" cm="1">
        <f t="array" ref="N2190">_xlfn.SWITCH(Sales[[#This Row],[Subscription Type]],"Basic",10,"Premium",10,"Business",25,"Enterprise",27)</f>
        <v>10</v>
      </c>
      <c r="O2190">
        <f>IF(Sales[[#This Row],[Number of Users]]-Sales[[#This Row],[Licenses Bought]]&lt;0,0,Sales[[#This Row],[Number of Users]]-Sales[[#This Row],[Licenses Bought]])</f>
        <v>7</v>
      </c>
      <c r="P2190" s="8">
        <f>IF(Sales[[#This Row],[Sales Month]]=MAX(Sales[Sales Month]),Sales[[#This Row],[Non-Paying Users]]*Sales[[#This Row],[Upsell $ per Non-Paying User]],0)</f>
        <v>70</v>
      </c>
      <c r="Q2190" t="str" cm="1">
        <f t="array" ref="Q2190">_xlfn.IFS(Sales[[#This Row],[Current Upsell $]]=0,"",Sales[[#This Row],[Current Upsell $]]&gt;=400,"High",Sales[[#This Row],[Current Upsell $]]&gt;=100,"Medium",Sales[[#This Row],[Current Upsell $]]&lt;100,"Low")</f>
        <v>Low</v>
      </c>
      <c r="R2190" t="str">
        <f>IF(Sales[[#This Row],[Current Upsell $]]&gt;0,_xlfn.CONCAT(Sales[[#This Row],[Subscription Type]]," ",Sales[[#This Row],[Upsell Priority]]," ",TEXT(Sales[[#This Row],[Current Upsell $]],"$#,#")),"")</f>
        <v>Basic Low $70</v>
      </c>
    </row>
    <row r="2191" spans="1:18" x14ac:dyDescent="0.25">
      <c r="A2191">
        <v>100361</v>
      </c>
      <c r="B2191" t="s">
        <v>3</v>
      </c>
      <c r="F2191">
        <v>0</v>
      </c>
      <c r="G2191">
        <v>6</v>
      </c>
      <c r="H2191" s="1">
        <v>44348</v>
      </c>
      <c r="I2191" s="1">
        <v>44378</v>
      </c>
      <c r="J2191">
        <v>1</v>
      </c>
      <c r="K2191">
        <v>0</v>
      </c>
      <c r="L2191" s="1">
        <v>44348</v>
      </c>
      <c r="M2191">
        <v>0</v>
      </c>
      <c r="N2191" s="8" cm="1">
        <f t="array" ref="N2191">_xlfn.SWITCH(Sales[[#This Row],[Subscription Type]],"Basic",10,"Premium",10,"Business",25,"Enterprise",27)</f>
        <v>10</v>
      </c>
      <c r="O2191">
        <f>IF(Sales[[#This Row],[Number of Users]]-Sales[[#This Row],[Licenses Bought]]&lt;0,0,Sales[[#This Row],[Number of Users]]-Sales[[#This Row],[Licenses Bought]])</f>
        <v>6</v>
      </c>
      <c r="P2191" s="8">
        <f>IF(Sales[[#This Row],[Sales Month]]=MAX(Sales[Sales Month]),Sales[[#This Row],[Non-Paying Users]]*Sales[[#This Row],[Upsell $ per Non-Paying User]],0)</f>
        <v>60</v>
      </c>
      <c r="Q2191" t="str" cm="1">
        <f t="array" ref="Q2191">_xlfn.IFS(Sales[[#This Row],[Current Upsell $]]=0,"",Sales[[#This Row],[Current Upsell $]]&gt;=400,"High",Sales[[#This Row],[Current Upsell $]]&gt;=100,"Medium",Sales[[#This Row],[Current Upsell $]]&lt;100,"Low")</f>
        <v>Low</v>
      </c>
      <c r="R2191" t="str">
        <f>IF(Sales[[#This Row],[Current Upsell $]]&gt;0,_xlfn.CONCAT(Sales[[#This Row],[Subscription Type]]," ",Sales[[#This Row],[Upsell Priority]]," ",TEXT(Sales[[#This Row],[Current Upsell $]],"$#,#")),"")</f>
        <v>Basic Low $60</v>
      </c>
    </row>
    <row r="2192" spans="1:18" x14ac:dyDescent="0.25">
      <c r="A2192">
        <v>100362</v>
      </c>
      <c r="B2192" t="s">
        <v>3</v>
      </c>
      <c r="F2192">
        <v>0</v>
      </c>
      <c r="G2192">
        <v>5</v>
      </c>
      <c r="H2192" s="1">
        <v>44348</v>
      </c>
      <c r="I2192" s="1">
        <v>44378</v>
      </c>
      <c r="J2192">
        <v>1</v>
      </c>
      <c r="K2192">
        <v>0</v>
      </c>
      <c r="L2192" s="1">
        <v>44348</v>
      </c>
      <c r="M2192">
        <v>0</v>
      </c>
      <c r="N2192" s="8" cm="1">
        <f t="array" ref="N2192">_xlfn.SWITCH(Sales[[#This Row],[Subscription Type]],"Basic",10,"Premium",10,"Business",25,"Enterprise",27)</f>
        <v>10</v>
      </c>
      <c r="O2192">
        <f>IF(Sales[[#This Row],[Number of Users]]-Sales[[#This Row],[Licenses Bought]]&lt;0,0,Sales[[#This Row],[Number of Users]]-Sales[[#This Row],[Licenses Bought]])</f>
        <v>5</v>
      </c>
      <c r="P2192" s="8">
        <f>IF(Sales[[#This Row],[Sales Month]]=MAX(Sales[Sales Month]),Sales[[#This Row],[Non-Paying Users]]*Sales[[#This Row],[Upsell $ per Non-Paying User]],0)</f>
        <v>50</v>
      </c>
      <c r="Q2192" t="str" cm="1">
        <f t="array" ref="Q2192">_xlfn.IFS(Sales[[#This Row],[Current Upsell $]]=0,"",Sales[[#This Row],[Current Upsell $]]&gt;=400,"High",Sales[[#This Row],[Current Upsell $]]&gt;=100,"Medium",Sales[[#This Row],[Current Upsell $]]&lt;100,"Low")</f>
        <v>Low</v>
      </c>
      <c r="R2192" t="str">
        <f>IF(Sales[[#This Row],[Current Upsell $]]&gt;0,_xlfn.CONCAT(Sales[[#This Row],[Subscription Type]]," ",Sales[[#This Row],[Upsell Priority]]," ",TEXT(Sales[[#This Row],[Current Upsell $]],"$#,#")),"")</f>
        <v>Basic Low $50</v>
      </c>
    </row>
    <row r="2193" spans="1:18" x14ac:dyDescent="0.25">
      <c r="A2193">
        <v>100363</v>
      </c>
      <c r="B2193" t="s">
        <v>3</v>
      </c>
      <c r="F2193">
        <v>0</v>
      </c>
      <c r="G2193">
        <v>5</v>
      </c>
      <c r="H2193" s="1">
        <v>44348</v>
      </c>
      <c r="I2193" s="1">
        <v>44378</v>
      </c>
      <c r="J2193">
        <v>1</v>
      </c>
      <c r="K2193">
        <v>0</v>
      </c>
      <c r="L2193" s="1">
        <v>44348</v>
      </c>
      <c r="M2193">
        <v>0</v>
      </c>
      <c r="N2193" s="8" cm="1">
        <f t="array" ref="N2193">_xlfn.SWITCH(Sales[[#This Row],[Subscription Type]],"Basic",10,"Premium",10,"Business",25,"Enterprise",27)</f>
        <v>10</v>
      </c>
      <c r="O2193">
        <f>IF(Sales[[#This Row],[Number of Users]]-Sales[[#This Row],[Licenses Bought]]&lt;0,0,Sales[[#This Row],[Number of Users]]-Sales[[#This Row],[Licenses Bought]])</f>
        <v>5</v>
      </c>
      <c r="P2193" s="8">
        <f>IF(Sales[[#This Row],[Sales Month]]=MAX(Sales[Sales Month]),Sales[[#This Row],[Non-Paying Users]]*Sales[[#This Row],[Upsell $ per Non-Paying User]],0)</f>
        <v>50</v>
      </c>
      <c r="Q2193" t="str" cm="1">
        <f t="array" ref="Q2193">_xlfn.IFS(Sales[[#This Row],[Current Upsell $]]=0,"",Sales[[#This Row],[Current Upsell $]]&gt;=400,"High",Sales[[#This Row],[Current Upsell $]]&gt;=100,"Medium",Sales[[#This Row],[Current Upsell $]]&lt;100,"Low")</f>
        <v>Low</v>
      </c>
      <c r="R2193" t="str">
        <f>IF(Sales[[#This Row],[Current Upsell $]]&gt;0,_xlfn.CONCAT(Sales[[#This Row],[Subscription Type]]," ",Sales[[#This Row],[Upsell Priority]]," ",TEXT(Sales[[#This Row],[Current Upsell $]],"$#,#")),"")</f>
        <v>Basic Low $50</v>
      </c>
    </row>
    <row r="2194" spans="1:18" x14ac:dyDescent="0.25">
      <c r="A2194">
        <v>100364</v>
      </c>
      <c r="B2194" t="s">
        <v>3</v>
      </c>
      <c r="F2194">
        <v>0</v>
      </c>
      <c r="G2194">
        <v>6</v>
      </c>
      <c r="H2194" s="1">
        <v>44348</v>
      </c>
      <c r="I2194" s="1">
        <v>44378</v>
      </c>
      <c r="J2194">
        <v>1</v>
      </c>
      <c r="K2194">
        <v>0</v>
      </c>
      <c r="L2194" s="1">
        <v>44348</v>
      </c>
      <c r="M2194">
        <v>0</v>
      </c>
      <c r="N2194" s="8" cm="1">
        <f t="array" ref="N2194">_xlfn.SWITCH(Sales[[#This Row],[Subscription Type]],"Basic",10,"Premium",10,"Business",25,"Enterprise",27)</f>
        <v>10</v>
      </c>
      <c r="O2194">
        <f>IF(Sales[[#This Row],[Number of Users]]-Sales[[#This Row],[Licenses Bought]]&lt;0,0,Sales[[#This Row],[Number of Users]]-Sales[[#This Row],[Licenses Bought]])</f>
        <v>6</v>
      </c>
      <c r="P2194" s="8">
        <f>IF(Sales[[#This Row],[Sales Month]]=MAX(Sales[Sales Month]),Sales[[#This Row],[Non-Paying Users]]*Sales[[#This Row],[Upsell $ per Non-Paying User]],0)</f>
        <v>60</v>
      </c>
      <c r="Q2194" t="str" cm="1">
        <f t="array" ref="Q2194">_xlfn.IFS(Sales[[#This Row],[Current Upsell $]]=0,"",Sales[[#This Row],[Current Upsell $]]&gt;=400,"High",Sales[[#This Row],[Current Upsell $]]&gt;=100,"Medium",Sales[[#This Row],[Current Upsell $]]&lt;100,"Low")</f>
        <v>Low</v>
      </c>
      <c r="R2194" t="str">
        <f>IF(Sales[[#This Row],[Current Upsell $]]&gt;0,_xlfn.CONCAT(Sales[[#This Row],[Subscription Type]]," ",Sales[[#This Row],[Upsell Priority]]," ",TEXT(Sales[[#This Row],[Current Upsell $]],"$#,#")),"")</f>
        <v>Basic Low $60</v>
      </c>
    </row>
    <row r="2195" spans="1:18" x14ac:dyDescent="0.25">
      <c r="A2195">
        <v>100365</v>
      </c>
      <c r="B2195" t="s">
        <v>3</v>
      </c>
      <c r="F2195">
        <v>0</v>
      </c>
      <c r="G2195">
        <v>5</v>
      </c>
      <c r="H2195" s="1">
        <v>44348</v>
      </c>
      <c r="I2195" s="1">
        <v>44378</v>
      </c>
      <c r="J2195">
        <v>1</v>
      </c>
      <c r="K2195">
        <v>0</v>
      </c>
      <c r="L2195" s="1">
        <v>44348</v>
      </c>
      <c r="M2195">
        <v>0</v>
      </c>
      <c r="N2195" s="8" cm="1">
        <f t="array" ref="N2195">_xlfn.SWITCH(Sales[[#This Row],[Subscription Type]],"Basic",10,"Premium",10,"Business",25,"Enterprise",27)</f>
        <v>10</v>
      </c>
      <c r="O2195">
        <f>IF(Sales[[#This Row],[Number of Users]]-Sales[[#This Row],[Licenses Bought]]&lt;0,0,Sales[[#This Row],[Number of Users]]-Sales[[#This Row],[Licenses Bought]])</f>
        <v>5</v>
      </c>
      <c r="P2195" s="8">
        <f>IF(Sales[[#This Row],[Sales Month]]=MAX(Sales[Sales Month]),Sales[[#This Row],[Non-Paying Users]]*Sales[[#This Row],[Upsell $ per Non-Paying User]],0)</f>
        <v>50</v>
      </c>
      <c r="Q2195" t="str" cm="1">
        <f t="array" ref="Q2195">_xlfn.IFS(Sales[[#This Row],[Current Upsell $]]=0,"",Sales[[#This Row],[Current Upsell $]]&gt;=400,"High",Sales[[#This Row],[Current Upsell $]]&gt;=100,"Medium",Sales[[#This Row],[Current Upsell $]]&lt;100,"Low")</f>
        <v>Low</v>
      </c>
      <c r="R2195" t="str">
        <f>IF(Sales[[#This Row],[Current Upsell $]]&gt;0,_xlfn.CONCAT(Sales[[#This Row],[Subscription Type]]," ",Sales[[#This Row],[Upsell Priority]]," ",TEXT(Sales[[#This Row],[Current Upsell $]],"$#,#")),"")</f>
        <v>Basic Low $50</v>
      </c>
    </row>
    <row r="2196" spans="1:18" x14ac:dyDescent="0.25">
      <c r="A2196">
        <v>100366</v>
      </c>
      <c r="B2196" t="s">
        <v>3</v>
      </c>
      <c r="F2196">
        <v>0</v>
      </c>
      <c r="G2196">
        <v>5</v>
      </c>
      <c r="H2196" s="1">
        <v>44348</v>
      </c>
      <c r="I2196" s="1">
        <v>44378</v>
      </c>
      <c r="J2196">
        <v>1</v>
      </c>
      <c r="K2196">
        <v>0</v>
      </c>
      <c r="L2196" s="1">
        <v>44348</v>
      </c>
      <c r="M2196">
        <v>0</v>
      </c>
      <c r="N2196" s="8" cm="1">
        <f t="array" ref="N2196">_xlfn.SWITCH(Sales[[#This Row],[Subscription Type]],"Basic",10,"Premium",10,"Business",25,"Enterprise",27)</f>
        <v>10</v>
      </c>
      <c r="O2196">
        <f>IF(Sales[[#This Row],[Number of Users]]-Sales[[#This Row],[Licenses Bought]]&lt;0,0,Sales[[#This Row],[Number of Users]]-Sales[[#This Row],[Licenses Bought]])</f>
        <v>5</v>
      </c>
      <c r="P2196" s="8">
        <f>IF(Sales[[#This Row],[Sales Month]]=MAX(Sales[Sales Month]),Sales[[#This Row],[Non-Paying Users]]*Sales[[#This Row],[Upsell $ per Non-Paying User]],0)</f>
        <v>50</v>
      </c>
      <c r="Q2196" t="str" cm="1">
        <f t="array" ref="Q2196">_xlfn.IFS(Sales[[#This Row],[Current Upsell $]]=0,"",Sales[[#This Row],[Current Upsell $]]&gt;=400,"High",Sales[[#This Row],[Current Upsell $]]&gt;=100,"Medium",Sales[[#This Row],[Current Upsell $]]&lt;100,"Low")</f>
        <v>Low</v>
      </c>
      <c r="R2196" t="str">
        <f>IF(Sales[[#This Row],[Current Upsell $]]&gt;0,_xlfn.CONCAT(Sales[[#This Row],[Subscription Type]]," ",Sales[[#This Row],[Upsell Priority]]," ",TEXT(Sales[[#This Row],[Current Upsell $]],"$#,#")),"")</f>
        <v>Basic Low $50</v>
      </c>
    </row>
    <row r="2197" spans="1:18" x14ac:dyDescent="0.25">
      <c r="A2197">
        <v>100367</v>
      </c>
      <c r="B2197" t="s">
        <v>3</v>
      </c>
      <c r="F2197">
        <v>0</v>
      </c>
      <c r="G2197">
        <v>5</v>
      </c>
      <c r="H2197" s="1">
        <v>44348</v>
      </c>
      <c r="I2197" s="1">
        <v>44378</v>
      </c>
      <c r="J2197">
        <v>1</v>
      </c>
      <c r="K2197">
        <v>0</v>
      </c>
      <c r="L2197" s="1">
        <v>44348</v>
      </c>
      <c r="M2197">
        <v>0</v>
      </c>
      <c r="N2197" s="8" cm="1">
        <f t="array" ref="N2197">_xlfn.SWITCH(Sales[[#This Row],[Subscription Type]],"Basic",10,"Premium",10,"Business",25,"Enterprise",27)</f>
        <v>10</v>
      </c>
      <c r="O2197">
        <f>IF(Sales[[#This Row],[Number of Users]]-Sales[[#This Row],[Licenses Bought]]&lt;0,0,Sales[[#This Row],[Number of Users]]-Sales[[#This Row],[Licenses Bought]])</f>
        <v>5</v>
      </c>
      <c r="P2197" s="8">
        <f>IF(Sales[[#This Row],[Sales Month]]=MAX(Sales[Sales Month]),Sales[[#This Row],[Non-Paying Users]]*Sales[[#This Row],[Upsell $ per Non-Paying User]],0)</f>
        <v>50</v>
      </c>
      <c r="Q2197" t="str" cm="1">
        <f t="array" ref="Q2197">_xlfn.IFS(Sales[[#This Row],[Current Upsell $]]=0,"",Sales[[#This Row],[Current Upsell $]]&gt;=400,"High",Sales[[#This Row],[Current Upsell $]]&gt;=100,"Medium",Sales[[#This Row],[Current Upsell $]]&lt;100,"Low")</f>
        <v>Low</v>
      </c>
      <c r="R2197" t="str">
        <f>IF(Sales[[#This Row],[Current Upsell $]]&gt;0,_xlfn.CONCAT(Sales[[#This Row],[Subscription Type]]," ",Sales[[#This Row],[Upsell Priority]]," ",TEXT(Sales[[#This Row],[Current Upsell $]],"$#,#")),"")</f>
        <v>Basic Low $50</v>
      </c>
    </row>
    <row r="2198" spans="1:18" x14ac:dyDescent="0.25">
      <c r="A2198">
        <v>100368</v>
      </c>
      <c r="B2198" t="s">
        <v>3</v>
      </c>
      <c r="F2198">
        <v>0</v>
      </c>
      <c r="G2198">
        <v>5</v>
      </c>
      <c r="H2198" s="1">
        <v>44348</v>
      </c>
      <c r="I2198" s="1">
        <v>44378</v>
      </c>
      <c r="J2198">
        <v>1</v>
      </c>
      <c r="K2198">
        <v>0</v>
      </c>
      <c r="L2198" s="1">
        <v>44348</v>
      </c>
      <c r="M2198">
        <v>0</v>
      </c>
      <c r="N2198" s="8" cm="1">
        <f t="array" ref="N2198">_xlfn.SWITCH(Sales[[#This Row],[Subscription Type]],"Basic",10,"Premium",10,"Business",25,"Enterprise",27)</f>
        <v>10</v>
      </c>
      <c r="O2198">
        <f>IF(Sales[[#This Row],[Number of Users]]-Sales[[#This Row],[Licenses Bought]]&lt;0,0,Sales[[#This Row],[Number of Users]]-Sales[[#This Row],[Licenses Bought]])</f>
        <v>5</v>
      </c>
      <c r="P2198" s="8">
        <f>IF(Sales[[#This Row],[Sales Month]]=MAX(Sales[Sales Month]),Sales[[#This Row],[Non-Paying Users]]*Sales[[#This Row],[Upsell $ per Non-Paying User]],0)</f>
        <v>50</v>
      </c>
      <c r="Q2198" t="str" cm="1">
        <f t="array" ref="Q2198">_xlfn.IFS(Sales[[#This Row],[Current Upsell $]]=0,"",Sales[[#This Row],[Current Upsell $]]&gt;=400,"High",Sales[[#This Row],[Current Upsell $]]&gt;=100,"Medium",Sales[[#This Row],[Current Upsell $]]&lt;100,"Low")</f>
        <v>Low</v>
      </c>
      <c r="R2198" t="str">
        <f>IF(Sales[[#This Row],[Current Upsell $]]&gt;0,_xlfn.CONCAT(Sales[[#This Row],[Subscription Type]]," ",Sales[[#This Row],[Upsell Priority]]," ",TEXT(Sales[[#This Row],[Current Upsell $]],"$#,#")),"")</f>
        <v>Basic Low $50</v>
      </c>
    </row>
    <row r="2199" spans="1:18" x14ac:dyDescent="0.25">
      <c r="A2199">
        <v>100369</v>
      </c>
      <c r="B2199" t="s">
        <v>3</v>
      </c>
      <c r="F2199">
        <v>0</v>
      </c>
      <c r="G2199">
        <v>5</v>
      </c>
      <c r="H2199" s="1">
        <v>44348</v>
      </c>
      <c r="I2199" s="1">
        <v>44378</v>
      </c>
      <c r="J2199">
        <v>1</v>
      </c>
      <c r="K2199">
        <v>0</v>
      </c>
      <c r="L2199" s="1">
        <v>44348</v>
      </c>
      <c r="M2199">
        <v>0</v>
      </c>
      <c r="N2199" s="8" cm="1">
        <f t="array" ref="N2199">_xlfn.SWITCH(Sales[[#This Row],[Subscription Type]],"Basic",10,"Premium",10,"Business",25,"Enterprise",27)</f>
        <v>10</v>
      </c>
      <c r="O2199">
        <f>IF(Sales[[#This Row],[Number of Users]]-Sales[[#This Row],[Licenses Bought]]&lt;0,0,Sales[[#This Row],[Number of Users]]-Sales[[#This Row],[Licenses Bought]])</f>
        <v>5</v>
      </c>
      <c r="P2199" s="8">
        <f>IF(Sales[[#This Row],[Sales Month]]=MAX(Sales[Sales Month]),Sales[[#This Row],[Non-Paying Users]]*Sales[[#This Row],[Upsell $ per Non-Paying User]],0)</f>
        <v>50</v>
      </c>
      <c r="Q2199" t="str" cm="1">
        <f t="array" ref="Q2199">_xlfn.IFS(Sales[[#This Row],[Current Upsell $]]=0,"",Sales[[#This Row],[Current Upsell $]]&gt;=400,"High",Sales[[#This Row],[Current Upsell $]]&gt;=100,"Medium",Sales[[#This Row],[Current Upsell $]]&lt;100,"Low")</f>
        <v>Low</v>
      </c>
      <c r="R2199" t="str">
        <f>IF(Sales[[#This Row],[Current Upsell $]]&gt;0,_xlfn.CONCAT(Sales[[#This Row],[Subscription Type]]," ",Sales[[#This Row],[Upsell Priority]]," ",TEXT(Sales[[#This Row],[Current Upsell $]],"$#,#")),"")</f>
        <v>Basic Low $50</v>
      </c>
    </row>
    <row r="2200" spans="1:18" x14ac:dyDescent="0.25">
      <c r="A2200">
        <v>100330</v>
      </c>
      <c r="B2200" t="s">
        <v>3</v>
      </c>
      <c r="D2200" s="1"/>
      <c r="E2200" s="1"/>
      <c r="F2200">
        <v>0</v>
      </c>
      <c r="G2200">
        <v>41</v>
      </c>
      <c r="H2200" s="1">
        <v>44348</v>
      </c>
      <c r="I2200" s="1">
        <v>44378</v>
      </c>
      <c r="J2200">
        <v>1</v>
      </c>
      <c r="K2200">
        <v>0</v>
      </c>
      <c r="L2200" s="1">
        <v>44348</v>
      </c>
      <c r="M2200">
        <v>0</v>
      </c>
      <c r="N2200" s="8" cm="1">
        <f t="array" ref="N2200">_xlfn.SWITCH(Sales[[#This Row],[Subscription Type]],"Basic",10,"Premium",10,"Business",25,"Enterprise",27)</f>
        <v>10</v>
      </c>
      <c r="O2200">
        <f>IF(Sales[[#This Row],[Number of Users]]-Sales[[#This Row],[Licenses Bought]]&lt;0,0,Sales[[#This Row],[Number of Users]]-Sales[[#This Row],[Licenses Bought]])</f>
        <v>41</v>
      </c>
      <c r="P2200" s="8">
        <f>IF(Sales[[#This Row],[Sales Month]]=MAX(Sales[Sales Month]),Sales[[#This Row],[Non-Paying Users]]*Sales[[#This Row],[Upsell $ per Non-Paying User]],0)</f>
        <v>410</v>
      </c>
      <c r="Q2200" t="str" cm="1">
        <f t="array" ref="Q2200">_xlfn.IFS(Sales[[#This Row],[Current Upsell $]]=0,"",Sales[[#This Row],[Current Upsell $]]&gt;=400,"High",Sales[[#This Row],[Current Upsell $]]&gt;=100,"Medium",Sales[[#This Row],[Current Upsell $]]&lt;100,"Low")</f>
        <v>High</v>
      </c>
      <c r="R2200" t="str">
        <f>IF(Sales[[#This Row],[Current Upsell $]]&gt;0,_xlfn.CONCAT(Sales[[#This Row],[Subscription Type]]," ",Sales[[#This Row],[Upsell Priority]]," ",TEXT(Sales[[#This Row],[Current Upsell $]],"$#,#")),"")</f>
        <v>Basic High $410</v>
      </c>
    </row>
    <row r="2201" spans="1:18" x14ac:dyDescent="0.25">
      <c r="A2201">
        <v>100371</v>
      </c>
      <c r="B2201" t="s">
        <v>3</v>
      </c>
      <c r="F2201">
        <v>0</v>
      </c>
      <c r="G2201">
        <v>5</v>
      </c>
      <c r="H2201" s="1">
        <v>44348</v>
      </c>
      <c r="I2201" s="1">
        <v>44378</v>
      </c>
      <c r="J2201">
        <v>1</v>
      </c>
      <c r="K2201">
        <v>0</v>
      </c>
      <c r="L2201" s="1">
        <v>44348</v>
      </c>
      <c r="M2201">
        <v>0</v>
      </c>
      <c r="N2201" s="8" cm="1">
        <f t="array" ref="N2201">_xlfn.SWITCH(Sales[[#This Row],[Subscription Type]],"Basic",10,"Premium",10,"Business",25,"Enterprise",27)</f>
        <v>10</v>
      </c>
      <c r="O2201">
        <f>IF(Sales[[#This Row],[Number of Users]]-Sales[[#This Row],[Licenses Bought]]&lt;0,0,Sales[[#This Row],[Number of Users]]-Sales[[#This Row],[Licenses Bought]])</f>
        <v>5</v>
      </c>
      <c r="P2201" s="8">
        <f>IF(Sales[[#This Row],[Sales Month]]=MAX(Sales[Sales Month]),Sales[[#This Row],[Non-Paying Users]]*Sales[[#This Row],[Upsell $ per Non-Paying User]],0)</f>
        <v>50</v>
      </c>
      <c r="Q2201" t="str" cm="1">
        <f t="array" ref="Q2201">_xlfn.IFS(Sales[[#This Row],[Current Upsell $]]=0,"",Sales[[#This Row],[Current Upsell $]]&gt;=400,"High",Sales[[#This Row],[Current Upsell $]]&gt;=100,"Medium",Sales[[#This Row],[Current Upsell $]]&lt;100,"Low")</f>
        <v>Low</v>
      </c>
      <c r="R2201" t="str">
        <f>IF(Sales[[#This Row],[Current Upsell $]]&gt;0,_xlfn.CONCAT(Sales[[#This Row],[Subscription Type]]," ",Sales[[#This Row],[Upsell Priority]]," ",TEXT(Sales[[#This Row],[Current Upsell $]],"$#,#")),"")</f>
        <v>Basic Low $50</v>
      </c>
    </row>
    <row r="2202" spans="1:18" x14ac:dyDescent="0.25">
      <c r="A2202">
        <v>100372</v>
      </c>
      <c r="B2202" t="s">
        <v>3</v>
      </c>
      <c r="F2202">
        <v>0</v>
      </c>
      <c r="G2202">
        <v>4</v>
      </c>
      <c r="H2202" s="1">
        <v>44348</v>
      </c>
      <c r="I2202" s="1">
        <v>44378</v>
      </c>
      <c r="J2202">
        <v>1</v>
      </c>
      <c r="K2202">
        <v>0</v>
      </c>
      <c r="L2202" s="1">
        <v>44348</v>
      </c>
      <c r="M2202">
        <v>0</v>
      </c>
      <c r="N2202" s="8" cm="1">
        <f t="array" ref="N2202">_xlfn.SWITCH(Sales[[#This Row],[Subscription Type]],"Basic",10,"Premium",10,"Business",25,"Enterprise",27)</f>
        <v>10</v>
      </c>
      <c r="O2202">
        <f>IF(Sales[[#This Row],[Number of Users]]-Sales[[#This Row],[Licenses Bought]]&lt;0,0,Sales[[#This Row],[Number of Users]]-Sales[[#This Row],[Licenses Bought]])</f>
        <v>4</v>
      </c>
      <c r="P2202" s="8">
        <f>IF(Sales[[#This Row],[Sales Month]]=MAX(Sales[Sales Month]),Sales[[#This Row],[Non-Paying Users]]*Sales[[#This Row],[Upsell $ per Non-Paying User]],0)</f>
        <v>40</v>
      </c>
      <c r="Q2202" t="str" cm="1">
        <f t="array" ref="Q2202">_xlfn.IFS(Sales[[#This Row],[Current Upsell $]]=0,"",Sales[[#This Row],[Current Upsell $]]&gt;=400,"High",Sales[[#This Row],[Current Upsell $]]&gt;=100,"Medium",Sales[[#This Row],[Current Upsell $]]&lt;100,"Low")</f>
        <v>Low</v>
      </c>
      <c r="R2202" t="str">
        <f>IF(Sales[[#This Row],[Current Upsell $]]&gt;0,_xlfn.CONCAT(Sales[[#This Row],[Subscription Type]]," ",Sales[[#This Row],[Upsell Priority]]," ",TEXT(Sales[[#This Row],[Current Upsell $]],"$#,#")),"")</f>
        <v>Basic Low $40</v>
      </c>
    </row>
    <row r="2203" spans="1:18" x14ac:dyDescent="0.25">
      <c r="A2203">
        <v>100373</v>
      </c>
      <c r="B2203" t="s">
        <v>3</v>
      </c>
      <c r="F2203">
        <v>0</v>
      </c>
      <c r="G2203">
        <v>5</v>
      </c>
      <c r="H2203" s="1">
        <v>44348</v>
      </c>
      <c r="I2203" s="1">
        <v>44378</v>
      </c>
      <c r="J2203">
        <v>1</v>
      </c>
      <c r="K2203">
        <v>0</v>
      </c>
      <c r="L2203" s="1">
        <v>44348</v>
      </c>
      <c r="M2203">
        <v>0</v>
      </c>
      <c r="N2203" s="8" cm="1">
        <f t="array" ref="N2203">_xlfn.SWITCH(Sales[[#This Row],[Subscription Type]],"Basic",10,"Premium",10,"Business",25,"Enterprise",27)</f>
        <v>10</v>
      </c>
      <c r="O2203">
        <f>IF(Sales[[#This Row],[Number of Users]]-Sales[[#This Row],[Licenses Bought]]&lt;0,0,Sales[[#This Row],[Number of Users]]-Sales[[#This Row],[Licenses Bought]])</f>
        <v>5</v>
      </c>
      <c r="P2203" s="8">
        <f>IF(Sales[[#This Row],[Sales Month]]=MAX(Sales[Sales Month]),Sales[[#This Row],[Non-Paying Users]]*Sales[[#This Row],[Upsell $ per Non-Paying User]],0)</f>
        <v>50</v>
      </c>
      <c r="Q2203" t="str" cm="1">
        <f t="array" ref="Q2203">_xlfn.IFS(Sales[[#This Row],[Current Upsell $]]=0,"",Sales[[#This Row],[Current Upsell $]]&gt;=400,"High",Sales[[#This Row],[Current Upsell $]]&gt;=100,"Medium",Sales[[#This Row],[Current Upsell $]]&lt;100,"Low")</f>
        <v>Low</v>
      </c>
      <c r="R2203" t="str">
        <f>IF(Sales[[#This Row],[Current Upsell $]]&gt;0,_xlfn.CONCAT(Sales[[#This Row],[Subscription Type]]," ",Sales[[#This Row],[Upsell Priority]]," ",TEXT(Sales[[#This Row],[Current Upsell $]],"$#,#")),"")</f>
        <v>Basic Low $50</v>
      </c>
    </row>
    <row r="2204" spans="1:18" x14ac:dyDescent="0.25">
      <c r="A2204">
        <v>100374</v>
      </c>
      <c r="B2204" t="s">
        <v>3</v>
      </c>
      <c r="F2204">
        <v>0</v>
      </c>
      <c r="G2204">
        <v>2</v>
      </c>
      <c r="H2204" s="1">
        <v>44348</v>
      </c>
      <c r="I2204" s="1">
        <v>44378</v>
      </c>
      <c r="J2204">
        <v>1</v>
      </c>
      <c r="K2204">
        <v>0</v>
      </c>
      <c r="L2204" s="1">
        <v>44348</v>
      </c>
      <c r="M2204">
        <v>0</v>
      </c>
      <c r="N2204" s="8" cm="1">
        <f t="array" ref="N2204">_xlfn.SWITCH(Sales[[#This Row],[Subscription Type]],"Basic",10,"Premium",10,"Business",25,"Enterprise",27)</f>
        <v>10</v>
      </c>
      <c r="O2204">
        <f>IF(Sales[[#This Row],[Number of Users]]-Sales[[#This Row],[Licenses Bought]]&lt;0,0,Sales[[#This Row],[Number of Users]]-Sales[[#This Row],[Licenses Bought]])</f>
        <v>2</v>
      </c>
      <c r="P2204" s="8">
        <f>IF(Sales[[#This Row],[Sales Month]]=MAX(Sales[Sales Month]),Sales[[#This Row],[Non-Paying Users]]*Sales[[#This Row],[Upsell $ per Non-Paying User]],0)</f>
        <v>20</v>
      </c>
      <c r="Q2204" t="str" cm="1">
        <f t="array" ref="Q2204">_xlfn.IFS(Sales[[#This Row],[Current Upsell $]]=0,"",Sales[[#This Row],[Current Upsell $]]&gt;=400,"High",Sales[[#This Row],[Current Upsell $]]&gt;=100,"Medium",Sales[[#This Row],[Current Upsell $]]&lt;100,"Low")</f>
        <v>Low</v>
      </c>
      <c r="R2204" t="str">
        <f>IF(Sales[[#This Row],[Current Upsell $]]&gt;0,_xlfn.CONCAT(Sales[[#This Row],[Subscription Type]]," ",Sales[[#This Row],[Upsell Priority]]," ",TEXT(Sales[[#This Row],[Current Upsell $]],"$#,#")),"")</f>
        <v>Basic Low $20</v>
      </c>
    </row>
    <row r="2205" spans="1:18" x14ac:dyDescent="0.25">
      <c r="A2205">
        <v>100375</v>
      </c>
      <c r="B2205" t="s">
        <v>3</v>
      </c>
      <c r="F2205">
        <v>0</v>
      </c>
      <c r="G2205">
        <v>2</v>
      </c>
      <c r="H2205" s="1">
        <v>44348</v>
      </c>
      <c r="I2205" s="1">
        <v>44378</v>
      </c>
      <c r="J2205">
        <v>1</v>
      </c>
      <c r="K2205">
        <v>0</v>
      </c>
      <c r="L2205" s="1">
        <v>44348</v>
      </c>
      <c r="M2205">
        <v>0</v>
      </c>
      <c r="N2205" s="8" cm="1">
        <f t="array" ref="N2205">_xlfn.SWITCH(Sales[[#This Row],[Subscription Type]],"Basic",10,"Premium",10,"Business",25,"Enterprise",27)</f>
        <v>10</v>
      </c>
      <c r="O2205">
        <f>IF(Sales[[#This Row],[Number of Users]]-Sales[[#This Row],[Licenses Bought]]&lt;0,0,Sales[[#This Row],[Number of Users]]-Sales[[#This Row],[Licenses Bought]])</f>
        <v>2</v>
      </c>
      <c r="P2205" s="8">
        <f>IF(Sales[[#This Row],[Sales Month]]=MAX(Sales[Sales Month]),Sales[[#This Row],[Non-Paying Users]]*Sales[[#This Row],[Upsell $ per Non-Paying User]],0)</f>
        <v>20</v>
      </c>
      <c r="Q2205" t="str" cm="1">
        <f t="array" ref="Q2205">_xlfn.IFS(Sales[[#This Row],[Current Upsell $]]=0,"",Sales[[#This Row],[Current Upsell $]]&gt;=400,"High",Sales[[#This Row],[Current Upsell $]]&gt;=100,"Medium",Sales[[#This Row],[Current Upsell $]]&lt;100,"Low")</f>
        <v>Low</v>
      </c>
      <c r="R2205" t="str">
        <f>IF(Sales[[#This Row],[Current Upsell $]]&gt;0,_xlfn.CONCAT(Sales[[#This Row],[Subscription Type]]," ",Sales[[#This Row],[Upsell Priority]]," ",TEXT(Sales[[#This Row],[Current Upsell $]],"$#,#")),"")</f>
        <v>Basic Low $20</v>
      </c>
    </row>
    <row r="2206" spans="1:18" x14ac:dyDescent="0.25">
      <c r="A2206">
        <v>100376</v>
      </c>
      <c r="B2206" t="s">
        <v>3</v>
      </c>
      <c r="F2206">
        <v>0</v>
      </c>
      <c r="G2206">
        <v>2</v>
      </c>
      <c r="H2206" s="1">
        <v>44348</v>
      </c>
      <c r="I2206" s="1">
        <v>44378</v>
      </c>
      <c r="J2206">
        <v>1</v>
      </c>
      <c r="K2206">
        <v>0</v>
      </c>
      <c r="L2206" s="1">
        <v>44348</v>
      </c>
      <c r="M2206">
        <v>0</v>
      </c>
      <c r="N2206" s="8" cm="1">
        <f t="array" ref="N2206">_xlfn.SWITCH(Sales[[#This Row],[Subscription Type]],"Basic",10,"Premium",10,"Business",25,"Enterprise",27)</f>
        <v>10</v>
      </c>
      <c r="O2206">
        <f>IF(Sales[[#This Row],[Number of Users]]-Sales[[#This Row],[Licenses Bought]]&lt;0,0,Sales[[#This Row],[Number of Users]]-Sales[[#This Row],[Licenses Bought]])</f>
        <v>2</v>
      </c>
      <c r="P2206" s="8">
        <f>IF(Sales[[#This Row],[Sales Month]]=MAX(Sales[Sales Month]),Sales[[#This Row],[Non-Paying Users]]*Sales[[#This Row],[Upsell $ per Non-Paying User]],0)</f>
        <v>20</v>
      </c>
      <c r="Q2206" t="str" cm="1">
        <f t="array" ref="Q2206">_xlfn.IFS(Sales[[#This Row],[Current Upsell $]]=0,"",Sales[[#This Row],[Current Upsell $]]&gt;=400,"High",Sales[[#This Row],[Current Upsell $]]&gt;=100,"Medium",Sales[[#This Row],[Current Upsell $]]&lt;100,"Low")</f>
        <v>Low</v>
      </c>
      <c r="R2206" t="str">
        <f>IF(Sales[[#This Row],[Current Upsell $]]&gt;0,_xlfn.CONCAT(Sales[[#This Row],[Subscription Type]]," ",Sales[[#This Row],[Upsell Priority]]," ",TEXT(Sales[[#This Row],[Current Upsell $]],"$#,#")),"")</f>
        <v>Basic Low $20</v>
      </c>
    </row>
    <row r="2207" spans="1:18" x14ac:dyDescent="0.25">
      <c r="A2207">
        <v>100377</v>
      </c>
      <c r="B2207" t="s">
        <v>3</v>
      </c>
      <c r="F2207">
        <v>0</v>
      </c>
      <c r="G2207">
        <v>2</v>
      </c>
      <c r="H2207" s="1">
        <v>44348</v>
      </c>
      <c r="I2207" s="1">
        <v>44378</v>
      </c>
      <c r="J2207">
        <v>1</v>
      </c>
      <c r="K2207">
        <v>0</v>
      </c>
      <c r="L2207" s="1">
        <v>44348</v>
      </c>
      <c r="M2207">
        <v>0</v>
      </c>
      <c r="N2207" s="8" cm="1">
        <f t="array" ref="N2207">_xlfn.SWITCH(Sales[[#This Row],[Subscription Type]],"Basic",10,"Premium",10,"Business",25,"Enterprise",27)</f>
        <v>10</v>
      </c>
      <c r="O2207">
        <f>IF(Sales[[#This Row],[Number of Users]]-Sales[[#This Row],[Licenses Bought]]&lt;0,0,Sales[[#This Row],[Number of Users]]-Sales[[#This Row],[Licenses Bought]])</f>
        <v>2</v>
      </c>
      <c r="P2207" s="8">
        <f>IF(Sales[[#This Row],[Sales Month]]=MAX(Sales[Sales Month]),Sales[[#This Row],[Non-Paying Users]]*Sales[[#This Row],[Upsell $ per Non-Paying User]],0)</f>
        <v>20</v>
      </c>
      <c r="Q2207" t="str" cm="1">
        <f t="array" ref="Q2207">_xlfn.IFS(Sales[[#This Row],[Current Upsell $]]=0,"",Sales[[#This Row],[Current Upsell $]]&gt;=400,"High",Sales[[#This Row],[Current Upsell $]]&gt;=100,"Medium",Sales[[#This Row],[Current Upsell $]]&lt;100,"Low")</f>
        <v>Low</v>
      </c>
      <c r="R2207" t="str">
        <f>IF(Sales[[#This Row],[Current Upsell $]]&gt;0,_xlfn.CONCAT(Sales[[#This Row],[Subscription Type]]," ",Sales[[#This Row],[Upsell Priority]]," ",TEXT(Sales[[#This Row],[Current Upsell $]],"$#,#")),"")</f>
        <v>Basic Low $20</v>
      </c>
    </row>
    <row r="2208" spans="1:18" x14ac:dyDescent="0.25">
      <c r="A2208">
        <v>100378</v>
      </c>
      <c r="B2208" t="s">
        <v>3</v>
      </c>
      <c r="F2208">
        <v>0</v>
      </c>
      <c r="G2208">
        <v>2</v>
      </c>
      <c r="H2208" s="1">
        <v>44348</v>
      </c>
      <c r="I2208" s="1">
        <v>44378</v>
      </c>
      <c r="J2208">
        <v>1</v>
      </c>
      <c r="K2208">
        <v>0</v>
      </c>
      <c r="L2208" s="1">
        <v>44348</v>
      </c>
      <c r="M2208">
        <v>0</v>
      </c>
      <c r="N2208" s="8" cm="1">
        <f t="array" ref="N2208">_xlfn.SWITCH(Sales[[#This Row],[Subscription Type]],"Basic",10,"Premium",10,"Business",25,"Enterprise",27)</f>
        <v>10</v>
      </c>
      <c r="O2208">
        <f>IF(Sales[[#This Row],[Number of Users]]-Sales[[#This Row],[Licenses Bought]]&lt;0,0,Sales[[#This Row],[Number of Users]]-Sales[[#This Row],[Licenses Bought]])</f>
        <v>2</v>
      </c>
      <c r="P2208" s="8">
        <f>IF(Sales[[#This Row],[Sales Month]]=MAX(Sales[Sales Month]),Sales[[#This Row],[Non-Paying Users]]*Sales[[#This Row],[Upsell $ per Non-Paying User]],0)</f>
        <v>20</v>
      </c>
      <c r="Q2208" t="str" cm="1">
        <f t="array" ref="Q2208">_xlfn.IFS(Sales[[#This Row],[Current Upsell $]]=0,"",Sales[[#This Row],[Current Upsell $]]&gt;=400,"High",Sales[[#This Row],[Current Upsell $]]&gt;=100,"Medium",Sales[[#This Row],[Current Upsell $]]&lt;100,"Low")</f>
        <v>Low</v>
      </c>
      <c r="R2208" t="str">
        <f>IF(Sales[[#This Row],[Current Upsell $]]&gt;0,_xlfn.CONCAT(Sales[[#This Row],[Subscription Type]]," ",Sales[[#This Row],[Upsell Priority]]," ",TEXT(Sales[[#This Row],[Current Upsell $]],"$#,#")),"")</f>
        <v>Basic Low $20</v>
      </c>
    </row>
    <row r="2209" spans="1:18" x14ac:dyDescent="0.25">
      <c r="A2209">
        <v>100379</v>
      </c>
      <c r="B2209" t="s">
        <v>3</v>
      </c>
      <c r="F2209">
        <v>0</v>
      </c>
      <c r="G2209">
        <v>2</v>
      </c>
      <c r="H2209" s="1">
        <v>44348</v>
      </c>
      <c r="I2209" s="1">
        <v>44378</v>
      </c>
      <c r="J2209">
        <v>1</v>
      </c>
      <c r="K2209">
        <v>0</v>
      </c>
      <c r="L2209" s="1">
        <v>44348</v>
      </c>
      <c r="M2209">
        <v>0</v>
      </c>
      <c r="N2209" s="8" cm="1">
        <f t="array" ref="N2209">_xlfn.SWITCH(Sales[[#This Row],[Subscription Type]],"Basic",10,"Premium",10,"Business",25,"Enterprise",27)</f>
        <v>10</v>
      </c>
      <c r="O2209">
        <f>IF(Sales[[#This Row],[Number of Users]]-Sales[[#This Row],[Licenses Bought]]&lt;0,0,Sales[[#This Row],[Number of Users]]-Sales[[#This Row],[Licenses Bought]])</f>
        <v>2</v>
      </c>
      <c r="P2209" s="8">
        <f>IF(Sales[[#This Row],[Sales Month]]=MAX(Sales[Sales Month]),Sales[[#This Row],[Non-Paying Users]]*Sales[[#This Row],[Upsell $ per Non-Paying User]],0)</f>
        <v>20</v>
      </c>
      <c r="Q2209" t="str" cm="1">
        <f t="array" ref="Q2209">_xlfn.IFS(Sales[[#This Row],[Current Upsell $]]=0,"",Sales[[#This Row],[Current Upsell $]]&gt;=400,"High",Sales[[#This Row],[Current Upsell $]]&gt;=100,"Medium",Sales[[#This Row],[Current Upsell $]]&lt;100,"Low")</f>
        <v>Low</v>
      </c>
      <c r="R2209" t="str">
        <f>IF(Sales[[#This Row],[Current Upsell $]]&gt;0,_xlfn.CONCAT(Sales[[#This Row],[Subscription Type]]," ",Sales[[#This Row],[Upsell Priority]]," ",TEXT(Sales[[#This Row],[Current Upsell $]],"$#,#")),"")</f>
        <v>Basic Low $20</v>
      </c>
    </row>
    <row r="2210" spans="1:18" x14ac:dyDescent="0.25">
      <c r="A2210">
        <v>100380</v>
      </c>
      <c r="B2210" t="s">
        <v>3</v>
      </c>
      <c r="F2210">
        <v>0</v>
      </c>
      <c r="G2210">
        <v>2</v>
      </c>
      <c r="H2210" s="1">
        <v>44348</v>
      </c>
      <c r="I2210" s="1">
        <v>44378</v>
      </c>
      <c r="J2210">
        <v>1</v>
      </c>
      <c r="K2210">
        <v>0</v>
      </c>
      <c r="L2210" s="1">
        <v>44348</v>
      </c>
      <c r="M2210">
        <v>0</v>
      </c>
      <c r="N2210" s="8" cm="1">
        <f t="array" ref="N2210">_xlfn.SWITCH(Sales[[#This Row],[Subscription Type]],"Basic",10,"Premium",10,"Business",25,"Enterprise",27)</f>
        <v>10</v>
      </c>
      <c r="O2210">
        <f>IF(Sales[[#This Row],[Number of Users]]-Sales[[#This Row],[Licenses Bought]]&lt;0,0,Sales[[#This Row],[Number of Users]]-Sales[[#This Row],[Licenses Bought]])</f>
        <v>2</v>
      </c>
      <c r="P2210" s="8">
        <f>IF(Sales[[#This Row],[Sales Month]]=MAX(Sales[Sales Month]),Sales[[#This Row],[Non-Paying Users]]*Sales[[#This Row],[Upsell $ per Non-Paying User]],0)</f>
        <v>20</v>
      </c>
      <c r="Q2210" t="str" cm="1">
        <f t="array" ref="Q2210">_xlfn.IFS(Sales[[#This Row],[Current Upsell $]]=0,"",Sales[[#This Row],[Current Upsell $]]&gt;=400,"High",Sales[[#This Row],[Current Upsell $]]&gt;=100,"Medium",Sales[[#This Row],[Current Upsell $]]&lt;100,"Low")</f>
        <v>Low</v>
      </c>
      <c r="R2210" t="str">
        <f>IF(Sales[[#This Row],[Current Upsell $]]&gt;0,_xlfn.CONCAT(Sales[[#This Row],[Subscription Type]]," ",Sales[[#This Row],[Upsell Priority]]," ",TEXT(Sales[[#This Row],[Current Upsell $]],"$#,#")),"")</f>
        <v>Basic Low $20</v>
      </c>
    </row>
    <row r="2211" spans="1:18" x14ac:dyDescent="0.25">
      <c r="A2211">
        <v>100381</v>
      </c>
      <c r="B2211" t="s">
        <v>3</v>
      </c>
      <c r="F2211">
        <v>0</v>
      </c>
      <c r="G2211">
        <v>2</v>
      </c>
      <c r="H2211" s="1">
        <v>44348</v>
      </c>
      <c r="I2211" s="1">
        <v>44378</v>
      </c>
      <c r="J2211">
        <v>1</v>
      </c>
      <c r="K2211">
        <v>0</v>
      </c>
      <c r="L2211" s="1">
        <v>44348</v>
      </c>
      <c r="M2211">
        <v>0</v>
      </c>
      <c r="N2211" s="8" cm="1">
        <f t="array" ref="N2211">_xlfn.SWITCH(Sales[[#This Row],[Subscription Type]],"Basic",10,"Premium",10,"Business",25,"Enterprise",27)</f>
        <v>10</v>
      </c>
      <c r="O2211">
        <f>IF(Sales[[#This Row],[Number of Users]]-Sales[[#This Row],[Licenses Bought]]&lt;0,0,Sales[[#This Row],[Number of Users]]-Sales[[#This Row],[Licenses Bought]])</f>
        <v>2</v>
      </c>
      <c r="P2211" s="8">
        <f>IF(Sales[[#This Row],[Sales Month]]=MAX(Sales[Sales Month]),Sales[[#This Row],[Non-Paying Users]]*Sales[[#This Row],[Upsell $ per Non-Paying User]],0)</f>
        <v>20</v>
      </c>
      <c r="Q2211" t="str" cm="1">
        <f t="array" ref="Q2211">_xlfn.IFS(Sales[[#This Row],[Current Upsell $]]=0,"",Sales[[#This Row],[Current Upsell $]]&gt;=400,"High",Sales[[#This Row],[Current Upsell $]]&gt;=100,"Medium",Sales[[#This Row],[Current Upsell $]]&lt;100,"Low")</f>
        <v>Low</v>
      </c>
      <c r="R2211" t="str">
        <f>IF(Sales[[#This Row],[Current Upsell $]]&gt;0,_xlfn.CONCAT(Sales[[#This Row],[Subscription Type]]," ",Sales[[#This Row],[Upsell Priority]]," ",TEXT(Sales[[#This Row],[Current Upsell $]],"$#,#")),"")</f>
        <v>Basic Low $20</v>
      </c>
    </row>
    <row r="2212" spans="1:18" x14ac:dyDescent="0.25">
      <c r="A2212">
        <v>100382</v>
      </c>
      <c r="B2212" t="s">
        <v>3</v>
      </c>
      <c r="F2212">
        <v>0</v>
      </c>
      <c r="G2212">
        <v>2</v>
      </c>
      <c r="H2212" s="1">
        <v>44348</v>
      </c>
      <c r="I2212" s="1">
        <v>44378</v>
      </c>
      <c r="J2212">
        <v>1</v>
      </c>
      <c r="K2212">
        <v>0</v>
      </c>
      <c r="L2212" s="1">
        <v>44348</v>
      </c>
      <c r="M2212">
        <v>0</v>
      </c>
      <c r="N2212" s="8" cm="1">
        <f t="array" ref="N2212">_xlfn.SWITCH(Sales[[#This Row],[Subscription Type]],"Basic",10,"Premium",10,"Business",25,"Enterprise",27)</f>
        <v>10</v>
      </c>
      <c r="O2212">
        <f>IF(Sales[[#This Row],[Number of Users]]-Sales[[#This Row],[Licenses Bought]]&lt;0,0,Sales[[#This Row],[Number of Users]]-Sales[[#This Row],[Licenses Bought]])</f>
        <v>2</v>
      </c>
      <c r="P2212" s="8">
        <f>IF(Sales[[#This Row],[Sales Month]]=MAX(Sales[Sales Month]),Sales[[#This Row],[Non-Paying Users]]*Sales[[#This Row],[Upsell $ per Non-Paying User]],0)</f>
        <v>20</v>
      </c>
      <c r="Q2212" t="str" cm="1">
        <f t="array" ref="Q2212">_xlfn.IFS(Sales[[#This Row],[Current Upsell $]]=0,"",Sales[[#This Row],[Current Upsell $]]&gt;=400,"High",Sales[[#This Row],[Current Upsell $]]&gt;=100,"Medium",Sales[[#This Row],[Current Upsell $]]&lt;100,"Low")</f>
        <v>Low</v>
      </c>
      <c r="R2212" t="str">
        <f>IF(Sales[[#This Row],[Current Upsell $]]&gt;0,_xlfn.CONCAT(Sales[[#This Row],[Subscription Type]]," ",Sales[[#This Row],[Upsell Priority]]," ",TEXT(Sales[[#This Row],[Current Upsell $]],"$#,#")),"")</f>
        <v>Basic Low $20</v>
      </c>
    </row>
    <row r="2213" spans="1:18" x14ac:dyDescent="0.25">
      <c r="A2213">
        <v>100383</v>
      </c>
      <c r="B2213" t="s">
        <v>3</v>
      </c>
      <c r="F2213">
        <v>0</v>
      </c>
      <c r="G2213">
        <v>2</v>
      </c>
      <c r="H2213" s="1">
        <v>44348</v>
      </c>
      <c r="I2213" s="1">
        <v>44378</v>
      </c>
      <c r="J2213">
        <v>1</v>
      </c>
      <c r="K2213">
        <v>0</v>
      </c>
      <c r="L2213" s="1">
        <v>44348</v>
      </c>
      <c r="M2213">
        <v>0</v>
      </c>
      <c r="N2213" s="8" cm="1">
        <f t="array" ref="N2213">_xlfn.SWITCH(Sales[[#This Row],[Subscription Type]],"Basic",10,"Premium",10,"Business",25,"Enterprise",27)</f>
        <v>10</v>
      </c>
      <c r="O2213">
        <f>IF(Sales[[#This Row],[Number of Users]]-Sales[[#This Row],[Licenses Bought]]&lt;0,0,Sales[[#This Row],[Number of Users]]-Sales[[#This Row],[Licenses Bought]])</f>
        <v>2</v>
      </c>
      <c r="P2213" s="8">
        <f>IF(Sales[[#This Row],[Sales Month]]=MAX(Sales[Sales Month]),Sales[[#This Row],[Non-Paying Users]]*Sales[[#This Row],[Upsell $ per Non-Paying User]],0)</f>
        <v>20</v>
      </c>
      <c r="Q2213" t="str" cm="1">
        <f t="array" ref="Q2213">_xlfn.IFS(Sales[[#This Row],[Current Upsell $]]=0,"",Sales[[#This Row],[Current Upsell $]]&gt;=400,"High",Sales[[#This Row],[Current Upsell $]]&gt;=100,"Medium",Sales[[#This Row],[Current Upsell $]]&lt;100,"Low")</f>
        <v>Low</v>
      </c>
      <c r="R2213" t="str">
        <f>IF(Sales[[#This Row],[Current Upsell $]]&gt;0,_xlfn.CONCAT(Sales[[#This Row],[Subscription Type]]," ",Sales[[#This Row],[Upsell Priority]]," ",TEXT(Sales[[#This Row],[Current Upsell $]],"$#,#")),"")</f>
        <v>Basic Low $20</v>
      </c>
    </row>
    <row r="2214" spans="1:18" x14ac:dyDescent="0.25">
      <c r="A2214">
        <v>100384</v>
      </c>
      <c r="B2214" t="s">
        <v>3</v>
      </c>
      <c r="F2214">
        <v>0</v>
      </c>
      <c r="G2214">
        <v>2</v>
      </c>
      <c r="H2214" s="1">
        <v>44348</v>
      </c>
      <c r="I2214" s="1">
        <v>44378</v>
      </c>
      <c r="J2214">
        <v>1</v>
      </c>
      <c r="K2214">
        <v>0</v>
      </c>
      <c r="L2214" s="1">
        <v>44348</v>
      </c>
      <c r="M2214">
        <v>0</v>
      </c>
      <c r="N2214" s="8" cm="1">
        <f t="array" ref="N2214">_xlfn.SWITCH(Sales[[#This Row],[Subscription Type]],"Basic",10,"Premium",10,"Business",25,"Enterprise",27)</f>
        <v>10</v>
      </c>
      <c r="O2214">
        <f>IF(Sales[[#This Row],[Number of Users]]-Sales[[#This Row],[Licenses Bought]]&lt;0,0,Sales[[#This Row],[Number of Users]]-Sales[[#This Row],[Licenses Bought]])</f>
        <v>2</v>
      </c>
      <c r="P2214" s="8">
        <f>IF(Sales[[#This Row],[Sales Month]]=MAX(Sales[Sales Month]),Sales[[#This Row],[Non-Paying Users]]*Sales[[#This Row],[Upsell $ per Non-Paying User]],0)</f>
        <v>20</v>
      </c>
      <c r="Q2214" t="str" cm="1">
        <f t="array" ref="Q2214">_xlfn.IFS(Sales[[#This Row],[Current Upsell $]]=0,"",Sales[[#This Row],[Current Upsell $]]&gt;=400,"High",Sales[[#This Row],[Current Upsell $]]&gt;=100,"Medium",Sales[[#This Row],[Current Upsell $]]&lt;100,"Low")</f>
        <v>Low</v>
      </c>
      <c r="R2214" t="str">
        <f>IF(Sales[[#This Row],[Current Upsell $]]&gt;0,_xlfn.CONCAT(Sales[[#This Row],[Subscription Type]]," ",Sales[[#This Row],[Upsell Priority]]," ",TEXT(Sales[[#This Row],[Current Upsell $]],"$#,#")),"")</f>
        <v>Basic Low $20</v>
      </c>
    </row>
    <row r="2215" spans="1:18" x14ac:dyDescent="0.25">
      <c r="A2215">
        <v>100385</v>
      </c>
      <c r="B2215" t="s">
        <v>3</v>
      </c>
      <c r="F2215">
        <v>0</v>
      </c>
      <c r="G2215">
        <v>2</v>
      </c>
      <c r="H2215" s="1">
        <v>44348</v>
      </c>
      <c r="I2215" s="1">
        <v>44378</v>
      </c>
      <c r="J2215">
        <v>1</v>
      </c>
      <c r="K2215">
        <v>0</v>
      </c>
      <c r="L2215" s="1">
        <v>44348</v>
      </c>
      <c r="M2215">
        <v>0</v>
      </c>
      <c r="N2215" s="8" cm="1">
        <f t="array" ref="N2215">_xlfn.SWITCH(Sales[[#This Row],[Subscription Type]],"Basic",10,"Premium",10,"Business",25,"Enterprise",27)</f>
        <v>10</v>
      </c>
      <c r="O2215">
        <f>IF(Sales[[#This Row],[Number of Users]]-Sales[[#This Row],[Licenses Bought]]&lt;0,0,Sales[[#This Row],[Number of Users]]-Sales[[#This Row],[Licenses Bought]])</f>
        <v>2</v>
      </c>
      <c r="P2215" s="8">
        <f>IF(Sales[[#This Row],[Sales Month]]=MAX(Sales[Sales Month]),Sales[[#This Row],[Non-Paying Users]]*Sales[[#This Row],[Upsell $ per Non-Paying User]],0)</f>
        <v>20</v>
      </c>
      <c r="Q2215" t="str" cm="1">
        <f t="array" ref="Q2215">_xlfn.IFS(Sales[[#This Row],[Current Upsell $]]=0,"",Sales[[#This Row],[Current Upsell $]]&gt;=400,"High",Sales[[#This Row],[Current Upsell $]]&gt;=100,"Medium",Sales[[#This Row],[Current Upsell $]]&lt;100,"Low")</f>
        <v>Low</v>
      </c>
      <c r="R2215" t="str">
        <f>IF(Sales[[#This Row],[Current Upsell $]]&gt;0,_xlfn.CONCAT(Sales[[#This Row],[Subscription Type]]," ",Sales[[#This Row],[Upsell Priority]]," ",TEXT(Sales[[#This Row],[Current Upsell $]],"$#,#")),"")</f>
        <v>Basic Low $20</v>
      </c>
    </row>
    <row r="2216" spans="1:18" x14ac:dyDescent="0.25">
      <c r="A2216">
        <v>100386</v>
      </c>
      <c r="B2216" t="s">
        <v>3</v>
      </c>
      <c r="F2216">
        <v>0</v>
      </c>
      <c r="G2216">
        <v>1</v>
      </c>
      <c r="H2216" s="1">
        <v>44348</v>
      </c>
      <c r="I2216" s="1">
        <v>44378</v>
      </c>
      <c r="J2216">
        <v>1</v>
      </c>
      <c r="K2216">
        <v>0</v>
      </c>
      <c r="L2216" s="1">
        <v>44348</v>
      </c>
      <c r="M2216">
        <v>0</v>
      </c>
      <c r="N2216" s="8" cm="1">
        <f t="array" ref="N2216">_xlfn.SWITCH(Sales[[#This Row],[Subscription Type]],"Basic",10,"Premium",10,"Business",25,"Enterprise",27)</f>
        <v>10</v>
      </c>
      <c r="O2216">
        <f>IF(Sales[[#This Row],[Number of Users]]-Sales[[#This Row],[Licenses Bought]]&lt;0,0,Sales[[#This Row],[Number of Users]]-Sales[[#This Row],[Licenses Bought]])</f>
        <v>1</v>
      </c>
      <c r="P2216" s="8">
        <f>IF(Sales[[#This Row],[Sales Month]]=MAX(Sales[Sales Month]),Sales[[#This Row],[Non-Paying Users]]*Sales[[#This Row],[Upsell $ per Non-Paying User]],0)</f>
        <v>10</v>
      </c>
      <c r="Q2216" t="str" cm="1">
        <f t="array" ref="Q2216">_xlfn.IFS(Sales[[#This Row],[Current Upsell $]]=0,"",Sales[[#This Row],[Current Upsell $]]&gt;=400,"High",Sales[[#This Row],[Current Upsell $]]&gt;=100,"Medium",Sales[[#This Row],[Current Upsell $]]&lt;100,"Low")</f>
        <v>Low</v>
      </c>
      <c r="R2216" t="str">
        <f>IF(Sales[[#This Row],[Current Upsell $]]&gt;0,_xlfn.CONCAT(Sales[[#This Row],[Subscription Type]]," ",Sales[[#This Row],[Upsell Priority]]," ",TEXT(Sales[[#This Row],[Current Upsell $]],"$#,#")),"")</f>
        <v>Basic Low $10</v>
      </c>
    </row>
    <row r="2217" spans="1:18" x14ac:dyDescent="0.25">
      <c r="A2217">
        <v>100387</v>
      </c>
      <c r="B2217" t="s">
        <v>3</v>
      </c>
      <c r="F2217">
        <v>0</v>
      </c>
      <c r="G2217">
        <v>2</v>
      </c>
      <c r="H2217" s="1">
        <v>44348</v>
      </c>
      <c r="I2217" s="1">
        <v>44378</v>
      </c>
      <c r="J2217">
        <v>1</v>
      </c>
      <c r="K2217">
        <v>0</v>
      </c>
      <c r="L2217" s="1">
        <v>44348</v>
      </c>
      <c r="M2217">
        <v>0</v>
      </c>
      <c r="N2217" s="8" cm="1">
        <f t="array" ref="N2217">_xlfn.SWITCH(Sales[[#This Row],[Subscription Type]],"Basic",10,"Premium",10,"Business",25,"Enterprise",27)</f>
        <v>10</v>
      </c>
      <c r="O2217">
        <f>IF(Sales[[#This Row],[Number of Users]]-Sales[[#This Row],[Licenses Bought]]&lt;0,0,Sales[[#This Row],[Number of Users]]-Sales[[#This Row],[Licenses Bought]])</f>
        <v>2</v>
      </c>
      <c r="P2217" s="8">
        <f>IF(Sales[[#This Row],[Sales Month]]=MAX(Sales[Sales Month]),Sales[[#This Row],[Non-Paying Users]]*Sales[[#This Row],[Upsell $ per Non-Paying User]],0)</f>
        <v>20</v>
      </c>
      <c r="Q2217" t="str" cm="1">
        <f t="array" ref="Q2217">_xlfn.IFS(Sales[[#This Row],[Current Upsell $]]=0,"",Sales[[#This Row],[Current Upsell $]]&gt;=400,"High",Sales[[#This Row],[Current Upsell $]]&gt;=100,"Medium",Sales[[#This Row],[Current Upsell $]]&lt;100,"Low")</f>
        <v>Low</v>
      </c>
      <c r="R2217" t="str">
        <f>IF(Sales[[#This Row],[Current Upsell $]]&gt;0,_xlfn.CONCAT(Sales[[#This Row],[Subscription Type]]," ",Sales[[#This Row],[Upsell Priority]]," ",TEXT(Sales[[#This Row],[Current Upsell $]],"$#,#")),"")</f>
        <v>Basic Low $20</v>
      </c>
    </row>
    <row r="2218" spans="1:18" x14ac:dyDescent="0.25">
      <c r="A2218">
        <v>100388</v>
      </c>
      <c r="B2218" t="s">
        <v>3</v>
      </c>
      <c r="F2218">
        <v>0</v>
      </c>
      <c r="G2218">
        <v>2</v>
      </c>
      <c r="H2218" s="1">
        <v>44348</v>
      </c>
      <c r="I2218" s="1">
        <v>44378</v>
      </c>
      <c r="J2218">
        <v>1</v>
      </c>
      <c r="K2218">
        <v>0</v>
      </c>
      <c r="L2218" s="1">
        <v>44348</v>
      </c>
      <c r="M2218">
        <v>0</v>
      </c>
      <c r="N2218" s="8" cm="1">
        <f t="array" ref="N2218">_xlfn.SWITCH(Sales[[#This Row],[Subscription Type]],"Basic",10,"Premium",10,"Business",25,"Enterprise",27)</f>
        <v>10</v>
      </c>
      <c r="O2218">
        <f>IF(Sales[[#This Row],[Number of Users]]-Sales[[#This Row],[Licenses Bought]]&lt;0,0,Sales[[#This Row],[Number of Users]]-Sales[[#This Row],[Licenses Bought]])</f>
        <v>2</v>
      </c>
      <c r="P2218" s="8">
        <f>IF(Sales[[#This Row],[Sales Month]]=MAX(Sales[Sales Month]),Sales[[#This Row],[Non-Paying Users]]*Sales[[#This Row],[Upsell $ per Non-Paying User]],0)</f>
        <v>20</v>
      </c>
      <c r="Q2218" t="str" cm="1">
        <f t="array" ref="Q2218">_xlfn.IFS(Sales[[#This Row],[Current Upsell $]]=0,"",Sales[[#This Row],[Current Upsell $]]&gt;=400,"High",Sales[[#This Row],[Current Upsell $]]&gt;=100,"Medium",Sales[[#This Row],[Current Upsell $]]&lt;100,"Low")</f>
        <v>Low</v>
      </c>
      <c r="R2218" t="str">
        <f>IF(Sales[[#This Row],[Current Upsell $]]&gt;0,_xlfn.CONCAT(Sales[[#This Row],[Subscription Type]]," ",Sales[[#This Row],[Upsell Priority]]," ",TEXT(Sales[[#This Row],[Current Upsell $]],"$#,#")),"")</f>
        <v>Basic Low $20</v>
      </c>
    </row>
    <row r="2219" spans="1:18" x14ac:dyDescent="0.25">
      <c r="A2219">
        <v>100389</v>
      </c>
      <c r="B2219" t="s">
        <v>3</v>
      </c>
      <c r="F2219">
        <v>0</v>
      </c>
      <c r="G2219">
        <v>2</v>
      </c>
      <c r="H2219" s="1">
        <v>44348</v>
      </c>
      <c r="I2219" s="1">
        <v>44378</v>
      </c>
      <c r="J2219">
        <v>1</v>
      </c>
      <c r="K2219">
        <v>0</v>
      </c>
      <c r="L2219" s="1">
        <v>44348</v>
      </c>
      <c r="M2219">
        <v>0</v>
      </c>
      <c r="N2219" s="8" cm="1">
        <f t="array" ref="N2219">_xlfn.SWITCH(Sales[[#This Row],[Subscription Type]],"Basic",10,"Premium",10,"Business",25,"Enterprise",27)</f>
        <v>10</v>
      </c>
      <c r="O2219">
        <f>IF(Sales[[#This Row],[Number of Users]]-Sales[[#This Row],[Licenses Bought]]&lt;0,0,Sales[[#This Row],[Number of Users]]-Sales[[#This Row],[Licenses Bought]])</f>
        <v>2</v>
      </c>
      <c r="P2219" s="8">
        <f>IF(Sales[[#This Row],[Sales Month]]=MAX(Sales[Sales Month]),Sales[[#This Row],[Non-Paying Users]]*Sales[[#This Row],[Upsell $ per Non-Paying User]],0)</f>
        <v>20</v>
      </c>
      <c r="Q2219" t="str" cm="1">
        <f t="array" ref="Q2219">_xlfn.IFS(Sales[[#This Row],[Current Upsell $]]=0,"",Sales[[#This Row],[Current Upsell $]]&gt;=400,"High",Sales[[#This Row],[Current Upsell $]]&gt;=100,"Medium",Sales[[#This Row],[Current Upsell $]]&lt;100,"Low")</f>
        <v>Low</v>
      </c>
      <c r="R2219" t="str">
        <f>IF(Sales[[#This Row],[Current Upsell $]]&gt;0,_xlfn.CONCAT(Sales[[#This Row],[Subscription Type]]," ",Sales[[#This Row],[Upsell Priority]]," ",TEXT(Sales[[#This Row],[Current Upsell $]],"$#,#")),"")</f>
        <v>Basic Low $20</v>
      </c>
    </row>
    <row r="2220" spans="1:18" x14ac:dyDescent="0.25">
      <c r="A2220">
        <v>100390</v>
      </c>
      <c r="B2220" t="s">
        <v>3</v>
      </c>
      <c r="D2220" s="1"/>
      <c r="E2220" s="1"/>
      <c r="F2220">
        <v>0</v>
      </c>
      <c r="G2220">
        <v>2</v>
      </c>
      <c r="H2220" s="1">
        <v>44348</v>
      </c>
      <c r="I2220" s="1">
        <v>44378</v>
      </c>
      <c r="J2220">
        <v>1</v>
      </c>
      <c r="K2220">
        <v>0</v>
      </c>
      <c r="L2220" s="1">
        <v>44348</v>
      </c>
      <c r="M2220">
        <v>0</v>
      </c>
      <c r="N2220" s="8" cm="1">
        <f t="array" ref="N2220">_xlfn.SWITCH(Sales[[#This Row],[Subscription Type]],"Basic",10,"Premium",10,"Business",25,"Enterprise",27)</f>
        <v>10</v>
      </c>
      <c r="O2220">
        <f>IF(Sales[[#This Row],[Number of Users]]-Sales[[#This Row],[Licenses Bought]]&lt;0,0,Sales[[#This Row],[Number of Users]]-Sales[[#This Row],[Licenses Bought]])</f>
        <v>2</v>
      </c>
      <c r="P2220" s="8">
        <f>IF(Sales[[#This Row],[Sales Month]]=MAX(Sales[Sales Month]),Sales[[#This Row],[Non-Paying Users]]*Sales[[#This Row],[Upsell $ per Non-Paying User]],0)</f>
        <v>20</v>
      </c>
      <c r="Q2220" t="str" cm="1">
        <f t="array" ref="Q2220">_xlfn.IFS(Sales[[#This Row],[Current Upsell $]]=0,"",Sales[[#This Row],[Current Upsell $]]&gt;=400,"High",Sales[[#This Row],[Current Upsell $]]&gt;=100,"Medium",Sales[[#This Row],[Current Upsell $]]&lt;100,"Low")</f>
        <v>Low</v>
      </c>
      <c r="R2220" t="str">
        <f>IF(Sales[[#This Row],[Current Upsell $]]&gt;0,_xlfn.CONCAT(Sales[[#This Row],[Subscription Type]]," ",Sales[[#This Row],[Upsell Priority]]," ",TEXT(Sales[[#This Row],[Current Upsell $]],"$#,#")),"")</f>
        <v>Basic Low $20</v>
      </c>
    </row>
    <row r="2221" spans="1:18" x14ac:dyDescent="0.25">
      <c r="A2221">
        <v>100391</v>
      </c>
      <c r="B2221" t="s">
        <v>3</v>
      </c>
      <c r="D2221" s="1"/>
      <c r="E2221" s="1"/>
      <c r="F2221">
        <v>0</v>
      </c>
      <c r="G2221">
        <v>1</v>
      </c>
      <c r="H2221" s="1">
        <v>44348</v>
      </c>
      <c r="I2221" s="1">
        <v>44378</v>
      </c>
      <c r="J2221">
        <v>1</v>
      </c>
      <c r="K2221">
        <v>0</v>
      </c>
      <c r="L2221" s="1">
        <v>44348</v>
      </c>
      <c r="M2221">
        <v>0</v>
      </c>
      <c r="N2221" s="8" cm="1">
        <f t="array" ref="N2221">_xlfn.SWITCH(Sales[[#This Row],[Subscription Type]],"Basic",10,"Premium",10,"Business",25,"Enterprise",27)</f>
        <v>10</v>
      </c>
      <c r="O2221">
        <f>IF(Sales[[#This Row],[Number of Users]]-Sales[[#This Row],[Licenses Bought]]&lt;0,0,Sales[[#This Row],[Number of Users]]-Sales[[#This Row],[Licenses Bought]])</f>
        <v>1</v>
      </c>
      <c r="P2221" s="8">
        <f>IF(Sales[[#This Row],[Sales Month]]=MAX(Sales[Sales Month]),Sales[[#This Row],[Non-Paying Users]]*Sales[[#This Row],[Upsell $ per Non-Paying User]],0)</f>
        <v>10</v>
      </c>
      <c r="Q2221" t="str" cm="1">
        <f t="array" ref="Q2221">_xlfn.IFS(Sales[[#This Row],[Current Upsell $]]=0,"",Sales[[#This Row],[Current Upsell $]]&gt;=400,"High",Sales[[#This Row],[Current Upsell $]]&gt;=100,"Medium",Sales[[#This Row],[Current Upsell $]]&lt;100,"Low")</f>
        <v>Low</v>
      </c>
      <c r="R2221" t="str">
        <f>IF(Sales[[#This Row],[Current Upsell $]]&gt;0,_xlfn.CONCAT(Sales[[#This Row],[Subscription Type]]," ",Sales[[#This Row],[Upsell Priority]]," ",TEXT(Sales[[#This Row],[Current Upsell $]],"$#,#")),"")</f>
        <v>Basic Low $10</v>
      </c>
    </row>
    <row r="2222" spans="1:18" x14ac:dyDescent="0.25">
      <c r="K2222" s="1"/>
      <c r="L2222" s="1"/>
      <c r="O2222" s="1"/>
    </row>
    <row r="2223" spans="1:18" x14ac:dyDescent="0.25">
      <c r="K2223" s="1"/>
      <c r="L2223" s="1"/>
      <c r="O2223" s="1"/>
    </row>
    <row r="2224" spans="1:18"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sortState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F25" sqref="F25"/>
    </sheetView>
  </sheetViews>
  <sheetFormatPr defaultRowHeight="15.75" x14ac:dyDescent="0.25"/>
  <cols>
    <col min="1" max="1" width="13.375" customWidth="1"/>
    <col min="2" max="2" width="21.75" bestFit="1" customWidth="1"/>
    <col min="3" max="3" width="13.25" style="7" bestFit="1" customWidth="1"/>
    <col min="4" max="4" width="23.25" style="7" bestFit="1" customWidth="1"/>
    <col min="5" max="5" width="22.5" bestFit="1" customWidth="1"/>
    <col min="6" max="6" width="18.125" bestFit="1" customWidth="1"/>
    <col min="7" max="7" width="21" style="9" bestFit="1" customWidth="1"/>
    <col min="8" max="8" width="16.75" style="7" bestFit="1" customWidth="1"/>
    <col min="9" max="9" width="16.125" style="7" bestFit="1" customWidth="1"/>
    <col min="10" max="10" width="17.75" style="7" bestFit="1" customWidth="1"/>
    <col min="11" max="11" width="22" style="10" bestFit="1" customWidth="1"/>
  </cols>
  <sheetData>
    <row r="1" spans="1:11" x14ac:dyDescent="0.25">
      <c r="A1" t="s">
        <v>12</v>
      </c>
      <c r="B1" t="s">
        <v>30</v>
      </c>
      <c r="C1" s="7" t="s">
        <v>31</v>
      </c>
      <c r="D1" s="7" t="s">
        <v>32</v>
      </c>
      <c r="E1" t="s">
        <v>33</v>
      </c>
      <c r="F1" t="s">
        <v>34</v>
      </c>
      <c r="G1" s="9" t="s">
        <v>35</v>
      </c>
      <c r="H1" s="7" t="s">
        <v>36</v>
      </c>
      <c r="I1" s="7" t="s">
        <v>37</v>
      </c>
      <c r="J1" s="7" t="s">
        <v>38</v>
      </c>
      <c r="K1" s="10" t="s">
        <v>39</v>
      </c>
    </row>
    <row r="2" spans="1:11" x14ac:dyDescent="0.25">
      <c r="A2" s="1">
        <v>44013</v>
      </c>
      <c r="B2">
        <f>COUNTIF(Sales[Sales Month],Sales_Trends[[#This Row],[Sales Month]])</f>
        <v>76</v>
      </c>
      <c r="C2" s="7">
        <f>SUMIF(Sales[Sales Month],Sales_Trends[[#This Row],[Sales Month]],Sales[Sales Amount])</f>
        <v>28325</v>
      </c>
      <c r="D2" s="7">
        <f>AVERAGEIF(Sales[Sales Month],Sales_Trends[[#This Row],[Sales Month]],Sales[Sales Amount])</f>
        <v>372.69736842105266</v>
      </c>
      <c r="E2">
        <f>COUNTIFS(Sales[Sales Month],Sales_Trends[[#This Row],[Sales Month]],Sales[Subscription Type],"Basic")</f>
        <v>47</v>
      </c>
      <c r="F2">
        <f>COUNTIFS(Sales[Sales Month],Sales_Trends[[#This Row],[Sales Month]],Sales[Subscription Type],"&lt;&gt;Basic")</f>
        <v>29</v>
      </c>
      <c r="G2" s="9">
        <f>Sales_Trends[[#This Row],[Non-Paying Customers]]/Sales_Trends[[#This Row],[Paying Customers]]</f>
        <v>1.6206896551724137</v>
      </c>
      <c r="H2" s="7">
        <f>SUMIFS(Sales[Sales Amount],Sales[Sales Month],Sales_Trends[[#This Row],[Sales Month]],Sales[Subscription Type],"Premium")</f>
        <v>2200</v>
      </c>
      <c r="I2" s="7">
        <f>SUMIFS(Sales[Sales Amount],Sales[Sales Month],Sales_Trends[[#This Row],[Sales Month]],Sales[Subscription Type],"Business")</f>
        <v>8125</v>
      </c>
      <c r="J2" s="7">
        <f>SUMIFS(Sales[Sales Amount],Sales[Sales Month],Sales_Trends[[#This Row],[Sales Month]],Sales[Subscription Type],"Enterprise")</f>
        <v>18000</v>
      </c>
      <c r="K2" s="10">
        <f>Sales_Trends[[#This Row],[Enterprise Sales]]/Sales_Trends[[#This Row],[Total Sales]]</f>
        <v>0.63548102383053839</v>
      </c>
    </row>
    <row r="3" spans="1:11" x14ac:dyDescent="0.25">
      <c r="A3" s="1">
        <v>44044</v>
      </c>
      <c r="B3">
        <f>COUNTIF(Sales[Sales Month],Sales_Trends[[#This Row],[Sales Month]])</f>
        <v>104</v>
      </c>
      <c r="C3" s="7">
        <f>SUMIF(Sales[Sales Month],Sales_Trends[[#This Row],[Sales Month]],Sales[Sales Amount])</f>
        <v>32005</v>
      </c>
      <c r="D3" s="7">
        <f>AVERAGEIF(Sales[Sales Month],Sales_Trends[[#This Row],[Sales Month]],Sales[Sales Amount])</f>
        <v>307.74038461538464</v>
      </c>
      <c r="E3">
        <f>COUNTIFS(Sales[Sales Month],Sales_Trends[[#This Row],[Sales Month]],Sales[Subscription Type],"Basic")</f>
        <v>63</v>
      </c>
      <c r="F3">
        <f>COUNTIFS(Sales[Sales Month],Sales_Trends[[#This Row],[Sales Month]],Sales[Subscription Type],"&lt;&gt;Basic")</f>
        <v>41</v>
      </c>
      <c r="G3" s="9">
        <f>Sales_Trends[[#This Row],[Non-Paying Customers]]/Sales_Trends[[#This Row],[Paying Customers]]</f>
        <v>1.5365853658536586</v>
      </c>
      <c r="H3" s="7">
        <f>SUMIFS(Sales[Sales Amount],Sales[Sales Month],Sales_Trends[[#This Row],[Sales Month]],Sales[Subscription Type],"Premium")</f>
        <v>3530</v>
      </c>
      <c r="I3" s="7">
        <f>SUMIFS(Sales[Sales Amount],Sales[Sales Month],Sales_Trends[[#This Row],[Sales Month]],Sales[Subscription Type],"Business")</f>
        <v>10475</v>
      </c>
      <c r="J3" s="7">
        <f>SUMIFS(Sales[Sales Amount],Sales[Sales Month],Sales_Trends[[#This Row],[Sales Month]],Sales[Subscription Type],"Enterprise")</f>
        <v>18000</v>
      </c>
      <c r="K3" s="10">
        <f>Sales_Trends[[#This Row],[Enterprise Sales]]/Sales_Trends[[#This Row],[Total Sales]]</f>
        <v>0.56241212310576472</v>
      </c>
    </row>
    <row r="4" spans="1:11" x14ac:dyDescent="0.25">
      <c r="A4" s="1">
        <v>44075</v>
      </c>
      <c r="B4">
        <f>COUNTIF(Sales[Sales Month],Sales_Trends[[#This Row],[Sales Month]])</f>
        <v>137</v>
      </c>
      <c r="C4" s="7">
        <f>SUMIF(Sales[Sales Month],Sales_Trends[[#This Row],[Sales Month]],Sales[Sales Amount])</f>
        <v>34890</v>
      </c>
      <c r="D4" s="7">
        <f>AVERAGEIF(Sales[Sales Month],Sales_Trends[[#This Row],[Sales Month]],Sales[Sales Amount])</f>
        <v>254.67153284671534</v>
      </c>
      <c r="E4">
        <f>COUNTIFS(Sales[Sales Month],Sales_Trends[[#This Row],[Sales Month]],Sales[Subscription Type],"Basic")</f>
        <v>83</v>
      </c>
      <c r="F4">
        <f>COUNTIFS(Sales[Sales Month],Sales_Trends[[#This Row],[Sales Month]],Sales[Subscription Type],"&lt;&gt;Basic")</f>
        <v>54</v>
      </c>
      <c r="G4" s="9">
        <f>Sales_Trends[[#This Row],[Non-Paying Customers]]/Sales_Trends[[#This Row],[Paying Customers]]</f>
        <v>1.537037037037037</v>
      </c>
      <c r="H4" s="7">
        <f>SUMIFS(Sales[Sales Amount],Sales[Sales Month],Sales_Trends[[#This Row],[Sales Month]],Sales[Subscription Type],"Premium")</f>
        <v>5190</v>
      </c>
      <c r="I4" s="7">
        <f>SUMIFS(Sales[Sales Amount],Sales[Sales Month],Sales_Trends[[#This Row],[Sales Month]],Sales[Subscription Type],"Business")</f>
        <v>11700</v>
      </c>
      <c r="J4" s="7">
        <f>SUMIFS(Sales[Sales Amount],Sales[Sales Month],Sales_Trends[[#This Row],[Sales Month]],Sales[Subscription Type],"Enterprise")</f>
        <v>18000</v>
      </c>
      <c r="K4" s="10">
        <f>Sales_Trends[[#This Row],[Enterprise Sales]]/Sales_Trends[[#This Row],[Total Sales]]</f>
        <v>0.51590713671539123</v>
      </c>
    </row>
    <row r="5" spans="1:11" x14ac:dyDescent="0.25">
      <c r="A5" s="1">
        <v>44105</v>
      </c>
      <c r="B5">
        <f>COUNTIF(Sales[Sales Month],Sales_Trends[[#This Row],[Sales Month]])</f>
        <v>147</v>
      </c>
      <c r="C5" s="7">
        <f>SUMIF(Sales[Sales Month],Sales_Trends[[#This Row],[Sales Month]],Sales[Sales Amount])</f>
        <v>40615</v>
      </c>
      <c r="D5" s="7">
        <f>AVERAGEIF(Sales[Sales Month],Sales_Trends[[#This Row],[Sales Month]],Sales[Sales Amount])</f>
        <v>276.29251700680271</v>
      </c>
      <c r="E5">
        <f>COUNTIFS(Sales[Sales Month],Sales_Trends[[#This Row],[Sales Month]],Sales[Subscription Type],"Basic")</f>
        <v>70</v>
      </c>
      <c r="F5">
        <f>COUNTIFS(Sales[Sales Month],Sales_Trends[[#This Row],[Sales Month]],Sales[Subscription Type],"&lt;&gt;Basic")</f>
        <v>77</v>
      </c>
      <c r="G5" s="9">
        <f>Sales_Trends[[#This Row],[Non-Paying Customers]]/Sales_Trends[[#This Row],[Paying Customers]]</f>
        <v>0.90909090909090906</v>
      </c>
      <c r="H5" s="7">
        <f>SUMIFS(Sales[Sales Amount],Sales[Sales Month],Sales_Trends[[#This Row],[Sales Month]],Sales[Subscription Type],"Premium")</f>
        <v>6990</v>
      </c>
      <c r="I5" s="7">
        <f>SUMIFS(Sales[Sales Amount],Sales[Sales Month],Sales_Trends[[#This Row],[Sales Month]],Sales[Subscription Type],"Business")</f>
        <v>15625</v>
      </c>
      <c r="J5" s="7">
        <f>SUMIFS(Sales[Sales Amount],Sales[Sales Month],Sales_Trends[[#This Row],[Sales Month]],Sales[Subscription Type],"Enterprise")</f>
        <v>18000</v>
      </c>
      <c r="K5" s="10">
        <f>Sales_Trends[[#This Row],[Enterprise Sales]]/Sales_Trends[[#This Row],[Total Sales]]</f>
        <v>0.44318601501908161</v>
      </c>
    </row>
    <row r="6" spans="1:11" x14ac:dyDescent="0.25">
      <c r="A6" s="1">
        <v>44136</v>
      </c>
      <c r="B6">
        <f>COUNTIF(Sales[Sales Month],Sales_Trends[[#This Row],[Sales Month]])</f>
        <v>146</v>
      </c>
      <c r="C6" s="7">
        <f>SUMIF(Sales[Sales Month],Sales_Trends[[#This Row],[Sales Month]],Sales[Sales Amount])</f>
        <v>46605</v>
      </c>
      <c r="D6" s="7">
        <f>AVERAGEIF(Sales[Sales Month],Sales_Trends[[#This Row],[Sales Month]],Sales[Sales Amount])</f>
        <v>319.21232876712327</v>
      </c>
      <c r="E6">
        <f>COUNTIFS(Sales[Sales Month],Sales_Trends[[#This Row],[Sales Month]],Sales[Subscription Type],"Basic")</f>
        <v>61</v>
      </c>
      <c r="F6">
        <f>COUNTIFS(Sales[Sales Month],Sales_Trends[[#This Row],[Sales Month]],Sales[Subscription Type],"&lt;&gt;Basic")</f>
        <v>85</v>
      </c>
      <c r="G6" s="9">
        <f>Sales_Trends[[#This Row],[Non-Paying Customers]]/Sales_Trends[[#This Row],[Paying Customers]]</f>
        <v>0.71764705882352942</v>
      </c>
      <c r="H6" s="7">
        <f>SUMIFS(Sales[Sales Amount],Sales[Sales Month],Sales_Trends[[#This Row],[Sales Month]],Sales[Subscription Type],"Premium")</f>
        <v>9660</v>
      </c>
      <c r="I6" s="7">
        <f>SUMIFS(Sales[Sales Amount],Sales[Sales Month],Sales_Trends[[#This Row],[Sales Month]],Sales[Subscription Type],"Business")</f>
        <v>17925</v>
      </c>
      <c r="J6" s="7">
        <f>SUMIFS(Sales[Sales Amount],Sales[Sales Month],Sales_Trends[[#This Row],[Sales Month]],Sales[Subscription Type],"Enterprise")</f>
        <v>19020</v>
      </c>
      <c r="K6" s="10">
        <f>Sales_Trends[[#This Row],[Enterprise Sales]]/Sales_Trends[[#This Row],[Total Sales]]</f>
        <v>0.4081107177341487</v>
      </c>
    </row>
    <row r="7" spans="1:11" x14ac:dyDescent="0.25">
      <c r="A7" s="1">
        <v>44166</v>
      </c>
      <c r="B7">
        <f>COUNTIF(Sales[Sales Month],Sales_Trends[[#This Row],[Sales Month]])</f>
        <v>153</v>
      </c>
      <c r="C7" s="7">
        <f>SUMIF(Sales[Sales Month],Sales_Trends[[#This Row],[Sales Month]],Sales[Sales Amount])</f>
        <v>50195</v>
      </c>
      <c r="D7" s="7">
        <f>AVERAGEIF(Sales[Sales Month],Sales_Trends[[#This Row],[Sales Month]],Sales[Sales Amount])</f>
        <v>328.07189542483661</v>
      </c>
      <c r="E7">
        <f>COUNTIFS(Sales[Sales Month],Sales_Trends[[#This Row],[Sales Month]],Sales[Subscription Type],"Basic")</f>
        <v>62</v>
      </c>
      <c r="F7">
        <f>COUNTIFS(Sales[Sales Month],Sales_Trends[[#This Row],[Sales Month]],Sales[Subscription Type],"&lt;&gt;Basic")</f>
        <v>91</v>
      </c>
      <c r="G7" s="9">
        <f>Sales_Trends[[#This Row],[Non-Paying Customers]]/Sales_Trends[[#This Row],[Paying Customers]]</f>
        <v>0.68131868131868134</v>
      </c>
      <c r="H7" s="7">
        <f>SUMIFS(Sales[Sales Amount],Sales[Sales Month],Sales_Trends[[#This Row],[Sales Month]],Sales[Subscription Type],"Premium")</f>
        <v>11180</v>
      </c>
      <c r="I7" s="7">
        <f>SUMIFS(Sales[Sales Amount],Sales[Sales Month],Sales_Trends[[#This Row],[Sales Month]],Sales[Subscription Type],"Business")</f>
        <v>19275</v>
      </c>
      <c r="J7" s="7">
        <f>SUMIFS(Sales[Sales Amount],Sales[Sales Month],Sales_Trends[[#This Row],[Sales Month]],Sales[Subscription Type],"Enterprise")</f>
        <v>19740</v>
      </c>
      <c r="K7" s="10">
        <f>Sales_Trends[[#This Row],[Enterprise Sales]]/Sales_Trends[[#This Row],[Total Sales]]</f>
        <v>0.39326626157983863</v>
      </c>
    </row>
    <row r="8" spans="1:11" x14ac:dyDescent="0.25">
      <c r="A8" s="1">
        <v>44197</v>
      </c>
      <c r="B8">
        <f>COUNTIF(Sales[Sales Month],Sales_Trends[[#This Row],[Sales Month]])</f>
        <v>158</v>
      </c>
      <c r="C8" s="7">
        <f>SUMIF(Sales[Sales Month],Sales_Trends[[#This Row],[Sales Month]],Sales[Sales Amount])</f>
        <v>51605</v>
      </c>
      <c r="D8" s="7">
        <f>AVERAGEIF(Sales[Sales Month],Sales_Trends[[#This Row],[Sales Month]],Sales[Sales Amount])</f>
        <v>326.61392405063293</v>
      </c>
      <c r="E8">
        <f>COUNTIFS(Sales[Sales Month],Sales_Trends[[#This Row],[Sales Month]],Sales[Subscription Type],"Basic")</f>
        <v>63</v>
      </c>
      <c r="F8">
        <f>COUNTIFS(Sales[Sales Month],Sales_Trends[[#This Row],[Sales Month]],Sales[Subscription Type],"&lt;&gt;Basic")</f>
        <v>95</v>
      </c>
      <c r="G8" s="9">
        <f>Sales_Trends[[#This Row],[Non-Paying Customers]]/Sales_Trends[[#This Row],[Paying Customers]]</f>
        <v>0.66315789473684206</v>
      </c>
      <c r="H8" s="7">
        <f>SUMIFS(Sales[Sales Amount],Sales[Sales Month],Sales_Trends[[#This Row],[Sales Month]],Sales[Subscription Type],"Premium")</f>
        <v>11750</v>
      </c>
      <c r="I8" s="7">
        <f>SUMIFS(Sales[Sales Amount],Sales[Sales Month],Sales_Trends[[#This Row],[Sales Month]],Sales[Subscription Type],"Business")</f>
        <v>19125</v>
      </c>
      <c r="J8" s="7">
        <f>SUMIFS(Sales[Sales Amount],Sales[Sales Month],Sales_Trends[[#This Row],[Sales Month]],Sales[Subscription Type],"Enterprise")</f>
        <v>20730</v>
      </c>
      <c r="K8" s="10">
        <f>Sales_Trends[[#This Row],[Enterprise Sales]]/Sales_Trends[[#This Row],[Total Sales]]</f>
        <v>0.40170526111810873</v>
      </c>
    </row>
    <row r="9" spans="1:11" x14ac:dyDescent="0.25">
      <c r="A9" s="1">
        <v>44228</v>
      </c>
      <c r="B9">
        <f>COUNTIF(Sales[Sales Month],Sales_Trends[[#This Row],[Sales Month]])</f>
        <v>175</v>
      </c>
      <c r="C9" s="7">
        <f>SUMIF(Sales[Sales Month],Sales_Trends[[#This Row],[Sales Month]],Sales[Sales Amount])</f>
        <v>54120</v>
      </c>
      <c r="D9" s="7">
        <f>AVERAGEIF(Sales[Sales Month],Sales_Trends[[#This Row],[Sales Month]],Sales[Sales Amount])</f>
        <v>309.25714285714287</v>
      </c>
      <c r="E9">
        <f>COUNTIFS(Sales[Sales Month],Sales_Trends[[#This Row],[Sales Month]],Sales[Subscription Type],"Basic")</f>
        <v>76</v>
      </c>
      <c r="F9">
        <f>COUNTIFS(Sales[Sales Month],Sales_Trends[[#This Row],[Sales Month]],Sales[Subscription Type],"&lt;&gt;Basic")</f>
        <v>99</v>
      </c>
      <c r="G9" s="9">
        <f>Sales_Trends[[#This Row],[Non-Paying Customers]]/Sales_Trends[[#This Row],[Paying Customers]]</f>
        <v>0.76767676767676762</v>
      </c>
      <c r="H9" s="7">
        <f>SUMIFS(Sales[Sales Amount],Sales[Sales Month],Sales_Trends[[#This Row],[Sales Month]],Sales[Subscription Type],"Premium")</f>
        <v>12520</v>
      </c>
      <c r="I9" s="7">
        <f>SUMIFS(Sales[Sales Amount],Sales[Sales Month],Sales_Trends[[#This Row],[Sales Month]],Sales[Subscription Type],"Business")</f>
        <v>19250</v>
      </c>
      <c r="J9" s="7">
        <f>SUMIFS(Sales[Sales Amount],Sales[Sales Month],Sales_Trends[[#This Row],[Sales Month]],Sales[Subscription Type],"Enterprise")</f>
        <v>22350</v>
      </c>
      <c r="K9" s="10">
        <f>Sales_Trends[[#This Row],[Enterprise Sales]]/Sales_Trends[[#This Row],[Total Sales]]</f>
        <v>0.41297117516629711</v>
      </c>
    </row>
    <row r="10" spans="1:11" x14ac:dyDescent="0.25">
      <c r="A10" s="1">
        <v>44256</v>
      </c>
      <c r="B10">
        <f>COUNTIF(Sales[Sales Month],Sales_Trends[[#This Row],[Sales Month]])</f>
        <v>194</v>
      </c>
      <c r="C10" s="7">
        <f>SUMIF(Sales[Sales Month],Sales_Trends[[#This Row],[Sales Month]],Sales[Sales Amount])</f>
        <v>57040</v>
      </c>
      <c r="D10" s="7">
        <f>AVERAGEIF(Sales[Sales Month],Sales_Trends[[#This Row],[Sales Month]],Sales[Sales Amount])</f>
        <v>294.02061855670104</v>
      </c>
      <c r="E10">
        <f>COUNTIFS(Sales[Sales Month],Sales_Trends[[#This Row],[Sales Month]],Sales[Subscription Type],"Basic")</f>
        <v>78</v>
      </c>
      <c r="F10">
        <f>COUNTIFS(Sales[Sales Month],Sales_Trends[[#This Row],[Sales Month]],Sales[Subscription Type],"&lt;&gt;Basic")</f>
        <v>116</v>
      </c>
      <c r="G10" s="9">
        <f>Sales_Trends[[#This Row],[Non-Paying Customers]]/Sales_Trends[[#This Row],[Paying Customers]]</f>
        <v>0.67241379310344829</v>
      </c>
      <c r="H10" s="7">
        <f>SUMIFS(Sales[Sales Amount],Sales[Sales Month],Sales_Trends[[#This Row],[Sales Month]],Sales[Subscription Type],"Premium")</f>
        <v>14220</v>
      </c>
      <c r="I10" s="7">
        <f>SUMIFS(Sales[Sales Amount],Sales[Sales Month],Sales_Trends[[#This Row],[Sales Month]],Sales[Subscription Type],"Business")</f>
        <v>20500</v>
      </c>
      <c r="J10" s="7">
        <f>SUMIFS(Sales[Sales Amount],Sales[Sales Month],Sales_Trends[[#This Row],[Sales Month]],Sales[Subscription Type],"Enterprise")</f>
        <v>22320</v>
      </c>
      <c r="K10" s="10">
        <f>Sales_Trends[[#This Row],[Enterprise Sales]]/Sales_Trends[[#This Row],[Total Sales]]</f>
        <v>0.39130434782608697</v>
      </c>
    </row>
    <row r="11" spans="1:11" x14ac:dyDescent="0.25">
      <c r="A11" s="1">
        <v>44287</v>
      </c>
      <c r="B11">
        <f>COUNTIF(Sales[Sales Month],Sales_Trends[[#This Row],[Sales Month]])</f>
        <v>208</v>
      </c>
      <c r="C11" s="7">
        <f>SUMIF(Sales[Sales Month],Sales_Trends[[#This Row],[Sales Month]],Sales[Sales Amount])</f>
        <v>63125</v>
      </c>
      <c r="D11" s="7">
        <f>AVERAGEIF(Sales[Sales Month],Sales_Trends[[#This Row],[Sales Month]],Sales[Sales Amount])</f>
        <v>303.48557692307691</v>
      </c>
      <c r="E11">
        <f>COUNTIFS(Sales[Sales Month],Sales_Trends[[#This Row],[Sales Month]],Sales[Subscription Type],"Basic")</f>
        <v>80</v>
      </c>
      <c r="F11">
        <f>COUNTIFS(Sales[Sales Month],Sales_Trends[[#This Row],[Sales Month]],Sales[Subscription Type],"&lt;&gt;Basic")</f>
        <v>128</v>
      </c>
      <c r="G11" s="9">
        <f>Sales_Trends[[#This Row],[Non-Paying Customers]]/Sales_Trends[[#This Row],[Paying Customers]]</f>
        <v>0.625</v>
      </c>
      <c r="H11" s="7">
        <f>SUMIFS(Sales[Sales Amount],Sales[Sales Month],Sales_Trends[[#This Row],[Sales Month]],Sales[Subscription Type],"Premium")</f>
        <v>16750</v>
      </c>
      <c r="I11" s="7">
        <f>SUMIFS(Sales[Sales Amount],Sales[Sales Month],Sales_Trends[[#This Row],[Sales Month]],Sales[Subscription Type],"Business")</f>
        <v>23875</v>
      </c>
      <c r="J11" s="7">
        <f>SUMIFS(Sales[Sales Amount],Sales[Sales Month],Sales_Trends[[#This Row],[Sales Month]],Sales[Subscription Type],"Enterprise")</f>
        <v>22500</v>
      </c>
      <c r="K11" s="10">
        <f>Sales_Trends[[#This Row],[Enterprise Sales]]/Sales_Trends[[#This Row],[Total Sales]]</f>
        <v>0.35643564356435642</v>
      </c>
    </row>
    <row r="12" spans="1:11" x14ac:dyDescent="0.25">
      <c r="A12" s="1">
        <v>44317</v>
      </c>
      <c r="B12">
        <f>COUNTIF(Sales[Sales Month],Sales_Trends[[#This Row],[Sales Month]])</f>
        <v>249</v>
      </c>
      <c r="C12" s="7">
        <f>SUMIF(Sales[Sales Month],Sales_Trends[[#This Row],[Sales Month]],Sales[Sales Amount])</f>
        <v>68155</v>
      </c>
      <c r="D12" s="7">
        <f>AVERAGEIF(Sales[Sales Month],Sales_Trends[[#This Row],[Sales Month]],Sales[Sales Amount])</f>
        <v>273.71485943775099</v>
      </c>
      <c r="E12">
        <f>COUNTIFS(Sales[Sales Month],Sales_Trends[[#This Row],[Sales Month]],Sales[Subscription Type],"Basic")</f>
        <v>106</v>
      </c>
      <c r="F12">
        <f>COUNTIFS(Sales[Sales Month],Sales_Trends[[#This Row],[Sales Month]],Sales[Subscription Type],"&lt;&gt;Basic")</f>
        <v>143</v>
      </c>
      <c r="G12" s="9">
        <f>Sales_Trends[[#This Row],[Non-Paying Customers]]/Sales_Trends[[#This Row],[Paying Customers]]</f>
        <v>0.74125874125874125</v>
      </c>
      <c r="H12" s="7">
        <f>SUMIFS(Sales[Sales Amount],Sales[Sales Month],Sales_Trends[[#This Row],[Sales Month]],Sales[Subscription Type],"Premium")</f>
        <v>19180</v>
      </c>
      <c r="I12" s="7">
        <f>SUMIFS(Sales[Sales Amount],Sales[Sales Month],Sales_Trends[[#This Row],[Sales Month]],Sales[Subscription Type],"Business")</f>
        <v>26325</v>
      </c>
      <c r="J12" s="7">
        <f>SUMIFS(Sales[Sales Amount],Sales[Sales Month],Sales_Trends[[#This Row],[Sales Month]],Sales[Subscription Type],"Enterprise")</f>
        <v>22650</v>
      </c>
      <c r="K12" s="10">
        <f>Sales_Trends[[#This Row],[Enterprise Sales]]/Sales_Trends[[#This Row],[Total Sales]]</f>
        <v>0.33233071674858777</v>
      </c>
    </row>
    <row r="13" spans="1:11" x14ac:dyDescent="0.25">
      <c r="A13" s="1">
        <v>44348</v>
      </c>
      <c r="B13">
        <f>COUNTIF(Sales[Sales Month],Sales_Trends[[#This Row],[Sales Month]])</f>
        <v>307</v>
      </c>
      <c r="C13" s="7">
        <f>SUMIF(Sales[Sales Month],Sales_Trends[[#This Row],[Sales Month]],Sales[Sales Amount])</f>
        <v>80335</v>
      </c>
      <c r="D13" s="7">
        <f>AVERAGEIF(Sales[Sales Month],Sales_Trends[[#This Row],[Sales Month]],Sales[Sales Amount])</f>
        <v>261.67752442996743</v>
      </c>
      <c r="E13">
        <f>COUNTIFS(Sales[Sales Month],Sales_Trends[[#This Row],[Sales Month]],Sales[Subscription Type],"Basic")</f>
        <v>140</v>
      </c>
      <c r="F13">
        <f>COUNTIFS(Sales[Sales Month],Sales_Trends[[#This Row],[Sales Month]],Sales[Subscription Type],"&lt;&gt;Basic")</f>
        <v>167</v>
      </c>
      <c r="G13" s="9">
        <f>Sales_Trends[[#This Row],[Non-Paying Customers]]/Sales_Trends[[#This Row],[Paying Customers]]</f>
        <v>0.83832335329341312</v>
      </c>
      <c r="H13" s="7">
        <f>SUMIFS(Sales[Sales Amount],Sales[Sales Month],Sales_Trends[[#This Row],[Sales Month]],Sales[Subscription Type],"Premium")</f>
        <v>22120</v>
      </c>
      <c r="I13" s="7">
        <f>SUMIFS(Sales[Sales Amount],Sales[Sales Month],Sales_Trends[[#This Row],[Sales Month]],Sales[Subscription Type],"Business")</f>
        <v>27825</v>
      </c>
      <c r="J13" s="7">
        <f>SUMIFS(Sales[Sales Amount],Sales[Sales Month],Sales_Trends[[#This Row],[Sales Month]],Sales[Subscription Type],"Enterprise")</f>
        <v>30390</v>
      </c>
      <c r="K13" s="10">
        <f>Sales_Trends[[#This Row],[Enterprise Sales]]/Sales_Trends[[#This Row],[Total Sales]]</f>
        <v>0.3782909068276592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H13"/>
  <sheetViews>
    <sheetView showGridLines="0" workbookViewId="0">
      <selection activeCell="H11" sqref="H11"/>
    </sheetView>
  </sheetViews>
  <sheetFormatPr defaultRowHeight="15.75" outlineLevelRow="1" outlineLevelCol="1" x14ac:dyDescent="0.25"/>
  <cols>
    <col min="3" max="3" width="6.125" bestFit="1" customWidth="1"/>
    <col min="4" max="6" width="13" bestFit="1" customWidth="1" outlineLevel="1"/>
    <col min="8" max="8" width="11.125" bestFit="1" customWidth="1"/>
  </cols>
  <sheetData>
    <row r="1" spans="2:8" ht="16.5" thickBot="1" x14ac:dyDescent="0.3"/>
    <row r="2" spans="2:8" ht="18.75" x14ac:dyDescent="0.3">
      <c r="B2" s="20" t="s">
        <v>56</v>
      </c>
      <c r="C2" s="20"/>
      <c r="D2" s="25"/>
      <c r="E2" s="25"/>
      <c r="F2" s="25"/>
    </row>
    <row r="3" spans="2:8" ht="18.75" x14ac:dyDescent="0.3">
      <c r="B3" s="19"/>
      <c r="C3" s="19"/>
      <c r="D3" s="26" t="s">
        <v>58</v>
      </c>
      <c r="E3" s="26" t="s">
        <v>53</v>
      </c>
      <c r="F3" s="26" t="s">
        <v>55</v>
      </c>
    </row>
    <row r="4" spans="2:8" ht="33.75" outlineLevel="1" x14ac:dyDescent="0.25">
      <c r="B4" s="22"/>
      <c r="C4" s="22"/>
      <c r="D4" s="16"/>
      <c r="E4" s="28" t="s">
        <v>54</v>
      </c>
      <c r="F4" s="28" t="s">
        <v>54</v>
      </c>
    </row>
    <row r="5" spans="2:8" x14ac:dyDescent="0.25">
      <c r="B5" s="23" t="s">
        <v>57</v>
      </c>
      <c r="C5" s="23"/>
      <c r="D5" s="21"/>
      <c r="E5" s="21"/>
      <c r="F5" s="21"/>
    </row>
    <row r="6" spans="2:8" outlineLevel="1" x14ac:dyDescent="0.25">
      <c r="B6" s="22"/>
      <c r="C6" s="22" t="s">
        <v>49</v>
      </c>
      <c r="D6" s="17">
        <v>10</v>
      </c>
      <c r="E6" s="27">
        <v>10</v>
      </c>
      <c r="F6" s="27">
        <v>15</v>
      </c>
    </row>
    <row r="7" spans="2:8" outlineLevel="1" x14ac:dyDescent="0.25">
      <c r="B7" s="22"/>
      <c r="C7" s="22" t="s">
        <v>50</v>
      </c>
      <c r="D7" s="17">
        <v>25</v>
      </c>
      <c r="E7" s="27">
        <v>25</v>
      </c>
      <c r="F7" s="27">
        <v>35</v>
      </c>
    </row>
    <row r="8" spans="2:8" outlineLevel="1" x14ac:dyDescent="0.25">
      <c r="B8" s="22"/>
      <c r="C8" s="22" t="s">
        <v>51</v>
      </c>
      <c r="D8" s="17">
        <v>23</v>
      </c>
      <c r="E8" s="27">
        <v>23</v>
      </c>
      <c r="F8" s="27">
        <v>33</v>
      </c>
    </row>
    <row r="9" spans="2:8" x14ac:dyDescent="0.25">
      <c r="B9" s="23" t="s">
        <v>59</v>
      </c>
      <c r="C9" s="23"/>
      <c r="D9" s="21"/>
      <c r="E9" s="21"/>
      <c r="F9" s="21"/>
    </row>
    <row r="10" spans="2:8" ht="16.5" outlineLevel="1" thickBot="1" x14ac:dyDescent="0.3">
      <c r="B10" s="24"/>
      <c r="C10" s="24" t="s">
        <v>52</v>
      </c>
      <c r="D10" s="18">
        <v>80305</v>
      </c>
      <c r="E10" s="18">
        <v>80305</v>
      </c>
      <c r="F10" s="18">
        <v>115695</v>
      </c>
      <c r="H10" s="14">
        <f>F10-E10</f>
        <v>35390</v>
      </c>
    </row>
    <row r="11" spans="2:8" x14ac:dyDescent="0.25">
      <c r="B11" t="s">
        <v>60</v>
      </c>
    </row>
    <row r="12" spans="2:8" x14ac:dyDescent="0.25">
      <c r="B12" t="s">
        <v>61</v>
      </c>
    </row>
    <row r="13" spans="2:8" x14ac:dyDescent="0.25">
      <c r="B13"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election activeCell="B21" sqref="B21"/>
    </sheetView>
  </sheetViews>
  <sheetFormatPr defaultRowHeight="15.75" x14ac:dyDescent="0.25"/>
  <cols>
    <col min="1" max="1" width="19.5" bestFit="1" customWidth="1"/>
    <col min="2" max="2" width="19.625" bestFit="1" customWidth="1"/>
    <col min="3" max="3" width="17.75" bestFit="1" customWidth="1"/>
    <col min="4" max="4" width="24.75" bestFit="1" customWidth="1"/>
    <col min="5" max="5" width="16.125" bestFit="1" customWidth="1"/>
    <col min="6" max="6" width="11.125" bestFit="1" customWidth="1"/>
    <col min="7" max="7" width="17.625" bestFit="1" customWidth="1"/>
    <col min="8" max="8" width="11.125" bestFit="1" customWidth="1"/>
  </cols>
  <sheetData>
    <row r="1" spans="1:5" x14ac:dyDescent="0.25">
      <c r="A1" t="s">
        <v>14</v>
      </c>
      <c r="B1" t="s">
        <v>40</v>
      </c>
      <c r="C1" t="s">
        <v>42</v>
      </c>
      <c r="D1" t="s">
        <v>41</v>
      </c>
    </row>
    <row r="2" spans="1:5" x14ac:dyDescent="0.25">
      <c r="A2" s="12" t="s">
        <v>3</v>
      </c>
      <c r="B2" s="12">
        <f>SUMIF(Sales[Subscription Type],Scenario1[[#This Row],[Subscription Type]],Sales[Current Upsell $])</f>
        <v>18350</v>
      </c>
      <c r="C2" s="11">
        <v>0.5</v>
      </c>
      <c r="D2" s="12">
        <f>Scenario1[[#This Row],[Upsell Opportunity]]*Scenario1[[#This Row],[Conversion Rates]]</f>
        <v>9175</v>
      </c>
    </row>
    <row r="3" spans="1:5" x14ac:dyDescent="0.25">
      <c r="A3" s="12" t="s">
        <v>0</v>
      </c>
      <c r="B3" s="12">
        <f>SUMIF(Sales[Subscription Type],Scenario1[[#This Row],[Subscription Type]],Sales[Current Upsell $])</f>
        <v>8460</v>
      </c>
      <c r="C3" s="11">
        <v>0.45</v>
      </c>
      <c r="D3" s="12">
        <f>Scenario1[[#This Row],[Upsell Opportunity]]*Scenario1[[#This Row],[Conversion Rates]]</f>
        <v>3807</v>
      </c>
    </row>
    <row r="4" spans="1:5" x14ac:dyDescent="0.25">
      <c r="A4" s="12" t="s">
        <v>1</v>
      </c>
      <c r="B4" s="12">
        <f>SUMIF(Sales[Subscription Type],Scenario1[[#This Row],[Subscription Type]],Sales[Current Upsell $])</f>
        <v>8475</v>
      </c>
      <c r="C4" s="11">
        <v>0.3</v>
      </c>
      <c r="D4" s="12">
        <f>Scenario1[[#This Row],[Upsell Opportunity]]*Scenario1[[#This Row],[Conversion Rates]]</f>
        <v>2542.5</v>
      </c>
    </row>
    <row r="5" spans="1:5" x14ac:dyDescent="0.25">
      <c r="A5" s="12" t="s">
        <v>2</v>
      </c>
      <c r="B5" s="12">
        <f>SUMIF(Sales[Subscription Type],Scenario1[[#This Row],[Subscription Type]],Sales[Current Upsell $])</f>
        <v>2808</v>
      </c>
      <c r="C5" s="11">
        <v>0.15</v>
      </c>
      <c r="D5" s="12">
        <f>Scenario1[[#This Row],[Upsell Opportunity]]*Scenario1[[#This Row],[Conversion Rates]]</f>
        <v>421.2</v>
      </c>
    </row>
    <row r="6" spans="1:5" x14ac:dyDescent="0.25">
      <c r="A6" t="s">
        <v>43</v>
      </c>
      <c r="D6" s="12">
        <f>SUBTOTAL(109,Scenario1[Projected Upsell Amount])</f>
        <v>15945.7</v>
      </c>
    </row>
    <row r="9" spans="1:5" x14ac:dyDescent="0.25">
      <c r="A9" t="s">
        <v>44</v>
      </c>
      <c r="B9" t="s">
        <v>45</v>
      </c>
      <c r="C9" t="s">
        <v>46</v>
      </c>
    </row>
    <row r="10" spans="1:5" x14ac:dyDescent="0.25">
      <c r="A10" s="7">
        <f>SUMIF(Sales[Sales Month],MAX(Sales[Sales Month]),Sales[Sales Amount])</f>
        <v>80335</v>
      </c>
      <c r="B10" s="10">
        <v>0.24478745254247847</v>
      </c>
      <c r="C10" s="7">
        <f>Scenario2[[#This Row],[Sales Last Month]]*(1+Scenario2[[#This Row],[Growth Rate]])</f>
        <v>100000.00000000001</v>
      </c>
    </row>
    <row r="13" spans="1:5" x14ac:dyDescent="0.25">
      <c r="A13" t="s">
        <v>14</v>
      </c>
      <c r="B13" t="s">
        <v>47</v>
      </c>
      <c r="C13" t="s">
        <v>4</v>
      </c>
      <c r="D13" t="s">
        <v>63</v>
      </c>
      <c r="E13" t="s">
        <v>48</v>
      </c>
    </row>
    <row r="14" spans="1:5" x14ac:dyDescent="0.25">
      <c r="A14" t="s">
        <v>0</v>
      </c>
      <c r="B14" s="13">
        <v>10</v>
      </c>
      <c r="C14">
        <f>SUMIFS(Sales[Licenses Bought],Sales[Sales Month],MAX(Sales[Sales Month]),Sales[Subscription Type],Table5[[#This Row],[Subscription Type]])</f>
        <v>2212</v>
      </c>
      <c r="D14" s="11">
        <v>-0.05</v>
      </c>
      <c r="E14" s="14">
        <f>Table5[[#This Row],[License Price]]*Table5[[#This Row],[Licenses Bought]]*(1+Table5[[#This Row],[Elasticity]])</f>
        <v>21014</v>
      </c>
    </row>
    <row r="15" spans="1:5" x14ac:dyDescent="0.25">
      <c r="A15" t="s">
        <v>1</v>
      </c>
      <c r="B15" s="13">
        <v>25</v>
      </c>
      <c r="C15">
        <f>SUMIFS(Sales[Licenses Bought],Sales[Sales Month],MAX(Sales[Sales Month]),Sales[Subscription Type],Table5[[#This Row],[Subscription Type]])</f>
        <v>1113</v>
      </c>
      <c r="D15" s="11">
        <v>-0.03</v>
      </c>
      <c r="E15" s="14">
        <f>Table5[[#This Row],[License Price]]*Table5[[#This Row],[Licenses Bought]]*(1+Table5[[#This Row],[Elasticity]])</f>
        <v>26990.25</v>
      </c>
    </row>
    <row r="16" spans="1:5" x14ac:dyDescent="0.25">
      <c r="A16" t="s">
        <v>2</v>
      </c>
      <c r="B16" s="13">
        <v>23</v>
      </c>
      <c r="C16">
        <f>SUMIFS(Sales[Licenses Bought],Sales[Sales Month],MAX(Sales[Sales Month]),Sales[Subscription Type],Table5[[#This Row],[Subscription Type]])</f>
        <v>1320</v>
      </c>
      <c r="D16" s="11">
        <v>-0.02</v>
      </c>
      <c r="E16" s="14">
        <f>Table5[[#This Row],[License Price]]*Table5[[#This Row],[Licenses Bought]]*(1+Table5[[#This Row],[Elasticity]])</f>
        <v>29752.799999999999</v>
      </c>
    </row>
    <row r="17" spans="1:8" x14ac:dyDescent="0.25">
      <c r="A17" t="s">
        <v>43</v>
      </c>
      <c r="B17" s="15"/>
      <c r="E17" s="14">
        <f>SUBTOTAL(109,Table5[Projected Sales])</f>
        <v>77757.05</v>
      </c>
    </row>
    <row r="19" spans="1:8" x14ac:dyDescent="0.25">
      <c r="A19" s="33" t="s">
        <v>64</v>
      </c>
      <c r="B19" s="33"/>
      <c r="C19" s="33"/>
      <c r="D19" s="33"/>
      <c r="E19" s="33"/>
      <c r="F19" s="33"/>
      <c r="G19" s="33"/>
      <c r="H19" s="33"/>
    </row>
    <row r="20" spans="1:8" x14ac:dyDescent="0.25">
      <c r="A20" s="30">
        <f>E14</f>
        <v>21014</v>
      </c>
      <c r="B20" s="29">
        <v>-1.2500000000000001E-2</v>
      </c>
      <c r="C20" s="29">
        <v>-2.5000000000000001E-2</v>
      </c>
      <c r="D20" s="29">
        <v>-0.05</v>
      </c>
      <c r="E20" s="29">
        <v>-0.1</v>
      </c>
      <c r="F20" s="29">
        <v>-0.2</v>
      </c>
      <c r="G20" s="29">
        <v>-0.4</v>
      </c>
      <c r="H20" s="29">
        <v>-0.8</v>
      </c>
    </row>
    <row r="21" spans="1:8" x14ac:dyDescent="0.25">
      <c r="A21" s="31">
        <v>12.5</v>
      </c>
      <c r="B21" s="13">
        <f t="dataTable" ref="B21:H26" dt2D="1" dtr="1" r1="D14" r2="B14"/>
        <v>27304.375</v>
      </c>
      <c r="C21" s="13">
        <v>26958.75</v>
      </c>
      <c r="D21" s="13">
        <v>26267.5</v>
      </c>
      <c r="E21" s="13">
        <v>24885</v>
      </c>
      <c r="F21" s="13">
        <v>22120</v>
      </c>
      <c r="G21" s="13">
        <v>16590</v>
      </c>
      <c r="H21" s="13">
        <v>5529.9999999999991</v>
      </c>
    </row>
    <row r="22" spans="1:8" x14ac:dyDescent="0.25">
      <c r="A22" s="31">
        <v>15</v>
      </c>
      <c r="B22" s="13">
        <v>32765.25</v>
      </c>
      <c r="C22" s="13">
        <v>32350.5</v>
      </c>
      <c r="D22" s="13">
        <v>31521</v>
      </c>
      <c r="E22" s="13">
        <v>29862</v>
      </c>
      <c r="F22" s="13">
        <v>26544</v>
      </c>
      <c r="G22" s="13">
        <v>19908</v>
      </c>
      <c r="H22" s="13">
        <v>6635.9999999999982</v>
      </c>
    </row>
    <row r="23" spans="1:8" x14ac:dyDescent="0.25">
      <c r="A23" s="31">
        <v>17.5</v>
      </c>
      <c r="B23" s="13">
        <v>38226.125</v>
      </c>
      <c r="C23" s="13">
        <v>37742.25</v>
      </c>
      <c r="D23" s="13">
        <v>36774.5</v>
      </c>
      <c r="E23" s="13">
        <v>34839</v>
      </c>
      <c r="F23" s="13">
        <v>30968</v>
      </c>
      <c r="G23" s="13">
        <v>23226</v>
      </c>
      <c r="H23" s="13">
        <v>7741.9999999999982</v>
      </c>
    </row>
    <row r="24" spans="1:8" x14ac:dyDescent="0.25">
      <c r="A24" s="31">
        <v>20</v>
      </c>
      <c r="B24" s="13">
        <v>43687</v>
      </c>
      <c r="C24" s="13">
        <v>43134</v>
      </c>
      <c r="D24" s="13">
        <v>42028</v>
      </c>
      <c r="E24" s="13">
        <v>39816</v>
      </c>
      <c r="F24" s="13">
        <v>35392</v>
      </c>
      <c r="G24" s="13">
        <v>26544</v>
      </c>
      <c r="H24" s="13">
        <v>8847.9999999999982</v>
      </c>
    </row>
    <row r="25" spans="1:8" x14ac:dyDescent="0.25">
      <c r="A25" s="31">
        <v>22.5</v>
      </c>
      <c r="B25" s="13">
        <v>49147.875</v>
      </c>
      <c r="C25" s="13">
        <v>48525.75</v>
      </c>
      <c r="D25" s="13">
        <v>47281.5</v>
      </c>
      <c r="E25" s="13">
        <v>44793</v>
      </c>
      <c r="F25" s="13">
        <v>39816</v>
      </c>
      <c r="G25" s="13">
        <v>29862</v>
      </c>
      <c r="H25" s="13">
        <v>9953.9999999999982</v>
      </c>
    </row>
    <row r="26" spans="1:8" x14ac:dyDescent="0.25">
      <c r="A26" s="31">
        <v>25</v>
      </c>
      <c r="B26" s="13">
        <v>54608.75</v>
      </c>
      <c r="C26" s="13">
        <v>53917.5</v>
      </c>
      <c r="D26" s="13">
        <v>52535</v>
      </c>
      <c r="E26" s="13">
        <v>49770</v>
      </c>
      <c r="F26" s="13">
        <v>44240</v>
      </c>
      <c r="G26" s="13">
        <v>33180</v>
      </c>
      <c r="H26" s="13">
        <v>11059.999999999998</v>
      </c>
    </row>
  </sheetData>
  <scenarios current="1" show="0" sqref="D17">
    <scenario name="Current" locked="1" count="3" user="iason.prassides" comment="Created by iason.prassides on 11/24/2023">
      <inputCells r="B14" val="10" numFmtId="164"/>
      <inputCells r="B15" val="25" numFmtId="164"/>
      <inputCells r="B16" val="23" numFmtId="164"/>
    </scenario>
    <scenario name="High" locked="1" count="3" user="iason.prassides" comment="Created by iason.prassides on 11/24/2023">
      <inputCells r="B14" val="15" numFmtId="164"/>
      <inputCells r="B15" val="35" numFmtId="164"/>
      <inputCells r="B16" val="33" numFmtId="164"/>
    </scenario>
  </scenarios>
  <mergeCells count="1">
    <mergeCell ref="A19:H19"/>
  </mergeCells>
  <conditionalFormatting sqref="B21:H26">
    <cfRule type="cellIs" dxfId="11" priority="1" operator="lessThan">
      <formula>21014</formula>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tabSelected="1" topLeftCell="A7" workbookViewId="0">
      <selection activeCell="I22" sqref="I22"/>
    </sheetView>
  </sheetViews>
  <sheetFormatPr defaultRowHeight="15.75" x14ac:dyDescent="0.25"/>
  <cols>
    <col min="1" max="1" width="13.5" bestFit="1" customWidth="1"/>
    <col min="2" max="2" width="13.25" style="7" bestFit="1" customWidth="1"/>
    <col min="3" max="3" width="14.5" bestFit="1" customWidth="1"/>
    <col min="4" max="4" width="15.5" bestFit="1" customWidth="1"/>
  </cols>
  <sheetData>
    <row r="1" spans="1:4" x14ac:dyDescent="0.25">
      <c r="A1" t="s">
        <v>12</v>
      </c>
      <c r="B1" s="7" t="s">
        <v>31</v>
      </c>
      <c r="C1" t="s">
        <v>65</v>
      </c>
      <c r="D1" t="s">
        <v>66</v>
      </c>
    </row>
    <row r="2" spans="1:4" x14ac:dyDescent="0.25">
      <c r="A2" s="1">
        <v>43647</v>
      </c>
      <c r="B2" s="7">
        <f>SUMIF(Sales[Sales Month],Forecast[[#This Row],[Sales Month]],Sales[Sales Amount])</f>
        <v>0</v>
      </c>
    </row>
    <row r="3" spans="1:4" x14ac:dyDescent="0.25">
      <c r="A3" s="1">
        <v>43678</v>
      </c>
      <c r="B3" s="7">
        <f>SUMIF(Sales[Sales Month],Forecast[[#This Row],[Sales Month]],Sales[Sales Amount])</f>
        <v>0</v>
      </c>
    </row>
    <row r="4" spans="1:4" x14ac:dyDescent="0.25">
      <c r="A4" s="1">
        <v>43709</v>
      </c>
      <c r="B4" s="7">
        <f>SUMIF(Sales[Sales Month],Forecast[[#This Row],[Sales Month]],Sales[Sales Amount])</f>
        <v>0</v>
      </c>
    </row>
    <row r="5" spans="1:4" x14ac:dyDescent="0.25">
      <c r="A5" s="1">
        <v>43739</v>
      </c>
      <c r="B5" s="7">
        <f>SUMIF(Sales[Sales Month],Forecast[[#This Row],[Sales Month]],Sales[Sales Amount])</f>
        <v>20</v>
      </c>
      <c r="C5" s="32">
        <f>AVERAGE(B2:B4)</f>
        <v>0</v>
      </c>
      <c r="D5" s="32">
        <f>B2*15%+B3*35%+B4*50%</f>
        <v>0</v>
      </c>
    </row>
    <row r="6" spans="1:4" x14ac:dyDescent="0.25">
      <c r="A6" s="1">
        <v>43770</v>
      </c>
      <c r="B6" s="7">
        <f>SUMIF(Sales[Sales Month],Forecast[[#This Row],[Sales Month]],Sales[Sales Amount])</f>
        <v>40</v>
      </c>
      <c r="C6" s="32">
        <f t="shared" ref="C6:C26" si="0">AVERAGE(B3:B5)</f>
        <v>6.666666666666667</v>
      </c>
      <c r="D6" s="32">
        <f t="shared" ref="D6:D26" si="1">B3*15%+B4*35%+B5*50%</f>
        <v>10</v>
      </c>
    </row>
    <row r="7" spans="1:4" x14ac:dyDescent="0.25">
      <c r="A7" s="1">
        <v>43800</v>
      </c>
      <c r="B7" s="7">
        <f>SUMIF(Sales[Sales Month],Forecast[[#This Row],[Sales Month]],Sales[Sales Amount])</f>
        <v>40</v>
      </c>
      <c r="C7" s="32">
        <f t="shared" si="0"/>
        <v>20</v>
      </c>
      <c r="D7" s="32">
        <f t="shared" si="1"/>
        <v>27</v>
      </c>
    </row>
    <row r="8" spans="1:4" x14ac:dyDescent="0.25">
      <c r="A8" s="1">
        <v>43831</v>
      </c>
      <c r="B8" s="7">
        <f>SUMIF(Sales[Sales Month],Forecast[[#This Row],[Sales Month]],Sales[Sales Amount])</f>
        <v>645</v>
      </c>
      <c r="C8" s="32">
        <f t="shared" si="0"/>
        <v>33.333333333333336</v>
      </c>
      <c r="D8" s="32">
        <f t="shared" si="1"/>
        <v>37</v>
      </c>
    </row>
    <row r="9" spans="1:4" x14ac:dyDescent="0.25">
      <c r="A9" s="1">
        <v>43862</v>
      </c>
      <c r="B9" s="7">
        <f>SUMIF(Sales[Sales Month],Forecast[[#This Row],[Sales Month]],Sales[Sales Amount])</f>
        <v>5735</v>
      </c>
      <c r="C9" s="32">
        <f t="shared" si="0"/>
        <v>241.66666666666666</v>
      </c>
      <c r="D9" s="32">
        <f t="shared" si="1"/>
        <v>342.5</v>
      </c>
    </row>
    <row r="10" spans="1:4" x14ac:dyDescent="0.25">
      <c r="A10" s="1">
        <v>43891</v>
      </c>
      <c r="B10" s="7">
        <f>SUMIF(Sales[Sales Month],Forecast[[#This Row],[Sales Month]],Sales[Sales Amount])</f>
        <v>11310</v>
      </c>
      <c r="C10" s="32">
        <f t="shared" si="0"/>
        <v>2140</v>
      </c>
      <c r="D10" s="32">
        <f t="shared" si="1"/>
        <v>3099.25</v>
      </c>
    </row>
    <row r="11" spans="1:4" x14ac:dyDescent="0.25">
      <c r="A11" s="1">
        <v>43922</v>
      </c>
      <c r="B11" s="7">
        <f>SUMIF(Sales[Sales Month],Forecast[[#This Row],[Sales Month]],Sales[Sales Amount])</f>
        <v>19225</v>
      </c>
      <c r="C11" s="32">
        <f t="shared" si="0"/>
        <v>5896.666666666667</v>
      </c>
      <c r="D11" s="32">
        <f t="shared" si="1"/>
        <v>7759</v>
      </c>
    </row>
    <row r="12" spans="1:4" x14ac:dyDescent="0.25">
      <c r="A12" s="1">
        <v>43952</v>
      </c>
      <c r="B12" s="7">
        <f>SUMIF(Sales[Sales Month],Forecast[[#This Row],[Sales Month]],Sales[Sales Amount])</f>
        <v>23805</v>
      </c>
      <c r="C12" s="32">
        <f t="shared" si="0"/>
        <v>12090</v>
      </c>
      <c r="D12" s="32">
        <f t="shared" si="1"/>
        <v>14431.25</v>
      </c>
    </row>
    <row r="13" spans="1:4" x14ac:dyDescent="0.25">
      <c r="A13" s="1">
        <v>43983</v>
      </c>
      <c r="B13" s="7">
        <f>SUMIF(Sales[Sales Month],Forecast[[#This Row],[Sales Month]],Sales[Sales Amount])</f>
        <v>25190</v>
      </c>
      <c r="C13" s="32">
        <f t="shared" si="0"/>
        <v>18113.333333333332</v>
      </c>
      <c r="D13" s="32">
        <f t="shared" si="1"/>
        <v>20327.75</v>
      </c>
    </row>
    <row r="14" spans="1:4" x14ac:dyDescent="0.25">
      <c r="A14" s="1">
        <v>44013</v>
      </c>
      <c r="B14" s="7">
        <f>SUMIF(Sales[Sales Month],Forecast[[#This Row],[Sales Month]],Sales[Sales Amount])</f>
        <v>28325</v>
      </c>
      <c r="C14" s="32">
        <f t="shared" si="0"/>
        <v>22740</v>
      </c>
      <c r="D14" s="32">
        <f t="shared" si="1"/>
        <v>23810.5</v>
      </c>
    </row>
    <row r="15" spans="1:4" x14ac:dyDescent="0.25">
      <c r="A15" s="1">
        <v>44044</v>
      </c>
      <c r="B15" s="7">
        <f>SUMIF(Sales[Sales Month],Forecast[[#This Row],[Sales Month]],Sales[Sales Amount])</f>
        <v>32005</v>
      </c>
      <c r="C15" s="32">
        <f t="shared" si="0"/>
        <v>25773.333333333332</v>
      </c>
      <c r="D15" s="32">
        <f t="shared" si="1"/>
        <v>26549.75</v>
      </c>
    </row>
    <row r="16" spans="1:4" x14ac:dyDescent="0.25">
      <c r="A16" s="1">
        <v>44075</v>
      </c>
      <c r="B16" s="7">
        <f>SUMIF(Sales[Sales Month],Forecast[[#This Row],[Sales Month]],Sales[Sales Amount])</f>
        <v>34890</v>
      </c>
      <c r="C16" s="32">
        <f t="shared" si="0"/>
        <v>28506.666666666668</v>
      </c>
      <c r="D16" s="32">
        <f t="shared" si="1"/>
        <v>29694.75</v>
      </c>
    </row>
    <row r="17" spans="1:4" x14ac:dyDescent="0.25">
      <c r="A17" s="1">
        <v>44105</v>
      </c>
      <c r="B17" s="7">
        <f>SUMIF(Sales[Sales Month],Forecast[[#This Row],[Sales Month]],Sales[Sales Amount])</f>
        <v>40615</v>
      </c>
      <c r="C17" s="32">
        <f t="shared" si="0"/>
        <v>31740</v>
      </c>
      <c r="D17" s="32">
        <f t="shared" si="1"/>
        <v>32895.5</v>
      </c>
    </row>
    <row r="18" spans="1:4" x14ac:dyDescent="0.25">
      <c r="A18" s="1">
        <v>44136</v>
      </c>
      <c r="B18" s="7">
        <f>SUMIF(Sales[Sales Month],Forecast[[#This Row],[Sales Month]],Sales[Sales Amount])</f>
        <v>46605</v>
      </c>
      <c r="C18" s="32">
        <f t="shared" si="0"/>
        <v>35836.666666666664</v>
      </c>
      <c r="D18" s="32">
        <f t="shared" si="1"/>
        <v>37319.75</v>
      </c>
    </row>
    <row r="19" spans="1:4" x14ac:dyDescent="0.25">
      <c r="A19" s="1">
        <v>44166</v>
      </c>
      <c r="B19" s="7">
        <f>SUMIF(Sales[Sales Month],Forecast[[#This Row],[Sales Month]],Sales[Sales Amount])</f>
        <v>50195</v>
      </c>
      <c r="C19" s="32">
        <f t="shared" si="0"/>
        <v>40703.333333333336</v>
      </c>
      <c r="D19" s="32">
        <f t="shared" si="1"/>
        <v>42751.25</v>
      </c>
    </row>
    <row r="20" spans="1:4" x14ac:dyDescent="0.25">
      <c r="A20" s="1">
        <v>44197</v>
      </c>
      <c r="B20" s="7">
        <f>SUMIF(Sales[Sales Month],Forecast[[#This Row],[Sales Month]],Sales[Sales Amount])</f>
        <v>51605</v>
      </c>
      <c r="C20" s="32">
        <f t="shared" si="0"/>
        <v>45805</v>
      </c>
      <c r="D20" s="32">
        <f t="shared" si="1"/>
        <v>47501.5</v>
      </c>
    </row>
    <row r="21" spans="1:4" x14ac:dyDescent="0.25">
      <c r="A21" s="1">
        <v>44228</v>
      </c>
      <c r="B21" s="7">
        <f>SUMIF(Sales[Sales Month],Forecast[[#This Row],[Sales Month]],Sales[Sales Amount])</f>
        <v>54120</v>
      </c>
      <c r="C21" s="32">
        <f t="shared" si="0"/>
        <v>49468.333333333336</v>
      </c>
      <c r="D21" s="32">
        <f t="shared" si="1"/>
        <v>50361.5</v>
      </c>
    </row>
    <row r="22" spans="1:4" x14ac:dyDescent="0.25">
      <c r="A22" s="1">
        <v>44256</v>
      </c>
      <c r="B22" s="7">
        <f>SUMIF(Sales[Sales Month],Forecast[[#This Row],[Sales Month]],Sales[Sales Amount])</f>
        <v>57040</v>
      </c>
      <c r="C22" s="32">
        <f t="shared" si="0"/>
        <v>51973.333333333336</v>
      </c>
      <c r="D22" s="32">
        <f t="shared" si="1"/>
        <v>52651</v>
      </c>
    </row>
    <row r="23" spans="1:4" x14ac:dyDescent="0.25">
      <c r="A23" s="1">
        <v>44287</v>
      </c>
      <c r="B23" s="7">
        <f>SUMIF(Sales[Sales Month],Forecast[[#This Row],[Sales Month]],Sales[Sales Amount])</f>
        <v>63125</v>
      </c>
      <c r="C23" s="32">
        <f t="shared" si="0"/>
        <v>54255</v>
      </c>
      <c r="D23" s="32">
        <f t="shared" si="1"/>
        <v>55202.75</v>
      </c>
    </row>
    <row r="24" spans="1:4" x14ac:dyDescent="0.25">
      <c r="A24" s="1">
        <v>44317</v>
      </c>
      <c r="B24" s="7">
        <f>SUMIF(Sales[Sales Month],Forecast[[#This Row],[Sales Month]],Sales[Sales Amount])</f>
        <v>68155</v>
      </c>
      <c r="C24" s="32">
        <f t="shared" si="0"/>
        <v>58095</v>
      </c>
      <c r="D24" s="32">
        <f t="shared" si="1"/>
        <v>59644.5</v>
      </c>
    </row>
    <row r="25" spans="1:4" x14ac:dyDescent="0.25">
      <c r="A25" s="1">
        <v>44348</v>
      </c>
      <c r="B25" s="7">
        <f>SUMIF(Sales[Sales Month],Forecast[[#This Row],[Sales Month]],Sales[Sales Amount])</f>
        <v>80335</v>
      </c>
      <c r="C25" s="32">
        <f t="shared" si="0"/>
        <v>62773.333333333336</v>
      </c>
      <c r="D25" s="32">
        <f t="shared" si="1"/>
        <v>64727.25</v>
      </c>
    </row>
    <row r="26" spans="1:4" x14ac:dyDescent="0.25">
      <c r="A26" s="1">
        <v>44378</v>
      </c>
      <c r="B26" s="7">
        <f>SUMIF(Sales[Sales Month],Forecast[[#This Row],[Sales Month]],Sales[Sales Amount])</f>
        <v>0</v>
      </c>
      <c r="C26" s="32">
        <f t="shared" si="0"/>
        <v>70538.333333333328</v>
      </c>
      <c r="D26" s="32">
        <f t="shared" si="1"/>
        <v>73490.5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PivotTable</vt:lpstr>
      <vt:lpstr>Account Sales History</vt:lpstr>
      <vt:lpstr>Sales Trends</vt:lpstr>
      <vt:lpstr>Scenario Summary</vt:lpstr>
      <vt:lpstr>Scenario Analysis</vt:lpstr>
      <vt:lpstr>Forecasting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2025-03-26T13:46:03Z</dcterms:modified>
</cp:coreProperties>
</file>